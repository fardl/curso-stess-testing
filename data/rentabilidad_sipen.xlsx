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490\Documents\MacroPol\stress-testing\data\"/>
    </mc:Choice>
  </mc:AlternateContent>
  <xr:revisionPtr revIDLastSave="0" documentId="13_ncr:1_{77C027C5-7AF4-412C-AACB-2AF6A15EE39C}" xr6:coauthVersionLast="47" xr6:coauthVersionMax="47" xr10:uidLastSave="{00000000-0000-0000-0000-000000000000}"/>
  <bookViews>
    <workbookView xWindow="-110" yWindow="-110" windowWidth="19420" windowHeight="10300" tabRatio="869" activeTab="2" xr2:uid="{79D4CEBC-F9E7-41AF-881B-16441BEB3B5C}"/>
  </bookViews>
  <sheets>
    <sheet name="Por SISTEMA" sheetId="1" r:id="rId1"/>
    <sheet name="Sheet1" sheetId="3" r:id="rId2"/>
    <sheet name="Por FONDO" sheetId="2" r:id="rId3"/>
  </sheets>
  <definedNames>
    <definedName name="_xlnm._FilterDatabase" localSheetId="2" hidden="1">'Por FONDO'!$B$4:$B$284</definedName>
    <definedName name="_xlnm._FilterDatabase" localSheetId="0" hidden="1">'Por SISTEMA'!$B$4:$B$270</definedName>
    <definedName name="_xlnm.Print_Area" localSheetId="2">'Por FONDO'!$A$1:$R$285</definedName>
    <definedName name="_xlnm.Print_Area" localSheetId="0">'Por SISTEMA'!$A$1:$E$278</definedName>
  </definedNames>
  <calcPr calcId="191028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8" i="2" l="1"/>
  <c r="B277" i="1"/>
  <c r="B268" i="2" l="1"/>
  <c r="B269" i="2" s="1"/>
  <c r="B270" i="2" s="1"/>
  <c r="B271" i="2" s="1"/>
  <c r="B272" i="2" s="1"/>
  <c r="B273" i="2" s="1"/>
  <c r="B274" i="2" s="1"/>
  <c r="B275" i="2" s="1"/>
  <c r="B276" i="2" s="1"/>
  <c r="B277" i="2" s="1"/>
  <c r="B268" i="1"/>
  <c r="B269" i="1" s="1"/>
  <c r="B270" i="1" s="1"/>
  <c r="B271" i="1" s="1"/>
  <c r="B272" i="1" s="1"/>
  <c r="B273" i="1" s="1"/>
  <c r="B274" i="1" s="1"/>
  <c r="B275" i="1" s="1"/>
  <c r="B276" i="1" s="1"/>
  <c r="D246" i="1"/>
  <c r="C246" i="1"/>
  <c r="F247" i="2"/>
  <c r="C247" i="2"/>
</calcChain>
</file>

<file path=xl/sharedStrings.xml><?xml version="1.0" encoding="utf-8"?>
<sst xmlns="http://schemas.openxmlformats.org/spreadsheetml/2006/main" count="59" uniqueCount="58">
  <si>
    <t>Rentabilidad Nominal por Sistema</t>
  </si>
  <si>
    <t>Por período</t>
  </si>
  <si>
    <t>Mes</t>
  </si>
  <si>
    <t>Promedio Cuentas de Capitalización Individual</t>
  </si>
  <si>
    <t>Promedio Sistema</t>
  </si>
  <si>
    <t>Rentabilidad Nominal de los Fondos de Pensiones</t>
  </si>
  <si>
    <t>AFP</t>
  </si>
  <si>
    <t>Fondo de Solidaridad Social</t>
  </si>
  <si>
    <t xml:space="preserve">Fondo de Reparto del Banco Central </t>
  </si>
  <si>
    <t>Fondo de Reparto de BanReservas</t>
  </si>
  <si>
    <r>
      <t>INABIMA</t>
    </r>
    <r>
      <rPr>
        <vertAlign val="superscript"/>
        <sz val="11"/>
        <color indexed="30"/>
        <rFont val="Abadi"/>
        <family val="2"/>
        <charset val="1"/>
      </rPr>
      <t>5</t>
    </r>
  </si>
  <si>
    <t>Atlántico</t>
  </si>
  <si>
    <r>
      <t>Camino</t>
    </r>
    <r>
      <rPr>
        <vertAlign val="superscript"/>
        <sz val="11"/>
        <color indexed="30"/>
        <rFont val="Abadi"/>
        <family val="2"/>
        <charset val="1"/>
      </rPr>
      <t>1</t>
    </r>
  </si>
  <si>
    <r>
      <t>Caribalico</t>
    </r>
    <r>
      <rPr>
        <vertAlign val="superscript"/>
        <sz val="11"/>
        <color indexed="30"/>
        <rFont val="Abadi"/>
        <family val="2"/>
        <charset val="1"/>
      </rPr>
      <t>2</t>
    </r>
  </si>
  <si>
    <t>Crecer</t>
  </si>
  <si>
    <t>JMMB-BDI</t>
  </si>
  <si>
    <r>
      <t>León</t>
    </r>
    <r>
      <rPr>
        <vertAlign val="superscript"/>
        <sz val="11"/>
        <color indexed="30"/>
        <rFont val="Abadi"/>
        <family val="2"/>
        <charset val="1"/>
      </rPr>
      <t>3</t>
    </r>
  </si>
  <si>
    <t>Popular</t>
  </si>
  <si>
    <r>
      <t>Porvenir</t>
    </r>
    <r>
      <rPr>
        <vertAlign val="superscript"/>
        <sz val="11"/>
        <color indexed="30"/>
        <rFont val="Abadi"/>
        <family val="2"/>
        <charset val="1"/>
      </rPr>
      <t>4</t>
    </r>
  </si>
  <si>
    <t>Reservas</t>
  </si>
  <si>
    <t>Romana</t>
  </si>
  <si>
    <t>Siembra</t>
  </si>
  <si>
    <t>Notas:</t>
  </si>
  <si>
    <r>
      <rPr>
        <vertAlign val="superscript"/>
        <sz val="9"/>
        <rFont val="Abadi"/>
        <family val="2"/>
        <charset val="1"/>
      </rPr>
      <t>1</t>
    </r>
    <r>
      <rPr>
        <sz val="9"/>
        <rFont val="Abadi"/>
        <family val="2"/>
        <charset val="1"/>
      </rPr>
      <t>Camino fue absorbido por Siembra, el 7 de enero del 2005.</t>
    </r>
  </si>
  <si>
    <r>
      <rPr>
        <vertAlign val="superscript"/>
        <sz val="9"/>
        <rFont val="Abadi"/>
        <family val="2"/>
        <charset val="1"/>
      </rPr>
      <t>2</t>
    </r>
    <r>
      <rPr>
        <sz val="9"/>
        <rFont val="Abadi"/>
        <family val="2"/>
        <charset val="1"/>
      </rPr>
      <t>Caribalico fue absorbido por Siembra, el 10 de mayo del 2007.</t>
    </r>
  </si>
  <si>
    <r>
      <rPr>
        <vertAlign val="superscript"/>
        <sz val="9"/>
        <rFont val="Abadi"/>
        <family val="2"/>
        <charset val="1"/>
      </rPr>
      <t>3</t>
    </r>
    <r>
      <rPr>
        <sz val="9"/>
        <rFont val="Abadi"/>
        <family val="2"/>
        <charset val="1"/>
      </rPr>
      <t>León fue absorbido por Siembra, el 29 de junio del 2007.</t>
    </r>
  </si>
  <si>
    <r>
      <rPr>
        <vertAlign val="superscript"/>
        <sz val="9"/>
        <rFont val="Abadi"/>
        <family val="2"/>
        <charset val="1"/>
      </rPr>
      <t>4</t>
    </r>
    <r>
      <rPr>
        <sz val="9"/>
        <rFont val="Abadi"/>
        <family val="2"/>
        <charset val="1"/>
      </rPr>
      <t>Porvenir fue absorbido por Scotia Crecer anteriormente llamada BBVA Crecer, el 29 de octubre del 2004.</t>
    </r>
  </si>
  <si>
    <r>
      <t>5</t>
    </r>
    <r>
      <rPr>
        <sz val="9"/>
        <rFont val="Abadi"/>
        <family val="2"/>
        <charset val="1"/>
      </rPr>
      <t>Las inversiones del fondo de pensiones del INABIMA se rigen de conformidad con lo establecido en la Ley 451-08 que modifica la Ley General de Educación No.66-97, y por tanto no están sujetas a la normativa de la CCRyLI.</t>
    </r>
  </si>
  <si>
    <t>Rentabilidad nominal de los últimos 12 meses</t>
  </si>
  <si>
    <t>date</t>
  </si>
  <si>
    <t>Row Labels</t>
  </si>
  <si>
    <t>Grand Total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</si>
  <si>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</si>
  <si>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</si>
  <si>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</si>
  <si>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</si>
  <si>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</si>
  <si>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</si>
  <si>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</si>
  <si>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</si>
  <si>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</si>
  <si>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</si>
  <si>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</si>
  <si>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</si>
  <si>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</si>
  <si>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</si>
  <si>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</si>
  <si>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</si>
  <si>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</si>
  <si>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</si>
  <si>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</si>
  <si>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</si>
  <si>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</si>
  <si>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</si>
  <si>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</si>
  <si>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</si>
  <si>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Sum of Atlántico</t>
  </si>
  <si>
    <t>Sum of Camino1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</si>
</sst>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P_t_s_-;\-* #,##0.00\ _P_t_s_-;_-* &quot;-&quot;??\ _P_t_s_-;_-@_-"/>
    <numFmt numFmtId="165" formatCode="[$-C0A]mmm\-yy;@"/>
    <numFmt numFmtId="166" formatCode="_([$€-2]* #,##0.00_);_([$€-2]* \(#,##0.00\);_([$€-2]* &quot;-&quot;??_)"/>
    <numFmt numFmtId="167" formatCode="yyyy\-mm\-dd;@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badi"/>
      <family val="2"/>
      <charset val="1"/>
    </font>
    <font>
      <sz val="10"/>
      <name val="Abadi"/>
      <family val="2"/>
      <charset val="1"/>
    </font>
    <font>
      <sz val="9"/>
      <name val="Abadi"/>
      <family val="2"/>
      <charset val="1"/>
    </font>
    <font>
      <sz val="11"/>
      <name val="Abadi"/>
      <family val="2"/>
      <charset val="1"/>
    </font>
    <font>
      <sz val="10"/>
      <color indexed="56"/>
      <name val="Abadi"/>
      <family val="2"/>
      <charset val="1"/>
    </font>
    <font>
      <vertAlign val="superscript"/>
      <sz val="14"/>
      <name val="Abadi"/>
      <family val="2"/>
      <charset val="1"/>
    </font>
    <font>
      <vertAlign val="superscript"/>
      <sz val="9"/>
      <name val="Abadi"/>
      <family val="2"/>
      <charset val="1"/>
    </font>
    <font>
      <vertAlign val="superscript"/>
      <sz val="8"/>
      <name val="Abadi"/>
      <family val="2"/>
      <charset val="1"/>
    </font>
    <font>
      <b/>
      <sz val="10"/>
      <name val="Abadi"/>
      <family val="2"/>
      <charset val="1"/>
    </font>
    <font>
      <sz val="14"/>
      <name val="Abadi"/>
      <family val="2"/>
      <charset val="1"/>
    </font>
    <font>
      <vertAlign val="superscript"/>
      <sz val="11"/>
      <color indexed="30"/>
      <name val="Abadi"/>
      <family val="2"/>
      <charset val="1"/>
    </font>
    <font>
      <sz val="14"/>
      <color indexed="18"/>
      <name val="Abadi"/>
      <family val="2"/>
      <charset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3" tint="-0.249977111117893"/>
      <name val="Abadi"/>
      <family val="2"/>
      <charset val="1"/>
    </font>
    <font>
      <b/>
      <sz val="11"/>
      <color theme="3" tint="-0.249977111117893"/>
      <name val="Abadi"/>
      <family val="2"/>
      <charset val="1"/>
    </font>
    <font>
      <sz val="11"/>
      <color rgb="FF073CA9"/>
      <name val="Abadi"/>
      <family val="2"/>
      <charset val="1"/>
    </font>
    <font>
      <sz val="10"/>
      <color rgb="FF073CA9"/>
      <name val="Abad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/>
      <right style="thick">
        <color indexed="9"/>
      </right>
      <top/>
      <bottom/>
      <diagonal/>
    </border>
    <border>
      <left/>
      <right/>
      <top/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/>
      <diagonal/>
    </border>
    <border>
      <left/>
      <right/>
      <top style="thick">
        <color indexed="9"/>
      </top>
      <bottom style="thick">
        <color indexed="9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indexed="9"/>
      </left>
      <right style="thick">
        <color indexed="9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indexed="9"/>
      </right>
      <top style="thick">
        <color theme="0"/>
      </top>
      <bottom/>
      <diagonal/>
    </border>
    <border>
      <left style="thick">
        <color indexed="9"/>
      </left>
      <right/>
      <top style="thick">
        <color indexed="9"/>
      </top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theme="0"/>
      </left>
      <right style="thick">
        <color indexed="9"/>
      </right>
      <top/>
      <bottom/>
      <diagonal/>
    </border>
  </borders>
  <cellStyleXfs count="30">
    <xf numFmtId="0" fontId="0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vertical="center" wrapText="1"/>
    </xf>
    <xf numFmtId="17" fontId="3" fillId="0" borderId="0" xfId="0" applyNumberFormat="1" applyFont="1" applyAlignment="1">
      <alignment vertical="center"/>
    </xf>
    <xf numFmtId="10" fontId="4" fillId="2" borderId="7" xfId="25" applyNumberFormat="1" applyFont="1" applyFill="1" applyBorder="1" applyAlignment="1">
      <alignment horizontal="center" vertical="center" wrapText="1"/>
    </xf>
    <xf numFmtId="10" fontId="4" fillId="2" borderId="7" xfId="1" quotePrefix="1" applyNumberFormat="1" applyFont="1" applyFill="1" applyBorder="1" applyAlignment="1">
      <alignment horizontal="center" vertical="center" wrapText="1"/>
    </xf>
    <xf numFmtId="10" fontId="4" fillId="2" borderId="7" xfId="1" applyNumberFormat="1" applyFont="1" applyFill="1" applyBorder="1" applyAlignment="1">
      <alignment horizontal="center" vertical="center" wrapText="1"/>
    </xf>
    <xf numFmtId="10" fontId="4" fillId="2" borderId="7" xfId="25" quotePrefix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6" fillId="2" borderId="1" xfId="1" applyFont="1" applyFill="1" applyBorder="1" applyAlignment="1">
      <alignment horizontal="center" vertical="center" wrapText="1"/>
    </xf>
    <xf numFmtId="10" fontId="6" fillId="2" borderId="1" xfId="25" applyNumberFormat="1" applyFont="1" applyFill="1" applyBorder="1" applyAlignment="1">
      <alignment horizontal="center" vertical="center" wrapText="1"/>
    </xf>
    <xf numFmtId="10" fontId="6" fillId="2" borderId="8" xfId="25" applyNumberFormat="1" applyFont="1" applyFill="1" applyBorder="1" applyAlignment="1">
      <alignment horizontal="center" vertical="center" wrapText="1"/>
    </xf>
    <xf numFmtId="164" fontId="6" fillId="2" borderId="8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7" fillId="0" borderId="0" xfId="25" applyNumberFormat="1" applyFont="1" applyFill="1" applyBorder="1" applyAlignment="1">
      <alignment horizontal="center" vertical="center" wrapText="1"/>
    </xf>
    <xf numFmtId="0" fontId="4" fillId="0" borderId="0" xfId="0" applyFont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0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2" fontId="6" fillId="0" borderId="0" xfId="4" quotePrefix="1" applyNumberFormat="1" applyFont="1" applyFill="1" applyBorder="1" applyAlignment="1">
      <alignment horizontal="right" wrapText="1"/>
    </xf>
    <xf numFmtId="43" fontId="6" fillId="0" borderId="0" xfId="4" quotePrefix="1" applyFont="1" applyFill="1" applyBorder="1" applyAlignment="1">
      <alignment horizontal="right" wrapText="1"/>
    </xf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left"/>
    </xf>
    <xf numFmtId="0" fontId="11" fillId="0" borderId="0" xfId="0" applyFont="1" applyAlignment="1">
      <alignment vertical="center" wrapText="1"/>
    </xf>
    <xf numFmtId="17" fontId="12" fillId="0" borderId="4" xfId="0" applyNumberFormat="1" applyFont="1" applyBorder="1" applyAlignment="1">
      <alignment vertical="center"/>
    </xf>
    <xf numFmtId="17" fontId="12" fillId="0" borderId="0" xfId="0" applyNumberFormat="1" applyFont="1" applyAlignment="1">
      <alignment vertical="center"/>
    </xf>
    <xf numFmtId="0" fontId="19" fillId="2" borderId="2" xfId="0" applyFont="1" applyFill="1" applyBorder="1" applyAlignment="1">
      <alignment horizontal="center" vertical="center" wrapText="1"/>
    </xf>
    <xf numFmtId="17" fontId="14" fillId="0" borderId="0" xfId="0" applyNumberFormat="1" applyFont="1" applyAlignment="1">
      <alignment vertical="center" wrapText="1"/>
    </xf>
    <xf numFmtId="0" fontId="19" fillId="2" borderId="11" xfId="0" applyFont="1" applyFill="1" applyBorder="1" applyAlignment="1">
      <alignment horizontal="center" vertical="center" wrapText="1"/>
    </xf>
    <xf numFmtId="165" fontId="20" fillId="2" borderId="7" xfId="0" applyNumberFormat="1" applyFont="1" applyFill="1" applyBorder="1" applyAlignment="1">
      <alignment horizontal="center" vertical="center" wrapText="1"/>
    </xf>
    <xf numFmtId="10" fontId="6" fillId="2" borderId="7" xfId="25" applyNumberFormat="1" applyFont="1" applyFill="1" applyBorder="1" applyAlignment="1">
      <alignment horizontal="center" vertical="center" wrapText="1"/>
    </xf>
    <xf numFmtId="164" fontId="6" fillId="2" borderId="7" xfId="1" applyFont="1" applyFill="1" applyBorder="1" applyAlignment="1">
      <alignment horizontal="center" vertical="center" wrapText="1"/>
    </xf>
    <xf numFmtId="10" fontId="6" fillId="2" borderId="15" xfId="25" applyNumberFormat="1" applyFont="1" applyFill="1" applyBorder="1" applyAlignment="1">
      <alignment horizontal="center" vertical="center" wrapText="1"/>
    </xf>
    <xf numFmtId="10" fontId="4" fillId="2" borderId="0" xfId="25" applyNumberFormat="1" applyFont="1" applyFill="1" applyBorder="1" applyAlignment="1">
      <alignment horizontal="center" vertical="center" wrapText="1"/>
    </xf>
    <xf numFmtId="10" fontId="6" fillId="2" borderId="0" xfId="25" applyNumberFormat="1" applyFont="1" applyFill="1" applyBorder="1" applyAlignment="1">
      <alignment horizontal="center" vertical="center" wrapText="1"/>
    </xf>
    <xf numFmtId="10" fontId="6" fillId="2" borderId="10" xfId="25" applyNumberFormat="1" applyFont="1" applyFill="1" applyBorder="1" applyAlignment="1">
      <alignment horizontal="center" vertical="center" wrapText="1"/>
    </xf>
    <xf numFmtId="17" fontId="12" fillId="0" borderId="4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7" fontId="3" fillId="0" borderId="6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17" fontId="12" fillId="0" borderId="4" xfId="0" applyNumberFormat="1" applyFont="1" applyBorder="1" applyAlignment="1">
      <alignment horizontal="left" vertical="center"/>
    </xf>
    <xf numFmtId="167" fontId="12" fillId="0" borderId="4" xfId="0" applyNumberFormat="1" applyFont="1" applyBorder="1" applyAlignment="1">
      <alignment horizontal="left" vertical="center"/>
    </xf>
    <xf numFmtId="167" fontId="3" fillId="0" borderId="6" xfId="0" applyNumberFormat="1" applyFont="1" applyBorder="1" applyAlignment="1">
      <alignment horizontal="left" vertical="center"/>
    </xf>
    <xf numFmtId="167" fontId="19" fillId="2" borderId="5" xfId="0" applyNumberFormat="1" applyFont="1" applyFill="1" applyBorder="1" applyAlignment="1">
      <alignment horizontal="center" vertical="center" wrapText="1"/>
    </xf>
    <xf numFmtId="167" fontId="19" fillId="2" borderId="3" xfId="0" applyNumberFormat="1" applyFont="1" applyFill="1" applyBorder="1" applyAlignment="1">
      <alignment horizontal="center" vertical="center" wrapText="1"/>
    </xf>
    <xf numFmtId="167" fontId="19" fillId="2" borderId="12" xfId="0" applyNumberFormat="1" applyFont="1" applyFill="1" applyBorder="1" applyAlignment="1">
      <alignment horizontal="center" vertical="center" wrapText="1"/>
    </xf>
    <xf numFmtId="167" fontId="19" fillId="2" borderId="10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vertical="center" wrapText="1"/>
    </xf>
  </cellXfs>
  <cellStyles count="30">
    <cellStyle name="Comma" xfId="1" builtinId="3"/>
    <cellStyle name="Comma 2" xfId="2" xr:uid="{913B5C35-7C50-4B09-B2B3-91F80CAD9281}"/>
    <cellStyle name="Euro" xfId="3" xr:uid="{CA67AF98-4777-487B-BB64-A1CA96BD0B4F}"/>
    <cellStyle name="Millares 11" xfId="4" xr:uid="{F5AC2EA4-8AF5-424A-9129-40F949FAF0E2}"/>
    <cellStyle name="Millares 11 2" xfId="5" xr:uid="{711DEA10-4A46-4E38-B672-4C6A4EF1625F}"/>
    <cellStyle name="Millares 2" xfId="6" xr:uid="{54A96C07-B6B8-4A9F-A05B-1D3D860A8C85}"/>
    <cellStyle name="Millares 3" xfId="7" xr:uid="{CADB699C-1D76-4FD7-91B5-032A554C4450}"/>
    <cellStyle name="Millares 3 17" xfId="8" xr:uid="{EFD310A6-4171-4CEA-AC2C-612523EFE2F2}"/>
    <cellStyle name="Millares 3 2" xfId="9" xr:uid="{2A6477B9-580E-4EA7-8A82-E088D9A7298D}"/>
    <cellStyle name="Moneda 2" xfId="10" xr:uid="{EF85E80C-5E8F-460B-9A94-EC4F15128B23}"/>
    <cellStyle name="Normal" xfId="0" builtinId="0"/>
    <cellStyle name="Normal 17" xfId="11" xr:uid="{DD71AB2F-B14F-4C45-A294-7552F28C33F1}"/>
    <cellStyle name="Normal 2" xfId="12" xr:uid="{D3A02770-9E95-4DA6-996E-8EB1A3447317}"/>
    <cellStyle name="Normal 2 7" xfId="13" xr:uid="{48AEE363-56EE-4364-A948-E97E0B7D4742}"/>
    <cellStyle name="Normal 23" xfId="14" xr:uid="{47CF3860-73EC-4928-BC67-DB99F7411711}"/>
    <cellStyle name="Normal 3" xfId="15" xr:uid="{6A97A36F-AF00-4194-9A00-38EF66BA2FE2}"/>
    <cellStyle name="Normal 4" xfId="16" xr:uid="{BB9C38A3-B86E-4A95-A3F6-24040DBCF418}"/>
    <cellStyle name="Normal 5" xfId="17" xr:uid="{F8CC8699-C101-4AE0-A5A3-A68B93002BC0}"/>
    <cellStyle name="Normal 50 2" xfId="18" xr:uid="{808614A0-B8FB-40E4-81ED-6D515B4C51BA}"/>
    <cellStyle name="Normal 6" xfId="19" xr:uid="{F55E0A55-6281-4F51-970C-5917356D1F9B}"/>
    <cellStyle name="Normal 7" xfId="20" xr:uid="{153C9285-1077-46F6-9DB3-A5D7BCC03F4B}"/>
    <cellStyle name="Normal 8" xfId="21" xr:uid="{56BC72BF-8176-49F6-92E9-667A22F744C3}"/>
    <cellStyle name="Normal 9 2" xfId="22" xr:uid="{A77C8315-2D7E-40F6-BCBE-E2B16D2FB1C4}"/>
    <cellStyle name="Normal 9 2 2" xfId="23" xr:uid="{1CB4AB2B-2F91-433B-97B0-A04D6F1DB866}"/>
    <cellStyle name="Normal 9 2 2 5" xfId="24" xr:uid="{5936560A-F133-4CAB-9D95-E52161762B24}"/>
    <cellStyle name="Percent" xfId="25" builtinId="5"/>
    <cellStyle name="Percent 2" xfId="26" xr:uid="{32C452CF-CAED-4097-A545-19C7E51E8186}"/>
    <cellStyle name="Porcentaje 2" xfId="27" xr:uid="{E3B4DB7D-747D-40C4-A25A-8F713AB979BC}"/>
    <cellStyle name="Porcentaje 4" xfId="28" xr:uid="{17C13786-36E0-4E37-9B36-6C051E63AB1E}"/>
    <cellStyle name="Porcentaje 4 2" xfId="29" xr:uid="{DEC426D5-2616-4DE9-834D-5ABB47D7F1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cal User" refreshedDate="46129.690028703706" createdVersion="8" refreshedVersion="8" minRefreshableVersion="3" recordCount="273" xr:uid="{66D118B4-6796-4AD4-B187-4A7A2538124B}">
  <cacheSource type="worksheet">
    <worksheetSource ref="B5:M278" sheet="Por FONDO"/>
  </cacheSource>
  <cacheFields count="15">
    <cacheField name="date" numFmtId="165">
      <sharedItems containsSemiMixedTypes="0" containsNonDate="0" containsDate="1" containsString="0" minDate="2003-07-31T00:00:00" maxDate="2026-04-01T00:00:00" count="273">
        <d v="2003-07-31T00:00:00"/>
        <d v="2003-08-31T00:00:00"/>
        <d v="2003-09-30T00:00:00"/>
        <d v="2003-10-31T00:00:00"/>
        <d v="2003-11-30T00:00:00"/>
        <d v="2003-12-31T00:00:00"/>
        <d v="2004-01-31T00:00:00"/>
        <d v="2004-02-29T00:00:00"/>
        <d v="2004-03-31T00:00:00"/>
        <d v="2004-04-30T00:00:00"/>
        <d v="2004-05-31T00:00:00"/>
        <d v="2004-06-30T00:00:00"/>
        <d v="2004-07-31T00:00:00"/>
        <d v="2004-08-31T00:00:00"/>
        <d v="2004-09-30T00:00:00"/>
        <d v="2004-10-31T00:00:00"/>
        <d v="2004-11-30T00:00:00"/>
        <d v="2004-12-31T00:00:00"/>
        <d v="2005-01-31T00:00:00"/>
        <d v="2005-02-28T00:00:00"/>
        <d v="2005-03-31T00:00:00"/>
        <d v="2005-04-30T00:00:00"/>
        <d v="2005-05-31T00:00:00"/>
        <d v="2005-06-30T00:00:00"/>
        <d v="2005-07-31T00:00:00"/>
        <d v="2005-08-31T00:00:00"/>
        <d v="2005-09-30T00:00:00"/>
        <d v="2005-10-31T00:00:00"/>
        <d v="2005-11-30T00:00:00"/>
        <d v="2005-12-31T00:00:00"/>
        <d v="2006-01-31T00:00:00"/>
        <d v="2006-02-28T00:00:00"/>
        <d v="2006-03-31T00:00:00"/>
        <d v="2006-04-30T00:00:00"/>
        <d v="2006-05-31T00:00:00"/>
        <d v="2006-06-30T00:00:00"/>
        <d v="2006-07-31T00:00:00"/>
        <d v="2006-08-31T00:00:00"/>
        <d v="2006-09-30T00:00:00"/>
        <d v="2006-10-31T00:00:00"/>
        <d v="2006-11-30T00:00:00"/>
        <d v="2006-12-31T00:00:00"/>
        <d v="2007-01-31T00:00:00"/>
        <d v="2007-02-28T00:00:00"/>
        <d v="2007-03-31T00:00:00"/>
        <d v="2007-04-30T00:00:00"/>
        <d v="2007-05-31T00:00:00"/>
        <d v="2007-06-30T00:00:00"/>
        <d v="2007-07-31T00:00:00"/>
        <d v="2007-08-31T00:00:00"/>
        <d v="2007-09-30T00:00:00"/>
        <d v="2007-10-31T00:00:00"/>
        <d v="2007-11-30T00:00:00"/>
        <d v="2007-12-31T00:00:00"/>
        <d v="2008-01-31T00:00:00"/>
        <d v="2008-02-29T00:00:00"/>
        <d v="2008-03-31T00:00:00"/>
        <d v="2008-04-30T00:00:00"/>
        <d v="2008-05-31T00:00:00"/>
        <d v="2008-06-30T00:00:00"/>
        <d v="2008-07-31T00:00:00"/>
        <d v="2008-08-31T00:00:00"/>
        <d v="2008-09-30T00:00:00"/>
        <d v="2008-10-31T00:00:00"/>
        <d v="2008-11-30T00:00:00"/>
        <d v="2008-12-31T00:00:00"/>
        <d v="2009-01-31T00:00:00"/>
        <d v="2009-02-28T00:00:00"/>
        <d v="2009-03-31T00:00:00"/>
        <d v="2009-04-30T00:00:00"/>
        <d v="2009-05-31T00:00:00"/>
        <d v="2009-06-30T00:00:00"/>
        <d v="2009-07-31T00:00:00"/>
        <d v="2009-08-31T00:00:00"/>
        <d v="2009-09-30T00:00:00"/>
        <d v="2009-10-31T00:00:00"/>
        <d v="2009-11-30T00:00:00"/>
        <d v="2009-12-31T00:00:00"/>
        <d v="2010-01-31T00:00:00"/>
        <d v="2010-02-28T00:00:00"/>
        <d v="2010-03-31T00:00:00"/>
        <d v="2010-04-30T00:00:00"/>
        <d v="2010-05-31T00:00:00"/>
        <d v="2010-06-30T00:00:00"/>
        <d v="2010-07-31T00:00:00"/>
        <d v="2010-08-31T00:00:00"/>
        <d v="2010-09-30T00:00:00"/>
        <d v="2010-10-31T00:00:00"/>
        <d v="2010-11-30T00:00:00"/>
        <d v="2010-12-31T00:00:00"/>
        <d v="2011-01-31T00:00:00"/>
        <d v="2011-02-28T00:00:00"/>
        <d v="2011-03-31T00:00:00"/>
        <d v="2011-04-30T00:00:00"/>
        <d v="2011-05-31T00:00:00"/>
        <d v="2011-06-30T00:00:00"/>
        <d v="2011-07-31T00:00:00"/>
        <d v="2011-08-31T00:00:00"/>
        <d v="2011-09-30T00:00:00"/>
        <d v="2011-10-31T00:00:00"/>
        <d v="2011-11-30T00:00:00"/>
        <d v="2011-12-31T00:00:00"/>
        <d v="2012-01-31T00:00:00"/>
        <d v="2012-02-29T00:00:00"/>
        <d v="2012-03-31T00:00:00"/>
        <d v="2012-04-30T00:00:00"/>
        <d v="2012-05-31T00:00:00"/>
        <d v="2012-06-30T00:00:00"/>
        <d v="2012-07-31T00:00:00"/>
        <d v="2012-08-31T00:00:00"/>
        <d v="2012-09-30T00:00:00"/>
        <d v="2012-10-31T00:00:00"/>
        <d v="2012-11-30T00:00:00"/>
        <d v="2012-12-31T00:00:00"/>
        <d v="2013-01-31T00:00:00"/>
        <d v="2013-02-28T00:00:00"/>
        <d v="2013-03-31T00:00:00"/>
        <d v="2013-04-30T00:00:00"/>
        <d v="2013-05-31T00:00:00"/>
        <d v="2013-06-30T00:00:00"/>
        <d v="2013-07-31T00:00:00"/>
        <d v="2013-08-31T00:00:00"/>
        <d v="2013-09-30T00:00:00"/>
        <d v="2013-10-31T00:00:00"/>
        <d v="2013-11-30T00:00:00"/>
        <d v="2013-12-31T00:00:00"/>
        <d v="2014-01-31T00:00:00"/>
        <d v="2014-02-28T00:00:00"/>
        <d v="2014-03-31T00:00:00"/>
        <d v="2014-04-30T00:00:00"/>
        <d v="2014-05-31T00:00:00"/>
        <d v="2014-06-30T00:00:00"/>
        <d v="2014-07-31T00:00:00"/>
        <d v="2014-08-31T00:00:00"/>
        <d v="2014-09-30T00:00:00"/>
        <d v="2014-10-31T00:00:00"/>
        <d v="2014-11-30T00:00:00"/>
        <d v="2014-12-31T00:00:00"/>
        <d v="2015-01-31T00:00:00"/>
        <d v="2015-02-28T00:00:00"/>
        <d v="2015-03-31T00:00:00"/>
        <d v="2015-04-30T00:00:00"/>
        <d v="2015-05-31T00:00:00"/>
        <d v="2015-06-30T00:00:00"/>
        <d v="2015-07-31T00:00:00"/>
        <d v="2015-08-31T00:00:00"/>
        <d v="2015-09-30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  <d v="2026-03-31T00:00:00"/>
      </sharedItems>
      <fieldGroup par="14"/>
    </cacheField>
    <cacheField name="Atlántico" numFmtId="0">
      <sharedItems containsSemiMixedTypes="0" containsString="0" containsNumber="1" minValue="0" maxValue="0.15156122800612359"/>
    </cacheField>
    <cacheField name="Camino1" numFmtId="0">
      <sharedItems containsSemiMixedTypes="0" containsString="0" containsNumber="1" minValue="0" maxValue="0.26621535901815202"/>
    </cacheField>
    <cacheField name="Caribalico2" numFmtId="0">
      <sharedItems containsSemiMixedTypes="0" containsString="0" containsNumber="1" minValue="0" maxValue="0.25956978195582803"/>
    </cacheField>
    <cacheField name="Crecer" numFmtId="10">
      <sharedItems containsSemiMixedTypes="0" containsString="0" containsNumber="1" minValue="4.6497318426018897E-2" maxValue="0.26079999999999998"/>
    </cacheField>
    <cacheField name="JMMB-BDI" numFmtId="0">
      <sharedItems containsSemiMixedTypes="0" containsString="0" containsNumber="1" minValue="0" maxValue="0.13026840098833303"/>
    </cacheField>
    <cacheField name="León3" numFmtId="0">
      <sharedItems containsSemiMixedTypes="0" containsString="0" containsNumber="1" minValue="0" maxValue="0.26753977440161325"/>
    </cacheField>
    <cacheField name="Popular" numFmtId="10">
      <sharedItems containsSemiMixedTypes="0" containsString="0" containsNumber="1" minValue="4.5643097388447851E-2" maxValue="0.25359999999999999"/>
    </cacheField>
    <cacheField name="Porvenir4" numFmtId="0">
      <sharedItems containsSemiMixedTypes="0" containsString="0" containsNumber="1" minValue="0" maxValue="0.25729999999999997"/>
    </cacheField>
    <cacheField name="Reservas" numFmtId="10">
      <sharedItems containsSemiMixedTypes="0" containsString="0" containsNumber="1" minValue="5.3646484224963764E-2" maxValue="0.27269402651581931"/>
    </cacheField>
    <cacheField name="Romana" numFmtId="10">
      <sharedItems containsSemiMixedTypes="0" containsString="0" containsNumber="1" minValue="4.8697953538965999E-2" maxValue="0.25891571896309795"/>
    </cacheField>
    <cacheField name="Siembra" numFmtId="10">
      <sharedItems containsSemiMixedTypes="0" containsString="0" containsNumber="1" minValue="4.3540561609250572E-2" maxValue="0.26530226052637301"/>
    </cacheField>
    <cacheField name="Months (date)" numFmtId="0" databaseField="0">
      <fieldGroup base="0">
        <rangePr groupBy="months" startDate="2003-07-31T00:00:00" endDate="2026-04-01T00:00:00"/>
        <groupItems count="14">
          <s v="&lt;7/31/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6"/>
        </groupItems>
      </fieldGroup>
    </cacheField>
    <cacheField name="Quarters (date)" numFmtId="0" databaseField="0">
      <fieldGroup base="0">
        <rangePr groupBy="quarters" startDate="2003-07-31T00:00:00" endDate="2026-04-01T00:00:00"/>
        <groupItems count="6">
          <s v="&lt;7/31/2003"/>
          <s v="Qtr1"/>
          <s v="Qtr2"/>
          <s v="Qtr3"/>
          <s v="Qtr4"/>
          <s v="&gt;4/1/2026"/>
        </groupItems>
      </fieldGroup>
    </cacheField>
    <cacheField name="Years (date)" numFmtId="0" databaseField="0">
      <fieldGroup base="0">
        <rangePr groupBy="years" startDate="2003-07-31T00:00:00" endDate="2026-04-01T00:00:00"/>
        <groupItems count="26">
          <s v="&lt;7/31/2003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4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x v="0"/>
    <n v="0"/>
    <n v="0.19734878970238157"/>
    <n v="0.17940438130530123"/>
    <n v="0.20437699942895882"/>
    <n v="0"/>
    <n v="0.18998822298174134"/>
    <n v="0.18317387679135155"/>
    <n v="0.21343964501565327"/>
    <n v="0.15842202715616738"/>
    <n v="0.15733905476742738"/>
    <n v="0.22337543343733657"/>
  </r>
  <r>
    <x v="1"/>
    <n v="0"/>
    <n v="0.21085339841887785"/>
    <n v="0.1851610379908093"/>
    <n v="0.2134228263168243"/>
    <n v="0"/>
    <n v="0.20910687630768932"/>
    <n v="0.19865162463470276"/>
    <n v="0.22105714461500336"/>
    <n v="0.18726402515706164"/>
    <n v="0.18152790324246504"/>
    <n v="0.22971143466123145"/>
  </r>
  <r>
    <x v="2"/>
    <n v="0"/>
    <n v="0.23159375243048186"/>
    <n v="0.20873258563799091"/>
    <n v="0.23149316656565788"/>
    <n v="0"/>
    <n v="0.22765888012242552"/>
    <n v="0.22282750249767513"/>
    <n v="0.2403187114043368"/>
    <n v="0.21117218822604444"/>
    <n v="0.21100477296726949"/>
    <n v="0.2455481284700789"/>
  </r>
  <r>
    <x v="3"/>
    <n v="0"/>
    <n v="0.23776924426777279"/>
    <n v="0.21510568230944505"/>
    <n v="0.23660697638167205"/>
    <n v="0"/>
    <n v="0.23317655470224685"/>
    <n v="0.23074138877379702"/>
    <n v="0.24529526846930216"/>
    <n v="0.22381536113605449"/>
    <n v="0.22048358262670398"/>
    <n v="0.24904627429779147"/>
  </r>
  <r>
    <x v="4"/>
    <n v="0"/>
    <n v="0.2371187849451506"/>
    <n v="0.21487206077068333"/>
    <n v="0.23520806963225405"/>
    <n v="0"/>
    <n v="0.23032953740025452"/>
    <n v="0.23554082418651179"/>
    <n v="0.24236088525035715"/>
    <n v="0.22408360289327511"/>
    <n v="0.21962941524799562"/>
    <n v="0.24683375659222784"/>
  </r>
  <r>
    <x v="5"/>
    <n v="0"/>
    <n v="0.2403795813451759"/>
    <n v="0.22086953799872466"/>
    <n v="0.2390758390955916"/>
    <n v="0"/>
    <n v="0.23402831345771635"/>
    <n v="0.23985315021984399"/>
    <n v="0.24612468620071271"/>
    <n v="0.22918044151801786"/>
    <n v="0.22443096881645608"/>
    <n v="0.25066054599217802"/>
  </r>
  <r>
    <x v="6"/>
    <n v="0"/>
    <n v="0.24054382284315068"/>
    <n v="0.22162314134414252"/>
    <n v="0.23934519921534148"/>
    <n v="0"/>
    <n v="0.23256207435177978"/>
    <n v="0.23871167246696956"/>
    <n v="0.23819891183929021"/>
    <n v="0.2279691743592327"/>
    <n v="0.22394920843883037"/>
    <n v="0.24826892574107018"/>
  </r>
  <r>
    <x v="7"/>
    <n v="0"/>
    <n v="0.23698958447224405"/>
    <n v="0.21885496463810816"/>
    <n v="0.25083849143132197"/>
    <n v="0"/>
    <n v="0.22929641525518485"/>
    <n v="0.23534620626953795"/>
    <n v="0.24717670965666105"/>
    <n v="0.2245183082907809"/>
    <n v="0.22024468173851819"/>
    <n v="0.24385266106928172"/>
  </r>
  <r>
    <x v="8"/>
    <n v="0"/>
    <n v="0.24260000000000001"/>
    <n v="0.22459999999999999"/>
    <n v="0.25459999999999999"/>
    <n v="0"/>
    <n v="0.2354"/>
    <n v="0.24129999999999999"/>
    <n v="0.25019999999999998"/>
    <n v="0.23089999999999999"/>
    <n v="0.2266"/>
    <n v="0.2492"/>
  </r>
  <r>
    <x v="9"/>
    <n v="0"/>
    <n v="0.2445"/>
    <n v="0.2261"/>
    <n v="0.25629999999999997"/>
    <n v="0"/>
    <n v="0.23769999999999999"/>
    <n v="0.24540000000000001"/>
    <n v="0.25280000000000002"/>
    <n v="0.23430000000000001"/>
    <n v="0.22950000000000001"/>
    <n v="0.25130000000000002"/>
  </r>
  <r>
    <x v="10"/>
    <n v="0"/>
    <n v="0.24859999999999999"/>
    <n v="0.23"/>
    <n v="0.26079999999999998"/>
    <n v="0"/>
    <n v="0.2424"/>
    <n v="0.25359999999999999"/>
    <n v="0.25729999999999997"/>
    <n v="0.24"/>
    <n v="0.23569999999999999"/>
    <n v="0.25800000000000001"/>
  </r>
  <r>
    <x v="11"/>
    <n v="0"/>
    <n v="0.24943927661895682"/>
    <n v="0.23157061194717743"/>
    <n v="0.25640350450218641"/>
    <n v="0"/>
    <n v="0.24417411856634486"/>
    <n v="0.25161835941955646"/>
    <n v="0.25369099954350771"/>
    <n v="0.24219268111301751"/>
    <n v="0.23786225886181467"/>
    <n v="0.25939562536518013"/>
  </r>
  <r>
    <x v="12"/>
    <n v="0"/>
    <n v="0.25708712502840098"/>
    <n v="0.23947095495242701"/>
    <n v="0.25931763642996303"/>
    <n v="0"/>
    <n v="0.25254214912046002"/>
    <n v="0.25121985790829798"/>
    <n v="0.256631236517185"/>
    <n v="0.25320681007691698"/>
    <n v="0.24748988251309301"/>
    <n v="0.26530226052637301"/>
  </r>
  <r>
    <x v="13"/>
    <n v="0"/>
    <n v="0.26305129050709802"/>
    <n v="0.246883437035989"/>
    <n v="0.24850692793639101"/>
    <n v="0"/>
    <n v="0.25792354408342499"/>
    <n v="0.219555805682001"/>
    <n v="0.24571966189955"/>
    <n v="0.26009507263938902"/>
    <n v="0.254042453533327"/>
    <n v="0.250519918870164"/>
  </r>
  <r>
    <x v="14"/>
    <n v="0"/>
    <n v="0.262979003155066"/>
    <n v="0.24738624107961699"/>
    <n v="0.23116061056479301"/>
    <n v="0"/>
    <n v="0.25771506890099499"/>
    <n v="0.20968937361775999"/>
    <n v="0.22856000327328799"/>
    <n v="0.26127063412120599"/>
    <n v="0.25131995584339201"/>
    <n v="0.23928237264577801"/>
  </r>
  <r>
    <x v="15"/>
    <n v="0"/>
    <n v="0.26219999999999999"/>
    <n v="0.24809999999999999"/>
    <n v="0.22170000000000001"/>
    <n v="0"/>
    <n v="0.25679999999999997"/>
    <n v="0.21110000000000001"/>
    <n v="0"/>
    <n v="0.26029999999999998"/>
    <n v="0.249"/>
    <n v="0.23039999999999999"/>
  </r>
  <r>
    <x v="16"/>
    <n v="0"/>
    <n v="0.26590000000000003"/>
    <n v="0.25319999999999998"/>
    <n v="0.2142"/>
    <n v="0"/>
    <n v="0.26140000000000002"/>
    <n v="0.2036"/>
    <n v="0"/>
    <n v="0.26519999999999999"/>
    <n v="0.25330000000000003"/>
    <n v="0.22159999999999999"/>
  </r>
  <r>
    <x v="17"/>
    <n v="0"/>
    <n v="0.26621535901815202"/>
    <n v="0.25397130995666001"/>
    <n v="0.22093490586317299"/>
    <n v="0"/>
    <n v="0.262396104186152"/>
    <n v="0.219090579050879"/>
    <n v="0"/>
    <n v="0.26633399667375501"/>
    <n v="0.25398737189781601"/>
    <n v="0.22283276392020801"/>
  </r>
  <r>
    <x v="18"/>
    <n v="0"/>
    <n v="0"/>
    <n v="0.25690000000000002"/>
    <n v="0.22550000000000001"/>
    <n v="0"/>
    <n v="0.2656"/>
    <n v="0.22539999999999999"/>
    <n v="0"/>
    <n v="0.26989999999999997"/>
    <n v="0.25659999999999999"/>
    <n v="0.2268"/>
  </r>
  <r>
    <x v="19"/>
    <n v="0"/>
    <n v="0"/>
    <n v="0.25956978195582803"/>
    <n v="0.21710454492203568"/>
    <n v="0"/>
    <n v="0.26753977440161325"/>
    <n v="0.22673935319639368"/>
    <n v="0"/>
    <n v="0.27269402651581931"/>
    <n v="0.25891571896309795"/>
    <n v="0.22860938583891374"/>
  </r>
  <r>
    <x v="20"/>
    <n v="0"/>
    <n v="0"/>
    <n v="0.25731270089256175"/>
    <n v="0.21787009517677003"/>
    <n v="0"/>
    <n v="0.26423677553971547"/>
    <n v="0.22348480554447381"/>
    <n v="0"/>
    <n v="0.27022112885944449"/>
    <n v="0.25496326412876869"/>
    <n v="0.22547487309600522"/>
  </r>
  <r>
    <x v="21"/>
    <n v="0"/>
    <n v="0"/>
    <n v="0.25242024457660728"/>
    <n v="0.21288082252681798"/>
    <n v="0"/>
    <n v="0.25722327383318655"/>
    <n v="0.21484561116641832"/>
    <n v="0"/>
    <n v="0.26458486267885473"/>
    <n v="0.24643621714534825"/>
    <n v="0.21862256256895862"/>
  </r>
  <r>
    <x v="22"/>
    <n v="0"/>
    <n v="0"/>
    <n v="0.24395757765465054"/>
    <n v="0.20337596821282378"/>
    <n v="0"/>
    <n v="0.24643968509975078"/>
    <n v="0.20094462994068985"/>
    <n v="0"/>
    <n v="0.2544886093194727"/>
    <n v="0.23269088041851282"/>
    <n v="0.20587090468085534"/>
  </r>
  <r>
    <x v="23"/>
    <n v="0"/>
    <n v="0"/>
    <n v="0.22161304320050726"/>
    <n v="0.19627107395253707"/>
    <n v="0"/>
    <n v="0.22037264613563257"/>
    <n v="0.19219498658971901"/>
    <n v="0"/>
    <n v="0.22244808847033704"/>
    <n v="0.21790827966836734"/>
    <n v="0.19262591034659748"/>
  </r>
  <r>
    <x v="24"/>
    <n v="0"/>
    <n v="0"/>
    <n v="0.20616888392822719"/>
    <n v="0.18794135657268954"/>
    <n v="0"/>
    <n v="0.20526204459646435"/>
    <n v="0.18779126391672782"/>
    <n v="0"/>
    <n v="0.20594952181761816"/>
    <n v="0.20406177988636132"/>
    <n v="0.17928097486957939"/>
  </r>
  <r>
    <x v="25"/>
    <n v="0"/>
    <n v="0"/>
    <n v="0.19312288227436958"/>
    <n v="0.19143766607324708"/>
    <n v="0"/>
    <n v="0.19204520487386012"/>
    <n v="0.2118869267951522"/>
    <n v="0"/>
    <n v="0.19316463748080159"/>
    <n v="0.19093459977937699"/>
    <n v="0.1843683537156966"/>
  </r>
  <r>
    <x v="26"/>
    <n v="0"/>
    <n v="0"/>
    <n v="0.18090897843588749"/>
    <n v="0.19659705623903379"/>
    <n v="0"/>
    <n v="0.18039015527517877"/>
    <n v="0.20954099307742305"/>
    <n v="0"/>
    <n v="0.18146073787696282"/>
    <n v="0.18127811538421354"/>
    <n v="0.18406676566378466"/>
  </r>
  <r>
    <x v="27"/>
    <n v="0"/>
    <n v="0"/>
    <n v="0.1733332938644141"/>
    <n v="0.19555692136560876"/>
    <n v="0"/>
    <n v="0.17468251845408786"/>
    <n v="0.19750380254710898"/>
    <n v="0"/>
    <n v="0.17409996016517718"/>
    <n v="0.1767677359261397"/>
    <n v="0.18163454323728304"/>
  </r>
  <r>
    <x v="28"/>
    <n v="0"/>
    <n v="0"/>
    <n v="0.1651371015046148"/>
    <n v="0.19532666978772451"/>
    <n v="0"/>
    <n v="0.16622928064513975"/>
    <n v="0.19541438768557096"/>
    <n v="0"/>
    <n v="0.16536593395136645"/>
    <n v="0.16719845988282267"/>
    <n v="0.18172505578935508"/>
  </r>
  <r>
    <x v="29"/>
    <n v="0"/>
    <n v="0"/>
    <n v="0.16422548553048366"/>
    <n v="0.17889904206539331"/>
    <n v="0"/>
    <n v="0.16430841081119207"/>
    <n v="0.1701651173588079"/>
    <n v="0"/>
    <n v="0.16372280683513729"/>
    <n v="0.1649600698854701"/>
    <n v="0.17016681497133868"/>
  </r>
  <r>
    <x v="30"/>
    <n v="0"/>
    <n v="0"/>
    <n v="0.1550371398775805"/>
    <n v="0.16703375482165028"/>
    <n v="0"/>
    <n v="0.15520908717333426"/>
    <n v="0.1573822587135667"/>
    <n v="0"/>
    <n v="0.15422474133159847"/>
    <n v="0.15663804114006874"/>
    <n v="0.15984290094199349"/>
  </r>
  <r>
    <x v="31"/>
    <n v="0"/>
    <n v="0"/>
    <n v="0.14701590855246893"/>
    <n v="0.15949046934250966"/>
    <n v="0"/>
    <n v="0.1474151370636243"/>
    <n v="0.1496801901539857"/>
    <n v="0"/>
    <n v="0.14603223608837301"/>
    <n v="0.14951495576269735"/>
    <n v="0.15174510621048243"/>
  </r>
  <r>
    <x v="32"/>
    <n v="0"/>
    <n v="0"/>
    <n v="0.13934996663799604"/>
    <n v="0.14663476231204808"/>
    <n v="0"/>
    <n v="0.13896403682553893"/>
    <n v="0.13947241472359106"/>
    <n v="0"/>
    <n v="0.13629778455930919"/>
    <n v="0.14265097955171235"/>
    <n v="0.14282306352841112"/>
  </r>
  <r>
    <x v="33"/>
    <n v="0"/>
    <n v="0"/>
    <n v="0.134180730480983"/>
    <n v="0.13803967093597502"/>
    <n v="0"/>
    <n v="0.13375490783763877"/>
    <n v="0.13277550939274541"/>
    <n v="0"/>
    <n v="0.12869463652120494"/>
    <n v="0.13944932652506647"/>
    <n v="0.13677026635827216"/>
  </r>
  <r>
    <x v="34"/>
    <n v="0"/>
    <n v="0"/>
    <n v="0.13228934497262768"/>
    <n v="0.13373537486941345"/>
    <n v="0"/>
    <n v="0.13225221762228578"/>
    <n v="0.12955513165398003"/>
    <n v="0"/>
    <n v="0.12513121705212593"/>
    <n v="0.14049131670651738"/>
    <n v="0.13466387757380538"/>
  </r>
  <r>
    <x v="35"/>
    <n v="0"/>
    <n v="0"/>
    <n v="0.14161074276826136"/>
    <n v="0.13215138910682267"/>
    <n v="0"/>
    <n v="0.14412325737646614"/>
    <n v="0.12773870351843186"/>
    <n v="0"/>
    <n v="0.14208600813122629"/>
    <n v="0.14236045611470671"/>
    <n v="0.13397553038581278"/>
  </r>
  <r>
    <x v="36"/>
    <n v="0"/>
    <n v="0"/>
    <n v="0.14475591728537629"/>
    <n v="0.13159883921169779"/>
    <n v="0"/>
    <n v="0.14611047901596663"/>
    <n v="0.12777546642333881"/>
    <n v="0"/>
    <n v="0.14501466492337878"/>
    <n v="0.14404698003925787"/>
    <n v="0.13427926848922467"/>
  </r>
  <r>
    <x v="37"/>
    <n v="0"/>
    <n v="0"/>
    <n v="0.14378300750430562"/>
    <n v="0.1292991794709113"/>
    <n v="0"/>
    <n v="0.14489248225507478"/>
    <n v="0.12602000963077287"/>
    <n v="0"/>
    <n v="0.14310269732181435"/>
    <n v="0.14323277975395654"/>
    <n v="0.13280169924293994"/>
  </r>
  <r>
    <x v="38"/>
    <n v="0"/>
    <n v="0"/>
    <n v="0.14171685795265265"/>
    <n v="0.12592644267339792"/>
    <n v="0"/>
    <n v="0.13836426063320695"/>
    <n v="0.12225645331089785"/>
    <n v="0"/>
    <n v="0.13904640471941221"/>
    <n v="0.14033666649156751"/>
    <n v="0.12815145849652065"/>
  </r>
  <r>
    <x v="39"/>
    <n v="0"/>
    <n v="0"/>
    <n v="0.13790578495712658"/>
    <n v="0.12462278088570657"/>
    <n v="0"/>
    <n v="0.13747666864194885"/>
    <n v="0.1206001879958125"/>
    <n v="0"/>
    <n v="0.13491841732130117"/>
    <n v="0.1353963011045749"/>
    <n v="0.126702256296233"/>
  </r>
  <r>
    <x v="40"/>
    <n v="0"/>
    <n v="0"/>
    <n v="0.13122848878595006"/>
    <n v="0.12083079986631873"/>
    <n v="0"/>
    <n v="0.13075581210726184"/>
    <n v="0.11636508075152661"/>
    <n v="0"/>
    <n v="0.12776111901563714"/>
    <n v="0.12986885641730184"/>
    <n v="0.12288334867458417"/>
  </r>
  <r>
    <x v="41"/>
    <n v="0"/>
    <n v="0"/>
    <n v="0.11778811860458926"/>
    <n v="0.11618191763578523"/>
    <n v="0"/>
    <n v="0.11801834431899882"/>
    <n v="0.11169757770915666"/>
    <n v="0"/>
    <n v="0.11441505130789409"/>
    <n v="0.11774768321326"/>
    <n v="0.11784380387111139"/>
  </r>
  <r>
    <x v="42"/>
    <n v="0"/>
    <n v="0"/>
    <n v="0.11339270470629327"/>
    <n v="0.11161257864170926"/>
    <n v="0"/>
    <n v="0.11373972829346934"/>
    <n v="0.10728709594319884"/>
    <n v="0"/>
    <n v="0.11014226831172567"/>
    <n v="0.1131262361642138"/>
    <n v="0.11303980992671893"/>
  </r>
  <r>
    <x v="43"/>
    <n v="0"/>
    <n v="0"/>
    <n v="0.10908475349942549"/>
    <n v="0.10740329071774246"/>
    <n v="0"/>
    <n v="0.10951926529698142"/>
    <n v="0.10310436429303005"/>
    <n v="0"/>
    <n v="0.10612247978229504"/>
    <n v="0.10867552586404529"/>
    <n v="0.10867561034478701"/>
  </r>
  <r>
    <x v="44"/>
    <n v="0"/>
    <n v="0"/>
    <n v="0.10441846760845962"/>
    <n v="0.10597359572321086"/>
    <n v="0"/>
    <n v="0.10549945518241222"/>
    <n v="0.10047887494875729"/>
    <n v="0"/>
    <n v="0.10267517270689887"/>
    <n v="0.10402676078356698"/>
    <n v="0.10452764977464302"/>
  </r>
  <r>
    <x v="45"/>
    <n v="0"/>
    <n v="0"/>
    <n v="0.10074646044162726"/>
    <n v="0.10349977752754637"/>
    <n v="0"/>
    <n v="0.10232529570219938"/>
    <n v="9.8709140419463312E-2"/>
    <n v="0"/>
    <n v="0.10019012743213329"/>
    <n v="0.10035616686379134"/>
    <n v="0.10134291839181175"/>
  </r>
  <r>
    <x v="46"/>
    <n v="0"/>
    <n v="0"/>
    <n v="0"/>
    <n v="0.10094645853351845"/>
    <n v="0"/>
    <n v="9.8808037871672236E-2"/>
    <n v="9.6807162592707177E-2"/>
    <n v="0"/>
    <n v="9.7479823560894227E-2"/>
    <n v="9.6472001285855757E-2"/>
    <n v="9.8104692654148451E-2"/>
  </r>
  <r>
    <x v="47"/>
    <n v="0"/>
    <n v="0"/>
    <n v="0"/>
    <n v="9.7157971256023531E-2"/>
    <n v="0"/>
    <n v="0"/>
    <n v="9.3164521205437043E-2"/>
    <n v="0"/>
    <n v="9.3482062837821456E-2"/>
    <n v="9.2327592842274195E-2"/>
    <n v="9.427950604740222E-2"/>
  </r>
  <r>
    <x v="48"/>
    <n v="0"/>
    <n v="0"/>
    <n v="0"/>
    <n v="9.4090336128113142E-2"/>
    <n v="0"/>
    <n v="0"/>
    <n v="8.9968375040617263E-2"/>
    <n v="0"/>
    <n v="9.0123183111685781E-2"/>
    <n v="8.9118611488808952E-2"/>
    <n v="9.1271988690811087E-2"/>
  </r>
  <r>
    <x v="49"/>
    <n v="0"/>
    <n v="0"/>
    <n v="0"/>
    <n v="9.1320958867805016E-2"/>
    <n v="0"/>
    <n v="0"/>
    <n v="8.7048267094625972E-2"/>
    <n v="0"/>
    <n v="8.7184701721097144E-2"/>
    <n v="8.6435332378299604E-2"/>
    <n v="8.8589237748883942E-2"/>
  </r>
  <r>
    <x v="50"/>
    <n v="0"/>
    <n v="0"/>
    <n v="0"/>
    <n v="8.922926269673305E-2"/>
    <n v="0"/>
    <n v="0"/>
    <n v="8.5661076806598194E-2"/>
    <n v="0"/>
    <n v="8.42251649669883E-2"/>
    <n v="8.080062649631635E-2"/>
    <n v="8.6927940567298467E-2"/>
  </r>
  <r>
    <x v="51"/>
    <n v="0"/>
    <n v="0"/>
    <n v="0"/>
    <n v="8.7973985540240801E-2"/>
    <n v="0"/>
    <n v="0"/>
    <n v="8.5065885622280998E-2"/>
    <n v="0"/>
    <n v="8.3330353411559907E-2"/>
    <n v="7.9741564752388472E-2"/>
    <n v="8.5904741726818834E-2"/>
  </r>
  <r>
    <x v="52"/>
    <n v="0"/>
    <n v="0"/>
    <n v="0"/>
    <n v="8.7124049287607794E-2"/>
    <n v="0"/>
    <n v="0"/>
    <n v="8.4506499073803601E-2"/>
    <n v="0"/>
    <n v="8.291947412827616E-2"/>
    <n v="7.9880375825350569E-2"/>
    <n v="8.5153305715531355E-2"/>
  </r>
  <r>
    <x v="53"/>
    <n v="0"/>
    <n v="0"/>
    <n v="0"/>
    <n v="8.6807361915582207E-2"/>
    <n v="0"/>
    <n v="0"/>
    <n v="8.4366844752335801E-2"/>
    <n v="0"/>
    <n v="8.2792931058556701E-2"/>
    <n v="7.9484293541368697E-2"/>
    <n v="8.4953795519465705E-2"/>
  </r>
  <r>
    <x v="54"/>
    <n v="0"/>
    <n v="0"/>
    <n v="0"/>
    <n v="8.6282989179596856E-2"/>
    <n v="0"/>
    <n v="0"/>
    <n v="8.364246932022068E-2"/>
    <n v="0"/>
    <n v="8.2205166200947519E-2"/>
    <n v="7.880394186130335E-2"/>
    <n v="8.4138496881322133E-2"/>
  </r>
  <r>
    <x v="55"/>
    <n v="0"/>
    <n v="0"/>
    <n v="0"/>
    <n v="8.6316517711398935E-2"/>
    <n v="0"/>
    <n v="0"/>
    <n v="8.3940918982995813E-2"/>
    <n v="0"/>
    <n v="8.1704448937700125E-2"/>
    <n v="7.8737443749941738E-2"/>
    <n v="8.4393928982313238E-2"/>
  </r>
  <r>
    <x v="56"/>
    <n v="0"/>
    <n v="0"/>
    <n v="0"/>
    <n v="8.48929769598879E-2"/>
    <n v="0"/>
    <n v="0"/>
    <n v="8.4449076883177807E-2"/>
    <n v="0"/>
    <n v="8.2210504008082899E-2"/>
    <n v="7.9306545394167705E-2"/>
    <n v="8.4652201138184294E-2"/>
  </r>
  <r>
    <x v="57"/>
    <n v="0"/>
    <n v="0"/>
    <n v="0"/>
    <n v="8.5698619983389998E-2"/>
    <n v="0"/>
    <n v="0"/>
    <n v="8.5486404987881168E-2"/>
    <n v="0"/>
    <n v="8.2870258470521888E-2"/>
    <n v="8.0121269132642295E-2"/>
    <n v="8.5336150913929418E-2"/>
  </r>
  <r>
    <x v="58"/>
    <n v="0"/>
    <n v="0"/>
    <n v="0"/>
    <n v="8.5470316802154195E-2"/>
    <n v="0"/>
    <n v="0"/>
    <n v="8.5601711656881893E-2"/>
    <n v="0"/>
    <n v="8.4585926997070404E-2"/>
    <n v="7.9453963663087795E-2"/>
    <n v="8.5660064085061494E-2"/>
  </r>
  <r>
    <x v="59"/>
    <n v="0"/>
    <n v="0"/>
    <n v="0"/>
    <n v="8.6628932572076198E-2"/>
    <n v="0"/>
    <n v="0"/>
    <n v="8.7548065734859695E-2"/>
    <n v="0"/>
    <n v="8.5759275749480099E-2"/>
    <n v="7.9905291712295295E-2"/>
    <n v="8.6407261353362394E-2"/>
  </r>
  <r>
    <x v="60"/>
    <n v="0"/>
    <n v="0"/>
    <n v="0"/>
    <n v="8.9599999999999999E-2"/>
    <n v="0"/>
    <n v="0"/>
    <n v="9.1899999999999996E-2"/>
    <n v="0"/>
    <n v="9.0499999999999997E-2"/>
    <n v="8.4199999999999997E-2"/>
    <n v="9.1300000000000006E-2"/>
  </r>
  <r>
    <x v="61"/>
    <n v="0"/>
    <n v="0"/>
    <n v="0"/>
    <n v="9.2600000000000002E-2"/>
    <n v="0"/>
    <n v="0"/>
    <n v="9.6299999999999997E-2"/>
    <n v="0"/>
    <n v="9.3799999999999994E-2"/>
    <n v="8.6300000000000002E-2"/>
    <n v="9.4899999999999998E-2"/>
  </r>
  <r>
    <x v="62"/>
    <n v="0"/>
    <n v="0"/>
    <n v="0"/>
    <n v="9.8599999999999993E-2"/>
    <n v="0"/>
    <n v="0"/>
    <n v="0.1028"/>
    <n v="0"/>
    <n v="0.1013"/>
    <n v="9.5600000000000004E-2"/>
    <n v="0.1009"/>
  </r>
  <r>
    <x v="63"/>
    <n v="0"/>
    <n v="0"/>
    <n v="0"/>
    <n v="0.1036"/>
    <n v="0"/>
    <n v="0"/>
    <n v="0.10829999999999999"/>
    <n v="0"/>
    <n v="0.10639999999999999"/>
    <n v="0.10100000000000001"/>
    <n v="0.1062"/>
  </r>
  <r>
    <x v="64"/>
    <n v="0"/>
    <n v="0"/>
    <n v="0"/>
    <n v="0.10879999999999999"/>
    <n v="0"/>
    <n v="0"/>
    <n v="0.1148"/>
    <n v="0"/>
    <n v="0.1147"/>
    <n v="0.1032"/>
    <n v="0.1139"/>
  </r>
  <r>
    <x v="65"/>
    <n v="0"/>
    <n v="0"/>
    <n v="0"/>
    <n v="0.11624894376727468"/>
    <n v="0"/>
    <n v="0"/>
    <n v="0.12280725393518033"/>
    <n v="0"/>
    <n v="0.12243683374122183"/>
    <n v="0.10964297981235749"/>
    <n v="0.12164469393616774"/>
  </r>
  <r>
    <x v="66"/>
    <n v="0"/>
    <n v="0"/>
    <n v="0"/>
    <n v="0.1226"/>
    <n v="0"/>
    <n v="0"/>
    <n v="0.1293"/>
    <n v="0"/>
    <n v="0.13"/>
    <n v="0.1164"/>
    <n v="0.1288"/>
  </r>
  <r>
    <x v="67"/>
    <n v="0"/>
    <n v="0"/>
    <n v="0"/>
    <n v="0.12809999999999999"/>
    <n v="0"/>
    <n v="0"/>
    <n v="0.13519999999999999"/>
    <n v="0"/>
    <n v="0.13639999999999999"/>
    <n v="0.12089999999999999"/>
    <n v="0.13500000000000001"/>
  </r>
  <r>
    <x v="68"/>
    <n v="0"/>
    <n v="0"/>
    <n v="0"/>
    <n v="0.13519999999999999"/>
    <n v="0"/>
    <n v="0"/>
    <n v="0.1421"/>
    <n v="0"/>
    <n v="0.1474"/>
    <n v="0.12790000000000001"/>
    <n v="0.14349999999999999"/>
  </r>
  <r>
    <x v="69"/>
    <n v="0"/>
    <n v="0"/>
    <n v="0"/>
    <n v="0.14080000000000001"/>
    <n v="0"/>
    <n v="0"/>
    <n v="0.1479"/>
    <n v="0"/>
    <n v="0.1535"/>
    <n v="0.1326"/>
    <n v="0.14990000000000001"/>
  </r>
  <r>
    <x v="70"/>
    <n v="0"/>
    <n v="0"/>
    <n v="0"/>
    <n v="0.1447"/>
    <n v="0"/>
    <n v="0"/>
    <n v="0.15110000000000001"/>
    <n v="0"/>
    <n v="0.15540000000000001"/>
    <n v="0.1361"/>
    <n v="0.1535"/>
  </r>
  <r>
    <x v="71"/>
    <n v="0"/>
    <n v="0"/>
    <n v="0"/>
    <n v="0.1489"/>
    <n v="0"/>
    <n v="0"/>
    <n v="0.1552"/>
    <n v="0"/>
    <n v="0.16009999999999999"/>
    <n v="0.1396"/>
    <n v="0.1598"/>
  </r>
  <r>
    <x v="72"/>
    <n v="0"/>
    <n v="0"/>
    <n v="0"/>
    <n v="0.1497"/>
    <n v="0"/>
    <n v="0"/>
    <n v="0.1542"/>
    <n v="0"/>
    <n v="0.15939999999999999"/>
    <n v="0.14050000000000001"/>
    <n v="0.15870000000000001"/>
  </r>
  <r>
    <x v="73"/>
    <n v="0"/>
    <n v="0"/>
    <n v="0"/>
    <n v="0.15079999999999999"/>
    <n v="0"/>
    <n v="0"/>
    <n v="0.15590000000000001"/>
    <n v="0"/>
    <n v="0.1603"/>
    <n v="0.14019999999999999"/>
    <n v="0.159"/>
  </r>
  <r>
    <x v="74"/>
    <n v="0"/>
    <n v="0"/>
    <n v="0"/>
    <n v="0.1487"/>
    <n v="0"/>
    <n v="0"/>
    <n v="0.15229999999999999"/>
    <n v="0"/>
    <n v="0.15840000000000001"/>
    <n v="0.13769999999999999"/>
    <n v="0.15690000000000001"/>
  </r>
  <r>
    <x v="75"/>
    <n v="0"/>
    <n v="0"/>
    <n v="0"/>
    <n v="0.1457"/>
    <n v="0"/>
    <n v="0"/>
    <n v="0.14860000000000001"/>
    <n v="0"/>
    <n v="0.15620000000000001"/>
    <n v="0.1346"/>
    <n v="0.15290000000000001"/>
  </r>
  <r>
    <x v="76"/>
    <n v="0"/>
    <n v="0"/>
    <n v="0"/>
    <n v="0.1431"/>
    <n v="0"/>
    <n v="0"/>
    <n v="0.14399999999999999"/>
    <n v="0"/>
    <n v="0.151"/>
    <n v="0.13400000000000001"/>
    <n v="0.14779999999999999"/>
  </r>
  <r>
    <x v="77"/>
    <n v="0"/>
    <n v="0"/>
    <n v="0"/>
    <n v="0.13969999999999999"/>
    <n v="0"/>
    <n v="0"/>
    <n v="0.13769999999999999"/>
    <n v="0"/>
    <n v="0.14599999999999999"/>
    <n v="0.1295"/>
    <n v="0.14219999999999999"/>
  </r>
  <r>
    <x v="78"/>
    <n v="0"/>
    <n v="0"/>
    <n v="0"/>
    <n v="0.13389999999999999"/>
    <n v="0"/>
    <n v="0"/>
    <n v="0.13159999999999999"/>
    <n v="0"/>
    <n v="0.14000000000000001"/>
    <n v="0.1232"/>
    <n v="0.13619999999999999"/>
  </r>
  <r>
    <x v="79"/>
    <n v="0"/>
    <n v="0"/>
    <n v="0"/>
    <n v="0.12909999999999999"/>
    <n v="0"/>
    <n v="0"/>
    <n v="0.12620000000000001"/>
    <n v="0"/>
    <n v="0.13589999999999999"/>
    <n v="0.11940000000000001"/>
    <n v="0.13109999999999999"/>
  </r>
  <r>
    <x v="80"/>
    <n v="0"/>
    <n v="0"/>
    <n v="0"/>
    <n v="0.12330000000000001"/>
    <n v="0"/>
    <n v="0"/>
    <n v="0.12180000000000001"/>
    <n v="0"/>
    <n v="0.1273"/>
    <n v="0.1142"/>
    <n v="0.12770000000000001"/>
  </r>
  <r>
    <x v="81"/>
    <n v="0"/>
    <n v="0"/>
    <n v="0"/>
    <n v="0.11849999999999999"/>
    <n v="0"/>
    <n v="0"/>
    <n v="0.11899999999999999"/>
    <n v="0"/>
    <n v="0.1239"/>
    <n v="0.1091"/>
    <n v="0.1245"/>
  </r>
  <r>
    <x v="82"/>
    <n v="0"/>
    <n v="0"/>
    <n v="0"/>
    <n v="0.1157"/>
    <n v="0"/>
    <n v="0"/>
    <n v="0.1169"/>
    <n v="0"/>
    <n v="0.1235"/>
    <n v="0.1084"/>
    <n v="0.12239999999999999"/>
  </r>
  <r>
    <x v="83"/>
    <n v="0"/>
    <n v="0"/>
    <n v="0"/>
    <n v="0.1148"/>
    <n v="0"/>
    <n v="0"/>
    <n v="0.11459999999999999"/>
    <n v="0"/>
    <n v="0.1203"/>
    <n v="0.10730000000000001"/>
    <n v="0.1177"/>
  </r>
  <r>
    <x v="84"/>
    <n v="0"/>
    <n v="0"/>
    <n v="0"/>
    <n v="0.1114"/>
    <n v="0"/>
    <n v="0"/>
    <n v="0.112"/>
    <n v="0"/>
    <n v="0.1179"/>
    <n v="0.1018"/>
    <n v="0.1149"/>
  </r>
  <r>
    <x v="85"/>
    <n v="0"/>
    <n v="0"/>
    <n v="0"/>
    <n v="0.109"/>
    <n v="0"/>
    <n v="0"/>
    <n v="0.1077"/>
    <n v="0"/>
    <n v="0.11600000000000001"/>
    <n v="0.1008"/>
    <n v="0.11310000000000001"/>
  </r>
  <r>
    <x v="86"/>
    <n v="0"/>
    <n v="0"/>
    <n v="0"/>
    <n v="0.107"/>
    <n v="0"/>
    <n v="0"/>
    <n v="0.10639999999999999"/>
    <n v="0"/>
    <n v="0.1142"/>
    <n v="0.10349999999999999"/>
    <n v="0.1123"/>
  </r>
  <r>
    <x v="87"/>
    <n v="0"/>
    <n v="0"/>
    <n v="0"/>
    <n v="0.10512720595503"/>
    <n v="0"/>
    <n v="0"/>
    <n v="0.104905553418699"/>
    <n v="0"/>
    <n v="0.112625737130205"/>
    <n v="0.102981052716432"/>
    <n v="0.111539299787936"/>
  </r>
  <r>
    <x v="88"/>
    <n v="0"/>
    <n v="0"/>
    <n v="0"/>
    <n v="0.104972794720501"/>
    <n v="0"/>
    <n v="0"/>
    <n v="0.107054206204939"/>
    <n v="0"/>
    <n v="0.11241999885538299"/>
    <n v="0.10281511153462"/>
    <n v="0.111455473723691"/>
  </r>
  <r>
    <x v="89"/>
    <n v="0"/>
    <n v="0"/>
    <n v="0"/>
    <n v="0.10524461800772"/>
    <n v="0"/>
    <n v="0"/>
    <n v="0.107229431624965"/>
    <n v="0"/>
    <n v="0.112136366612914"/>
    <n v="0.102772157998287"/>
    <n v="0.11141154575163"/>
  </r>
  <r>
    <x v="90"/>
    <n v="0"/>
    <n v="0"/>
    <n v="0"/>
    <n v="0.105935767144356"/>
    <n v="0"/>
    <n v="0"/>
    <n v="0.10841966221622799"/>
    <n v="0"/>
    <n v="0.112783574220222"/>
    <n v="0.103642862466957"/>
    <n v="0.112398254699664"/>
  </r>
  <r>
    <x v="91"/>
    <n v="0"/>
    <n v="0"/>
    <n v="0"/>
    <n v="0.107143597962831"/>
    <n v="0"/>
    <n v="0"/>
    <n v="0.109376746130741"/>
    <n v="0"/>
    <n v="0.114475684911737"/>
    <n v="0.104074345386931"/>
    <n v="0.113100594646592"/>
  </r>
  <r>
    <x v="92"/>
    <n v="0"/>
    <n v="0"/>
    <n v="0"/>
    <n v="0.108729400207754"/>
    <n v="0"/>
    <n v="0"/>
    <n v="0.107847563256649"/>
    <n v="0"/>
    <n v="0.113811149636697"/>
    <n v="0.102851327040651"/>
    <n v="0.11116533450138801"/>
  </r>
  <r>
    <x v="93"/>
    <n v="0"/>
    <n v="0"/>
    <n v="0"/>
    <n v="0.11020000000000001"/>
    <n v="0"/>
    <n v="0"/>
    <n v="0.1087"/>
    <n v="0"/>
    <n v="0.1134"/>
    <n v="0.1046"/>
    <n v="0.1148"/>
  </r>
  <r>
    <x v="94"/>
    <n v="0"/>
    <n v="0"/>
    <n v="0"/>
    <n v="0.110347892346443"/>
    <n v="0"/>
    <n v="0"/>
    <n v="0.112770777646437"/>
    <n v="0"/>
    <n v="0.113710836351435"/>
    <n v="0.103259991890908"/>
    <n v="0.11538905640149801"/>
  </r>
  <r>
    <x v="95"/>
    <n v="0"/>
    <n v="0"/>
    <n v="0"/>
    <n v="0.11155431672850601"/>
    <n v="0"/>
    <n v="0"/>
    <n v="0.113271479651002"/>
    <n v="0"/>
    <n v="0.116253564151116"/>
    <n v="0.102664828168596"/>
    <n v="0.116630217431186"/>
  </r>
  <r>
    <x v="96"/>
    <n v="0"/>
    <n v="0"/>
    <n v="0"/>
    <n v="0.11329754236421199"/>
    <n v="0"/>
    <n v="0"/>
    <n v="0.11514963424576501"/>
    <n v="0"/>
    <n v="0.11701087727371801"/>
    <n v="0.10517517124584599"/>
    <n v="0.11798387589868201"/>
  </r>
  <r>
    <x v="97"/>
    <n v="0"/>
    <n v="0"/>
    <n v="0"/>
    <n v="0.1162"/>
    <n v="0"/>
    <n v="0"/>
    <n v="0.1173"/>
    <n v="0"/>
    <n v="0.1197"/>
    <n v="0.1081"/>
    <n v="0.1203"/>
  </r>
  <r>
    <x v="98"/>
    <n v="0"/>
    <n v="0"/>
    <n v="0"/>
    <n v="0.11865660808803299"/>
    <n v="0"/>
    <n v="0"/>
    <n v="0.11979695050523601"/>
    <n v="0"/>
    <n v="0.122730975381681"/>
    <n v="0.106058739928952"/>
    <n v="0.12158934091251"/>
  </r>
  <r>
    <x v="99"/>
    <n v="0"/>
    <n v="0"/>
    <n v="0"/>
    <n v="0.122"/>
    <n v="0"/>
    <n v="0"/>
    <n v="0.12268700256798699"/>
    <n v="0"/>
    <n v="0.12640000000000001"/>
    <n v="0.1077"/>
    <n v="0.1246"/>
  </r>
  <r>
    <x v="100"/>
    <n v="0"/>
    <n v="0"/>
    <n v="0"/>
    <n v="0.12286810844104"/>
    <n v="0"/>
    <n v="0"/>
    <n v="0.12210674395071899"/>
    <n v="0"/>
    <n v="0.12728159655485199"/>
    <n v="0.109665219757868"/>
    <n v="0.12548805492186199"/>
  </r>
  <r>
    <x v="101"/>
    <n v="0"/>
    <n v="0"/>
    <n v="0"/>
    <n v="0.122540735467036"/>
    <n v="0"/>
    <n v="0"/>
    <n v="0.12344683797825901"/>
    <n v="0"/>
    <n v="0.12873793303294301"/>
    <n v="0.11209120977294899"/>
    <n v="0.12740635463580699"/>
  </r>
  <r>
    <x v="102"/>
    <n v="0"/>
    <n v="0"/>
    <n v="0"/>
    <n v="0.12485565307688"/>
    <n v="0"/>
    <n v="0"/>
    <n v="0.125685952292825"/>
    <n v="0"/>
    <n v="0.130406558204051"/>
    <n v="0.114769352424125"/>
    <n v="0.128742076210284"/>
  </r>
  <r>
    <x v="103"/>
    <n v="0"/>
    <n v="0"/>
    <n v="0"/>
    <n v="0.12662844883152299"/>
    <n v="0"/>
    <n v="0"/>
    <n v="0.12805472866915699"/>
    <n v="0"/>
    <n v="0.130669728429612"/>
    <n v="0.11561907207113301"/>
    <n v="0.13113125395486799"/>
  </r>
  <r>
    <x v="104"/>
    <n v="0"/>
    <n v="0"/>
    <n v="0"/>
    <n v="0.12732910730599301"/>
    <n v="0"/>
    <n v="0"/>
    <n v="0.13020028338155501"/>
    <n v="0"/>
    <n v="0.13224570209079201"/>
    <n v="0.11860810067535101"/>
    <n v="0.132429187883357"/>
  </r>
  <r>
    <x v="105"/>
    <n v="0"/>
    <n v="0"/>
    <n v="0"/>
    <n v="0.12746977484343799"/>
    <n v="0"/>
    <n v="0"/>
    <n v="0.12848088301681401"/>
    <n v="0"/>
    <n v="0.132602170680552"/>
    <n v="0.119031641188322"/>
    <n v="0.12973000604249799"/>
  </r>
  <r>
    <x v="106"/>
    <n v="0"/>
    <n v="0"/>
    <n v="0"/>
    <n v="0.130292653500137"/>
    <n v="0"/>
    <n v="0"/>
    <n v="0.126926259019291"/>
    <n v="0"/>
    <n v="0.13276358495785401"/>
    <n v="0.123413118559054"/>
    <n v="0.133124979303821"/>
  </r>
  <r>
    <x v="107"/>
    <n v="0"/>
    <n v="0"/>
    <n v="0"/>
    <n v="0.13053468001109936"/>
    <n v="0"/>
    <n v="0"/>
    <n v="0.12768452884882001"/>
    <n v="0"/>
    <n v="0.13400506595730999"/>
    <n v="0.12764199185103742"/>
    <n v="0.13474698310393007"/>
  </r>
  <r>
    <x v="108"/>
    <n v="0"/>
    <n v="0"/>
    <n v="0"/>
    <n v="0.13539999999999999"/>
    <n v="0"/>
    <n v="0"/>
    <n v="0.1303"/>
    <n v="0"/>
    <n v="0.13789999999999999"/>
    <n v="0.1338"/>
    <n v="0.14099999999999999"/>
  </r>
  <r>
    <x v="109"/>
    <n v="0"/>
    <n v="0"/>
    <n v="0"/>
    <n v="0.13519999999999999"/>
    <n v="0"/>
    <n v="0"/>
    <n v="0.1295"/>
    <n v="0"/>
    <n v="0.13730000000000001"/>
    <n v="0.1356"/>
    <n v="0.1401"/>
  </r>
  <r>
    <x v="110"/>
    <n v="0"/>
    <n v="0"/>
    <n v="0"/>
    <n v="0.13750000000000001"/>
    <n v="0"/>
    <n v="0"/>
    <n v="0.13"/>
    <n v="0"/>
    <n v="0.13539999999999999"/>
    <n v="0.13439999999999999"/>
    <n v="0.1404"/>
  </r>
  <r>
    <x v="111"/>
    <n v="0"/>
    <n v="0"/>
    <n v="0"/>
    <n v="0.14000000000000001"/>
    <n v="0"/>
    <n v="0"/>
    <n v="0.12920000000000001"/>
    <n v="0"/>
    <n v="0.13500000000000001"/>
    <n v="0.14430000000000001"/>
    <n v="0.1459"/>
  </r>
  <r>
    <x v="112"/>
    <n v="0"/>
    <n v="0"/>
    <n v="0"/>
    <n v="0.14199999999999999"/>
    <n v="0"/>
    <n v="0"/>
    <n v="0.14199999999999999"/>
    <n v="0"/>
    <n v="0.14680000000000001"/>
    <n v="0.14630000000000001"/>
    <n v="0.1502"/>
  </r>
  <r>
    <x v="113"/>
    <n v="0"/>
    <n v="0"/>
    <n v="0"/>
    <n v="0.1396"/>
    <n v="0"/>
    <n v="0"/>
    <n v="0.1401"/>
    <n v="0"/>
    <n v="0.14510000000000001"/>
    <n v="0.1431"/>
    <n v="0.14860000000000001"/>
  </r>
  <r>
    <x v="114"/>
    <n v="0"/>
    <n v="0"/>
    <n v="0"/>
    <n v="0.1371"/>
    <n v="0"/>
    <n v="0"/>
    <n v="0.1381"/>
    <n v="0"/>
    <n v="0.14380000000000001"/>
    <n v="0.14050000000000001"/>
    <n v="0.14749999999999999"/>
  </r>
  <r>
    <x v="115"/>
    <n v="0"/>
    <n v="0"/>
    <n v="0"/>
    <n v="0.1386"/>
    <n v="0"/>
    <n v="0"/>
    <n v="0.13650000000000001"/>
    <n v="0"/>
    <n v="0.14910000000000001"/>
    <n v="0.1484"/>
    <n v="0.14910000000000001"/>
  </r>
  <r>
    <x v="116"/>
    <n v="0"/>
    <n v="0"/>
    <n v="0"/>
    <n v="0.1434"/>
    <n v="0"/>
    <n v="0"/>
    <n v="0.14000000000000001"/>
    <n v="0"/>
    <n v="0.15060000000000001"/>
    <n v="0.14660000000000001"/>
    <n v="0.14990000000000001"/>
  </r>
  <r>
    <x v="117"/>
    <n v="0"/>
    <n v="0"/>
    <n v="0"/>
    <n v="0.14649999999999999"/>
    <n v="0"/>
    <n v="0"/>
    <n v="0.1421"/>
    <n v="0"/>
    <n v="0.1547"/>
    <n v="0.151"/>
    <n v="0.15290000000000001"/>
  </r>
  <r>
    <x v="118"/>
    <n v="0"/>
    <n v="0"/>
    <n v="0"/>
    <n v="0.14599999999999999"/>
    <n v="0"/>
    <n v="0"/>
    <n v="0.14030000000000001"/>
    <n v="0"/>
    <n v="0.15479999999999999"/>
    <n v="0.15559999999999999"/>
    <n v="0.1575"/>
  </r>
  <r>
    <x v="119"/>
    <n v="0"/>
    <n v="0"/>
    <n v="0"/>
    <n v="0.14990000000000001"/>
    <n v="0"/>
    <n v="0"/>
    <n v="0.1469"/>
    <n v="0"/>
    <n v="0.15809999999999999"/>
    <n v="0.1663"/>
    <n v="0.16320000000000001"/>
  </r>
  <r>
    <x v="120"/>
    <n v="0"/>
    <n v="0"/>
    <n v="0"/>
    <n v="0.15"/>
    <n v="0"/>
    <n v="0"/>
    <n v="0.1542"/>
    <n v="0"/>
    <n v="0.1573"/>
    <n v="0.16120000000000001"/>
    <n v="0.15920000000000001"/>
  </r>
  <r>
    <x v="121"/>
    <n v="0"/>
    <n v="0"/>
    <n v="0"/>
    <n v="0.14560000000000001"/>
    <n v="0"/>
    <n v="0"/>
    <n v="0.15310000000000001"/>
    <n v="0"/>
    <n v="0.1525"/>
    <n v="0.1532"/>
    <n v="0.15559999999999999"/>
  </r>
  <r>
    <x v="122"/>
    <n v="0"/>
    <n v="0"/>
    <n v="0"/>
    <n v="0.13650000000000001"/>
    <n v="0"/>
    <n v="0"/>
    <n v="0.14460000000000001"/>
    <n v="0"/>
    <n v="0.14630000000000001"/>
    <n v="0.1489"/>
    <n v="0.14749999999999999"/>
  </r>
  <r>
    <x v="123"/>
    <n v="0"/>
    <n v="0"/>
    <n v="0"/>
    <n v="0.13370000000000001"/>
    <n v="0"/>
    <n v="0"/>
    <n v="0.14080000000000001"/>
    <n v="0"/>
    <n v="0.14449999999999999"/>
    <n v="0.1363"/>
    <n v="0.13600000000000001"/>
  </r>
  <r>
    <x v="124"/>
    <n v="0"/>
    <n v="0"/>
    <n v="0"/>
    <n v="0.131409241978997"/>
    <n v="0"/>
    <n v="0"/>
    <n v="0.130009755102243"/>
    <n v="0"/>
    <n v="0.13670589548377901"/>
    <n v="0.131847841854561"/>
    <n v="0.13118767447899499"/>
  </r>
  <r>
    <x v="125"/>
    <n v="0"/>
    <n v="0"/>
    <n v="0"/>
    <n v="0.13061278685682001"/>
    <n v="0"/>
    <n v="0"/>
    <n v="0.13223267408391601"/>
    <n v="0"/>
    <n v="0.13743631485575"/>
    <n v="0.124582211153085"/>
    <n v="0.13089095697080899"/>
  </r>
  <r>
    <x v="126"/>
    <n v="0"/>
    <n v="0"/>
    <n v="0"/>
    <n v="0.13131762071075201"/>
    <n v="0"/>
    <n v="0"/>
    <n v="0.130829904476018"/>
    <n v="0"/>
    <n v="0.13751157521568499"/>
    <n v="0.12231339601456299"/>
    <n v="0.13393624384438299"/>
  </r>
  <r>
    <x v="127"/>
    <n v="0"/>
    <n v="0"/>
    <n v="0"/>
    <n v="0.12976578809425199"/>
    <n v="0"/>
    <n v="0"/>
    <n v="0.13070923573884399"/>
    <n v="0"/>
    <n v="0.13167698807789799"/>
    <n v="0.115145519418627"/>
    <n v="0.131687423086255"/>
  </r>
  <r>
    <x v="128"/>
    <n v="0"/>
    <n v="0"/>
    <n v="0"/>
    <n v="0.123459720600363"/>
    <n v="0"/>
    <n v="0"/>
    <n v="0.12605359980063799"/>
    <n v="0"/>
    <n v="0.12825231659080599"/>
    <n v="0.11437660916447399"/>
    <n v="0.128436457296843"/>
  </r>
  <r>
    <x v="129"/>
    <n v="0"/>
    <n v="0"/>
    <n v="0"/>
    <n v="0.11903643651529899"/>
    <n v="0"/>
    <n v="0"/>
    <n v="0.123320319335329"/>
    <n v="0"/>
    <n v="0.123488088136366"/>
    <n v="0.110083809997743"/>
    <n v="0.12358205105556599"/>
  </r>
  <r>
    <x v="130"/>
    <n v="0"/>
    <n v="0"/>
    <n v="0"/>
    <n v="0.115654795817347"/>
    <n v="0"/>
    <n v="0"/>
    <n v="0.121626288239376"/>
    <n v="0"/>
    <n v="0.11999068365701"/>
    <n v="0.101297334072943"/>
    <n v="0.11385527102139199"/>
  </r>
  <r>
    <x v="131"/>
    <n v="0"/>
    <n v="0"/>
    <n v="0"/>
    <n v="0.113353713927855"/>
    <n v="0"/>
    <n v="0"/>
    <n v="0.120550642658612"/>
    <n v="0"/>
    <n v="0.119219601772034"/>
    <n v="9.1346393168508302E-2"/>
    <n v="0.113429362058569"/>
  </r>
  <r>
    <x v="132"/>
    <n v="0"/>
    <n v="0"/>
    <n v="0"/>
    <n v="0.11088711734734"/>
    <n v="0"/>
    <n v="0"/>
    <n v="0.11668449019793101"/>
    <n v="0"/>
    <n v="0.121955287333463"/>
    <n v="0.111694004919839"/>
    <n v="0.120030894347774"/>
  </r>
  <r>
    <x v="133"/>
    <n v="0"/>
    <n v="0"/>
    <n v="0"/>
    <n v="0.111721335607658"/>
    <n v="0"/>
    <n v="0"/>
    <n v="0.11616373425897999"/>
    <n v="0"/>
    <n v="0.123841440768118"/>
    <n v="0.11454728302945601"/>
    <n v="0.12075604902121399"/>
  </r>
  <r>
    <x v="134"/>
    <n v="0"/>
    <n v="0"/>
    <n v="0"/>
    <n v="0.116028580967624"/>
    <n v="0"/>
    <n v="0"/>
    <n v="0.12279780975876101"/>
    <n v="0"/>
    <n v="0.128209507223842"/>
    <n v="0.118699842019242"/>
    <n v="0.12602813633669499"/>
  </r>
  <r>
    <x v="135"/>
    <n v="0"/>
    <n v="0"/>
    <n v="0"/>
    <n v="0.11346658766701501"/>
    <n v="0"/>
    <n v="0"/>
    <n v="0.12468420697881399"/>
    <n v="0"/>
    <n v="0.12689048072272299"/>
    <n v="0.118430602153744"/>
    <n v="0.12846468106389999"/>
  </r>
  <r>
    <x v="136"/>
    <n v="0"/>
    <n v="0"/>
    <n v="0"/>
    <n v="0.11202722272863599"/>
    <n v="0"/>
    <n v="0"/>
    <n v="0.119958822874494"/>
    <n v="0"/>
    <n v="0.121503820614731"/>
    <n v="0.117180415603871"/>
    <n v="0.126272939456401"/>
  </r>
  <r>
    <x v="137"/>
    <n v="0"/>
    <n v="0"/>
    <n v="0"/>
    <n v="0.114045333882312"/>
    <n v="0"/>
    <n v="0"/>
    <n v="0.119113171702925"/>
    <n v="0"/>
    <n v="0.12177522356846"/>
    <n v="0.126126272424473"/>
    <n v="0.12761285071759201"/>
  </r>
  <r>
    <x v="138"/>
    <n v="0"/>
    <n v="0"/>
    <n v="0"/>
    <n v="0.1152"/>
    <n v="0"/>
    <n v="0"/>
    <n v="0.1211"/>
    <n v="0"/>
    <n v="0.1226"/>
    <n v="0.1298"/>
    <n v="0.12529999999999999"/>
  </r>
  <r>
    <x v="139"/>
    <n v="0"/>
    <n v="0"/>
    <n v="0"/>
    <n v="0.113063997439824"/>
    <n v="0"/>
    <n v="0"/>
    <n v="0.12102680727868"/>
    <n v="0"/>
    <n v="0.121732111019656"/>
    <n v="0.1290524120979"/>
    <n v="0.124834031690259"/>
  </r>
  <r>
    <x v="140"/>
    <n v="0"/>
    <n v="0"/>
    <n v="0"/>
    <n v="0.11564032865155199"/>
    <n v="0"/>
    <n v="0"/>
    <n v="0.12308469791901901"/>
    <n v="0"/>
    <n v="0.12588200601004801"/>
    <n v="0.134628386284982"/>
    <n v="0.12790055429828301"/>
  </r>
  <r>
    <x v="141"/>
    <n v="0"/>
    <n v="0"/>
    <n v="0"/>
    <n v="0.11610795074847099"/>
    <n v="0"/>
    <n v="0"/>
    <n v="0.12355833890934199"/>
    <n v="0"/>
    <n v="0.12719449775959599"/>
    <n v="0.13435696201247699"/>
    <n v="0.12781501416984101"/>
  </r>
  <r>
    <x v="142"/>
    <n v="0"/>
    <n v="0"/>
    <n v="0"/>
    <n v="0.119712365787897"/>
    <n v="0"/>
    <n v="0"/>
    <n v="0.12531129477799"/>
    <n v="0"/>
    <n v="0.13016399054621"/>
    <n v="0.13576393967577899"/>
    <n v="0.129544939176711"/>
  </r>
  <r>
    <x v="143"/>
    <n v="0"/>
    <n v="0"/>
    <n v="0"/>
    <n v="0.11642578728127401"/>
    <n v="0"/>
    <n v="0"/>
    <n v="0.118528511165906"/>
    <n v="0"/>
    <n v="0.12366469293422"/>
    <n v="0.130641057154363"/>
    <n v="0.12269348812700299"/>
  </r>
  <r>
    <x v="144"/>
    <n v="0"/>
    <n v="0"/>
    <n v="0"/>
    <n v="0.11214609235700999"/>
    <n v="0"/>
    <n v="0"/>
    <n v="0.11064238165527199"/>
    <n v="0"/>
    <n v="0.11640228785433901"/>
    <n v="0.10830428155347199"/>
    <n v="0.11177576473337002"/>
  </r>
  <r>
    <x v="145"/>
    <n v="0"/>
    <n v="0"/>
    <n v="0"/>
    <n v="0.11312854242782701"/>
    <n v="0"/>
    <n v="0"/>
    <n v="0.1109"/>
    <n v="0"/>
    <n v="0.1158483502968"/>
    <n v="0.10861388471003799"/>
    <n v="0.111661874845272"/>
  </r>
  <r>
    <x v="146"/>
    <n v="0"/>
    <n v="0"/>
    <n v="0"/>
    <n v="0.1123"/>
    <n v="0"/>
    <n v="0"/>
    <n v="0.1095"/>
    <n v="0"/>
    <n v="0.1157"/>
    <n v="0.1071"/>
    <n v="0.1119"/>
  </r>
  <r>
    <x v="147"/>
    <n v="0"/>
    <n v="0"/>
    <n v="0"/>
    <n v="0.11134687756290941"/>
    <n v="0"/>
    <n v="0"/>
    <n v="0.10764320229071433"/>
    <n v="0"/>
    <n v="0.11419013055341608"/>
    <n v="0.1072307954473537"/>
    <n v="0.1107234124227341"/>
  </r>
  <r>
    <x v="148"/>
    <n v="0"/>
    <n v="0"/>
    <n v="0"/>
    <n v="0.10959365487921356"/>
    <n v="0"/>
    <n v="0"/>
    <n v="0.10795245039971313"/>
    <n v="0"/>
    <n v="0.10974677750341065"/>
    <n v="0.10803101140094619"/>
    <n v="0.10986237323471348"/>
  </r>
  <r>
    <x v="149"/>
    <n v="0"/>
    <n v="0"/>
    <n v="0"/>
    <n v="0.1079259033200457"/>
    <n v="0"/>
    <n v="0"/>
    <n v="0.10572728115856433"/>
    <n v="0"/>
    <n v="0.10781241594134695"/>
    <n v="0.10491769612482461"/>
    <n v="0.10744763328509865"/>
  </r>
  <r>
    <x v="150"/>
    <n v="0"/>
    <n v="0"/>
    <n v="0"/>
    <n v="0.10450572008752079"/>
    <n v="0"/>
    <n v="0"/>
    <n v="0.10348689366922879"/>
    <n v="0"/>
    <n v="0.10435890352533207"/>
    <n v="0.10212643890496054"/>
    <n v="0.10427917954291722"/>
  </r>
  <r>
    <x v="151"/>
    <n v="0"/>
    <n v="0"/>
    <n v="0"/>
    <n v="0.10464511427066858"/>
    <n v="0"/>
    <n v="0"/>
    <n v="0.10293921605620016"/>
    <n v="0"/>
    <n v="0.10339074809801317"/>
    <n v="0.10255574488614716"/>
    <n v="0.10207441817367592"/>
  </r>
  <r>
    <x v="152"/>
    <n v="0"/>
    <n v="0"/>
    <n v="0"/>
    <n v="0.10127668273080669"/>
    <n v="0"/>
    <n v="0"/>
    <n v="0.10055473258226577"/>
    <n v="0"/>
    <n v="9.9782097410074488E-2"/>
    <n v="9.8282601398336875E-2"/>
    <n v="9.8967088697204067E-2"/>
  </r>
  <r>
    <x v="153"/>
    <n v="0"/>
    <n v="0"/>
    <n v="0"/>
    <n v="0.10082801621656579"/>
    <n v="0"/>
    <n v="0"/>
    <n v="9.9338608212919954E-2"/>
    <n v="0"/>
    <n v="9.7968136240845785E-2"/>
    <n v="9.722375962451156E-2"/>
    <n v="9.9102262140242883E-2"/>
  </r>
  <r>
    <x v="154"/>
    <n v="0"/>
    <n v="0"/>
    <n v="0"/>
    <n v="9.7232104027136668E-2"/>
    <n v="0"/>
    <n v="0"/>
    <n v="9.7712817650676076E-2"/>
    <n v="0"/>
    <n v="9.5018585532603783E-2"/>
    <n v="9.5868653094074899E-2"/>
    <n v="9.7104919490528907E-2"/>
  </r>
  <r>
    <x v="155"/>
    <n v="0"/>
    <n v="0"/>
    <n v="0"/>
    <n v="9.4100000000000003E-2"/>
    <n v="0"/>
    <n v="0"/>
    <n v="9.5699999999999993E-2"/>
    <n v="0"/>
    <n v="9.3399999999999997E-2"/>
    <n v="9.4899999999999998E-2"/>
    <n v="9.4799999999999995E-2"/>
  </r>
  <r>
    <x v="156"/>
    <n v="0"/>
    <n v="0"/>
    <n v="0"/>
    <n v="9.4019960507904621E-2"/>
    <n v="0"/>
    <n v="0"/>
    <n v="9.5225690147398456E-2"/>
    <n v="0"/>
    <n v="9.228622869914993E-2"/>
    <n v="9.4209480952000213E-2"/>
    <n v="9.5181647602831779E-2"/>
  </r>
  <r>
    <x v="157"/>
    <n v="0.1057"/>
    <n v="0"/>
    <n v="0"/>
    <n v="9.3512063839856552E-2"/>
    <n v="0"/>
    <n v="0"/>
    <n v="9.4994958262080154E-2"/>
    <n v="0"/>
    <n v="9.2146869235888426E-2"/>
    <n v="9.3917280051609264E-2"/>
    <n v="9.4632316894862623E-2"/>
  </r>
  <r>
    <x v="158"/>
    <n v="0.10830000000000001"/>
    <n v="0"/>
    <n v="0"/>
    <n v="9.3751149585225443E-2"/>
    <n v="0"/>
    <n v="0"/>
    <n v="9.5425426486990941E-2"/>
    <n v="0"/>
    <n v="9.2128586813901236E-2"/>
    <n v="9.4044431034461903E-2"/>
    <n v="9.4363738419944485E-2"/>
  </r>
  <r>
    <x v="159"/>
    <n v="0.10880000000000001"/>
    <n v="0"/>
    <n v="0"/>
    <n v="9.4489012147233917E-2"/>
    <n v="0"/>
    <n v="0"/>
    <n v="9.674470008141034E-2"/>
    <n v="0"/>
    <n v="9.2044974405239829E-2"/>
    <n v="9.3871798773313753E-2"/>
    <n v="9.5473317047463535E-2"/>
  </r>
  <r>
    <x v="160"/>
    <n v="0.10635862971300609"/>
    <n v="0"/>
    <n v="0"/>
    <n v="9.7175213441445418E-2"/>
    <n v="0"/>
    <n v="0"/>
    <n v="9.7635475990128354E-2"/>
    <n v="0"/>
    <n v="9.6640399476005209E-2"/>
    <n v="9.4747504526224061E-2"/>
    <n v="9.7370542387905878E-2"/>
  </r>
  <r>
    <x v="161"/>
    <n v="0.10357245091807457"/>
    <n v="0"/>
    <n v="0"/>
    <n v="9.788408593772413E-2"/>
    <n v="0"/>
    <n v="0"/>
    <n v="9.8823164443647471E-2"/>
    <n v="0"/>
    <n v="9.7346433921597253E-2"/>
    <n v="9.8613441745206032E-2"/>
    <n v="9.864298105380008E-2"/>
  </r>
  <r>
    <x v="162"/>
    <n v="0.10580000000000001"/>
    <n v="0"/>
    <n v="0"/>
    <n v="9.9540900685018752E-2"/>
    <n v="0"/>
    <n v="0"/>
    <n v="9.9689985224730382E-2"/>
    <n v="0"/>
    <n v="9.8639517974600674E-2"/>
    <n v="9.949627987005695E-2"/>
    <n v="0.1001854279908545"/>
  </r>
  <r>
    <x v="163"/>
    <n v="0.10630000000000001"/>
    <n v="0"/>
    <n v="0"/>
    <n v="9.8443360730779292E-2"/>
    <n v="0"/>
    <n v="0"/>
    <n v="9.8044637491002687E-2"/>
    <n v="0"/>
    <n v="9.7686859333791856E-2"/>
    <n v="9.8292810230046643E-2"/>
    <n v="9.8957390449195159E-2"/>
  </r>
  <r>
    <x v="164"/>
    <n v="0.10640000000000001"/>
    <n v="0"/>
    <n v="0"/>
    <n v="9.804313004511013E-2"/>
    <n v="0"/>
    <n v="0"/>
    <n v="9.7424823697123575E-2"/>
    <n v="0"/>
    <n v="9.6451402631752003E-2"/>
    <n v="9.6724848342701217E-2"/>
    <n v="9.8437098084841246E-2"/>
  </r>
  <r>
    <x v="165"/>
    <n v="0.10589999999999999"/>
    <n v="0"/>
    <n v="0"/>
    <n v="9.6815853859545373E-2"/>
    <n v="0"/>
    <n v="0"/>
    <n v="9.6325701549149864E-2"/>
    <n v="0"/>
    <n v="9.5138361124162282E-2"/>
    <n v="9.6626512350878033E-2"/>
    <n v="9.6089804573312509E-2"/>
  </r>
  <r>
    <x v="166"/>
    <n v="0.10529999999999999"/>
    <n v="0"/>
    <n v="0"/>
    <n v="9.6978612331287697E-2"/>
    <n v="0"/>
    <n v="0"/>
    <n v="9.6434679911019394E-2"/>
    <n v="0"/>
    <n v="9.5102117172250158E-2"/>
    <n v="9.6631852644314176E-2"/>
    <n v="9.6799108032910475E-2"/>
  </r>
  <r>
    <x v="167"/>
    <n v="0.10529999999999999"/>
    <n v="0"/>
    <n v="0"/>
    <n v="9.654362146413685E-2"/>
    <n v="0"/>
    <n v="0"/>
    <n v="9.5730220985531536E-2"/>
    <n v="0"/>
    <n v="9.4489032550870919E-2"/>
    <n v="9.6341465376744484E-2"/>
    <n v="9.5690358903546949E-2"/>
  </r>
  <r>
    <x v="168"/>
    <n v="0.1048"/>
    <n v="0"/>
    <n v="0"/>
    <n v="9.6698114199876173E-2"/>
    <n v="0"/>
    <n v="0"/>
    <n v="9.5790560540065073E-2"/>
    <n v="0"/>
    <n v="9.4875485421080263E-2"/>
    <n v="9.7731173278209571E-2"/>
    <n v="9.5359738406740183E-2"/>
  </r>
  <r>
    <x v="169"/>
    <n v="0.1033"/>
    <n v="0"/>
    <n v="0"/>
    <n v="9.8738452723677206E-2"/>
    <n v="0"/>
    <n v="0"/>
    <n v="9.8583353009134012E-2"/>
    <n v="0"/>
    <n v="9.7660115108836543E-2"/>
    <n v="9.988210278715591E-2"/>
    <n v="9.999166374616042E-2"/>
  </r>
  <r>
    <x v="170"/>
    <n v="0.10369999999999999"/>
    <n v="0"/>
    <n v="0"/>
    <n v="9.8061751767208202E-2"/>
    <n v="0"/>
    <n v="0"/>
    <n v="9.7177883985140698E-2"/>
    <n v="0"/>
    <n v="9.6662191669059747E-2"/>
    <n v="9.8837126994189214E-2"/>
    <n v="9.900308643685897E-2"/>
  </r>
  <r>
    <x v="171"/>
    <n v="0.1169"/>
    <n v="0"/>
    <n v="0"/>
    <n v="0.1012"/>
    <n v="9.9900000000000003E-2"/>
    <n v="0"/>
    <n v="0.10059999999999999"/>
    <n v="0"/>
    <n v="0.1012"/>
    <n v="0.1028"/>
    <n v="0.10349999999999999"/>
  </r>
  <r>
    <x v="172"/>
    <n v="0.1162"/>
    <n v="0"/>
    <n v="0"/>
    <n v="0.10150000000000001"/>
    <n v="9.4E-2"/>
    <n v="0"/>
    <n v="0.1023"/>
    <n v="0"/>
    <n v="0.1032"/>
    <n v="0.109"/>
    <n v="0.1084"/>
  </r>
  <r>
    <x v="173"/>
    <n v="0.124"/>
    <n v="0"/>
    <n v="0"/>
    <n v="0.1047"/>
    <n v="9.2999999999999999E-2"/>
    <n v="0"/>
    <n v="0.1061"/>
    <n v="0"/>
    <n v="0.1085"/>
    <n v="0.1076"/>
    <n v="0.1148"/>
  </r>
  <r>
    <x v="174"/>
    <n v="0.1235"/>
    <n v="0"/>
    <n v="0"/>
    <n v="0.105"/>
    <n v="9.1499999999999998E-2"/>
    <n v="0"/>
    <n v="0.1085"/>
    <n v="0"/>
    <n v="0.1103"/>
    <n v="0.11269999999999999"/>
    <n v="0.115"/>
  </r>
  <r>
    <x v="175"/>
    <n v="0.12470000000000001"/>
    <n v="0"/>
    <n v="0"/>
    <n v="0.107"/>
    <n v="8.8400000000000006E-2"/>
    <n v="0"/>
    <n v="0.1111"/>
    <n v="0"/>
    <n v="0.1145"/>
    <n v="0.1119"/>
    <n v="0.11990000000000001"/>
  </r>
  <r>
    <x v="176"/>
    <n v="0.1174"/>
    <n v="0"/>
    <n v="0"/>
    <n v="0.1031"/>
    <n v="8.8800000000000004E-2"/>
    <n v="0"/>
    <n v="0.10639999999999999"/>
    <n v="0"/>
    <n v="0.10970000000000001"/>
    <n v="0.1081"/>
    <n v="0.11700000000000001"/>
  </r>
  <r>
    <x v="177"/>
    <n v="0.1154"/>
    <n v="0"/>
    <n v="0"/>
    <n v="0.1028"/>
    <n v="8.9700000000000002E-2"/>
    <n v="0"/>
    <n v="0.107"/>
    <n v="0"/>
    <n v="0.1104"/>
    <n v="0.10730000000000001"/>
    <n v="0.1169"/>
  </r>
  <r>
    <x v="178"/>
    <n v="0.1133"/>
    <n v="0"/>
    <n v="0"/>
    <n v="0.1013"/>
    <n v="9.0499999999999997E-2"/>
    <n v="0"/>
    <n v="0.1036"/>
    <n v="0"/>
    <n v="0.108"/>
    <n v="0.10489999999999999"/>
    <n v="0.1137"/>
  </r>
  <r>
    <x v="179"/>
    <n v="0.1052"/>
    <n v="0"/>
    <n v="0"/>
    <n v="9.8100000000000007E-2"/>
    <n v="9.1899999999999996E-2"/>
    <n v="0"/>
    <n v="0.1"/>
    <n v="0"/>
    <n v="0.104"/>
    <n v="9.9099999999999994E-2"/>
    <n v="0.106"/>
  </r>
  <r>
    <x v="180"/>
    <n v="0.10282444198034968"/>
    <n v="0"/>
    <n v="0"/>
    <n v="9.7838442882664189E-2"/>
    <n v="9.1999999999999998E-2"/>
    <n v="0"/>
    <n v="9.934274210319316E-2"/>
    <n v="0"/>
    <n v="0.10312634749757699"/>
    <n v="9.6752684879183981E-2"/>
    <n v="0.10654778073060743"/>
  </r>
  <r>
    <x v="181"/>
    <n v="9.7073564892179665E-2"/>
    <n v="0"/>
    <n v="0"/>
    <n v="9.4380506231639641E-2"/>
    <n v="9.35E-2"/>
    <n v="0"/>
    <n v="9.4569566722364259E-2"/>
    <n v="0"/>
    <n v="9.9529320510219468E-2"/>
    <n v="9.2163931072743357E-2"/>
    <n v="0.10143542600345402"/>
  </r>
  <r>
    <x v="182"/>
    <n v="9.5255750032871025E-2"/>
    <n v="0"/>
    <n v="0"/>
    <n v="9.2930905340434786E-2"/>
    <n v="9.7100000000000006E-2"/>
    <n v="0"/>
    <n v="9.2204886847033762E-2"/>
    <n v="0"/>
    <n v="9.6513644057625303E-2"/>
    <n v="8.8470997102729321E-2"/>
    <n v="9.8466312677842449E-2"/>
  </r>
  <r>
    <x v="183"/>
    <n v="8.9557853978731186E-2"/>
    <n v="0"/>
    <n v="0"/>
    <n v="8.8398942412015735E-2"/>
    <n v="0.10279896777079323"/>
    <n v="0"/>
    <n v="8.8189797878347451E-2"/>
    <n v="0"/>
    <n v="9.0499999999999997E-2"/>
    <n v="8.522023197331885E-2"/>
    <n v="9.4039140325882217E-2"/>
  </r>
  <r>
    <x v="184"/>
    <n v="7.8302519822616823E-2"/>
    <n v="0"/>
    <n v="0"/>
    <n v="8.3845507714845446E-2"/>
    <n v="9.7846280326270088E-2"/>
    <n v="0"/>
    <n v="8.199402811215073E-2"/>
    <n v="0"/>
    <n v="8.3746916360604384E-2"/>
    <n v="7.4972708261859866E-2"/>
    <n v="8.594423478459623E-2"/>
  </r>
  <r>
    <x v="185"/>
    <n v="6.8745353285536215E-2"/>
    <n v="0"/>
    <n v="0"/>
    <n v="7.8686695091294556E-2"/>
    <n v="9.1895105183774847E-2"/>
    <n v="0"/>
    <n v="7.7440019175754715E-2"/>
    <n v="0"/>
    <n v="7.7368546305897068E-2"/>
    <n v="7.4630430484574406E-2"/>
    <n v="7.7167675682469516E-2"/>
  </r>
  <r>
    <x v="186"/>
    <n v="6.7697266718407922E-2"/>
    <n v="0"/>
    <n v="0"/>
    <n v="7.8953683228311977E-2"/>
    <n v="9.2183825777465631E-2"/>
    <n v="0"/>
    <n v="7.7317484195841724E-2"/>
    <n v="0"/>
    <n v="7.6210945361236737E-2"/>
    <n v="7.194802297520253E-2"/>
    <n v="7.7175616074620645E-2"/>
  </r>
  <r>
    <x v="187"/>
    <n v="6.8213440564069305E-2"/>
    <n v="0"/>
    <n v="0"/>
    <n v="7.7679010155949246E-2"/>
    <n v="8.8787338635118562E-2"/>
    <n v="0"/>
    <n v="7.6674693967420771E-2"/>
    <n v="0"/>
    <n v="7.3312144505169208E-2"/>
    <n v="7.5244760874290106E-2"/>
    <n v="7.413659611352208E-2"/>
  </r>
  <r>
    <x v="188"/>
    <n v="7.3638346595659376E-2"/>
    <n v="0"/>
    <n v="0"/>
    <n v="8.054872051017338E-2"/>
    <n v="9.5151888952645258E-2"/>
    <n v="0"/>
    <n v="7.9796594470903592E-2"/>
    <n v="0"/>
    <n v="7.7198687131333044E-2"/>
    <n v="7.8512987692768155E-2"/>
    <n v="7.519567711688957E-2"/>
  </r>
  <r>
    <x v="189"/>
    <n v="7.6382826583610397E-2"/>
    <n v="0"/>
    <n v="0"/>
    <n v="8.3309732476301898E-2"/>
    <n v="9.6659835258509089E-2"/>
    <n v="0"/>
    <n v="8.1537556250601106E-2"/>
    <n v="0"/>
    <n v="7.9550251754022749E-2"/>
    <n v="8.2844694820290096E-2"/>
    <n v="7.7185271656461385E-2"/>
  </r>
  <r>
    <x v="190"/>
    <n v="7.9810242261953102E-2"/>
    <n v="0"/>
    <n v="0"/>
    <n v="8.9065270345451975E-2"/>
    <n v="0.10044402283426868"/>
    <n v="0"/>
    <n v="8.949281172420287E-2"/>
    <n v="0"/>
    <n v="8.669369587999419E-2"/>
    <n v="9.076965724393693E-2"/>
    <n v="8.4516004926502783E-2"/>
  </r>
  <r>
    <x v="191"/>
    <n v="8.977029791229052E-2"/>
    <n v="0"/>
    <n v="0"/>
    <n v="9.5060481682312847E-2"/>
    <n v="0.10781616087253187"/>
    <n v="0"/>
    <n v="9.4943830123396675E-2"/>
    <n v="0"/>
    <n v="9.2931287043367158E-2"/>
    <n v="9.956238282352349E-2"/>
    <n v="9.4385252935715425E-2"/>
  </r>
  <r>
    <x v="192"/>
    <n v="9.3337684657383915E-2"/>
    <n v="0"/>
    <n v="0"/>
    <n v="9.840875559526395E-2"/>
    <n v="0.10996394729902415"/>
    <n v="0"/>
    <n v="9.830794872118688E-2"/>
    <n v="0"/>
    <n v="9.5846822349240343E-2"/>
    <n v="0.10190541759065287"/>
    <n v="9.7441984890079811E-2"/>
  </r>
  <r>
    <x v="193"/>
    <n v="9.7452827962701813E-2"/>
    <n v="0"/>
    <n v="0"/>
    <n v="0.10296436489278937"/>
    <n v="0.1113869246440171"/>
    <n v="0"/>
    <n v="0.10477013897066678"/>
    <n v="0"/>
    <n v="0.10171871460014149"/>
    <n v="0.11145543963390558"/>
    <n v="0.10417132416901076"/>
  </r>
  <r>
    <x v="194"/>
    <n v="9.9844785249741039E-2"/>
    <n v="0"/>
    <n v="0"/>
    <n v="0.1055521830926569"/>
    <n v="0.11056807468142038"/>
    <n v="0"/>
    <n v="0.1087239549889234"/>
    <n v="0"/>
    <n v="0.10570771893842303"/>
    <n v="0.11534416249262858"/>
    <n v="0.10877997376073602"/>
  </r>
  <r>
    <x v="195"/>
    <n v="9.7936010276912899E-2"/>
    <n v="0"/>
    <n v="0"/>
    <n v="0.10416108219776966"/>
    <n v="0.10755618607539841"/>
    <n v="0"/>
    <n v="0.10778773945891729"/>
    <n v="0"/>
    <n v="0.10626569639863126"/>
    <n v="0.11212802399600807"/>
    <n v="0.10751292508594279"/>
  </r>
  <r>
    <x v="196"/>
    <n v="0.10067573427133825"/>
    <n v="0"/>
    <n v="0"/>
    <n v="0.10664564351290151"/>
    <n v="0.10796437278918214"/>
    <n v="0"/>
    <n v="0.11095498805604521"/>
    <n v="0"/>
    <n v="0.10775471231728308"/>
    <n v="0.11524240586012514"/>
    <n v="0.10903654038921617"/>
  </r>
  <r>
    <x v="197"/>
    <n v="0.10133952188651719"/>
    <n v="0"/>
    <n v="0"/>
    <n v="0.10664312811472619"/>
    <n v="0.10851322200069081"/>
    <n v="0"/>
    <n v="0.10953083781290542"/>
    <n v="0"/>
    <n v="0.10684369415916661"/>
    <n v="0.1139998114235954"/>
    <n v="0.10835403841058477"/>
  </r>
  <r>
    <x v="198"/>
    <n v="0.10092561301871417"/>
    <n v="0"/>
    <n v="0"/>
    <n v="0.10603484945062046"/>
    <n v="0.10739310816106705"/>
    <n v="0"/>
    <n v="0.10610633068028384"/>
    <n v="0"/>
    <n v="0.10490841654079386"/>
    <n v="0.11044514527608262"/>
    <n v="0.10638625611594366"/>
  </r>
  <r>
    <x v="199"/>
    <n v="0.10016445882787671"/>
    <n v="0"/>
    <n v="0"/>
    <n v="0.10779100145551856"/>
    <n v="0.10932933064480889"/>
    <n v="0"/>
    <n v="0.10604148259108515"/>
    <n v="0"/>
    <n v="0.10439348806127825"/>
    <n v="0.10906018395175711"/>
    <n v="0.10674325766191049"/>
  </r>
  <r>
    <x v="200"/>
    <n v="9.9655374873225178E-2"/>
    <n v="0"/>
    <n v="0"/>
    <n v="0.10325036910440177"/>
    <n v="0.10834454220301847"/>
    <n v="0"/>
    <n v="0.10113306305110846"/>
    <n v="0"/>
    <n v="0.10357928546920459"/>
    <n v="0.10733823837577618"/>
    <n v="9.9950766002614197E-2"/>
  </r>
  <r>
    <x v="201"/>
    <n v="9.7830660379647938E-2"/>
    <n v="0"/>
    <n v="0"/>
    <n v="0.10271558614733634"/>
    <n v="0.10582483472712578"/>
    <n v="0"/>
    <n v="0.1012321258828135"/>
    <n v="0"/>
    <n v="0.10103645228638601"/>
    <n v="0.10271727371389883"/>
    <n v="0.10141823663577544"/>
  </r>
  <r>
    <x v="202"/>
    <n v="9.4086790062739567E-2"/>
    <n v="0"/>
    <n v="0"/>
    <n v="0.10186284009207668"/>
    <n v="0.10413185629888755"/>
    <n v="0"/>
    <n v="0.10131887749282086"/>
    <n v="0"/>
    <n v="9.8744459435345502E-2"/>
    <n v="9.4403732923643346E-2"/>
    <n v="0.10254940144002278"/>
  </r>
  <r>
    <x v="203"/>
    <n v="9.2681416416304785E-2"/>
    <n v="0"/>
    <n v="0"/>
    <n v="0.10534414133309265"/>
    <n v="0.10211813041112074"/>
    <n v="0"/>
    <n v="0.10515106297605371"/>
    <n v="0"/>
    <n v="0.10068339926952487"/>
    <n v="9.12866549713236E-2"/>
    <n v="0.1092953800367229"/>
  </r>
  <r>
    <x v="204"/>
    <n v="9.0300000000000005E-2"/>
    <n v="0"/>
    <n v="0"/>
    <n v="0.1012"/>
    <n v="9.9099999999999994E-2"/>
    <n v="0"/>
    <n v="0.1008"/>
    <n v="0"/>
    <n v="9.7100000000000006E-2"/>
    <n v="8.9200000000000002E-2"/>
    <n v="0.1042"/>
  </r>
  <r>
    <x v="205"/>
    <n v="8.582010546037333E-2"/>
    <n v="0"/>
    <n v="0"/>
    <n v="9.4323306855102373E-2"/>
    <n v="9.5530956678619314E-2"/>
    <n v="0"/>
    <n v="9.8148129286546718E-2"/>
    <n v="0"/>
    <n v="9.0820418482159493E-2"/>
    <n v="7.8290575027649467E-2"/>
    <n v="0.10065741233676807"/>
  </r>
  <r>
    <x v="206"/>
    <n v="8.3998310103541099E-2"/>
    <n v="0"/>
    <n v="0"/>
    <n v="9.5265348924598481E-2"/>
    <n v="9.8475890546057432E-2"/>
    <n v="0"/>
    <n v="9.5824578676429351E-2"/>
    <n v="0"/>
    <n v="9.0837125442705821E-2"/>
    <n v="7.6329725959820571E-2"/>
    <n v="9.7583595521562927E-2"/>
  </r>
  <r>
    <x v="207"/>
    <n v="8.9887902139304643E-2"/>
    <n v="0"/>
    <n v="0"/>
    <n v="9.8462068669299865E-2"/>
    <n v="0.10387572311842931"/>
    <n v="0"/>
    <n v="0.10100249854610821"/>
    <n v="0"/>
    <n v="9.372959156840753E-2"/>
    <n v="8.8254046120835206E-2"/>
    <n v="0.10220071095669582"/>
  </r>
  <r>
    <x v="208"/>
    <n v="9.2177206148644122E-2"/>
    <n v="0"/>
    <n v="0"/>
    <n v="0.10348637019250395"/>
    <n v="0.10618888824519444"/>
    <n v="0"/>
    <n v="0.10228598889628859"/>
    <n v="0"/>
    <n v="9.4503514860335702E-2"/>
    <n v="8.6407613320180557E-2"/>
    <n v="0.10420588379270823"/>
  </r>
  <r>
    <x v="209"/>
    <n v="9.2267291504552595E-2"/>
    <n v="0"/>
    <n v="0"/>
    <n v="0.10442353293854367"/>
    <n v="0.1077773900553991"/>
    <n v="0"/>
    <n v="0.10452331227528999"/>
    <n v="0"/>
    <n v="9.6067714264413309E-2"/>
    <n v="9.0252716102462008E-2"/>
    <n v="0.10466082545192258"/>
  </r>
  <r>
    <x v="210"/>
    <n v="9.8367944647755015E-2"/>
    <n v="0"/>
    <n v="0"/>
    <n v="0.10309253956354357"/>
    <n v="0.10836545762495643"/>
    <n v="0"/>
    <n v="0.104148497553612"/>
    <n v="0"/>
    <n v="0.10509646462492217"/>
    <n v="9.6264679722950941E-2"/>
    <n v="0.10253594422271274"/>
  </r>
  <r>
    <x v="211"/>
    <n v="0.11208685864154111"/>
    <n v="0"/>
    <n v="0"/>
    <n v="0.11205648775777967"/>
    <n v="0.11031352745125587"/>
    <n v="0"/>
    <n v="0.11472428748980355"/>
    <n v="0"/>
    <n v="0.11249968032007507"/>
    <n v="0.12009354484746314"/>
    <n v="0.11568772364349013"/>
  </r>
  <r>
    <x v="212"/>
    <n v="0.11126214170848116"/>
    <n v="0"/>
    <n v="0"/>
    <n v="0.11582739425032894"/>
    <n v="0.1165198415483568"/>
    <n v="0"/>
    <n v="0.12050198476674279"/>
    <n v="0"/>
    <n v="0.1110152140216696"/>
    <n v="0.13175319719629863"/>
    <n v="0.12328770633768382"/>
  </r>
  <r>
    <x v="213"/>
    <n v="0.11035030851677942"/>
    <n v="0"/>
    <n v="0"/>
    <n v="0.11142816291366643"/>
    <n v="0.116310365879581"/>
    <n v="0"/>
    <n v="0.11594707358814471"/>
    <n v="0"/>
    <n v="0.10913491090184912"/>
    <n v="0.13074833090134241"/>
    <n v="0.11726391662759506"/>
  </r>
  <r>
    <x v="214"/>
    <n v="0.1144640128869041"/>
    <n v="0"/>
    <n v="0"/>
    <n v="0.10879920088323614"/>
    <n v="0.11859808500558146"/>
    <n v="0"/>
    <n v="0.11294150069156927"/>
    <n v="0"/>
    <n v="0.11022279460367201"/>
    <n v="0.13629175236584912"/>
    <n v="0.11319400719771068"/>
  </r>
  <r>
    <x v="215"/>
    <n v="0.118180708558695"/>
    <n v="0"/>
    <n v="0"/>
    <n v="0.10789345702637165"/>
    <n v="0.12121986740066128"/>
    <n v="0"/>
    <n v="0.11209002500026122"/>
    <n v="0"/>
    <n v="0.10769349549565232"/>
    <n v="0.14054432281689677"/>
    <n v="0.11189698964984629"/>
  </r>
  <r>
    <x v="216"/>
    <n v="0.12403102634209917"/>
    <n v="0"/>
    <n v="0"/>
    <n v="0.11180265815103407"/>
    <n v="0.12512049282467097"/>
    <n v="0"/>
    <n v="0.11281429051026981"/>
    <n v="0"/>
    <n v="0.11056430165874342"/>
    <n v="0.14136299129598173"/>
    <n v="0.11329763210175647"/>
  </r>
  <r>
    <x v="217"/>
    <n v="0.14226320101825962"/>
    <n v="0"/>
    <n v="0"/>
    <n v="0.13180441508707652"/>
    <n v="0.13026840098833303"/>
    <n v="0"/>
    <n v="0.11972082319374033"/>
    <n v="0"/>
    <n v="0.11777831641093295"/>
    <n v="0.15570885202549611"/>
    <n v="0.11699177399133998"/>
  </r>
  <r>
    <x v="218"/>
    <n v="0.14641842319407083"/>
    <n v="0"/>
    <n v="0"/>
    <n v="0.13131552682460979"/>
    <n v="0.12982395830841265"/>
    <n v="0"/>
    <n v="0.11719093812031378"/>
    <n v="0"/>
    <n v="0.11962485004223054"/>
    <n v="0.15189548225842042"/>
    <n v="0.11291563005751737"/>
  </r>
  <r>
    <x v="219"/>
    <n v="0.15156122800612359"/>
    <n v="0"/>
    <n v="0"/>
    <n v="0.14195612716649508"/>
    <n v="0.12879883616098464"/>
    <n v="0"/>
    <n v="0.11556879797440223"/>
    <n v="0"/>
    <n v="0.12208931843587578"/>
    <n v="0.13679370341634223"/>
    <n v="0.11161819061440671"/>
  </r>
  <r>
    <x v="220"/>
    <n v="0.13958479431080084"/>
    <n v="0"/>
    <n v="0"/>
    <n v="0.13478142824302797"/>
    <n v="0.12736359440524492"/>
    <n v="0"/>
    <n v="0.11327485766300249"/>
    <n v="0"/>
    <n v="0.12461008489044169"/>
    <n v="0.13795247548886236"/>
    <n v="0.10942515921575759"/>
  </r>
  <r>
    <x v="221"/>
    <n v="0.13922097077368933"/>
    <n v="0"/>
    <n v="0"/>
    <n v="0.13438373084799604"/>
    <n v="0.12690673977599665"/>
    <n v="0"/>
    <n v="0.11451794562210547"/>
    <n v="0"/>
    <n v="0.12650133493729943"/>
    <n v="0.13084391372980808"/>
    <n v="0.1127331624895309"/>
  </r>
  <r>
    <x v="222"/>
    <n v="0.1342682899356642"/>
    <n v="0"/>
    <n v="0"/>
    <n v="0.13222144817912884"/>
    <n v="0.12584365392629215"/>
    <n v="0"/>
    <n v="0.11413522352899808"/>
    <n v="0"/>
    <n v="0.11777802565684968"/>
    <n v="0.11842134972706543"/>
    <n v="0.11206399158716905"/>
  </r>
  <r>
    <x v="223"/>
    <n v="0.1115684546489495"/>
    <n v="0"/>
    <n v="0"/>
    <n v="0.10613385327208548"/>
    <n v="0.11144867141437764"/>
    <n v="0"/>
    <n v="8.389902821445494E-2"/>
    <n v="0"/>
    <n v="9.1861810168923252E-2"/>
    <n v="9.1115715931055372E-2"/>
    <n v="7.7364073191036109E-2"/>
  </r>
  <r>
    <x v="224"/>
    <n v="0.11397728953569362"/>
    <n v="0"/>
    <n v="0"/>
    <n v="0.10761454580919994"/>
    <n v="0.10501604427935263"/>
    <n v="0"/>
    <n v="8.5027514118343639E-2"/>
    <n v="0"/>
    <n v="9.5167918447998989E-2"/>
    <n v="7.8379996188803869E-2"/>
    <n v="7.9374752568673212E-2"/>
  </r>
  <r>
    <x v="225"/>
    <n v="0.11182277534534023"/>
    <n v="0"/>
    <n v="0"/>
    <n v="0.1068836140849756"/>
    <n v="0.10188421435195473"/>
    <n v="0"/>
    <n v="8.3846161595197768E-2"/>
    <n v="0"/>
    <n v="9.3455416416201378E-2"/>
    <n v="7.7120404674677845E-2"/>
    <n v="7.869502386776861E-2"/>
  </r>
  <r>
    <x v="226"/>
    <n v="0.10587525072791039"/>
    <n v="0"/>
    <n v="0"/>
    <n v="0.10183160535606772"/>
    <n v="9.7256047531790735E-2"/>
    <n v="0"/>
    <n v="7.8020265226164121E-2"/>
    <n v="0"/>
    <n v="8.5692876133283344E-2"/>
    <n v="7.0654083701583437E-2"/>
    <n v="7.2713163053901075E-2"/>
  </r>
  <r>
    <x v="227"/>
    <n v="9.8008539883265092E-2"/>
    <n v="0"/>
    <n v="0"/>
    <n v="9.2261781800756074E-2"/>
    <n v="9.1238047994250948E-2"/>
    <n v="0"/>
    <n v="6.8229429061780422E-2"/>
    <n v="0"/>
    <n v="7.9942296642503186E-2"/>
    <n v="6.3148563026199866E-2"/>
    <n v="6.1124017214693627E-2"/>
  </r>
  <r>
    <x v="228"/>
    <n v="8.8700628217042374E-2"/>
    <n v="0"/>
    <n v="0"/>
    <n v="8.4744086983125091E-2"/>
    <n v="8.3953443528721472E-2"/>
    <n v="0"/>
    <n v="6.4040633323804386E-2"/>
    <n v="0"/>
    <n v="7.3952778447284651E-2"/>
    <n v="6.0422254968580669E-2"/>
    <n v="5.6104230916522502E-2"/>
  </r>
  <r>
    <x v="229"/>
    <n v="6.8370536161678874E-2"/>
    <n v="0"/>
    <n v="0"/>
    <n v="6.2958490928391342E-2"/>
    <n v="7.4450707643326508E-2"/>
    <n v="0"/>
    <n v="4.8043519398639711E-2"/>
    <n v="0"/>
    <n v="6.1740296505523373E-2"/>
    <n v="4.8697953538965999E-2"/>
    <n v="4.3540561609250572E-2"/>
  </r>
  <r>
    <x v="230"/>
    <n v="6.4474225611225178E-2"/>
    <n v="0"/>
    <n v="0"/>
    <n v="5.9021275177932431E-2"/>
    <n v="7.0877791003089108E-2"/>
    <n v="0"/>
    <n v="4.8592064665547552E-2"/>
    <n v="0"/>
    <n v="5.6343199347748785E-2"/>
    <n v="5.2855776688865763E-2"/>
    <n v="4.5983901300559848E-2"/>
  </r>
  <r>
    <x v="231"/>
    <n v="5.5577990376155073E-2"/>
    <n v="0"/>
    <n v="0"/>
    <n v="4.6497318426018897E-2"/>
    <n v="7.3131716836325467E-2"/>
    <n v="0"/>
    <n v="4.5643097388447851E-2"/>
    <n v="0"/>
    <n v="5.3646484224963764E-2"/>
    <n v="5.5931626264394296E-2"/>
    <n v="4.5165859167436428E-2"/>
  </r>
  <r>
    <x v="232"/>
    <n v="6.5100000000000005E-2"/>
    <n v="0"/>
    <n v="0"/>
    <n v="5.04E-2"/>
    <n v="7.2499999999999995E-2"/>
    <n v="0"/>
    <n v="4.7699999999999999E-2"/>
    <n v="0"/>
    <n v="5.4800000000000001E-2"/>
    <n v="5.5E-2"/>
    <n v="4.7899999999999998E-2"/>
  </r>
  <r>
    <x v="233"/>
    <n v="6.9800000000000001E-2"/>
    <n v="0"/>
    <n v="0"/>
    <n v="5.6399999999999999E-2"/>
    <n v="7.3400000000000007E-2"/>
    <n v="0"/>
    <n v="5.1999999999999998E-2"/>
    <n v="0"/>
    <n v="6.0600000000000001E-2"/>
    <n v="5.7099999999999998E-2"/>
    <n v="5.3100000000000001E-2"/>
  </r>
  <r>
    <x v="234"/>
    <n v="6.9873534242844926E-2"/>
    <n v="0"/>
    <n v="0"/>
    <n v="5.807701771616447E-2"/>
    <n v="7.2985750405644589E-2"/>
    <n v="0"/>
    <n v="5.3009019056234896E-2"/>
    <n v="0"/>
    <n v="6.000731760710809E-2"/>
    <n v="6.217108701005758E-2"/>
    <n v="5.6942892614301632E-2"/>
  </r>
  <r>
    <x v="235"/>
    <n v="7.5240997992058745E-2"/>
    <n v="0"/>
    <n v="0"/>
    <n v="6.9357681184161635E-2"/>
    <n v="8.717175091754692E-2"/>
    <n v="0"/>
    <n v="6.7373323583467926E-2"/>
    <n v="0"/>
    <n v="7.5778725258275115E-2"/>
    <n v="6.2359567978681252E-2"/>
    <n v="7.4542003837501758E-2"/>
  </r>
  <r>
    <x v="236"/>
    <n v="6.9800000000000001E-2"/>
    <n v="0"/>
    <n v="0"/>
    <n v="6.5100000000000005E-2"/>
    <n v="8.6099999999999996E-2"/>
    <n v="0"/>
    <n v="6.2799999999999995E-2"/>
    <n v="0"/>
    <n v="7.2400000000000006E-2"/>
    <n v="6.3899999999999998E-2"/>
    <n v="7.0300000000000001E-2"/>
  </r>
  <r>
    <x v="237"/>
    <n v="6.9599999999999995E-2"/>
    <n v="0"/>
    <n v="0"/>
    <n v="6.3600000000000004E-2"/>
    <n v="8.6499999999999994E-2"/>
    <n v="0"/>
    <n v="6.08E-2"/>
    <n v="0"/>
    <n v="7.0699999999999999E-2"/>
    <n v="6.5199999999999994E-2"/>
    <n v="6.8500000000000005E-2"/>
  </r>
  <r>
    <x v="238"/>
    <n v="6.8199999999999997E-2"/>
    <n v="0"/>
    <n v="0"/>
    <n v="6.3500000000000001E-2"/>
    <n v="8.8499999999999995E-2"/>
    <n v="0"/>
    <n v="0.06"/>
    <n v="0"/>
    <n v="7.17E-2"/>
    <n v="6.7199999999999996E-2"/>
    <n v="6.8000000000000005E-2"/>
  </r>
  <r>
    <x v="239"/>
    <n v="6.93E-2"/>
    <n v="0"/>
    <n v="0"/>
    <n v="6.5799999999999997E-2"/>
    <n v="9.1600000000000001E-2"/>
    <n v="0"/>
    <n v="6.4799999999999996E-2"/>
    <n v="0"/>
    <n v="7.5499999999999998E-2"/>
    <n v="7.0099999999999996E-2"/>
    <n v="7.1499999999999994E-2"/>
  </r>
  <r>
    <x v="240"/>
    <n v="7.2999999999999995E-2"/>
    <n v="0"/>
    <n v="0"/>
    <n v="7.2599999999999998E-2"/>
    <n v="9.4200000000000006E-2"/>
    <n v="0"/>
    <n v="7.51E-2"/>
    <n v="0"/>
    <n v="8.1600000000000006E-2"/>
    <n v="7.1599999999999997E-2"/>
    <n v="8.0299999999999996E-2"/>
  </r>
  <r>
    <x v="241"/>
    <n v="7.8617664597696993E-2"/>
    <n v="0"/>
    <n v="0"/>
    <n v="8.3946760235894494E-2"/>
    <n v="0.10071429166598156"/>
    <n v="0"/>
    <n v="8.5148240389293375E-2"/>
    <n v="0"/>
    <n v="9.0556643128345549E-2"/>
    <n v="7.2011379171560419E-2"/>
    <n v="8.9820278101889736E-2"/>
  </r>
  <r>
    <x v="242"/>
    <n v="8.0913689020889912E-2"/>
    <n v="0"/>
    <n v="0"/>
    <n v="8.6444526037547487E-2"/>
    <n v="0.10351086061019131"/>
    <n v="0"/>
    <n v="9.1082237172202429E-2"/>
    <n v="0"/>
    <n v="9.6187177722101502E-2"/>
    <n v="7.2369727259071759E-2"/>
    <n v="9.3608486605246011E-2"/>
  </r>
  <r>
    <x v="243"/>
    <n v="7.9967238980699351E-2"/>
    <n v="0"/>
    <n v="0"/>
    <n v="8.7653801780455107E-2"/>
    <n v="9.9391665425527354E-2"/>
    <n v="0"/>
    <n v="9.2936389311319978E-2"/>
    <n v="0"/>
    <n v="9.5757368782191113E-2"/>
    <n v="7.3086514846146367E-2"/>
    <n v="9.341369177848069E-2"/>
  </r>
  <r>
    <x v="244"/>
    <n v="7.7669732726891372E-2"/>
    <n v="0"/>
    <n v="0"/>
    <n v="8.338232013728053E-2"/>
    <n v="9.8944657560461766E-2"/>
    <n v="0"/>
    <n v="9.1190778701916178E-2"/>
    <n v="0"/>
    <n v="9.0454888383380005E-2"/>
    <n v="7.3546902001276226E-2"/>
    <n v="8.9544673143662212E-2"/>
  </r>
  <r>
    <x v="245"/>
    <n v="7.7204221947354323E-2"/>
    <n v="0"/>
    <n v="0"/>
    <n v="7.8138908190303891E-2"/>
    <n v="9.9414732681418094E-2"/>
    <n v="0"/>
    <n v="9.5768498580890871E-2"/>
    <n v="0"/>
    <n v="8.9409724817357095E-2"/>
    <n v="7.3086497397832684E-2"/>
    <n v="8.3203926334589173E-2"/>
  </r>
  <r>
    <x v="246"/>
    <n v="7.7517025387872751E-2"/>
    <n v="0"/>
    <n v="0"/>
    <n v="7.9845142801871383E-2"/>
    <n v="0.10230824858174901"/>
    <n v="0"/>
    <n v="0.10181157046230549"/>
    <n v="0"/>
    <n v="9.1647066422474222E-2"/>
    <n v="7.3991770789214373E-2"/>
    <n v="8.5336978874501104E-2"/>
  </r>
  <r>
    <x v="247"/>
    <n v="8.0602316398818305E-2"/>
    <n v="0"/>
    <n v="0"/>
    <n v="8.5124517999562332E-2"/>
    <n v="9.9323523736239316E-2"/>
    <n v="0"/>
    <n v="0.10589068582821938"/>
    <n v="0"/>
    <n v="9.4851032021699311E-2"/>
    <n v="7.4847481010937411E-2"/>
    <n v="9.0038489489733475E-2"/>
  </r>
  <r>
    <x v="248"/>
    <n v="8.456367797415254E-2"/>
    <n v="0"/>
    <n v="0"/>
    <n v="8.9184401376023903E-2"/>
    <n v="0.10276906376798746"/>
    <n v="0"/>
    <n v="0.1101519015447856"/>
    <n v="0"/>
    <n v="0.10049033018174347"/>
    <n v="7.4767313122525048E-2"/>
    <n v="9.3838048257417483E-2"/>
  </r>
  <r>
    <x v="249"/>
    <n v="8.6504929857061055E-2"/>
    <n v="0"/>
    <n v="0"/>
    <n v="9.2419568080799083E-2"/>
    <n v="0.1063601240138372"/>
    <n v="0"/>
    <n v="0.11411981693937868"/>
    <n v="0"/>
    <n v="0.1059351109405271"/>
    <n v="7.9203298653718113E-2"/>
    <n v="9.8824655379199586E-2"/>
  </r>
  <r>
    <x v="250"/>
    <n v="8.8135057714059162E-2"/>
    <n v="0"/>
    <n v="0"/>
    <n v="9.4824826102477111E-2"/>
    <n v="0.10870075828032766"/>
    <n v="0"/>
    <n v="0.11582565705731085"/>
    <n v="0"/>
    <n v="0.10782296078659993"/>
    <n v="8.1584007385760562E-2"/>
    <n v="0.10092968780304791"/>
  </r>
  <r>
    <x v="251"/>
    <n v="8.8477739878786613E-2"/>
    <n v="0"/>
    <n v="0"/>
    <n v="9.4619905594262477E-2"/>
    <n v="0.10735466463492438"/>
    <n v="0"/>
    <n v="0.11386243253183181"/>
    <n v="0"/>
    <n v="0.10845614977122577"/>
    <n v="8.3490386623730858E-2"/>
    <n v="0.10334934866167256"/>
  </r>
  <r>
    <x v="252"/>
    <n v="8.6937232881217685E-2"/>
    <n v="0"/>
    <n v="0"/>
    <n v="9.0715491908253329E-2"/>
    <n v="0.10922334581447535"/>
    <n v="0"/>
    <n v="0.10824688082200584"/>
    <n v="0"/>
    <n v="0.10560928509696144"/>
    <n v="8.4546824875289861E-2"/>
    <n v="9.8847111358872475E-2"/>
  </r>
  <r>
    <x v="253"/>
    <n v="8.5858425087561377E-2"/>
    <n v="0"/>
    <n v="0"/>
    <n v="8.3818299502684823E-2"/>
    <n v="0.10569659692707865"/>
    <n v="0"/>
    <n v="0.10460519331012064"/>
    <n v="0"/>
    <n v="0.10355562369377914"/>
    <n v="8.7699280883400732E-2"/>
    <n v="9.6592616748998564E-2"/>
  </r>
  <r>
    <x v="254"/>
    <n v="8.5300000000000001E-2"/>
    <n v="0"/>
    <n v="0"/>
    <n v="8.3900000000000002E-2"/>
    <n v="0.1052"/>
    <n v="0"/>
    <n v="0.1004"/>
    <n v="0"/>
    <n v="9.9699999999999997E-2"/>
    <n v="8.9700000000000002E-2"/>
    <n v="9.7299999999999998E-2"/>
  </r>
  <r>
    <x v="255"/>
    <n v="8.55813921934927E-2"/>
    <n v="0"/>
    <n v="0"/>
    <n v="8.3905418624783401E-2"/>
    <n v="0.10935673687788426"/>
    <n v="0"/>
    <n v="0.10051687445778711"/>
    <n v="0"/>
    <n v="0.10227794722940796"/>
    <n v="9.0479772613949225E-2"/>
    <n v="9.7675845665219155E-2"/>
  </r>
  <r>
    <x v="256"/>
    <n v="8.495942402616663E-2"/>
    <n v="0"/>
    <n v="0"/>
    <n v="8.533593356431958E-2"/>
    <n v="0.11421996508848631"/>
    <n v="0"/>
    <n v="0.10136603809079393"/>
    <n v="0"/>
    <n v="0.10553648075204602"/>
    <n v="9.1168790128163479E-2"/>
    <n v="0.10275606707288887"/>
  </r>
  <r>
    <x v="257"/>
    <n v="8.149307391145498E-2"/>
    <n v="0"/>
    <n v="0"/>
    <n v="8.9784927552194027E-2"/>
    <n v="0.11165974148885137"/>
    <n v="0"/>
    <n v="9.9190425706926919E-2"/>
    <n v="0"/>
    <n v="0.11034550165634549"/>
    <n v="9.2821105336019727E-2"/>
    <n v="0.10472656299808492"/>
  </r>
  <r>
    <x v="258"/>
    <n v="8.1234293571038632E-2"/>
    <n v="0"/>
    <n v="0"/>
    <n v="8.8660578909705468E-2"/>
    <n v="0.11136231303157128"/>
    <n v="0"/>
    <n v="9.6338151023807259E-2"/>
    <n v="0"/>
    <n v="0.1101444556340818"/>
    <n v="0.10160726847994273"/>
    <n v="0.10215052932097723"/>
  </r>
  <r>
    <x v="259"/>
    <n v="8.1213279059682453E-2"/>
    <n v="0"/>
    <n v="0"/>
    <n v="8.7227610403737041E-2"/>
    <n v="0.10944716649848241"/>
    <n v="0"/>
    <n v="9.5939315535378919E-2"/>
    <n v="0"/>
    <n v="0.10966136608659148"/>
    <n v="0.1018846607602697"/>
    <n v="0.10273157156611878"/>
  </r>
  <r>
    <x v="260"/>
    <n v="8.2802620658461765E-2"/>
    <n v="0"/>
    <n v="0"/>
    <n v="8.9065154747561368E-2"/>
    <n v="0.1103475525749069"/>
    <n v="0"/>
    <n v="9.5949707887682548E-2"/>
    <n v="0"/>
    <n v="0.1085205001833609"/>
    <n v="0.10312402302949053"/>
    <n v="0.10235883705684866"/>
  </r>
  <r>
    <x v="261"/>
    <n v="8.0355461890359248E-2"/>
    <n v="0"/>
    <n v="0"/>
    <n v="8.59346690572005E-2"/>
    <n v="0.11029446679269972"/>
    <n v="0"/>
    <n v="9.1549957598062046E-2"/>
    <n v="0"/>
    <n v="0.10293134111287185"/>
    <n v="0.11214089387073865"/>
    <n v="9.8816997215118274E-2"/>
  </r>
  <r>
    <x v="262"/>
    <n v="7.7957494549591097E-2"/>
    <n v="0"/>
    <n v="0"/>
    <n v="8.2993705392592904E-2"/>
    <n v="0.106012445293435"/>
    <n v="0"/>
    <n v="8.7824927164467798E-2"/>
    <n v="0"/>
    <n v="9.8084550455205893E-2"/>
    <n v="0.109746694385442"/>
    <n v="9.7322603199555102E-2"/>
  </r>
  <r>
    <x v="263"/>
    <n v="7.5097847719329591E-2"/>
    <n v="0"/>
    <n v="0"/>
    <n v="8.2679765426635576E-2"/>
    <n v="0.10537746460746898"/>
    <n v="0"/>
    <n v="8.7413940723592307E-2"/>
    <n v="0"/>
    <n v="9.3451840300568842E-2"/>
    <n v="0.10854879900135117"/>
    <n v="9.3204261446536485E-2"/>
  </r>
  <r>
    <x v="264"/>
    <n v="7.1171152414646777E-2"/>
    <n v="0"/>
    <n v="0"/>
    <n v="7.9279696132496413E-2"/>
    <n v="0.10259228542861454"/>
    <n v="0"/>
    <n v="8.146831554199041E-2"/>
    <n v="0"/>
    <n v="8.8517818350355201E-2"/>
    <n v="0.10732273402376503"/>
    <n v="8.80570221748702E-2"/>
  </r>
  <r>
    <x v="265"/>
    <n v="7.2151787565308795E-2"/>
    <n v="0"/>
    <n v="0"/>
    <n v="8.4403263287229593E-2"/>
    <n v="0.10615461059020299"/>
    <n v="0"/>
    <n v="9.0092970832470295E-2"/>
    <n v="0"/>
    <n v="9.0383456313998203E-2"/>
    <n v="0.103365887833232"/>
    <n v="9.9302688539800496E-2"/>
  </r>
  <r>
    <x v="266"/>
    <n v="7.6295811793554602E-2"/>
    <n v="0"/>
    <n v="0"/>
    <n v="8.8801537522928103E-2"/>
    <n v="0.107994100737466"/>
    <n v="0"/>
    <n v="9.3993193101071598E-2"/>
    <n v="0"/>
    <n v="9.49218977089967E-2"/>
    <n v="0.10392093002472801"/>
    <n v="0.10103639841253401"/>
  </r>
  <r>
    <x v="267"/>
    <n v="7.9804409863712705E-2"/>
    <n v="0"/>
    <n v="0"/>
    <n v="9.4245032072707999E-2"/>
    <n v="0.10362372158406701"/>
    <n v="0"/>
    <n v="9.9127545902973901E-2"/>
    <n v="0"/>
    <n v="9.4888125062102799E-2"/>
    <n v="0.10435622807231899"/>
    <n v="0.103430942651484"/>
  </r>
  <r>
    <x v="268"/>
    <n v="8.0985696899324305E-2"/>
    <n v="0"/>
    <n v="0"/>
    <n v="9.3889700879353097E-2"/>
    <n v="9.9293899386969905E-2"/>
    <n v="0"/>
    <n v="9.8914415074282697E-2"/>
    <n v="0"/>
    <n v="9.35595619597136E-2"/>
    <n v="0.10636802126383001"/>
    <n v="9.9106625020488406E-2"/>
  </r>
  <r>
    <x v="269"/>
    <n v="8.1263207570645202E-2"/>
    <n v="0"/>
    <n v="0"/>
    <n v="9.7166577632961798E-2"/>
    <n v="0.101980335457713"/>
    <n v="0"/>
    <n v="0.10175094795884899"/>
    <n v="0"/>
    <n v="9.5473670317559198E-2"/>
    <n v="0.109410409535286"/>
    <n v="0.100528136656398"/>
  </r>
  <r>
    <x v="270"/>
    <n v="7.68356568727315E-2"/>
    <n v="0"/>
    <n v="0"/>
    <n v="9.2964008935269196E-2"/>
    <n v="9.7003582865161406E-2"/>
    <n v="0"/>
    <n v="9.2569871409894394E-2"/>
    <n v="0"/>
    <n v="8.9395388730890493E-2"/>
    <n v="0.101529837414298"/>
    <n v="9.6796451776457001E-2"/>
  </r>
  <r>
    <x v="271"/>
    <n v="7.1050530145004398E-2"/>
    <n v="0"/>
    <n v="0"/>
    <n v="8.5133175322653201E-2"/>
    <n v="9.4456545790896795E-2"/>
    <n v="0"/>
    <n v="8.5838341740396701E-2"/>
    <n v="0"/>
    <n v="8.3837075709543504E-2"/>
    <n v="0.102424407122402"/>
    <n v="9.0348793573460595E-2"/>
  </r>
  <r>
    <x v="272"/>
    <n v="6.3386299079948305E-2"/>
    <n v="0"/>
    <n v="0"/>
    <n v="7.7364011887411002E-2"/>
    <n v="8.5509749219936801E-2"/>
    <n v="0"/>
    <n v="7.9018057057153701E-2"/>
    <n v="0"/>
    <n v="7.6369718763778405E-2"/>
    <n v="0.101812521896836"/>
    <n v="8.36899276542246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BC1EF-D29D-40C3-AA10-633D3A744F3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15">
    <pivotField axis="axisRow" numFmtId="165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dataField="1" showAll="0"/>
    <pivotField dataField="1" showAll="0"/>
    <pivotField showAll="0"/>
    <pivotField numFmtId="10" showAll="0"/>
    <pivotField showAll="0"/>
    <pivotField showAll="0"/>
    <pivotField numFmtId="10" showAll="0"/>
    <pivotField showAll="0"/>
    <pivotField numFmtId="10" showAll="0"/>
    <pivotField numFmtId="10" showAll="0"/>
    <pivotField numFmtId="10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4">
    <field x="14"/>
    <field x="13"/>
    <field x="12"/>
    <field x="0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lántico" fld="1" baseField="0" baseItem="0"/>
    <dataField name="Sum of Camino1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07A0-CD4D-47CA-97FD-0E994571E77C}">
  <sheetPr codeName="Hoja1"/>
  <dimension ref="A1:D280"/>
  <sheetViews>
    <sheetView showGridLines="0" view="pageBreakPreview" zoomScaleNormal="100" zoomScaleSheetLayoutView="100" workbookViewId="0">
      <pane xSplit="2" ySplit="4" topLeftCell="C263" activePane="bottomRight" state="frozen"/>
      <selection pane="topRight" activeCell="B2" sqref="B2:G2"/>
      <selection pane="bottomLeft" activeCell="B2" sqref="B2:G2"/>
      <selection pane="bottomRight" activeCell="B5" sqref="B5:C277"/>
    </sheetView>
  </sheetViews>
  <sheetFormatPr defaultColWidth="11.453125" defaultRowHeight="16.5" x14ac:dyDescent="0.25"/>
  <cols>
    <col min="1" max="1" width="5.26953125" style="1" customWidth="1"/>
    <col min="2" max="2" width="13" style="1" customWidth="1"/>
    <col min="3" max="4" width="20.7265625" style="1" customWidth="1"/>
    <col min="5" max="5" width="8.26953125" style="1" customWidth="1"/>
    <col min="6" max="16384" width="11.453125" style="1"/>
  </cols>
  <sheetData>
    <row r="1" spans="1:4" x14ac:dyDescent="0.25">
      <c r="A1" s="50"/>
      <c r="B1" s="50"/>
      <c r="C1" s="50"/>
      <c r="D1" s="50"/>
    </row>
    <row r="2" spans="1:4" ht="19.5" thickBot="1" x14ac:dyDescent="0.3">
      <c r="B2" s="51" t="s">
        <v>0</v>
      </c>
      <c r="C2" s="51"/>
      <c r="D2" s="51"/>
    </row>
    <row r="3" spans="1:4" ht="16.5" customHeight="1" thickTop="1" thickBot="1" x14ac:dyDescent="0.3">
      <c r="B3" s="2" t="s">
        <v>1</v>
      </c>
      <c r="C3" s="30"/>
      <c r="D3" s="30"/>
    </row>
    <row r="4" spans="1:4" ht="49.5" customHeight="1" thickTop="1" x14ac:dyDescent="0.25">
      <c r="B4" s="31" t="s">
        <v>2</v>
      </c>
      <c r="C4" s="31" t="s">
        <v>3</v>
      </c>
      <c r="D4" s="31" t="s">
        <v>4</v>
      </c>
    </row>
    <row r="5" spans="1:4" ht="15" customHeight="1" x14ac:dyDescent="0.25">
      <c r="B5" s="32">
        <v>37833</v>
      </c>
      <c r="C5" s="3">
        <v>0.19686629615169846</v>
      </c>
      <c r="D5" s="3">
        <v>0.19369000357109978</v>
      </c>
    </row>
    <row r="6" spans="1:4" ht="15" customHeight="1" x14ac:dyDescent="0.25">
      <c r="B6" s="32">
        <v>37864</v>
      </c>
      <c r="C6" s="3">
        <v>0.20849547180749634</v>
      </c>
      <c r="D6" s="3">
        <v>0.20713236253440825</v>
      </c>
    </row>
    <row r="7" spans="1:4" ht="15" customHeight="1" x14ac:dyDescent="0.25">
      <c r="B7" s="32">
        <v>37894</v>
      </c>
      <c r="C7" s="3">
        <v>0.22939999999999999</v>
      </c>
      <c r="D7" s="3">
        <v>0.21510000000000001</v>
      </c>
    </row>
    <row r="8" spans="1:4" ht="15" customHeight="1" x14ac:dyDescent="0.25">
      <c r="B8" s="32">
        <v>37925</v>
      </c>
      <c r="C8" s="3">
        <v>0.2359561353803459</v>
      </c>
      <c r="D8" s="3">
        <v>0.22995781795218523</v>
      </c>
    </row>
    <row r="9" spans="1:4" ht="15" customHeight="1" x14ac:dyDescent="0.25">
      <c r="B9" s="32">
        <v>37955</v>
      </c>
      <c r="C9" s="3">
        <v>0.23683728601708512</v>
      </c>
      <c r="D9" s="3">
        <v>0.23079176234872312</v>
      </c>
    </row>
    <row r="10" spans="1:4" ht="15" customHeight="1" x14ac:dyDescent="0.25">
      <c r="B10" s="32">
        <v>37986</v>
      </c>
      <c r="C10" s="3">
        <v>0.24099999999999999</v>
      </c>
      <c r="D10" s="3">
        <v>0.23569999999999999</v>
      </c>
    </row>
    <row r="11" spans="1:4" ht="15" customHeight="1" x14ac:dyDescent="0.25">
      <c r="B11" s="32">
        <v>38017</v>
      </c>
      <c r="C11" s="3">
        <v>0.23895105849375092</v>
      </c>
      <c r="D11" s="3">
        <v>0.2342744612130509</v>
      </c>
    </row>
    <row r="12" spans="1:4" ht="15" customHeight="1" x14ac:dyDescent="0.25">
      <c r="B12" s="32">
        <v>38046</v>
      </c>
      <c r="C12" s="3">
        <v>0.23854314767140455</v>
      </c>
      <c r="D12" s="3">
        <v>0.233023514433705</v>
      </c>
    </row>
    <row r="13" spans="1:4" ht="15" customHeight="1" x14ac:dyDescent="0.25">
      <c r="B13" s="32">
        <v>38077</v>
      </c>
      <c r="C13" s="3">
        <v>0.24379999999999999</v>
      </c>
      <c r="D13" s="3">
        <v>0.2389</v>
      </c>
    </row>
    <row r="14" spans="1:4" ht="15" customHeight="1" x14ac:dyDescent="0.25">
      <c r="B14" s="32">
        <v>38107</v>
      </c>
      <c r="C14" s="3">
        <v>0.24649333817744701</v>
      </c>
      <c r="D14" s="3">
        <v>0.24215094964653799</v>
      </c>
    </row>
    <row r="15" spans="1:4" ht="15" customHeight="1" x14ac:dyDescent="0.25">
      <c r="B15" s="32">
        <v>38138</v>
      </c>
      <c r="C15" s="3">
        <v>0.25285480888733097</v>
      </c>
      <c r="D15" s="3">
        <v>0.248647960380253</v>
      </c>
    </row>
    <row r="16" spans="1:4" ht="15" customHeight="1" x14ac:dyDescent="0.25">
      <c r="B16" s="32">
        <v>38168</v>
      </c>
      <c r="C16" s="3">
        <v>0.25175884853706698</v>
      </c>
      <c r="D16" s="3">
        <v>0.24867163477509091</v>
      </c>
    </row>
    <row r="17" spans="2:4" ht="15" customHeight="1" x14ac:dyDescent="0.25">
      <c r="B17" s="32">
        <v>38199</v>
      </c>
      <c r="C17" s="3">
        <v>0.25542258326646</v>
      </c>
      <c r="D17" s="3">
        <v>0.25481474201994098</v>
      </c>
    </row>
    <row r="18" spans="2:4" ht="15" customHeight="1" x14ac:dyDescent="0.25">
      <c r="B18" s="32">
        <v>38230</v>
      </c>
      <c r="C18" s="3">
        <v>0.24010727217587799</v>
      </c>
      <c r="D18" s="3">
        <v>0.24551439819663601</v>
      </c>
    </row>
    <row r="19" spans="2:4" ht="15" customHeight="1" x14ac:dyDescent="0.25">
      <c r="B19" s="32">
        <v>38260</v>
      </c>
      <c r="C19" s="3">
        <v>0.23019999999999999</v>
      </c>
      <c r="D19" s="3">
        <v>0.23860000000000001</v>
      </c>
    </row>
    <row r="20" spans="2:4" ht="15" customHeight="1" x14ac:dyDescent="0.25">
      <c r="B20" s="32">
        <v>38291</v>
      </c>
      <c r="C20" s="3">
        <v>0.22711751413385201</v>
      </c>
      <c r="D20" s="3">
        <v>0.235424576019374</v>
      </c>
    </row>
    <row r="21" spans="2:4" ht="15" customHeight="1" x14ac:dyDescent="0.25">
      <c r="B21" s="32">
        <v>38321</v>
      </c>
      <c r="C21" s="3">
        <v>0.222256457796563</v>
      </c>
      <c r="D21" s="3">
        <v>0.232874097405733</v>
      </c>
    </row>
    <row r="22" spans="2:4" ht="15" customHeight="1" x14ac:dyDescent="0.25">
      <c r="B22" s="32">
        <v>38352</v>
      </c>
      <c r="C22" s="3">
        <v>0.22987130488506399</v>
      </c>
      <c r="D22" s="3">
        <v>0.238433752130429</v>
      </c>
    </row>
    <row r="23" spans="2:4" ht="15" customHeight="1" x14ac:dyDescent="0.25">
      <c r="B23" s="32">
        <v>38383</v>
      </c>
      <c r="C23" s="3">
        <v>0.23388411756871699</v>
      </c>
      <c r="D23" s="3">
        <v>0.24191464167170201</v>
      </c>
    </row>
    <row r="24" spans="2:4" ht="15" customHeight="1" x14ac:dyDescent="0.25">
      <c r="B24" s="32">
        <v>38411</v>
      </c>
      <c r="C24" s="3">
        <v>0.23359483064768</v>
      </c>
      <c r="D24" s="3">
        <v>0.24212788305977301</v>
      </c>
    </row>
    <row r="25" spans="2:4" ht="15" customHeight="1" x14ac:dyDescent="0.25">
      <c r="B25" s="32">
        <v>38442</v>
      </c>
      <c r="C25" s="3">
        <v>0.23147085873475801</v>
      </c>
      <c r="D25" s="3">
        <v>0.23978703486560499</v>
      </c>
    </row>
    <row r="26" spans="2:4" ht="15" customHeight="1" x14ac:dyDescent="0.25">
      <c r="B26" s="32">
        <v>38472</v>
      </c>
      <c r="C26" s="3">
        <v>0.2245773077103945</v>
      </c>
      <c r="D26" s="3">
        <v>0.23293367148211513</v>
      </c>
    </row>
    <row r="27" spans="2:4" ht="15" customHeight="1" x14ac:dyDescent="0.25">
      <c r="B27" s="32">
        <v>38503</v>
      </c>
      <c r="C27" s="3">
        <v>0.21263768132148766</v>
      </c>
      <c r="D27" s="3">
        <v>0.22152948893394536</v>
      </c>
    </row>
    <row r="28" spans="2:4" ht="15" customHeight="1" x14ac:dyDescent="0.25">
      <c r="B28" s="32">
        <v>38533</v>
      </c>
      <c r="C28" s="3">
        <v>0.1992410770624177</v>
      </c>
      <c r="D28" s="3">
        <v>0.20409561690347056</v>
      </c>
    </row>
    <row r="29" spans="2:4" ht="15" customHeight="1" x14ac:dyDescent="0.25">
      <c r="B29" s="32">
        <v>38564</v>
      </c>
      <c r="C29" s="3">
        <v>0.18997066461914336</v>
      </c>
      <c r="D29" s="3">
        <v>0.19328282400783395</v>
      </c>
    </row>
    <row r="30" spans="2:4" ht="15" customHeight="1" x14ac:dyDescent="0.25">
      <c r="B30" s="32">
        <v>38595</v>
      </c>
      <c r="C30" s="3">
        <v>0.19792597022948719</v>
      </c>
      <c r="D30" s="3">
        <v>0.19724990873225937</v>
      </c>
    </row>
    <row r="31" spans="2:4" ht="15" customHeight="1" x14ac:dyDescent="0.25">
      <c r="B31" s="32">
        <v>38625</v>
      </c>
      <c r="C31" s="3">
        <v>0.19576638067732133</v>
      </c>
      <c r="D31" s="3">
        <v>0.19339571780929601</v>
      </c>
    </row>
    <row r="32" spans="2:4" ht="15" customHeight="1" x14ac:dyDescent="0.25">
      <c r="B32" s="32">
        <v>38656</v>
      </c>
      <c r="C32" s="3">
        <v>0.18916374070720338</v>
      </c>
      <c r="D32" s="3">
        <v>0.18642314084072031</v>
      </c>
    </row>
    <row r="33" spans="2:4" ht="15" customHeight="1" x14ac:dyDescent="0.25">
      <c r="B33" s="32">
        <v>38686</v>
      </c>
      <c r="C33" s="3">
        <v>0.18654544673970708</v>
      </c>
      <c r="D33" s="3">
        <v>0.18277574616153747</v>
      </c>
    </row>
    <row r="34" spans="2:4" ht="15" customHeight="1" x14ac:dyDescent="0.25">
      <c r="B34" s="32">
        <v>38717</v>
      </c>
      <c r="C34" s="3">
        <v>0.17089695553831788</v>
      </c>
      <c r="D34" s="3">
        <v>0.16964146990989265</v>
      </c>
    </row>
    <row r="35" spans="2:4" ht="15" customHeight="1" x14ac:dyDescent="0.25">
      <c r="B35" s="32">
        <v>38748</v>
      </c>
      <c r="C35" s="3">
        <v>0.15951686109860475</v>
      </c>
      <c r="D35" s="3">
        <v>0.15857671564131912</v>
      </c>
    </row>
    <row r="36" spans="2:4" ht="15" customHeight="1" x14ac:dyDescent="0.25">
      <c r="B36" s="32">
        <v>38776</v>
      </c>
      <c r="C36" s="3">
        <v>0.15171468853925385</v>
      </c>
      <c r="D36" s="3">
        <v>0.15071183560060283</v>
      </c>
    </row>
    <row r="37" spans="2:4" ht="15" customHeight="1" x14ac:dyDescent="0.25">
      <c r="B37" s="32">
        <v>38807</v>
      </c>
      <c r="C37" s="3">
        <v>0.14137149451392275</v>
      </c>
      <c r="D37" s="3">
        <v>0.14057914212531902</v>
      </c>
    </row>
    <row r="38" spans="2:4" ht="15" customHeight="1" x14ac:dyDescent="0.25">
      <c r="B38" s="32">
        <v>38837</v>
      </c>
      <c r="C38" s="3">
        <v>0.13431813875314963</v>
      </c>
      <c r="D38" s="3">
        <v>0.1335809853100316</v>
      </c>
    </row>
    <row r="39" spans="2:4" ht="15" customHeight="1" x14ac:dyDescent="0.25">
      <c r="B39" s="32">
        <v>38868</v>
      </c>
      <c r="C39" s="3">
        <v>0.1311491060011194</v>
      </c>
      <c r="D39" s="3">
        <v>0.13039338302062284</v>
      </c>
    </row>
    <row r="40" spans="2:4" ht="15" customHeight="1" x14ac:dyDescent="0.25">
      <c r="B40" s="32">
        <v>38898</v>
      </c>
      <c r="C40" s="3">
        <v>0.13300480636525761</v>
      </c>
      <c r="D40" s="3">
        <v>0.13468173812691406</v>
      </c>
    </row>
    <row r="41" spans="2:4" ht="15" customHeight="1" x14ac:dyDescent="0.25">
      <c r="B41" s="32">
        <v>38929</v>
      </c>
      <c r="C41" s="3">
        <v>0.13352142062910771</v>
      </c>
      <c r="D41" s="3">
        <v>0.13546350969020846</v>
      </c>
    </row>
    <row r="42" spans="2:4" ht="15" customHeight="1" x14ac:dyDescent="0.25">
      <c r="B42" s="32">
        <v>38960</v>
      </c>
      <c r="C42" s="3">
        <v>0.13174526551120894</v>
      </c>
      <c r="D42" s="3">
        <v>0.1334992922960081</v>
      </c>
    </row>
    <row r="43" spans="2:4" ht="15" customHeight="1" x14ac:dyDescent="0.25">
      <c r="B43" s="32">
        <v>38990</v>
      </c>
      <c r="C43" s="3">
        <v>0.12919449721240908</v>
      </c>
      <c r="D43" s="3">
        <v>0.13084259637692</v>
      </c>
    </row>
    <row r="44" spans="2:4" ht="15" customHeight="1" x14ac:dyDescent="0.25">
      <c r="B44" s="32">
        <v>39021</v>
      </c>
      <c r="C44" s="3">
        <v>0.12590000000000001</v>
      </c>
      <c r="D44" s="3">
        <v>0.127</v>
      </c>
    </row>
    <row r="45" spans="2:4" ht="15" customHeight="1" x14ac:dyDescent="0.25">
      <c r="B45" s="32">
        <v>39051</v>
      </c>
      <c r="C45" s="3">
        <v>0.12123041991426994</v>
      </c>
      <c r="D45" s="3">
        <v>0.12236007955067256</v>
      </c>
    </row>
    <row r="46" spans="2:4" ht="15" customHeight="1" x14ac:dyDescent="0.25">
      <c r="B46" s="32">
        <v>39082</v>
      </c>
      <c r="C46" s="3">
        <v>0.11468843642102869</v>
      </c>
      <c r="D46" s="3">
        <v>0.11484584318471436</v>
      </c>
    </row>
    <row r="47" spans="2:4" ht="15" customHeight="1" x14ac:dyDescent="0.25">
      <c r="B47" s="32">
        <v>39113</v>
      </c>
      <c r="C47" s="3">
        <v>0.1101884599355072</v>
      </c>
      <c r="D47" s="3">
        <v>0.11039020459346206</v>
      </c>
    </row>
    <row r="48" spans="2:4" ht="15" customHeight="1" x14ac:dyDescent="0.25">
      <c r="B48" s="32">
        <v>39141</v>
      </c>
      <c r="C48" s="3">
        <v>0.1059814696843603</v>
      </c>
      <c r="D48" s="3">
        <v>0.10618756490447254</v>
      </c>
    </row>
    <row r="49" spans="2:4" ht="15" customHeight="1" x14ac:dyDescent="0.25">
      <c r="B49" s="32">
        <v>39172</v>
      </c>
      <c r="C49" s="3">
        <v>0.10311498989078771</v>
      </c>
      <c r="D49" s="3">
        <v>0.10316322627670281</v>
      </c>
    </row>
    <row r="50" spans="2:4" ht="15" customHeight="1" x14ac:dyDescent="0.25">
      <c r="B50" s="32">
        <v>39202</v>
      </c>
      <c r="C50" s="3">
        <v>0.1007</v>
      </c>
      <c r="D50" s="3">
        <v>0.1007</v>
      </c>
    </row>
    <row r="51" spans="2:4" ht="15" customHeight="1" x14ac:dyDescent="0.25">
      <c r="B51" s="32">
        <v>39233</v>
      </c>
      <c r="C51" s="3">
        <v>9.8189769486410408E-2</v>
      </c>
      <c r="D51" s="3">
        <v>9.8038272855206013E-2</v>
      </c>
    </row>
    <row r="52" spans="2:4" ht="15" customHeight="1" x14ac:dyDescent="0.25">
      <c r="B52" s="32">
        <v>39263</v>
      </c>
      <c r="C52" s="3">
        <v>9.4391360756030912E-2</v>
      </c>
      <c r="D52" s="3">
        <v>9.4204840251650449E-2</v>
      </c>
    </row>
    <row r="53" spans="2:4" ht="15" customHeight="1" x14ac:dyDescent="0.25">
      <c r="B53" s="32">
        <v>39294</v>
      </c>
      <c r="C53" s="3">
        <v>9.1245735748609585E-2</v>
      </c>
      <c r="D53" s="3">
        <v>9.101548282563543E-2</v>
      </c>
    </row>
    <row r="54" spans="2:4" ht="15" customHeight="1" x14ac:dyDescent="0.25">
      <c r="B54" s="32">
        <v>39325</v>
      </c>
      <c r="C54" s="3">
        <v>8.8418337249206294E-2</v>
      </c>
      <c r="D54" s="3">
        <v>8.8194708047427503E-2</v>
      </c>
    </row>
    <row r="55" spans="2:4" ht="15" customHeight="1" x14ac:dyDescent="0.25">
      <c r="B55" s="32">
        <v>39355</v>
      </c>
      <c r="C55" s="3">
        <v>8.6506060320906519E-2</v>
      </c>
      <c r="D55" s="3">
        <v>8.6191109684658679E-2</v>
      </c>
    </row>
    <row r="56" spans="2:4" ht="15" customHeight="1" x14ac:dyDescent="0.25">
      <c r="B56" s="32">
        <v>39386</v>
      </c>
      <c r="C56" s="4">
        <v>8.5605045229339011E-2</v>
      </c>
      <c r="D56" s="4">
        <v>8.5266273017726241E-2</v>
      </c>
    </row>
    <row r="57" spans="2:4" ht="15" customHeight="1" x14ac:dyDescent="0.25">
      <c r="B57" s="32">
        <v>39416</v>
      </c>
      <c r="C57" s="4">
        <v>8.4966030355951239E-2</v>
      </c>
      <c r="D57" s="4">
        <v>8.4622205615560622E-2</v>
      </c>
    </row>
    <row r="58" spans="2:4" ht="15" customHeight="1" x14ac:dyDescent="0.25">
      <c r="B58" s="32">
        <v>39447</v>
      </c>
      <c r="C58" s="4">
        <v>8.4768885030462301E-2</v>
      </c>
      <c r="D58" s="4">
        <v>8.4401489702688598E-2</v>
      </c>
    </row>
    <row r="59" spans="2:4" ht="15" customHeight="1" x14ac:dyDescent="0.25">
      <c r="B59" s="32">
        <v>39478</v>
      </c>
      <c r="C59" s="4">
        <v>8.4091892039480198E-2</v>
      </c>
      <c r="D59" s="4">
        <v>8.5800000000000001E-2</v>
      </c>
    </row>
    <row r="60" spans="2:4" ht="15" customHeight="1" x14ac:dyDescent="0.25">
      <c r="B60" s="32">
        <v>39507</v>
      </c>
      <c r="C60" s="4">
        <v>8.4192310478776594E-2</v>
      </c>
      <c r="D60" s="4">
        <v>8.5599999999999996E-2</v>
      </c>
    </row>
    <row r="61" spans="2:4" ht="15" customHeight="1" x14ac:dyDescent="0.25">
      <c r="B61" s="32">
        <v>39538</v>
      </c>
      <c r="C61" s="4">
        <v>8.4199999999999997E-2</v>
      </c>
      <c r="D61" s="4">
        <v>8.8700000000000001E-2</v>
      </c>
    </row>
    <row r="62" spans="2:4" ht="15" customHeight="1" x14ac:dyDescent="0.25">
      <c r="B62" s="32">
        <v>39568</v>
      </c>
      <c r="C62" s="4">
        <v>8.5000000000000006E-2</v>
      </c>
      <c r="D62" s="4">
        <v>8.6699999999999999E-2</v>
      </c>
    </row>
    <row r="63" spans="2:4" ht="15" customHeight="1" x14ac:dyDescent="0.25">
      <c r="B63" s="32">
        <v>39599</v>
      </c>
      <c r="C63" s="4">
        <v>8.5300000000000001E-2</v>
      </c>
      <c r="D63" s="4">
        <v>8.7599999999999997E-2</v>
      </c>
    </row>
    <row r="64" spans="2:4" ht="15" customHeight="1" x14ac:dyDescent="0.25">
      <c r="B64" s="32">
        <v>39629</v>
      </c>
      <c r="C64" s="4">
        <v>8.6699999999999999E-2</v>
      </c>
      <c r="D64" s="4">
        <v>9.06E-2</v>
      </c>
    </row>
    <row r="65" spans="2:4" ht="15" customHeight="1" x14ac:dyDescent="0.25">
      <c r="B65" s="32">
        <v>39660</v>
      </c>
      <c r="C65" s="4">
        <v>9.0899999999999995E-2</v>
      </c>
      <c r="D65" s="4">
        <v>9.1999999999999998E-2</v>
      </c>
    </row>
    <row r="66" spans="2:4" ht="15" customHeight="1" x14ac:dyDescent="0.25">
      <c r="B66" s="32">
        <v>39691</v>
      </c>
      <c r="C66" s="4">
        <v>9.4600000000000004E-2</v>
      </c>
      <c r="D66" s="4">
        <v>9.7000000000000003E-2</v>
      </c>
    </row>
    <row r="67" spans="2:4" ht="15" customHeight="1" x14ac:dyDescent="0.25">
      <c r="B67" s="32">
        <v>39721</v>
      </c>
      <c r="C67" s="4">
        <v>0.1011</v>
      </c>
      <c r="D67" s="4">
        <v>0.1036</v>
      </c>
    </row>
    <row r="68" spans="2:4" ht="15" customHeight="1" x14ac:dyDescent="0.25">
      <c r="B68" s="32">
        <v>39752</v>
      </c>
      <c r="C68" s="4">
        <v>0.10630000000000001</v>
      </c>
      <c r="D68" s="4">
        <v>0.1062</v>
      </c>
    </row>
    <row r="69" spans="2:4" ht="15" customHeight="1" x14ac:dyDescent="0.25">
      <c r="B69" s="32">
        <v>39782</v>
      </c>
      <c r="C69" s="4">
        <v>0.113</v>
      </c>
      <c r="D69" s="4">
        <v>0.1163</v>
      </c>
    </row>
    <row r="70" spans="2:4" ht="15" customHeight="1" x14ac:dyDescent="0.25">
      <c r="B70" s="32">
        <v>39813</v>
      </c>
      <c r="C70" s="5">
        <v>0.1208</v>
      </c>
      <c r="D70" s="4">
        <v>0.1326</v>
      </c>
    </row>
    <row r="71" spans="2:4" ht="15" customHeight="1" x14ac:dyDescent="0.25">
      <c r="B71" s="32">
        <v>39844</v>
      </c>
      <c r="C71" s="5">
        <v>0.1275</v>
      </c>
      <c r="D71" s="4">
        <v>0.1336</v>
      </c>
    </row>
    <row r="72" spans="2:4" ht="15" customHeight="1" x14ac:dyDescent="0.25">
      <c r="B72" s="32">
        <v>39872</v>
      </c>
      <c r="C72" s="5">
        <v>0.13350000000000001</v>
      </c>
      <c r="D72" s="4">
        <v>0.14030000000000001</v>
      </c>
    </row>
    <row r="73" spans="2:4" ht="15" customHeight="1" x14ac:dyDescent="0.25">
      <c r="B73" s="32">
        <v>39903</v>
      </c>
      <c r="C73" s="5">
        <v>0.1414</v>
      </c>
      <c r="D73" s="4">
        <v>0.14799999999999999</v>
      </c>
    </row>
    <row r="74" spans="2:4" ht="15" customHeight="1" x14ac:dyDescent="0.25">
      <c r="B74" s="32">
        <v>39933</v>
      </c>
      <c r="C74" s="5">
        <v>0.1474</v>
      </c>
      <c r="D74" s="4">
        <v>0.15359999999999999</v>
      </c>
    </row>
    <row r="75" spans="2:4" ht="15" customHeight="1" x14ac:dyDescent="0.25">
      <c r="B75" s="32">
        <v>39964</v>
      </c>
      <c r="C75" s="5">
        <v>0.15060000000000001</v>
      </c>
      <c r="D75" s="4">
        <v>0.15720000000000001</v>
      </c>
    </row>
    <row r="76" spans="2:4" ht="15" customHeight="1" x14ac:dyDescent="0.25">
      <c r="B76" s="32">
        <v>39994</v>
      </c>
      <c r="C76" s="5">
        <v>0.15529999999999999</v>
      </c>
      <c r="D76" s="4">
        <v>0.161</v>
      </c>
    </row>
    <row r="77" spans="2:4" ht="15" customHeight="1" x14ac:dyDescent="0.25">
      <c r="B77" s="32">
        <v>40025</v>
      </c>
      <c r="C77" s="5">
        <v>0.15479999999999999</v>
      </c>
      <c r="D77" s="4">
        <v>0.1615</v>
      </c>
    </row>
    <row r="78" spans="2:4" ht="15" customHeight="1" x14ac:dyDescent="0.25">
      <c r="B78" s="32">
        <v>40056</v>
      </c>
      <c r="C78" s="5">
        <v>0.15590000000000001</v>
      </c>
      <c r="D78" s="4">
        <v>0.1618</v>
      </c>
    </row>
    <row r="79" spans="2:4" ht="15" customHeight="1" x14ac:dyDescent="0.25">
      <c r="B79" s="32">
        <v>40086</v>
      </c>
      <c r="C79" s="5">
        <v>0.1532</v>
      </c>
      <c r="D79" s="4">
        <v>0.15970000000000001</v>
      </c>
    </row>
    <row r="80" spans="2:4" ht="15" customHeight="1" x14ac:dyDescent="0.25">
      <c r="B80" s="32">
        <v>40117</v>
      </c>
      <c r="C80" s="5">
        <v>0.14990000000000001</v>
      </c>
      <c r="D80" s="4">
        <v>0.15620000000000001</v>
      </c>
    </row>
    <row r="81" spans="2:4" ht="15" customHeight="1" x14ac:dyDescent="0.25">
      <c r="B81" s="32">
        <v>40147</v>
      </c>
      <c r="C81" s="5">
        <v>0.14560000000000001</v>
      </c>
      <c r="D81" s="4">
        <v>0.14929999999999999</v>
      </c>
    </row>
    <row r="82" spans="2:4" ht="15" customHeight="1" x14ac:dyDescent="0.25">
      <c r="B82" s="32">
        <v>40178</v>
      </c>
      <c r="C82" s="5">
        <v>0.1404</v>
      </c>
      <c r="D82" s="4">
        <v>0.14330000000000001</v>
      </c>
    </row>
    <row r="83" spans="2:4" ht="15" customHeight="1" x14ac:dyDescent="0.25">
      <c r="B83" s="32">
        <v>40209</v>
      </c>
      <c r="C83" s="5">
        <v>0.13439999999999999</v>
      </c>
      <c r="D83" s="4">
        <v>0.13800000000000001</v>
      </c>
    </row>
    <row r="84" spans="2:4" ht="15" customHeight="1" x14ac:dyDescent="0.25">
      <c r="B84" s="32">
        <v>40237</v>
      </c>
      <c r="C84" s="5">
        <v>0.12939999999999999</v>
      </c>
      <c r="D84" s="4">
        <v>0.13320000000000001</v>
      </c>
    </row>
    <row r="85" spans="2:4" ht="15" customHeight="1" x14ac:dyDescent="0.25">
      <c r="B85" s="32">
        <v>40268</v>
      </c>
      <c r="C85" s="5">
        <v>0.12429999999999999</v>
      </c>
      <c r="D85" s="4">
        <v>0.12759999999999999</v>
      </c>
    </row>
    <row r="86" spans="2:4" ht="15" customHeight="1" x14ac:dyDescent="0.25">
      <c r="B86" s="32">
        <v>40298</v>
      </c>
      <c r="C86" s="5">
        <v>0.1208</v>
      </c>
      <c r="D86" s="4">
        <v>0.12379999999999999</v>
      </c>
    </row>
    <row r="87" spans="2:4" ht="15" customHeight="1" x14ac:dyDescent="0.25">
      <c r="B87" s="32">
        <v>40329</v>
      </c>
      <c r="C87" s="5">
        <v>0.1188</v>
      </c>
      <c r="D87" s="4">
        <v>0.1212</v>
      </c>
    </row>
    <row r="88" spans="2:4" ht="15" customHeight="1" x14ac:dyDescent="0.25">
      <c r="B88" s="32">
        <v>40359</v>
      </c>
      <c r="C88" s="5">
        <v>0.11609999999999999</v>
      </c>
      <c r="D88" s="4">
        <v>0.1183</v>
      </c>
    </row>
    <row r="89" spans="2:4" ht="15" customHeight="1" x14ac:dyDescent="0.25">
      <c r="B89" s="32">
        <v>40390</v>
      </c>
      <c r="C89" s="5">
        <v>0.1133</v>
      </c>
      <c r="D89" s="4">
        <v>0.1147</v>
      </c>
    </row>
    <row r="90" spans="2:4" ht="15" customHeight="1" x14ac:dyDescent="0.25">
      <c r="B90" s="32">
        <v>40421</v>
      </c>
      <c r="C90" s="5">
        <v>0.1105</v>
      </c>
      <c r="D90" s="4">
        <v>0.11219999999999999</v>
      </c>
    </row>
    <row r="91" spans="2:4" ht="15" customHeight="1" x14ac:dyDescent="0.25">
      <c r="B91" s="32">
        <v>40451</v>
      </c>
      <c r="C91" s="5">
        <v>0.1091</v>
      </c>
      <c r="D91" s="4">
        <v>0.1108</v>
      </c>
    </row>
    <row r="92" spans="2:4" ht="15" customHeight="1" x14ac:dyDescent="0.25">
      <c r="B92" s="32">
        <v>40482</v>
      </c>
      <c r="C92" s="3">
        <v>0.107652661576376</v>
      </c>
      <c r="D92" s="6">
        <v>0.10960070385439299</v>
      </c>
    </row>
    <row r="93" spans="2:4" ht="15" customHeight="1" x14ac:dyDescent="0.25">
      <c r="B93" s="32">
        <v>40512</v>
      </c>
      <c r="C93" s="3">
        <v>0.108336222580319</v>
      </c>
      <c r="D93" s="6">
        <v>0.109992013667373</v>
      </c>
    </row>
    <row r="94" spans="2:4" ht="15" customHeight="1" x14ac:dyDescent="0.25">
      <c r="B94" s="32">
        <v>40543</v>
      </c>
      <c r="C94" s="3">
        <v>0.108409960162953</v>
      </c>
      <c r="D94" s="6">
        <v>0.110547250717437</v>
      </c>
    </row>
    <row r="95" spans="2:4" ht="15" customHeight="1" x14ac:dyDescent="0.25">
      <c r="B95" s="32">
        <v>40574</v>
      </c>
      <c r="C95" s="3">
        <v>0.109342242835706</v>
      </c>
      <c r="D95" s="6">
        <v>0.112805160763447</v>
      </c>
    </row>
    <row r="96" spans="2:4" ht="15" customHeight="1" x14ac:dyDescent="0.25">
      <c r="B96" s="32">
        <v>40602</v>
      </c>
      <c r="C96" s="3">
        <v>0.110409414450686</v>
      </c>
      <c r="D96" s="6">
        <v>0.11140195924745599</v>
      </c>
    </row>
    <row r="97" spans="2:4" ht="15" customHeight="1" x14ac:dyDescent="0.25">
      <c r="B97" s="32">
        <v>40633</v>
      </c>
      <c r="C97" s="3">
        <v>0.10968908046456299</v>
      </c>
      <c r="D97" s="6">
        <v>0.110878215543965</v>
      </c>
    </row>
    <row r="98" spans="2:4" ht="15" customHeight="1" x14ac:dyDescent="0.25">
      <c r="B98" s="32">
        <v>40663</v>
      </c>
      <c r="C98" s="3">
        <v>0.1111</v>
      </c>
      <c r="D98" s="6">
        <v>0.11219999999999999</v>
      </c>
    </row>
    <row r="99" spans="2:4" ht="15" customHeight="1" x14ac:dyDescent="0.25">
      <c r="B99" s="32">
        <v>40694</v>
      </c>
      <c r="C99" s="3">
        <v>0.11280998918528901</v>
      </c>
      <c r="D99" s="6">
        <v>0.113882764336408</v>
      </c>
    </row>
    <row r="100" spans="2:4" ht="15" customHeight="1" x14ac:dyDescent="0.25">
      <c r="B100" s="32">
        <v>40724</v>
      </c>
      <c r="C100" s="3">
        <v>0.113957126516463</v>
      </c>
      <c r="D100" s="6">
        <v>0.115288967128472</v>
      </c>
    </row>
    <row r="101" spans="2:4" ht="15" customHeight="1" x14ac:dyDescent="0.25">
      <c r="B101" s="32">
        <v>40755</v>
      </c>
      <c r="C101" s="3">
        <v>0.11551465106826</v>
      </c>
      <c r="D101" s="6">
        <v>0.11724384251089499</v>
      </c>
    </row>
    <row r="102" spans="2:4" ht="15" customHeight="1" x14ac:dyDescent="0.25">
      <c r="B102" s="32">
        <v>40786</v>
      </c>
      <c r="C102" s="3">
        <v>0.11799999999999999</v>
      </c>
      <c r="D102" s="6">
        <v>0.1201</v>
      </c>
    </row>
    <row r="103" spans="2:4" ht="15" customHeight="1" x14ac:dyDescent="0.25">
      <c r="B103" s="32">
        <v>40816</v>
      </c>
      <c r="C103" s="3">
        <v>0.1202</v>
      </c>
      <c r="D103" s="6">
        <v>0.12189999999999999</v>
      </c>
    </row>
    <row r="104" spans="2:4" ht="15" customHeight="1" x14ac:dyDescent="0.25">
      <c r="B104" s="32">
        <v>40847</v>
      </c>
      <c r="C104" s="3">
        <v>0.1234</v>
      </c>
      <c r="D104" s="6">
        <v>0.1249</v>
      </c>
    </row>
    <row r="105" spans="2:4" ht="15" customHeight="1" x14ac:dyDescent="0.25">
      <c r="B105" s="32">
        <v>40877</v>
      </c>
      <c r="C105" s="3">
        <v>0.123731554003794</v>
      </c>
      <c r="D105" s="6">
        <v>0.125842393426012</v>
      </c>
    </row>
    <row r="106" spans="2:4" ht="15" customHeight="1" x14ac:dyDescent="0.25">
      <c r="B106" s="32">
        <v>40908</v>
      </c>
      <c r="C106" s="3">
        <v>0.124824699343822</v>
      </c>
      <c r="D106" s="6">
        <v>0.12663965470126301</v>
      </c>
    </row>
    <row r="107" spans="2:4" ht="15" customHeight="1" x14ac:dyDescent="0.25">
      <c r="B107" s="32">
        <v>40939</v>
      </c>
      <c r="C107" s="3">
        <v>0.12679274207421401</v>
      </c>
      <c r="D107" s="6">
        <v>0.12742739337421299</v>
      </c>
    </row>
    <row r="108" spans="2:4" ht="15" customHeight="1" x14ac:dyDescent="0.25">
      <c r="B108" s="32">
        <v>40968</v>
      </c>
      <c r="C108" s="3">
        <v>0.12867057161137299</v>
      </c>
      <c r="D108" s="6">
        <v>0.13072589476246901</v>
      </c>
    </row>
    <row r="109" spans="2:4" ht="15" customHeight="1" x14ac:dyDescent="0.25">
      <c r="B109" s="32">
        <v>40999</v>
      </c>
      <c r="C109" s="3">
        <v>0.13018894438488901</v>
      </c>
      <c r="D109" s="6">
        <v>0.13248012658953201</v>
      </c>
    </row>
    <row r="110" spans="2:4" ht="15" customHeight="1" x14ac:dyDescent="0.25">
      <c r="B110" s="32">
        <v>41029</v>
      </c>
      <c r="C110" s="3">
        <v>0.12905734141113301</v>
      </c>
      <c r="D110" s="6">
        <v>0.13171248701461599</v>
      </c>
    </row>
    <row r="111" spans="2:4" ht="15" customHeight="1" x14ac:dyDescent="0.25">
      <c r="B111" s="32">
        <v>41060</v>
      </c>
      <c r="C111" s="3">
        <v>0.130036146178929</v>
      </c>
      <c r="D111" s="6">
        <v>0.13287207186861799</v>
      </c>
    </row>
    <row r="112" spans="2:4" ht="15" customHeight="1" x14ac:dyDescent="0.25">
      <c r="B112" s="32">
        <v>41090</v>
      </c>
      <c r="C112" s="3">
        <v>0.13097785101096041</v>
      </c>
      <c r="D112" s="6">
        <v>0.13425247806895432</v>
      </c>
    </row>
    <row r="113" spans="2:4" ht="15" customHeight="1" x14ac:dyDescent="0.25">
      <c r="B113" s="32">
        <v>41121</v>
      </c>
      <c r="C113" s="3">
        <v>0.13519999999999999</v>
      </c>
      <c r="D113" s="6">
        <v>0.13800000000000001</v>
      </c>
    </row>
    <row r="114" spans="2:4" ht="15" customHeight="1" x14ac:dyDescent="0.25">
      <c r="B114" s="32">
        <v>41152</v>
      </c>
      <c r="C114" s="3">
        <v>0.1346</v>
      </c>
      <c r="D114" s="6">
        <v>0.13800000000000001</v>
      </c>
    </row>
    <row r="115" spans="2:4" ht="15" customHeight="1" x14ac:dyDescent="0.25">
      <c r="B115" s="32">
        <v>41182</v>
      </c>
      <c r="C115" s="3">
        <v>0.1351</v>
      </c>
      <c r="D115" s="6">
        <v>0.1386</v>
      </c>
    </row>
    <row r="116" spans="2:4" ht="15" customHeight="1" x14ac:dyDescent="0.25">
      <c r="B116" s="32">
        <v>41213</v>
      </c>
      <c r="C116" s="3">
        <v>0.13669999999999999</v>
      </c>
      <c r="D116" s="6">
        <v>0.14080000000000001</v>
      </c>
    </row>
    <row r="117" spans="2:4" ht="15" customHeight="1" x14ac:dyDescent="0.25">
      <c r="B117" s="32">
        <v>41243</v>
      </c>
      <c r="C117" s="3">
        <v>0.1447</v>
      </c>
      <c r="D117" s="6">
        <v>0.1472</v>
      </c>
    </row>
    <row r="118" spans="2:4" ht="15" customHeight="1" x14ac:dyDescent="0.25">
      <c r="B118" s="32">
        <v>41274</v>
      </c>
      <c r="C118" s="3">
        <v>0.14269999999999999</v>
      </c>
      <c r="D118" s="6">
        <v>0.1454</v>
      </c>
    </row>
    <row r="119" spans="2:4" ht="15" customHeight="1" x14ac:dyDescent="0.25">
      <c r="B119" s="32">
        <v>41305</v>
      </c>
      <c r="C119" s="3">
        <v>0.1409</v>
      </c>
      <c r="D119" s="6">
        <v>0.14360000000000001</v>
      </c>
    </row>
    <row r="120" spans="2:4" ht="15" customHeight="1" x14ac:dyDescent="0.25">
      <c r="B120" s="32">
        <v>41333</v>
      </c>
      <c r="C120" s="3">
        <v>0.14199999999999999</v>
      </c>
      <c r="D120" s="6">
        <v>0.14580000000000001</v>
      </c>
    </row>
    <row r="121" spans="2:4" ht="15" customHeight="1" x14ac:dyDescent="0.25">
      <c r="B121" s="32">
        <v>41364</v>
      </c>
      <c r="C121" s="3">
        <v>0.14480000000000001</v>
      </c>
      <c r="D121" s="6">
        <v>0.1479</v>
      </c>
    </row>
    <row r="122" spans="2:4" ht="15" customHeight="1" x14ac:dyDescent="0.25">
      <c r="B122" s="32">
        <v>41394</v>
      </c>
      <c r="C122" s="3">
        <v>0.1477</v>
      </c>
      <c r="D122" s="6">
        <v>0.15110000000000001</v>
      </c>
    </row>
    <row r="123" spans="2:4" ht="15" customHeight="1" x14ac:dyDescent="0.25">
      <c r="B123" s="32">
        <v>41425</v>
      </c>
      <c r="C123" s="3">
        <v>0.14810000000000001</v>
      </c>
      <c r="D123" s="6">
        <v>0.15129999999999999</v>
      </c>
    </row>
    <row r="124" spans="2:4" ht="15" customHeight="1" x14ac:dyDescent="0.25">
      <c r="B124" s="32">
        <v>41455</v>
      </c>
      <c r="C124" s="3">
        <v>0.15329999999999999</v>
      </c>
      <c r="D124" s="6">
        <v>0.15759999999999999</v>
      </c>
    </row>
    <row r="125" spans="2:4" ht="15" customHeight="1" x14ac:dyDescent="0.25">
      <c r="B125" s="32">
        <v>41486</v>
      </c>
      <c r="C125" s="3">
        <v>0.15479999999999999</v>
      </c>
      <c r="D125" s="6">
        <v>0.15840000000000001</v>
      </c>
    </row>
    <row r="126" spans="2:4" ht="15" customHeight="1" x14ac:dyDescent="0.25">
      <c r="B126" s="32">
        <v>41517</v>
      </c>
      <c r="C126" s="3">
        <v>0.1517</v>
      </c>
      <c r="D126" s="6">
        <v>0.1545</v>
      </c>
    </row>
    <row r="127" spans="2:4" ht="15" customHeight="1" x14ac:dyDescent="0.25">
      <c r="B127" s="32">
        <v>41547</v>
      </c>
      <c r="C127" s="3">
        <v>0.14349999999999999</v>
      </c>
      <c r="D127" s="6">
        <v>0.14680000000000001</v>
      </c>
    </row>
    <row r="128" spans="2:4" ht="15" customHeight="1" x14ac:dyDescent="0.25">
      <c r="B128" s="32">
        <v>41578</v>
      </c>
      <c r="C128" s="3">
        <v>0.13850000000000001</v>
      </c>
      <c r="D128" s="6">
        <v>0.1411</v>
      </c>
    </row>
    <row r="129" spans="2:4" ht="15" customHeight="1" x14ac:dyDescent="0.25">
      <c r="B129" s="32">
        <v>41608</v>
      </c>
      <c r="C129" s="3">
        <v>0.13171423861300199</v>
      </c>
      <c r="D129" s="6">
        <v>0.135192801479293</v>
      </c>
    </row>
    <row r="130" spans="2:4" ht="15" customHeight="1" x14ac:dyDescent="0.25">
      <c r="B130" s="32">
        <v>41639</v>
      </c>
      <c r="C130" s="3">
        <v>0.132289709655253</v>
      </c>
      <c r="D130" s="6">
        <v>0.133732017269869</v>
      </c>
    </row>
    <row r="131" spans="2:4" ht="15" customHeight="1" x14ac:dyDescent="0.25">
      <c r="B131" s="32">
        <v>41670</v>
      </c>
      <c r="C131" s="3">
        <v>0.13262888735529499</v>
      </c>
      <c r="D131" s="6">
        <v>0.13435685682335999</v>
      </c>
    </row>
    <row r="132" spans="2:4" ht="15" customHeight="1" x14ac:dyDescent="0.25">
      <c r="B132" s="32">
        <v>41698</v>
      </c>
      <c r="C132" s="3">
        <v>0.130686140046198</v>
      </c>
      <c r="D132" s="6">
        <v>0.13153023702917099</v>
      </c>
    </row>
    <row r="133" spans="2:4" ht="15" customHeight="1" x14ac:dyDescent="0.25">
      <c r="B133" s="32">
        <v>41729</v>
      </c>
      <c r="C133" s="3">
        <v>0.126171117788383</v>
      </c>
      <c r="D133" s="6">
        <v>0.128151159139133</v>
      </c>
    </row>
    <row r="134" spans="2:4" ht="15" customHeight="1" x14ac:dyDescent="0.25">
      <c r="B134" s="32">
        <v>41759</v>
      </c>
      <c r="C134" s="3">
        <v>0.122203320947287</v>
      </c>
      <c r="D134" s="6">
        <v>0.124101182272609</v>
      </c>
    </row>
    <row r="135" spans="2:4" ht="15" customHeight="1" x14ac:dyDescent="0.25">
      <c r="B135" s="32">
        <v>41790</v>
      </c>
      <c r="C135" s="3">
        <v>0.117938786604907</v>
      </c>
      <c r="D135" s="6">
        <v>0.120269746973953</v>
      </c>
    </row>
    <row r="136" spans="2:4" ht="15" customHeight="1" x14ac:dyDescent="0.25">
      <c r="B136" s="32">
        <v>41820</v>
      </c>
      <c r="C136" s="3">
        <v>0.116663916655663</v>
      </c>
      <c r="D136" s="6">
        <v>0.117645839774349</v>
      </c>
    </row>
    <row r="137" spans="2:4" ht="15" customHeight="1" x14ac:dyDescent="0.25">
      <c r="B137" s="32">
        <v>41851</v>
      </c>
      <c r="C137" s="3">
        <v>0.116796791263615</v>
      </c>
      <c r="D137" s="6">
        <v>0.118568283938031</v>
      </c>
    </row>
    <row r="138" spans="2:4" ht="15" customHeight="1" x14ac:dyDescent="0.25">
      <c r="B138" s="32">
        <v>41882</v>
      </c>
      <c r="C138" s="3">
        <v>0.11731704928032</v>
      </c>
      <c r="D138" s="6">
        <v>0.119678584553047</v>
      </c>
    </row>
    <row r="139" spans="2:4" ht="15" customHeight="1" x14ac:dyDescent="0.25">
      <c r="B139" s="32">
        <v>41912</v>
      </c>
      <c r="C139" s="3">
        <v>0.122677017308136</v>
      </c>
      <c r="D139" s="6">
        <v>0.124578929225971</v>
      </c>
    </row>
    <row r="140" spans="2:4" ht="15" customHeight="1" x14ac:dyDescent="0.25">
      <c r="B140" s="32">
        <v>41943</v>
      </c>
      <c r="C140" s="3">
        <v>0.123037759368956</v>
      </c>
      <c r="D140" s="6">
        <v>0.125103490001607</v>
      </c>
    </row>
    <row r="141" spans="2:4" ht="15" customHeight="1" x14ac:dyDescent="0.25">
      <c r="B141" s="32">
        <v>41973</v>
      </c>
      <c r="C141" s="3">
        <v>0.119615234639619</v>
      </c>
      <c r="D141" s="6">
        <v>0.12234083695761901</v>
      </c>
    </row>
    <row r="142" spans="2:4" ht="15" customHeight="1" x14ac:dyDescent="0.25">
      <c r="B142" s="32">
        <v>42004</v>
      </c>
      <c r="C142" s="3">
        <v>0.12024802064232901</v>
      </c>
      <c r="D142" s="6">
        <v>0.124785116569871</v>
      </c>
    </row>
    <row r="143" spans="2:4" ht="15" customHeight="1" x14ac:dyDescent="0.25">
      <c r="B143" s="32">
        <v>42035</v>
      </c>
      <c r="C143" s="3">
        <v>0.12089999999999999</v>
      </c>
      <c r="D143" s="6">
        <v>0.125</v>
      </c>
    </row>
    <row r="144" spans="2:4" ht="15" customHeight="1" x14ac:dyDescent="0.25">
      <c r="B144" s="32">
        <v>42063</v>
      </c>
      <c r="C144" s="3">
        <v>0.120094604097765</v>
      </c>
      <c r="D144" s="6">
        <v>0.124225499828687</v>
      </c>
    </row>
    <row r="145" spans="2:4" ht="15" customHeight="1" x14ac:dyDescent="0.25">
      <c r="B145" s="32">
        <v>42094</v>
      </c>
      <c r="C145" s="3">
        <v>0.122886806287059</v>
      </c>
      <c r="D145" s="6">
        <v>0.12715003539931</v>
      </c>
    </row>
    <row r="146" spans="2:4" ht="15" customHeight="1" x14ac:dyDescent="0.25">
      <c r="B146" s="32">
        <v>42124</v>
      </c>
      <c r="C146" s="3">
        <v>0.123365719687781</v>
      </c>
      <c r="D146" s="6">
        <v>0.12739122285896601</v>
      </c>
    </row>
    <row r="147" spans="2:4" ht="15" customHeight="1" x14ac:dyDescent="0.25">
      <c r="B147" s="32">
        <v>42155</v>
      </c>
      <c r="C147" s="3">
        <v>0.12576975775993299</v>
      </c>
      <c r="D147" s="6">
        <v>0.129579088814962</v>
      </c>
    </row>
    <row r="148" spans="2:4" ht="15" customHeight="1" x14ac:dyDescent="0.25">
      <c r="B148" s="32">
        <v>42185</v>
      </c>
      <c r="C148" s="3">
        <v>0.119904812700729</v>
      </c>
      <c r="D148" s="6">
        <v>0.12382087974788</v>
      </c>
    </row>
    <row r="149" spans="2:4" ht="15" customHeight="1" x14ac:dyDescent="0.25">
      <c r="B149" s="32">
        <v>42216</v>
      </c>
      <c r="C149" s="3">
        <v>0.11219999999999999</v>
      </c>
      <c r="D149" s="6">
        <v>0.1162</v>
      </c>
    </row>
    <row r="150" spans="2:4" ht="15" customHeight="1" x14ac:dyDescent="0.25">
      <c r="B150" s="32">
        <v>42247</v>
      </c>
      <c r="C150" s="3">
        <v>0.1124</v>
      </c>
      <c r="D150" s="6">
        <v>0.11600000000000001</v>
      </c>
    </row>
    <row r="151" spans="2:4" ht="15" customHeight="1" x14ac:dyDescent="0.25">
      <c r="B151" s="32">
        <v>42277</v>
      </c>
      <c r="C151" s="3">
        <v>0.11169999999999999</v>
      </c>
      <c r="D151" s="6">
        <v>0.1154</v>
      </c>
    </row>
    <row r="152" spans="2:4" ht="15" customHeight="1" x14ac:dyDescent="0.25">
      <c r="B152" s="32">
        <v>42308</v>
      </c>
      <c r="C152" s="3">
        <v>0.11033123230348961</v>
      </c>
      <c r="D152" s="6">
        <v>0.1141403757233332</v>
      </c>
    </row>
    <row r="153" spans="2:4" ht="13.5" customHeight="1" x14ac:dyDescent="0.25">
      <c r="B153" s="32">
        <v>42338</v>
      </c>
      <c r="C153" s="3">
        <v>0.10907945924036942</v>
      </c>
      <c r="D153" s="6">
        <v>0.11259993713466432</v>
      </c>
    </row>
    <row r="154" spans="2:4" ht="13.5" customHeight="1" x14ac:dyDescent="0.25">
      <c r="B154" s="32">
        <v>42369</v>
      </c>
      <c r="C154" s="3">
        <v>0.10699132529452618</v>
      </c>
      <c r="D154" s="6">
        <v>0.11080081164274938</v>
      </c>
    </row>
    <row r="155" spans="2:4" ht="13.5" customHeight="1" x14ac:dyDescent="0.25">
      <c r="B155" s="32">
        <v>42400</v>
      </c>
      <c r="C155" s="3">
        <v>0.10404529016780302</v>
      </c>
      <c r="D155" s="6">
        <v>0.10784946747892633</v>
      </c>
    </row>
    <row r="156" spans="2:4" ht="13.5" customHeight="1" x14ac:dyDescent="0.25">
      <c r="B156" s="32">
        <v>42429</v>
      </c>
      <c r="C156" s="3">
        <v>0.10324768324905978</v>
      </c>
      <c r="D156" s="6">
        <v>0.10729376809478687</v>
      </c>
    </row>
    <row r="157" spans="2:4" ht="13.5" customHeight="1" x14ac:dyDescent="0.25">
      <c r="B157" s="32">
        <v>42460</v>
      </c>
      <c r="C157" s="3">
        <v>0.10023483199207035</v>
      </c>
      <c r="D157" s="6">
        <v>0.10439008690724641</v>
      </c>
    </row>
    <row r="158" spans="2:4" ht="13.5" customHeight="1" x14ac:dyDescent="0.25">
      <c r="B158" s="32">
        <v>42490</v>
      </c>
      <c r="C158" s="3">
        <v>9.9403619623842948E-2</v>
      </c>
      <c r="D158" s="6">
        <v>0.10482543752095667</v>
      </c>
    </row>
    <row r="159" spans="2:4" ht="13.5" customHeight="1" x14ac:dyDescent="0.25">
      <c r="B159" s="32">
        <v>42521</v>
      </c>
      <c r="C159" s="3">
        <v>9.6985804088375427E-2</v>
      </c>
      <c r="D159" s="6">
        <v>0.1010942699275639</v>
      </c>
    </row>
    <row r="160" spans="2:4" ht="13.5" customHeight="1" x14ac:dyDescent="0.25">
      <c r="B160" s="32">
        <v>42551</v>
      </c>
      <c r="C160" s="3">
        <v>9.4724611591017208E-2</v>
      </c>
      <c r="D160" s="6">
        <v>9.923979479437206E-2</v>
      </c>
    </row>
    <row r="161" spans="2:4" ht="13.5" customHeight="1" x14ac:dyDescent="0.25">
      <c r="B161" s="32">
        <v>42582</v>
      </c>
      <c r="C161" s="3">
        <v>9.4406678125363935E-2</v>
      </c>
      <c r="D161" s="6">
        <v>9.867127793524165E-2</v>
      </c>
    </row>
    <row r="162" spans="2:4" ht="13.5" customHeight="1" x14ac:dyDescent="0.25">
      <c r="B162" s="32">
        <v>42613</v>
      </c>
      <c r="C162" s="3">
        <v>9.4051973344635387E-2</v>
      </c>
      <c r="D162" s="6">
        <v>9.8267056766616415E-2</v>
      </c>
    </row>
    <row r="163" spans="2:4" ht="13.5" customHeight="1" x14ac:dyDescent="0.25">
      <c r="B163" s="32">
        <v>42643</v>
      </c>
      <c r="C163" s="3">
        <v>9.4203465504828138E-2</v>
      </c>
      <c r="D163" s="6">
        <v>9.8319935410142195E-2</v>
      </c>
    </row>
    <row r="164" spans="2:4" ht="13.5" customHeight="1" x14ac:dyDescent="0.25">
      <c r="B164" s="32">
        <v>42674</v>
      </c>
      <c r="C164" s="3">
        <v>9.507740290510476E-2</v>
      </c>
      <c r="D164" s="6">
        <v>9.9067203608694823E-2</v>
      </c>
    </row>
    <row r="165" spans="2:4" ht="13.5" customHeight="1" x14ac:dyDescent="0.25">
      <c r="B165" s="32">
        <v>42704</v>
      </c>
      <c r="C165" s="3">
        <v>9.7263821579172502E-2</v>
      </c>
      <c r="D165" s="6">
        <v>0.10149305882147562</v>
      </c>
    </row>
    <row r="166" spans="2:4" ht="13.5" customHeight="1" x14ac:dyDescent="0.25">
      <c r="B166" s="32">
        <v>42735</v>
      </c>
      <c r="C166" s="3">
        <v>9.8297349429762718E-2</v>
      </c>
      <c r="D166" s="6">
        <v>0.10235589284546419</v>
      </c>
    </row>
    <row r="167" spans="2:4" ht="13.5" customHeight="1" x14ac:dyDescent="0.25">
      <c r="B167" s="32">
        <v>42766</v>
      </c>
      <c r="C167" s="3">
        <v>9.957804594937969E-2</v>
      </c>
      <c r="D167" s="6">
        <v>0.10354562338574264</v>
      </c>
    </row>
    <row r="168" spans="2:4" ht="13.5" customHeight="1" x14ac:dyDescent="0.25">
      <c r="B168" s="32">
        <v>42794</v>
      </c>
      <c r="C168" s="3">
        <v>9.828199814147863E-2</v>
      </c>
      <c r="D168" s="6">
        <v>0.10242287607811765</v>
      </c>
    </row>
    <row r="169" spans="2:4" ht="13.5" customHeight="1" x14ac:dyDescent="0.25">
      <c r="B169" s="32">
        <v>42825</v>
      </c>
      <c r="C169" s="3">
        <v>9.7621743040881004E-2</v>
      </c>
      <c r="D169" s="6">
        <v>0.10180538148951346</v>
      </c>
    </row>
    <row r="170" spans="2:4" ht="13.5" customHeight="1" x14ac:dyDescent="0.25">
      <c r="B170" s="32">
        <v>42855</v>
      </c>
      <c r="C170" s="3">
        <v>9.6194132328077928E-2</v>
      </c>
      <c r="D170" s="6">
        <v>0.10041640414796114</v>
      </c>
    </row>
    <row r="171" spans="2:4" ht="13.5" customHeight="1" x14ac:dyDescent="0.25">
      <c r="B171" s="32">
        <v>42886</v>
      </c>
      <c r="C171" s="3">
        <v>9.6419522517527445E-2</v>
      </c>
      <c r="D171" s="6">
        <v>0.10058515857709216</v>
      </c>
    </row>
    <row r="172" spans="2:4" ht="13.5" customHeight="1" x14ac:dyDescent="0.25">
      <c r="B172" s="32">
        <v>42916</v>
      </c>
      <c r="C172" s="3">
        <v>9.571335272625231E-2</v>
      </c>
      <c r="D172" s="6">
        <v>0.10000809084390788</v>
      </c>
    </row>
    <row r="173" spans="2:4" ht="13.5" customHeight="1" x14ac:dyDescent="0.25">
      <c r="B173" s="32">
        <v>42947</v>
      </c>
      <c r="C173" s="3">
        <v>9.5782397502746516E-2</v>
      </c>
      <c r="D173" s="6">
        <v>9.9990979981434774E-2</v>
      </c>
    </row>
    <row r="174" spans="2:4" ht="13.5" customHeight="1" x14ac:dyDescent="0.25">
      <c r="B174" s="32">
        <v>42978</v>
      </c>
      <c r="C174" s="3">
        <v>9.8779460284609308E-2</v>
      </c>
      <c r="D174" s="6">
        <v>0.10260007838087276</v>
      </c>
    </row>
    <row r="175" spans="2:4" ht="13.5" customHeight="1" x14ac:dyDescent="0.25">
      <c r="B175" s="32">
        <v>43008</v>
      </c>
      <c r="C175" s="3">
        <v>9.8231799290327826E-2</v>
      </c>
      <c r="D175" s="6">
        <v>0.10163036234839895</v>
      </c>
    </row>
    <row r="176" spans="2:4" ht="15" customHeight="1" x14ac:dyDescent="0.25">
      <c r="B176" s="32">
        <v>43039</v>
      </c>
      <c r="C176" s="3">
        <v>0.10100000000000001</v>
      </c>
      <c r="D176" s="6">
        <v>0.1051</v>
      </c>
    </row>
    <row r="177" spans="2:4" ht="15" customHeight="1" x14ac:dyDescent="0.25">
      <c r="B177" s="32">
        <v>43069</v>
      </c>
      <c r="C177" s="3">
        <v>0.1037</v>
      </c>
      <c r="D177" s="6">
        <v>0.1069</v>
      </c>
    </row>
    <row r="178" spans="2:4" ht="15" customHeight="1" x14ac:dyDescent="0.25">
      <c r="B178" s="32">
        <v>43100</v>
      </c>
      <c r="C178" s="3">
        <v>0.1082</v>
      </c>
      <c r="D178" s="6">
        <v>0.11070000000000001</v>
      </c>
    </row>
    <row r="179" spans="2:4" ht="15" customHeight="1" x14ac:dyDescent="0.25">
      <c r="B179" s="32">
        <v>43131</v>
      </c>
      <c r="C179" s="3">
        <v>0.1095</v>
      </c>
      <c r="D179" s="6">
        <v>0.11169999999999999</v>
      </c>
    </row>
    <row r="180" spans="2:4" ht="15" customHeight="1" x14ac:dyDescent="0.25">
      <c r="B180" s="32">
        <v>43159</v>
      </c>
      <c r="C180" s="3">
        <v>0.11269999999999999</v>
      </c>
      <c r="D180" s="6">
        <v>0.1143</v>
      </c>
    </row>
    <row r="181" spans="2:4" ht="15" customHeight="1" x14ac:dyDescent="0.25">
      <c r="B181" s="32">
        <v>43190</v>
      </c>
      <c r="C181" s="3">
        <v>0.1085</v>
      </c>
      <c r="D181" s="6">
        <v>0.1096</v>
      </c>
    </row>
    <row r="182" spans="2:4" ht="15" customHeight="1" x14ac:dyDescent="0.25">
      <c r="B182" s="32">
        <v>43220</v>
      </c>
      <c r="C182" s="3">
        <v>0.10879999999999999</v>
      </c>
      <c r="D182" s="6">
        <v>0.11070000000000001</v>
      </c>
    </row>
    <row r="183" spans="2:4" ht="15" customHeight="1" x14ac:dyDescent="0.25">
      <c r="B183" s="32">
        <v>43251</v>
      </c>
      <c r="C183" s="3">
        <v>0.1061</v>
      </c>
      <c r="D183" s="6">
        <v>0.1084</v>
      </c>
    </row>
    <row r="184" spans="2:4" ht="15" customHeight="1" x14ac:dyDescent="0.25">
      <c r="B184" s="32">
        <v>43281</v>
      </c>
      <c r="C184" s="3">
        <v>0.1016</v>
      </c>
      <c r="D184" s="6">
        <v>0.1045</v>
      </c>
    </row>
    <row r="185" spans="2:4" ht="15" customHeight="1" x14ac:dyDescent="0.25">
      <c r="B185" s="32">
        <v>43312</v>
      </c>
      <c r="C185" s="3">
        <v>0.1012</v>
      </c>
      <c r="D185" s="6">
        <v>0.104</v>
      </c>
    </row>
    <row r="186" spans="2:4" ht="15" customHeight="1" x14ac:dyDescent="0.25">
      <c r="B186" s="32">
        <v>43343</v>
      </c>
      <c r="C186" s="3">
        <v>9.69E-2</v>
      </c>
      <c r="D186" s="6">
        <v>0.1002</v>
      </c>
    </row>
    <row r="187" spans="2:4" ht="15" customHeight="1" x14ac:dyDescent="0.25">
      <c r="B187" s="32">
        <v>43373</v>
      </c>
      <c r="C187" s="3">
        <v>9.4471499744563786E-2</v>
      </c>
      <c r="D187" s="6">
        <v>9.7963128566527932E-2</v>
      </c>
    </row>
    <row r="188" spans="2:4" ht="15" customHeight="1" x14ac:dyDescent="0.25">
      <c r="B188" s="32">
        <v>43404</v>
      </c>
      <c r="C188" s="3">
        <v>8.9907486138394332E-2</v>
      </c>
      <c r="D188" s="6">
        <v>9.3561557084201594E-2</v>
      </c>
    </row>
    <row r="189" spans="2:4" ht="15" customHeight="1" x14ac:dyDescent="0.25">
      <c r="B189" s="32">
        <v>43434</v>
      </c>
      <c r="C189" s="3">
        <v>8.3534830289425238E-2</v>
      </c>
      <c r="D189" s="6">
        <v>8.781050809542261E-2</v>
      </c>
    </row>
    <row r="190" spans="2:4" ht="15" customHeight="1" x14ac:dyDescent="0.25">
      <c r="B190" s="32">
        <v>43465</v>
      </c>
      <c r="C190" s="3">
        <v>7.7608962142139595E-2</v>
      </c>
      <c r="D190" s="6">
        <v>8.2640731703871997E-2</v>
      </c>
    </row>
    <row r="191" spans="2:4" ht="15" customHeight="1" x14ac:dyDescent="0.25">
      <c r="B191" s="32">
        <v>43496</v>
      </c>
      <c r="C191" s="3">
        <v>7.7394660918517849E-2</v>
      </c>
      <c r="D191" s="6">
        <v>8.1896050367627315E-2</v>
      </c>
    </row>
    <row r="192" spans="2:4" ht="15" customHeight="1" x14ac:dyDescent="0.25">
      <c r="B192" s="32">
        <v>43524</v>
      </c>
      <c r="C192" s="3">
        <v>7.572863461393041E-2</v>
      </c>
      <c r="D192" s="6">
        <v>7.9966385951040941E-2</v>
      </c>
    </row>
    <row r="193" spans="1:4" ht="15" customHeight="1" x14ac:dyDescent="0.25">
      <c r="B193" s="32">
        <v>43555</v>
      </c>
      <c r="C193" s="3">
        <v>7.850116940612796E-2</v>
      </c>
      <c r="D193" s="6">
        <v>8.2386193808285227E-2</v>
      </c>
    </row>
    <row r="194" spans="1:4" ht="15" customHeight="1" x14ac:dyDescent="0.25">
      <c r="B194" s="32">
        <v>43585</v>
      </c>
      <c r="C194" s="3">
        <v>8.0699999999999994E-2</v>
      </c>
      <c r="D194" s="6">
        <v>8.43E-2</v>
      </c>
    </row>
    <row r="195" spans="1:4" ht="15" customHeight="1" x14ac:dyDescent="0.25">
      <c r="A195" s="7"/>
      <c r="B195" s="32">
        <v>43616</v>
      </c>
      <c r="C195" s="3">
        <v>8.7793172408991288E-2</v>
      </c>
      <c r="D195" s="6">
        <v>9.0514052129547981E-2</v>
      </c>
    </row>
    <row r="196" spans="1:4" ht="15" customHeight="1" x14ac:dyDescent="0.25">
      <c r="B196" s="32">
        <v>43646</v>
      </c>
      <c r="C196" s="3">
        <v>9.4542353249968014E-2</v>
      </c>
      <c r="D196" s="6">
        <v>9.646131797379183E-2</v>
      </c>
    </row>
    <row r="197" spans="1:4" ht="15" customHeight="1" x14ac:dyDescent="0.25">
      <c r="B197" s="32">
        <v>43677</v>
      </c>
      <c r="C197" s="3">
        <v>9.7746328302970933E-2</v>
      </c>
      <c r="D197" s="6">
        <v>9.9103182774309739E-2</v>
      </c>
    </row>
    <row r="198" spans="1:4" ht="15" customHeight="1" x14ac:dyDescent="0.25">
      <c r="B198" s="32">
        <v>43708</v>
      </c>
      <c r="C198" s="3">
        <v>0.10371269321422445</v>
      </c>
      <c r="D198" s="6">
        <v>0.10429329266304803</v>
      </c>
    </row>
    <row r="199" spans="1:4" ht="15" customHeight="1" x14ac:dyDescent="0.25">
      <c r="B199" s="32">
        <v>43738</v>
      </c>
      <c r="C199" s="3">
        <v>0.10746412330276676</v>
      </c>
      <c r="D199" s="6">
        <v>0.10767985286315845</v>
      </c>
    </row>
    <row r="200" spans="1:4" ht="15" customHeight="1" x14ac:dyDescent="0.25">
      <c r="B200" s="32">
        <v>43769</v>
      </c>
      <c r="C200" s="3">
        <v>0.10657258656929054</v>
      </c>
      <c r="D200" s="6">
        <v>0.10701771904810178</v>
      </c>
    </row>
    <row r="201" spans="1:4" ht="15" customHeight="1" x14ac:dyDescent="0.25">
      <c r="B201" s="32">
        <v>43799</v>
      </c>
      <c r="C201" s="3">
        <v>0.10891165129913284</v>
      </c>
      <c r="D201" s="6">
        <v>0.10899376413053576</v>
      </c>
    </row>
    <row r="202" spans="1:4" ht="15" customHeight="1" x14ac:dyDescent="0.25">
      <c r="B202" s="32">
        <v>43830</v>
      </c>
      <c r="C202" s="3">
        <v>0.10809646211624585</v>
      </c>
      <c r="D202" s="6">
        <v>0.10823910973861361</v>
      </c>
    </row>
    <row r="203" spans="1:4" ht="15" customHeight="1" x14ac:dyDescent="0.25">
      <c r="B203" s="32">
        <v>43861</v>
      </c>
      <c r="C203" s="3">
        <v>0.10594361561665622</v>
      </c>
      <c r="D203" s="6">
        <v>0.10634579579406532</v>
      </c>
    </row>
    <row r="204" spans="1:4" ht="16.5" customHeight="1" x14ac:dyDescent="0.25">
      <c r="B204" s="32">
        <v>43890</v>
      </c>
      <c r="C204" s="3">
        <v>0.10630800144943027</v>
      </c>
      <c r="D204" s="6">
        <v>0.10670513186782812</v>
      </c>
    </row>
    <row r="205" spans="1:4" ht="16.5" customHeight="1" x14ac:dyDescent="0.25">
      <c r="B205" s="32">
        <v>43921</v>
      </c>
      <c r="C205" s="3">
        <v>0.10188631956829948</v>
      </c>
      <c r="D205" s="3">
        <v>0.10328775000667439</v>
      </c>
    </row>
    <row r="206" spans="1:4" ht="16.5" customHeight="1" x14ac:dyDescent="0.25">
      <c r="B206" s="32">
        <v>43951</v>
      </c>
      <c r="C206" s="3">
        <v>0.10159019961773655</v>
      </c>
      <c r="D206" s="6">
        <v>0.10281476953973223</v>
      </c>
    </row>
    <row r="207" spans="1:4" ht="16.5" customHeight="1" x14ac:dyDescent="0.25">
      <c r="B207" s="32">
        <v>43982</v>
      </c>
      <c r="C207" s="3">
        <v>0.10113776780069954</v>
      </c>
      <c r="D207" s="3">
        <v>0.10199110361070061</v>
      </c>
    </row>
    <row r="208" spans="1:4" ht="16.5" customHeight="1" x14ac:dyDescent="0.25">
      <c r="B208" s="32">
        <v>44012</v>
      </c>
      <c r="C208" s="3">
        <v>0.10504489910504479</v>
      </c>
      <c r="D208" s="3">
        <v>0.1052309034246255</v>
      </c>
    </row>
    <row r="209" spans="2:4" ht="16.5" customHeight="1" x14ac:dyDescent="0.25">
      <c r="B209" s="32">
        <v>44043</v>
      </c>
      <c r="C209" s="3">
        <v>0.10075691816646401</v>
      </c>
      <c r="D209" s="3">
        <v>0.10144092111971943</v>
      </c>
    </row>
    <row r="210" spans="2:4" ht="16.5" customHeight="1" x14ac:dyDescent="0.25">
      <c r="B210" s="32">
        <v>44074</v>
      </c>
      <c r="C210" s="3">
        <v>9.6191954107553213E-2</v>
      </c>
      <c r="D210" s="3">
        <v>9.7013055308633439E-2</v>
      </c>
    </row>
    <row r="211" spans="2:4" ht="16.5" customHeight="1" x14ac:dyDescent="0.25">
      <c r="B211" s="32">
        <v>44104</v>
      </c>
      <c r="C211" s="3">
        <v>9.4909232965940657E-2</v>
      </c>
      <c r="D211" s="3">
        <v>9.5874670042140037E-2</v>
      </c>
    </row>
    <row r="212" spans="2:4" ht="16.5" customHeight="1" x14ac:dyDescent="0.25">
      <c r="B212" s="32">
        <v>44135</v>
      </c>
      <c r="C212" s="3">
        <v>9.9177200144488678E-2</v>
      </c>
      <c r="D212" s="3">
        <v>9.9353069489620291E-2</v>
      </c>
    </row>
    <row r="213" spans="2:4" ht="16.5" customHeight="1" x14ac:dyDescent="0.25">
      <c r="B213" s="32">
        <v>44165</v>
      </c>
      <c r="C213" s="3">
        <v>0.10139669943813075</v>
      </c>
      <c r="D213" s="3">
        <v>0.10109811108165256</v>
      </c>
    </row>
    <row r="214" spans="2:4" ht="16.5" customHeight="1" x14ac:dyDescent="0.25">
      <c r="B214" s="32">
        <v>44196</v>
      </c>
      <c r="C214" s="3">
        <v>0.10281754170746263</v>
      </c>
      <c r="D214" s="3">
        <v>0.10213831141310357</v>
      </c>
    </row>
    <row r="215" spans="2:4" ht="16.5" customHeight="1" x14ac:dyDescent="0.25">
      <c r="B215" s="32">
        <v>44227</v>
      </c>
      <c r="C215" s="3">
        <v>0.10360388679355176</v>
      </c>
      <c r="D215" s="3">
        <v>0.1026356734377783</v>
      </c>
    </row>
    <row r="216" spans="2:4" ht="16.5" customHeight="1" x14ac:dyDescent="0.25">
      <c r="B216" s="32">
        <v>44255</v>
      </c>
      <c r="C216" s="3">
        <v>0.11392219924147262</v>
      </c>
      <c r="D216" s="3">
        <v>0.11166239895369527</v>
      </c>
    </row>
    <row r="217" spans="2:4" ht="16.5" customHeight="1" x14ac:dyDescent="0.25">
      <c r="B217" s="32">
        <v>44286</v>
      </c>
      <c r="C217" s="3">
        <v>0.11835598173191407</v>
      </c>
      <c r="D217" s="3">
        <v>0.11549765501471136</v>
      </c>
    </row>
    <row r="218" spans="2:4" ht="16.5" customHeight="1" x14ac:dyDescent="0.25">
      <c r="B218" s="32">
        <v>44316</v>
      </c>
      <c r="C218" s="3">
        <v>0.11407671041077182</v>
      </c>
      <c r="D218" s="3">
        <v>0.11186649317879059</v>
      </c>
    </row>
    <row r="219" spans="2:4" ht="16.5" customHeight="1" x14ac:dyDescent="0.25">
      <c r="B219" s="32">
        <v>44347</v>
      </c>
      <c r="C219" s="3">
        <v>0.11182606983586553</v>
      </c>
      <c r="D219" s="3">
        <v>0.11014376831229669</v>
      </c>
    </row>
    <row r="220" spans="2:4" ht="16.5" customHeight="1" x14ac:dyDescent="0.25">
      <c r="B220" s="32">
        <v>44377</v>
      </c>
      <c r="C220" s="3">
        <v>0.11069504818759385</v>
      </c>
      <c r="D220" s="3">
        <v>0.10942283422466646</v>
      </c>
    </row>
    <row r="221" spans="2:4" ht="16.5" customHeight="1" x14ac:dyDescent="0.25">
      <c r="B221" s="32">
        <v>44408</v>
      </c>
      <c r="C221" s="3">
        <v>0.1127622399760337</v>
      </c>
      <c r="D221" s="3">
        <v>0.11156771564008473</v>
      </c>
    </row>
    <row r="222" spans="2:4" ht="16.5" customHeight="1" x14ac:dyDescent="0.25">
      <c r="B222" s="32">
        <v>44439</v>
      </c>
      <c r="C222" s="3">
        <v>0.12233000770690886</v>
      </c>
      <c r="D222" s="3">
        <v>0.12023236988898396</v>
      </c>
    </row>
    <row r="223" spans="2:4" ht="16.5" customHeight="1" x14ac:dyDescent="0.25">
      <c r="B223" s="32">
        <v>44469</v>
      </c>
      <c r="C223" s="3">
        <v>0.12079195035886034</v>
      </c>
      <c r="D223" s="3">
        <v>0.1189664639208938</v>
      </c>
    </row>
    <row r="224" spans="2:4" ht="16.5" customHeight="1" x14ac:dyDescent="0.25">
      <c r="B224" s="32">
        <v>44500</v>
      </c>
      <c r="C224" s="3">
        <v>0.12285344330561201</v>
      </c>
      <c r="D224" s="3">
        <v>0.1211314349082402</v>
      </c>
    </row>
    <row r="225" spans="2:4" ht="16.5" customHeight="1" x14ac:dyDescent="0.25">
      <c r="B225" s="32">
        <v>44530</v>
      </c>
      <c r="C225" s="3">
        <v>0.12017616972474966</v>
      </c>
      <c r="D225" s="3">
        <v>0.11911305562208621</v>
      </c>
    </row>
    <row r="226" spans="2:4" ht="16.5" customHeight="1" x14ac:dyDescent="0.25">
      <c r="B226" s="32">
        <v>44561</v>
      </c>
      <c r="C226" s="3">
        <v>0.12146660736585108</v>
      </c>
      <c r="D226" s="3">
        <v>0.11999139284832067</v>
      </c>
    </row>
    <row r="227" spans="2:4" ht="16.5" customHeight="1" x14ac:dyDescent="0.25">
      <c r="B227" s="32">
        <v>44592</v>
      </c>
      <c r="C227" s="3">
        <v>0.11898684353763166</v>
      </c>
      <c r="D227" s="3">
        <v>0.11802138746886195</v>
      </c>
    </row>
    <row r="228" spans="2:4" ht="16.5" customHeight="1" x14ac:dyDescent="0.25">
      <c r="B228" s="32">
        <v>44620</v>
      </c>
      <c r="C228" s="3">
        <v>8.9772940620833575E-2</v>
      </c>
      <c r="D228" s="3">
        <v>9.292202677457205E-2</v>
      </c>
    </row>
    <row r="229" spans="2:4" ht="16.5" customHeight="1" x14ac:dyDescent="0.25">
      <c r="B229" s="32">
        <v>44651</v>
      </c>
      <c r="C229" s="3">
        <v>9.1385771693113724E-2</v>
      </c>
      <c r="D229" s="3">
        <v>9.3627577213187013E-2</v>
      </c>
    </row>
    <row r="230" spans="2:4" ht="16.5" customHeight="1" x14ac:dyDescent="0.25">
      <c r="B230" s="32">
        <v>44681</v>
      </c>
      <c r="C230" s="3">
        <v>9.0315294120201381E-2</v>
      </c>
      <c r="D230" s="3">
        <v>9.266988790708193E-2</v>
      </c>
    </row>
    <row r="231" spans="2:4" ht="16.5" customHeight="1" x14ac:dyDescent="0.25">
      <c r="B231" s="32">
        <v>44712</v>
      </c>
      <c r="C231" s="3">
        <v>8.4315787074645085E-2</v>
      </c>
      <c r="D231" s="3">
        <v>8.7672458078773954E-2</v>
      </c>
    </row>
    <row r="232" spans="2:4" ht="16.5" customHeight="1" x14ac:dyDescent="0.25">
      <c r="B232" s="32">
        <v>44742</v>
      </c>
      <c r="C232" s="3">
        <v>7.4971233072379531E-2</v>
      </c>
      <c r="D232" s="3">
        <v>7.9314446396314492E-2</v>
      </c>
    </row>
    <row r="233" spans="2:4" ht="16.5" customHeight="1" x14ac:dyDescent="0.25">
      <c r="B233" s="32">
        <v>44773</v>
      </c>
      <c r="C233" s="3">
        <v>6.9443875916375034E-2</v>
      </c>
      <c r="D233" s="3">
        <v>7.4586026035305453E-2</v>
      </c>
    </row>
    <row r="234" spans="2:4" ht="16.5" customHeight="1" x14ac:dyDescent="0.25">
      <c r="B234" s="32">
        <v>44804</v>
      </c>
      <c r="C234" s="3">
        <v>5.3481793981238403E-2</v>
      </c>
      <c r="D234" s="3">
        <v>6.053216067489723E-2</v>
      </c>
    </row>
    <row r="235" spans="2:4" ht="16.5" customHeight="1" x14ac:dyDescent="0.25">
      <c r="B235" s="32">
        <v>44834</v>
      </c>
      <c r="C235" s="3">
        <v>5.2288748995956501E-2</v>
      </c>
      <c r="D235" s="3">
        <v>5.9237301182025151E-2</v>
      </c>
    </row>
    <row r="236" spans="2:4" ht="16.5" customHeight="1" x14ac:dyDescent="0.25">
      <c r="B236" s="32">
        <v>44865</v>
      </c>
      <c r="C236" s="3">
        <v>4.7555433224284779E-2</v>
      </c>
      <c r="D236" s="3">
        <v>5.4816930258659718E-2</v>
      </c>
    </row>
    <row r="237" spans="2:4" ht="16.5" customHeight="1" x14ac:dyDescent="0.25">
      <c r="B237" s="32">
        <v>44895</v>
      </c>
      <c r="C237" s="3">
        <v>5.0099999999999999E-2</v>
      </c>
      <c r="D237" s="3">
        <v>5.6599999999999998E-2</v>
      </c>
    </row>
    <row r="238" spans="2:4" ht="16.5" customHeight="1" x14ac:dyDescent="0.25">
      <c r="B238" s="32">
        <v>44926</v>
      </c>
      <c r="C238" s="3">
        <v>5.5199999999999999E-2</v>
      </c>
      <c r="D238" s="3">
        <v>6.0999999999999999E-2</v>
      </c>
    </row>
    <row r="239" spans="2:4" ht="16.5" customHeight="1" x14ac:dyDescent="0.25">
      <c r="B239" s="32">
        <v>44957</v>
      </c>
      <c r="C239" s="3">
        <v>5.6737110987465693E-2</v>
      </c>
      <c r="D239" s="3">
        <v>6.2228278030250932E-2</v>
      </c>
    </row>
    <row r="240" spans="2:4" ht="16.5" customHeight="1" x14ac:dyDescent="0.25">
      <c r="B240" s="32">
        <v>44985</v>
      </c>
      <c r="C240" s="3">
        <v>7.1038363851641237E-2</v>
      </c>
      <c r="D240" s="3">
        <v>7.4749885175753622E-2</v>
      </c>
    </row>
    <row r="241" spans="2:4" ht="16.5" customHeight="1" x14ac:dyDescent="0.25">
      <c r="B241" s="32">
        <v>45016</v>
      </c>
      <c r="C241" s="3">
        <v>6.6900000000000001E-2</v>
      </c>
      <c r="D241" s="3">
        <v>7.17E-2</v>
      </c>
    </row>
    <row r="242" spans="2:4" ht="16.5" customHeight="1" x14ac:dyDescent="0.25">
      <c r="B242" s="32">
        <v>45046</v>
      </c>
      <c r="C242" s="3">
        <v>6.5199999999999994E-2</v>
      </c>
      <c r="D242" s="3">
        <v>7.0400000000000004E-2</v>
      </c>
    </row>
    <row r="243" spans="2:4" ht="16.5" customHeight="1" x14ac:dyDescent="0.25">
      <c r="B243" s="32">
        <v>45077</v>
      </c>
      <c r="C243" s="3">
        <v>6.5000000000000002E-2</v>
      </c>
      <c r="D243" s="3">
        <v>7.0300000000000001E-2</v>
      </c>
    </row>
    <row r="244" spans="2:4" ht="16.5" customHeight="1" x14ac:dyDescent="0.25">
      <c r="B244" s="32">
        <v>45107</v>
      </c>
      <c r="C244" s="3">
        <v>6.8657325281064094E-2</v>
      </c>
      <c r="D244" s="3">
        <v>7.3434009469846406E-2</v>
      </c>
    </row>
    <row r="245" spans="2:4" ht="16.5" customHeight="1" x14ac:dyDescent="0.25">
      <c r="B245" s="32">
        <v>45138</v>
      </c>
      <c r="C245" s="3">
        <v>7.6799999999999993E-2</v>
      </c>
      <c r="D245" s="3">
        <v>8.0199999999999994E-2</v>
      </c>
    </row>
    <row r="246" spans="2:4" ht="16.5" customHeight="1" x14ac:dyDescent="0.25">
      <c r="B246" s="32">
        <v>45169</v>
      </c>
      <c r="C246" s="3">
        <f>867.010579517992%/100</f>
        <v>8.6701057951799193E-2</v>
      </c>
      <c r="D246" s="3">
        <f>884.847470916507%/100</f>
        <v>8.848474709165069E-2</v>
      </c>
    </row>
    <row r="247" spans="2:4" ht="16.5" customHeight="1" x14ac:dyDescent="0.25">
      <c r="B247" s="32">
        <v>45199</v>
      </c>
      <c r="C247" s="3">
        <v>9.1174708955025621E-2</v>
      </c>
      <c r="D247" s="3">
        <v>9.2183767525266358E-2</v>
      </c>
    </row>
    <row r="248" spans="2:4" ht="16.5" customHeight="1" x14ac:dyDescent="0.25">
      <c r="B248" s="32">
        <v>45230</v>
      </c>
      <c r="C248" s="3">
        <v>9.194347491506992E-2</v>
      </c>
      <c r="D248" s="3">
        <v>9.3051887718984747E-2</v>
      </c>
    </row>
    <row r="249" spans="2:4" ht="16.5" customHeight="1" x14ac:dyDescent="0.25">
      <c r="B249" s="32">
        <v>45260</v>
      </c>
      <c r="C249" s="3">
        <v>8.8560153554006302E-2</v>
      </c>
      <c r="D249" s="3">
        <v>9.0302850619180003E-2</v>
      </c>
    </row>
    <row r="250" spans="2:4" ht="16.5" customHeight="1" x14ac:dyDescent="0.25">
      <c r="B250" s="32">
        <v>45291</v>
      </c>
      <c r="C250" s="3">
        <v>8.7384204242034455E-2</v>
      </c>
      <c r="D250" s="3">
        <v>8.8991447818281055E-2</v>
      </c>
    </row>
    <row r="251" spans="2:4" ht="16.5" customHeight="1" x14ac:dyDescent="0.25">
      <c r="B251" s="32">
        <v>45322</v>
      </c>
      <c r="C251" s="3">
        <v>9.0800000000000006E-2</v>
      </c>
      <c r="D251" s="3">
        <v>9.1799999999999993E-2</v>
      </c>
    </row>
    <row r="252" spans="2:4" ht="16.5" customHeight="1" x14ac:dyDescent="0.25">
      <c r="B252" s="32">
        <v>45351</v>
      </c>
      <c r="C252" s="3">
        <v>9.4982966014658957E-2</v>
      </c>
      <c r="D252" s="3">
        <v>9.5044831768460125E-2</v>
      </c>
    </row>
    <row r="253" spans="2:4" ht="16.5" customHeight="1" x14ac:dyDescent="0.25">
      <c r="B253" s="32">
        <v>45382</v>
      </c>
      <c r="C253" s="3">
        <v>9.9275179067410443E-2</v>
      </c>
      <c r="D253" s="3">
        <v>9.9099432037617438E-2</v>
      </c>
    </row>
    <row r="254" spans="2:4" ht="16.5" customHeight="1" x14ac:dyDescent="0.25">
      <c r="B254" s="32">
        <v>45412</v>
      </c>
      <c r="C254" s="3">
        <v>0.10349360718503373</v>
      </c>
      <c r="D254" s="3">
        <v>0.10254087760756683</v>
      </c>
    </row>
    <row r="255" spans="2:4" ht="16.5" customHeight="1" x14ac:dyDescent="0.25">
      <c r="B255" s="32">
        <v>45443</v>
      </c>
      <c r="C255" s="3">
        <v>0.10547301537459994</v>
      </c>
      <c r="D255" s="3">
        <v>0.10426551585947307</v>
      </c>
    </row>
    <row r="256" spans="2:4" ht="16.5" customHeight="1" x14ac:dyDescent="0.25">
      <c r="B256" s="32">
        <v>45473</v>
      </c>
      <c r="C256" s="3">
        <v>0.10537738799450881</v>
      </c>
      <c r="D256" s="3">
        <v>0.10415537184031418</v>
      </c>
    </row>
    <row r="257" spans="2:4" ht="16.5" customHeight="1" x14ac:dyDescent="0.25">
      <c r="B257" s="32">
        <v>45504</v>
      </c>
      <c r="C257" s="3">
        <v>0.10107871677982701</v>
      </c>
      <c r="D257" s="3">
        <v>0.1007</v>
      </c>
    </row>
    <row r="258" spans="2:4" ht="16.5" customHeight="1" x14ac:dyDescent="0.25">
      <c r="B258" s="32">
        <v>45535</v>
      </c>
      <c r="C258" s="3">
        <v>9.74E-2</v>
      </c>
      <c r="D258" s="3">
        <v>9.7599999999999992E-2</v>
      </c>
    </row>
    <row r="259" spans="2:4" ht="16.5" customHeight="1" x14ac:dyDescent="0.25">
      <c r="B259" s="32">
        <v>45565</v>
      </c>
      <c r="C259" s="3">
        <v>9.5399999999999999E-2</v>
      </c>
      <c r="D259" s="3">
        <v>9.6100000000000005E-2</v>
      </c>
    </row>
    <row r="260" spans="2:4" ht="16.5" customHeight="1" x14ac:dyDescent="0.25">
      <c r="B260" s="32">
        <v>45596</v>
      </c>
      <c r="C260" s="3">
        <v>9.604600352317251E-2</v>
      </c>
      <c r="D260" s="3">
        <v>9.6475585937179087E-2</v>
      </c>
    </row>
    <row r="261" spans="2:4" ht="16.5" customHeight="1" x14ac:dyDescent="0.25">
      <c r="B261" s="32">
        <v>45626</v>
      </c>
      <c r="C261" s="3">
        <v>9.8377168294164596E-2</v>
      </c>
      <c r="D261" s="3">
        <v>9.8505880744364213E-2</v>
      </c>
    </row>
    <row r="262" spans="2:4" ht="16.5" customHeight="1" x14ac:dyDescent="0.25">
      <c r="B262" s="32">
        <v>45657</v>
      </c>
      <c r="C262" s="3">
        <v>9.9878099650032415E-2</v>
      </c>
      <c r="D262" s="3">
        <v>9.9960228169851686E-2</v>
      </c>
    </row>
    <row r="263" spans="2:4" ht="16.5" customHeight="1" x14ac:dyDescent="0.25">
      <c r="B263" s="32">
        <v>45658</v>
      </c>
      <c r="C263" s="3">
        <v>9.8132451707695398E-2</v>
      </c>
      <c r="D263" s="3">
        <v>9.8497265334904605E-2</v>
      </c>
    </row>
    <row r="264" spans="2:4" ht="16.5" customHeight="1" x14ac:dyDescent="0.25">
      <c r="B264" s="32">
        <v>45716</v>
      </c>
      <c r="C264" s="3">
        <v>9.7699206018760393E-2</v>
      </c>
      <c r="D264" s="3">
        <v>9.9361554754282808E-2</v>
      </c>
    </row>
    <row r="265" spans="2:4" ht="16.5" customHeight="1" x14ac:dyDescent="0.25">
      <c r="B265" s="32">
        <v>45747</v>
      </c>
      <c r="C265" s="3">
        <v>9.7900000000000001E-2</v>
      </c>
      <c r="D265" s="3">
        <v>9.9400000000000002E-2</v>
      </c>
    </row>
    <row r="266" spans="2:4" ht="16.5" customHeight="1" x14ac:dyDescent="0.25">
      <c r="B266" s="32">
        <v>45777</v>
      </c>
      <c r="C266" s="3">
        <v>9.3984660213971324E-2</v>
      </c>
      <c r="D266" s="3">
        <v>9.6040161379302894E-2</v>
      </c>
    </row>
    <row r="267" spans="2:4" ht="16.5" customHeight="1" x14ac:dyDescent="0.25">
      <c r="B267" s="32">
        <v>45808</v>
      </c>
      <c r="C267" s="3">
        <v>9.0764785930517497E-2</v>
      </c>
      <c r="D267" s="3">
        <v>9.3024364713846203E-2</v>
      </c>
    </row>
    <row r="268" spans="2:4" ht="16.5" customHeight="1" x14ac:dyDescent="0.25">
      <c r="B268" s="32">
        <f t="shared" ref="B268:B277" si="0">+EOMONTH(B267,1)</f>
        <v>45838</v>
      </c>
      <c r="C268" s="3">
        <v>8.8762045907456372E-2</v>
      </c>
      <c r="D268" s="3">
        <v>9.1229876929604145E-2</v>
      </c>
    </row>
    <row r="269" spans="2:4" ht="16.5" customHeight="1" x14ac:dyDescent="0.25">
      <c r="B269" s="32">
        <f t="shared" si="0"/>
        <v>45869</v>
      </c>
      <c r="C269" s="3">
        <v>8.3862193550437378E-2</v>
      </c>
      <c r="D269" s="3">
        <v>8.6944733550136474E-2</v>
      </c>
    </row>
    <row r="270" spans="2:4" ht="16.5" customHeight="1" x14ac:dyDescent="0.25">
      <c r="B270" s="32">
        <f t="shared" si="0"/>
        <v>45900</v>
      </c>
      <c r="C270" s="36">
        <v>9.0744411962338706E-2</v>
      </c>
      <c r="D270" s="3">
        <v>9.2514704485345697E-2</v>
      </c>
    </row>
    <row r="271" spans="2:4" ht="16.5" customHeight="1" x14ac:dyDescent="0.25">
      <c r="B271" s="32">
        <f t="shared" si="0"/>
        <v>45930</v>
      </c>
      <c r="C271" s="36">
        <v>9.4354714782645496E-2</v>
      </c>
      <c r="D271" s="3">
        <v>9.5861879238420294E-2</v>
      </c>
    </row>
    <row r="272" spans="2:4" ht="16.5" customHeight="1" x14ac:dyDescent="0.25">
      <c r="B272" s="32">
        <f t="shared" si="0"/>
        <v>45961</v>
      </c>
      <c r="C272" s="36">
        <v>9.7901553474616806E-2</v>
      </c>
      <c r="D272" s="3">
        <v>9.8514622823791503E-2</v>
      </c>
    </row>
    <row r="273" spans="2:4" ht="16.5" customHeight="1" x14ac:dyDescent="0.25">
      <c r="B273" s="32">
        <f t="shared" si="0"/>
        <v>45991</v>
      </c>
      <c r="C273" s="36">
        <v>9.6568510992873099E-2</v>
      </c>
      <c r="D273" s="3">
        <v>9.7282650362880696E-2</v>
      </c>
    </row>
    <row r="274" spans="2:4" ht="16.5" customHeight="1" x14ac:dyDescent="0.25">
      <c r="B274" s="32">
        <f t="shared" si="0"/>
        <v>46022</v>
      </c>
      <c r="C274" s="36">
        <v>9.8995773515597005E-2</v>
      </c>
      <c r="D274" s="3">
        <v>9.9322557723442603E-2</v>
      </c>
    </row>
    <row r="275" spans="2:4" ht="16.5" customHeight="1" x14ac:dyDescent="0.25">
      <c r="B275" s="32">
        <f t="shared" si="0"/>
        <v>46053</v>
      </c>
      <c r="C275" s="36">
        <v>9.2860515218089398E-2</v>
      </c>
      <c r="D275" s="3">
        <v>9.3995230832572996E-2</v>
      </c>
    </row>
    <row r="276" spans="2:4" ht="16.5" customHeight="1" x14ac:dyDescent="0.25">
      <c r="B276" s="32">
        <f t="shared" si="0"/>
        <v>46081</v>
      </c>
      <c r="C276" s="36">
        <v>8.6272812872043497E-2</v>
      </c>
      <c r="D276" s="3">
        <v>8.76168965447571E-2</v>
      </c>
    </row>
    <row r="277" spans="2:4" ht="16.5" customHeight="1" x14ac:dyDescent="0.25">
      <c r="B277" s="32">
        <f t="shared" si="0"/>
        <v>46112</v>
      </c>
      <c r="C277" s="36">
        <v>7.9164390015537406E-2</v>
      </c>
      <c r="D277" s="36">
        <v>8.0970044128347102E-2</v>
      </c>
    </row>
    <row r="278" spans="2:4" ht="16.5" customHeight="1" x14ac:dyDescent="0.25"/>
    <row r="279" spans="2:4" ht="16.5" customHeight="1" x14ac:dyDescent="0.25"/>
    <row r="280" spans="2:4" ht="16.5" customHeight="1" x14ac:dyDescent="0.25"/>
  </sheetData>
  <sheetProtection formatCells="0" formatColumns="0" formatRows="0" insertColumns="0" insertRows="0" insertHyperlinks="0" deleteColumns="0" deleteRows="0" sort="0" autoFilter="0" pivotTables="0"/>
  <autoFilter ref="B4:B270" xr:uid="{0F2A15E3-B1FA-4F26-909E-B820D02B7CFD}"/>
  <mergeCells count="2">
    <mergeCell ref="A1:D1"/>
    <mergeCell ref="B2:D2"/>
  </mergeCells>
  <phoneticPr fontId="0" type="noConversion"/>
  <printOptions horizontalCentered="1" verticalCentered="1"/>
  <pageMargins left="0.74803149606299213" right="0.74803149606299213" top="0.11811023622047245" bottom="3.937007874015748E-2" header="0" footer="0"/>
  <pageSetup paperSize="9" scale="21" orientation="portrait" r:id="rId1"/>
  <headerFooter alignWithMargins="0"/>
  <rowBreaks count="1" manualBreakCount="1">
    <brk id="25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E650-6515-486D-986B-45310CBC6E57}">
  <dimension ref="A3:C28"/>
  <sheetViews>
    <sheetView workbookViewId="0">
      <selection activeCell="G20" sqref="G20"/>
    </sheetView>
  </sheetViews>
  <sheetFormatPr defaultRowHeight="12.5" x14ac:dyDescent="0.25"/>
  <cols>
    <col min="1" max="1" width="13" bestFit="1" customWidth="1"/>
    <col min="2" max="2" width="15.08984375" bestFit="1" customWidth="1"/>
    <col min="3" max="3" width="15" bestFit="1" customWidth="1"/>
  </cols>
  <sheetData>
    <row r="3" spans="1:3" x14ac:dyDescent="0.25">
      <c r="A3" s="48" t="s">
        <v>30</v>
      </c>
      <c r="B3" t="s">
        <v>56</v>
      </c>
      <c r="C3" t="s">
        <v>57</v>
      </c>
    </row>
    <row r="4" spans="1:3" x14ac:dyDescent="0.25">
      <c r="A4" s="49" t="s">
        <v>32</v>
      </c>
      <c r="B4">
        <v>0</v>
      </c>
      <c r="C4">
        <v>1.3550635511098406</v>
      </c>
    </row>
    <row r="5" spans="1:3" x14ac:dyDescent="0.25">
      <c r="A5" s="49" t="s">
        <v>33</v>
      </c>
      <c r="B5">
        <v>0</v>
      </c>
      <c r="C5">
        <v>3.0401054616430683</v>
      </c>
    </row>
    <row r="6" spans="1:3" x14ac:dyDescent="0.25">
      <c r="A6" s="49" t="s">
        <v>34</v>
      </c>
      <c r="B6">
        <v>0</v>
      </c>
      <c r="C6">
        <v>0</v>
      </c>
    </row>
    <row r="7" spans="1:3" x14ac:dyDescent="0.25">
      <c r="A7" s="49" t="s">
        <v>35</v>
      </c>
      <c r="B7">
        <v>0</v>
      </c>
      <c r="C7">
        <v>0</v>
      </c>
    </row>
    <row r="8" spans="1:3" x14ac:dyDescent="0.25">
      <c r="A8" s="49" t="s">
        <v>36</v>
      </c>
      <c r="B8">
        <v>0</v>
      </c>
      <c r="C8">
        <v>0</v>
      </c>
    </row>
    <row r="9" spans="1:3" x14ac:dyDescent="0.25">
      <c r="A9" s="49" t="s">
        <v>37</v>
      </c>
      <c r="B9">
        <v>0</v>
      </c>
      <c r="C9">
        <v>0</v>
      </c>
    </row>
    <row r="10" spans="1:3" x14ac:dyDescent="0.25">
      <c r="A10" s="49" t="s">
        <v>38</v>
      </c>
      <c r="B10">
        <v>0</v>
      </c>
      <c r="C10">
        <v>0</v>
      </c>
    </row>
    <row r="11" spans="1:3" x14ac:dyDescent="0.25">
      <c r="A11" s="49" t="s">
        <v>39</v>
      </c>
      <c r="B11">
        <v>0</v>
      </c>
      <c r="C11">
        <v>0</v>
      </c>
    </row>
    <row r="12" spans="1:3" x14ac:dyDescent="0.25">
      <c r="A12" s="49" t="s">
        <v>40</v>
      </c>
      <c r="B12">
        <v>0</v>
      </c>
      <c r="C12">
        <v>0</v>
      </c>
    </row>
    <row r="13" spans="1:3" x14ac:dyDescent="0.25">
      <c r="A13" s="49" t="s">
        <v>41</v>
      </c>
      <c r="B13">
        <v>0</v>
      </c>
      <c r="C13">
        <v>0</v>
      </c>
    </row>
    <row r="14" spans="1:3" x14ac:dyDescent="0.25">
      <c r="A14" s="49" t="s">
        <v>42</v>
      </c>
      <c r="B14">
        <v>0</v>
      </c>
      <c r="C14">
        <v>0</v>
      </c>
    </row>
    <row r="15" spans="1:3" x14ac:dyDescent="0.25">
      <c r="A15" s="49" t="s">
        <v>43</v>
      </c>
      <c r="B15">
        <v>0</v>
      </c>
      <c r="C15">
        <v>0</v>
      </c>
    </row>
    <row r="16" spans="1:3" x14ac:dyDescent="0.25">
      <c r="A16" s="49" t="s">
        <v>44</v>
      </c>
      <c r="B16">
        <v>0</v>
      </c>
      <c r="C16">
        <v>0</v>
      </c>
    </row>
    <row r="17" spans="1:3" x14ac:dyDescent="0.25">
      <c r="A17" s="49" t="s">
        <v>45</v>
      </c>
      <c r="B17">
        <v>0.53273108063108066</v>
      </c>
      <c r="C17">
        <v>0</v>
      </c>
    </row>
    <row r="18" spans="1:3" x14ac:dyDescent="0.25">
      <c r="A18" s="49" t="s">
        <v>46</v>
      </c>
      <c r="B18">
        <v>1.3039000000000001</v>
      </c>
      <c r="C18">
        <v>0</v>
      </c>
    </row>
    <row r="19" spans="1:3" x14ac:dyDescent="0.25">
      <c r="A19" s="49" t="s">
        <v>47</v>
      </c>
      <c r="B19">
        <v>1.2312594839922846</v>
      </c>
      <c r="C19">
        <v>0</v>
      </c>
    </row>
    <row r="20" spans="1:3" x14ac:dyDescent="0.25">
      <c r="A20" s="49" t="s">
        <v>48</v>
      </c>
      <c r="B20">
        <v>1.0460989849405857</v>
      </c>
      <c r="C20">
        <v>0</v>
      </c>
    </row>
    <row r="21" spans="1:3" x14ac:dyDescent="0.25">
      <c r="A21" s="49" t="s">
        <v>49</v>
      </c>
      <c r="B21">
        <v>1.1197951289349242</v>
      </c>
      <c r="C21">
        <v>0</v>
      </c>
    </row>
    <row r="22" spans="1:3" x14ac:dyDescent="0.25">
      <c r="A22" s="49" t="s">
        <v>50</v>
      </c>
      <c r="B22">
        <v>1.5077916186051992</v>
      </c>
      <c r="C22">
        <v>0</v>
      </c>
    </row>
    <row r="23" spans="1:3" x14ac:dyDescent="0.25">
      <c r="A23" s="49" t="s">
        <v>51</v>
      </c>
      <c r="B23">
        <v>1.0875439804429246</v>
      </c>
      <c r="C23">
        <v>0</v>
      </c>
    </row>
    <row r="24" spans="1:3" x14ac:dyDescent="0.25">
      <c r="A24" s="49" t="s">
        <v>52</v>
      </c>
      <c r="B24">
        <v>0.88938707950843554</v>
      </c>
      <c r="C24">
        <v>0</v>
      </c>
    </row>
    <row r="25" spans="1:3" x14ac:dyDescent="0.25">
      <c r="A25" s="49" t="s">
        <v>53</v>
      </c>
      <c r="B25">
        <v>1.0159302953106437</v>
      </c>
      <c r="C25">
        <v>0</v>
      </c>
    </row>
    <row r="26" spans="1:3" x14ac:dyDescent="0.25">
      <c r="A26" s="49" t="s">
        <v>54</v>
      </c>
      <c r="B26">
        <v>0.94033306355565527</v>
      </c>
      <c r="C26">
        <v>0</v>
      </c>
    </row>
    <row r="27" spans="1:3" x14ac:dyDescent="0.25">
      <c r="A27" s="49" t="s">
        <v>55</v>
      </c>
      <c r="B27">
        <v>0.2112724860976842</v>
      </c>
      <c r="C27">
        <v>0</v>
      </c>
    </row>
    <row r="28" spans="1:3" x14ac:dyDescent="0.25">
      <c r="A28" s="49" t="s">
        <v>31</v>
      </c>
      <c r="B28">
        <v>10.886043202019417</v>
      </c>
      <c r="C28">
        <v>4.3951690127529091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45A0-771D-4A28-93A9-A581C1BB4D5E}">
  <sheetPr codeName="Hoja2"/>
  <dimension ref="B2:S360"/>
  <sheetViews>
    <sheetView showGridLines="0" tabSelected="1" view="pageBreakPreview" zoomScaleNormal="100" zoomScaleSheetLayoutView="100" workbookViewId="0">
      <pane ySplit="5" topLeftCell="A6" activePane="bottomLeft" state="frozen"/>
      <selection activeCell="B2" sqref="B2:G2"/>
      <selection pane="bottomLeft" activeCell="B10" sqref="B10"/>
    </sheetView>
  </sheetViews>
  <sheetFormatPr defaultColWidth="11.453125" defaultRowHeight="14" x14ac:dyDescent="0.25"/>
  <cols>
    <col min="1" max="1" width="6.54296875" style="8" customWidth="1"/>
    <col min="2" max="2" width="161.1796875" style="61" bestFit="1" customWidth="1"/>
    <col min="3" max="3" width="10.453125" style="8" bestFit="1" customWidth="1"/>
    <col min="4" max="4" width="13.453125" style="8" bestFit="1" customWidth="1"/>
    <col min="5" max="5" width="13.453125" style="8" customWidth="1"/>
    <col min="6" max="6" width="12.7265625" style="8" bestFit="1" customWidth="1"/>
    <col min="7" max="7" width="15.1796875" style="8" customWidth="1"/>
    <col min="8" max="8" width="11.26953125" style="8" customWidth="1"/>
    <col min="9" max="9" width="10.81640625" style="8" customWidth="1"/>
    <col min="10" max="10" width="12.26953125" style="8" customWidth="1"/>
    <col min="11" max="11" width="11.81640625" style="8" customWidth="1"/>
    <col min="12" max="12" width="11.453125" style="8" bestFit="1" customWidth="1"/>
    <col min="13" max="13" width="11.81640625" style="8" customWidth="1"/>
    <col min="14" max="14" width="18.453125" style="8" bestFit="1" customWidth="1"/>
    <col min="15" max="15" width="17.453125" style="8" bestFit="1" customWidth="1"/>
    <col min="16" max="16" width="18" style="8" bestFit="1" customWidth="1"/>
    <col min="17" max="17" width="12.1796875" style="8" customWidth="1"/>
    <col min="18" max="18" width="11.453125" style="8" customWidth="1"/>
    <col min="19" max="16384" width="11.453125" style="8"/>
  </cols>
  <sheetData>
    <row r="2" spans="2:19" ht="19" customHeight="1" thickBot="1" x14ac:dyDescent="0.3">
      <c r="B2" s="52" t="s">
        <v>5</v>
      </c>
      <c r="C2" s="39"/>
      <c r="D2" s="39"/>
      <c r="E2" s="39"/>
      <c r="F2" s="39"/>
      <c r="G2" s="39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2:19" ht="19.5" customHeight="1" thickTop="1" thickBot="1" x14ac:dyDescent="0.3">
      <c r="B3" s="53" t="s">
        <v>28</v>
      </c>
      <c r="C3" s="41"/>
      <c r="D3" s="41"/>
      <c r="E3" s="41"/>
      <c r="F3" s="41"/>
      <c r="G3" s="27"/>
      <c r="H3" s="27"/>
      <c r="I3" s="27"/>
      <c r="J3" s="27"/>
      <c r="K3" s="27"/>
      <c r="L3" s="27"/>
      <c r="M3" s="27"/>
      <c r="N3" s="28"/>
      <c r="O3" s="28"/>
      <c r="P3" s="28"/>
      <c r="Q3" s="28"/>
    </row>
    <row r="4" spans="2:19" ht="30" customHeight="1" thickTop="1" thickBot="1" x14ac:dyDescent="0.3">
      <c r="B4" s="54" t="s">
        <v>2</v>
      </c>
      <c r="C4" s="44" t="s">
        <v>6</v>
      </c>
      <c r="D4" s="45"/>
      <c r="E4" s="45"/>
      <c r="F4" s="45"/>
      <c r="G4" s="45"/>
      <c r="H4" s="45"/>
      <c r="I4" s="45"/>
      <c r="J4" s="45"/>
      <c r="K4" s="45"/>
      <c r="L4" s="45"/>
      <c r="M4" s="46"/>
      <c r="N4" s="29" t="s">
        <v>7</v>
      </c>
      <c r="O4" s="29" t="s">
        <v>8</v>
      </c>
      <c r="P4" s="29" t="s">
        <v>9</v>
      </c>
      <c r="Q4" s="29" t="s">
        <v>10</v>
      </c>
    </row>
    <row r="5" spans="2:19" ht="30" customHeight="1" thickTop="1" thickBot="1" x14ac:dyDescent="0.3">
      <c r="B5" s="55" t="s">
        <v>29</v>
      </c>
      <c r="C5" s="29" t="s">
        <v>11</v>
      </c>
      <c r="D5" s="29" t="s">
        <v>12</v>
      </c>
      <c r="E5" s="29" t="s">
        <v>13</v>
      </c>
      <c r="F5" s="29" t="s">
        <v>14</v>
      </c>
      <c r="G5" s="29" t="s">
        <v>15</v>
      </c>
      <c r="H5" s="29" t="s">
        <v>16</v>
      </c>
      <c r="I5" s="29" t="s">
        <v>17</v>
      </c>
      <c r="J5" s="29" t="s">
        <v>18</v>
      </c>
      <c r="K5" s="29" t="s">
        <v>19</v>
      </c>
      <c r="L5" s="29" t="s">
        <v>20</v>
      </c>
      <c r="M5" s="29" t="s">
        <v>21</v>
      </c>
      <c r="N5" s="43"/>
      <c r="O5" s="43"/>
      <c r="P5" s="43"/>
      <c r="Q5" s="43"/>
    </row>
    <row r="6" spans="2:19" ht="15" customHeight="1" thickTop="1" x14ac:dyDescent="0.25">
      <c r="B6" s="56">
        <v>37833</v>
      </c>
      <c r="C6" s="9">
        <v>0</v>
      </c>
      <c r="D6" s="10">
        <v>0.19734878970238157</v>
      </c>
      <c r="E6" s="10">
        <v>0.17940438130530123</v>
      </c>
      <c r="F6" s="10">
        <v>0.20437699942895882</v>
      </c>
      <c r="G6" s="9">
        <v>0</v>
      </c>
      <c r="H6" s="11">
        <v>0.18998822298174134</v>
      </c>
      <c r="I6" s="10">
        <v>0.18317387679135155</v>
      </c>
      <c r="J6" s="10">
        <v>0.21343964501565327</v>
      </c>
      <c r="K6" s="10">
        <v>0.15842202715616738</v>
      </c>
      <c r="L6" s="11">
        <v>0.15733905476742738</v>
      </c>
      <c r="M6" s="10">
        <v>0.22337543343733657</v>
      </c>
      <c r="N6" s="10">
        <v>0.17087890518341498</v>
      </c>
      <c r="O6" s="9">
        <v>0</v>
      </c>
      <c r="P6" s="11">
        <v>0.12905703474072561</v>
      </c>
      <c r="Q6" s="12">
        <v>0</v>
      </c>
    </row>
    <row r="7" spans="2:19" ht="15" customHeight="1" x14ac:dyDescent="0.25">
      <c r="B7" s="55">
        <v>37864</v>
      </c>
      <c r="C7" s="9">
        <v>0</v>
      </c>
      <c r="D7" s="10">
        <v>0.21085339841887785</v>
      </c>
      <c r="E7" s="10">
        <v>0.1851610379908093</v>
      </c>
      <c r="F7" s="10">
        <v>0.2134228263168243</v>
      </c>
      <c r="G7" s="9">
        <v>0</v>
      </c>
      <c r="H7" s="10">
        <v>0.20910687630768932</v>
      </c>
      <c r="I7" s="10">
        <v>0.19865162463470276</v>
      </c>
      <c r="J7" s="10">
        <v>0.22105714461500336</v>
      </c>
      <c r="K7" s="10">
        <v>0.18726402515706164</v>
      </c>
      <c r="L7" s="10">
        <v>0.18152790324246504</v>
      </c>
      <c r="M7" s="10">
        <v>0.22971143466123145</v>
      </c>
      <c r="N7" s="10">
        <v>0.19428291617056992</v>
      </c>
      <c r="O7" s="9">
        <v>0</v>
      </c>
      <c r="P7" s="10">
        <v>0.17592118121791911</v>
      </c>
      <c r="Q7" s="9">
        <v>0</v>
      </c>
    </row>
    <row r="8" spans="2:19" ht="15" customHeight="1" x14ac:dyDescent="0.25">
      <c r="B8" s="55">
        <v>37894</v>
      </c>
      <c r="C8" s="9">
        <v>0</v>
      </c>
      <c r="D8" s="10">
        <v>0.23159375243048186</v>
      </c>
      <c r="E8" s="10">
        <v>0.20873258563799091</v>
      </c>
      <c r="F8" s="10">
        <v>0.23149316656565788</v>
      </c>
      <c r="G8" s="9">
        <v>0</v>
      </c>
      <c r="H8" s="10">
        <v>0.22765888012242552</v>
      </c>
      <c r="I8" s="10">
        <v>0.22282750249767513</v>
      </c>
      <c r="J8" s="10">
        <v>0.2403187114043368</v>
      </c>
      <c r="K8" s="10">
        <v>0.21117218822604444</v>
      </c>
      <c r="L8" s="10">
        <v>0.21100477296726949</v>
      </c>
      <c r="M8" s="10">
        <v>0.2455481284700789</v>
      </c>
      <c r="N8" s="10">
        <v>0.21582373499512908</v>
      </c>
      <c r="O8" s="9">
        <v>0</v>
      </c>
      <c r="P8" s="10">
        <v>0.20053942935202862</v>
      </c>
      <c r="Q8" s="9">
        <v>0</v>
      </c>
    </row>
    <row r="9" spans="2:19" ht="15" customHeight="1" x14ac:dyDescent="0.25">
      <c r="B9" s="55">
        <v>37925</v>
      </c>
      <c r="C9" s="9">
        <v>0</v>
      </c>
      <c r="D9" s="10">
        <v>0.23776924426777279</v>
      </c>
      <c r="E9" s="10">
        <v>0.21510568230944505</v>
      </c>
      <c r="F9" s="10">
        <v>0.23660697638167205</v>
      </c>
      <c r="G9" s="9">
        <v>0</v>
      </c>
      <c r="H9" s="10">
        <v>0.23317655470224685</v>
      </c>
      <c r="I9" s="10">
        <v>0.23074138877379702</v>
      </c>
      <c r="J9" s="10">
        <v>0.24529526846930216</v>
      </c>
      <c r="K9" s="10">
        <v>0.22381536113605449</v>
      </c>
      <c r="L9" s="10">
        <v>0.22048358262670398</v>
      </c>
      <c r="M9" s="10">
        <v>0.24904627429779147</v>
      </c>
      <c r="N9" s="10">
        <v>0.2281684930720318</v>
      </c>
      <c r="O9" s="9">
        <v>0</v>
      </c>
      <c r="P9" s="10">
        <v>0.22198854461518125</v>
      </c>
      <c r="Q9" s="9">
        <v>0</v>
      </c>
    </row>
    <row r="10" spans="2:19" ht="15" customHeight="1" x14ac:dyDescent="0.25">
      <c r="B10" s="55">
        <v>37955</v>
      </c>
      <c r="C10" s="9">
        <v>0</v>
      </c>
      <c r="D10" s="10">
        <v>0.2371187849451506</v>
      </c>
      <c r="E10" s="10">
        <v>0.21487206077068333</v>
      </c>
      <c r="F10" s="10">
        <v>0.23520806963225405</v>
      </c>
      <c r="G10" s="9">
        <v>0</v>
      </c>
      <c r="H10" s="10">
        <v>0.23032953740025452</v>
      </c>
      <c r="I10" s="10">
        <v>0.23554082418651179</v>
      </c>
      <c r="J10" s="10">
        <v>0.24236088525035715</v>
      </c>
      <c r="K10" s="10">
        <v>0.22408360289327511</v>
      </c>
      <c r="L10" s="10">
        <v>0.21962941524799562</v>
      </c>
      <c r="M10" s="10">
        <v>0.24683375659222784</v>
      </c>
      <c r="N10" s="10">
        <v>0.2277684705298344</v>
      </c>
      <c r="O10" s="9">
        <v>0</v>
      </c>
      <c r="P10" s="10">
        <v>0.22105323133513455</v>
      </c>
      <c r="Q10" s="9">
        <v>0</v>
      </c>
    </row>
    <row r="11" spans="2:19" ht="15" customHeight="1" x14ac:dyDescent="0.25">
      <c r="B11" s="55">
        <v>37986</v>
      </c>
      <c r="C11" s="9">
        <v>0</v>
      </c>
      <c r="D11" s="10">
        <v>0.2403795813451759</v>
      </c>
      <c r="E11" s="10">
        <v>0.22086953799872466</v>
      </c>
      <c r="F11" s="10">
        <v>0.2390758390955916</v>
      </c>
      <c r="G11" s="9">
        <v>0</v>
      </c>
      <c r="H11" s="10">
        <v>0.23402831345771635</v>
      </c>
      <c r="I11" s="10">
        <v>0.23985315021984399</v>
      </c>
      <c r="J11" s="10">
        <v>0.24612468620071271</v>
      </c>
      <c r="K11" s="10">
        <v>0.22918044151801786</v>
      </c>
      <c r="L11" s="10">
        <v>0.22443096881645608</v>
      </c>
      <c r="M11" s="10">
        <v>0.25066054599217802</v>
      </c>
      <c r="N11" s="10">
        <v>0.23216710256839712</v>
      </c>
      <c r="O11" s="9">
        <v>0</v>
      </c>
      <c r="P11" s="10">
        <v>0.22775110325380021</v>
      </c>
      <c r="Q11" s="9">
        <v>0</v>
      </c>
    </row>
    <row r="12" spans="2:19" ht="15" customHeight="1" x14ac:dyDescent="0.25">
      <c r="B12" s="55">
        <v>38017</v>
      </c>
      <c r="C12" s="9">
        <v>0</v>
      </c>
      <c r="D12" s="10">
        <v>0.24054382284315068</v>
      </c>
      <c r="E12" s="10">
        <v>0.22162314134414252</v>
      </c>
      <c r="F12" s="10">
        <v>0.23934519921534148</v>
      </c>
      <c r="G12" s="9">
        <v>0</v>
      </c>
      <c r="H12" s="10">
        <v>0.23256207435177978</v>
      </c>
      <c r="I12" s="10">
        <v>0.23871167246696956</v>
      </c>
      <c r="J12" s="10">
        <v>0.23819891183929021</v>
      </c>
      <c r="K12" s="10">
        <v>0.2279691743592327</v>
      </c>
      <c r="L12" s="10">
        <v>0.22394920843883037</v>
      </c>
      <c r="M12" s="10">
        <v>0.24826892574107018</v>
      </c>
      <c r="N12" s="10">
        <v>0.23060530713684235</v>
      </c>
      <c r="O12" s="9">
        <v>0</v>
      </c>
      <c r="P12" s="10">
        <v>0.22667856981638712</v>
      </c>
      <c r="Q12" s="9">
        <v>0</v>
      </c>
    </row>
    <row r="13" spans="2:19" ht="15" customHeight="1" x14ac:dyDescent="0.25">
      <c r="B13" s="55">
        <v>38046</v>
      </c>
      <c r="C13" s="9">
        <v>0</v>
      </c>
      <c r="D13" s="10">
        <v>0.23698958447224405</v>
      </c>
      <c r="E13" s="10">
        <v>0.21885496463810816</v>
      </c>
      <c r="F13" s="10">
        <v>0.25083849143132197</v>
      </c>
      <c r="G13" s="9">
        <v>0</v>
      </c>
      <c r="H13" s="10">
        <v>0.22929641525518485</v>
      </c>
      <c r="I13" s="10">
        <v>0.23534620626953795</v>
      </c>
      <c r="J13" s="10">
        <v>0.24717670965666105</v>
      </c>
      <c r="K13" s="10">
        <v>0.2245183082907809</v>
      </c>
      <c r="L13" s="10">
        <v>0.22024468173851819</v>
      </c>
      <c r="M13" s="10">
        <v>0.24385266106928172</v>
      </c>
      <c r="N13" s="10">
        <v>0.22670250226252442</v>
      </c>
      <c r="O13" s="9">
        <v>0</v>
      </c>
      <c r="P13" s="10">
        <v>0.22309385854326402</v>
      </c>
      <c r="Q13" s="9">
        <v>0</v>
      </c>
    </row>
    <row r="14" spans="2:19" ht="15" customHeight="1" x14ac:dyDescent="0.25">
      <c r="B14" s="55">
        <v>38077</v>
      </c>
      <c r="C14" s="9">
        <v>0</v>
      </c>
      <c r="D14" s="10">
        <v>0.24260000000000001</v>
      </c>
      <c r="E14" s="10">
        <v>0.22459999999999999</v>
      </c>
      <c r="F14" s="10">
        <v>0.25459999999999999</v>
      </c>
      <c r="G14" s="9">
        <v>0</v>
      </c>
      <c r="H14" s="10">
        <v>0.2354</v>
      </c>
      <c r="I14" s="10">
        <v>0.24129999999999999</v>
      </c>
      <c r="J14" s="10">
        <v>0.25019999999999998</v>
      </c>
      <c r="K14" s="10">
        <v>0.23089999999999999</v>
      </c>
      <c r="L14" s="10">
        <v>0.2266</v>
      </c>
      <c r="M14" s="10">
        <v>0.2492</v>
      </c>
      <c r="N14" s="10">
        <v>0.23280000000000001</v>
      </c>
      <c r="O14" s="9">
        <v>0</v>
      </c>
      <c r="P14" s="10">
        <v>0.22919512824795651</v>
      </c>
      <c r="Q14" s="9">
        <v>0</v>
      </c>
    </row>
    <row r="15" spans="2:19" ht="15" customHeight="1" x14ac:dyDescent="0.25">
      <c r="B15" s="55">
        <v>38107</v>
      </c>
      <c r="C15" s="9">
        <v>0</v>
      </c>
      <c r="D15" s="10">
        <v>0.2445</v>
      </c>
      <c r="E15" s="10">
        <v>0.2261</v>
      </c>
      <c r="F15" s="10">
        <v>0.25629999999999997</v>
      </c>
      <c r="G15" s="9">
        <v>0</v>
      </c>
      <c r="H15" s="10">
        <v>0.23769999999999999</v>
      </c>
      <c r="I15" s="10">
        <v>0.24540000000000001</v>
      </c>
      <c r="J15" s="10">
        <v>0.25280000000000002</v>
      </c>
      <c r="K15" s="10">
        <v>0.23430000000000001</v>
      </c>
      <c r="L15" s="10">
        <v>0.22950000000000001</v>
      </c>
      <c r="M15" s="10">
        <v>0.25130000000000002</v>
      </c>
      <c r="N15" s="10">
        <v>0.2356</v>
      </c>
      <c r="O15" s="9">
        <v>0</v>
      </c>
      <c r="P15" s="10">
        <v>0.23255000000000001</v>
      </c>
      <c r="Q15" s="9">
        <v>0</v>
      </c>
    </row>
    <row r="16" spans="2:19" ht="15" customHeight="1" x14ac:dyDescent="0.25">
      <c r="B16" s="55">
        <v>38138</v>
      </c>
      <c r="C16" s="9">
        <v>0</v>
      </c>
      <c r="D16" s="10">
        <v>0.24859999999999999</v>
      </c>
      <c r="E16" s="10">
        <v>0.23</v>
      </c>
      <c r="F16" s="10">
        <v>0.26079999999999998</v>
      </c>
      <c r="G16" s="9">
        <v>0</v>
      </c>
      <c r="H16" s="10">
        <v>0.2424</v>
      </c>
      <c r="I16" s="10">
        <v>0.25359999999999999</v>
      </c>
      <c r="J16" s="10">
        <v>0.25729999999999997</v>
      </c>
      <c r="K16" s="10">
        <v>0.24</v>
      </c>
      <c r="L16" s="10">
        <v>0.23569999999999999</v>
      </c>
      <c r="M16" s="10">
        <v>0.25800000000000001</v>
      </c>
      <c r="N16" s="10">
        <v>0.2412</v>
      </c>
      <c r="O16" s="9">
        <v>0</v>
      </c>
      <c r="P16" s="10">
        <v>0.23810000000000001</v>
      </c>
      <c r="Q16" s="9">
        <v>0</v>
      </c>
      <c r="S16" s="42"/>
    </row>
    <row r="17" spans="2:19" ht="15" customHeight="1" x14ac:dyDescent="0.25">
      <c r="B17" s="55">
        <v>38168</v>
      </c>
      <c r="C17" s="9">
        <v>0</v>
      </c>
      <c r="D17" s="10">
        <v>0.24943927661895682</v>
      </c>
      <c r="E17" s="10">
        <v>0.23157061194717743</v>
      </c>
      <c r="F17" s="10">
        <v>0.25640350450218641</v>
      </c>
      <c r="G17" s="9">
        <v>0</v>
      </c>
      <c r="H17" s="10">
        <v>0.24417411856634486</v>
      </c>
      <c r="I17" s="10">
        <v>0.25161835941955646</v>
      </c>
      <c r="J17" s="10">
        <v>0.25369099954350771</v>
      </c>
      <c r="K17" s="10">
        <v>0.24219268111301751</v>
      </c>
      <c r="L17" s="10">
        <v>0.23786225886181467</v>
      </c>
      <c r="M17" s="10">
        <v>0.25939562536518013</v>
      </c>
      <c r="N17" s="10">
        <v>0.2431872450964967</v>
      </c>
      <c r="O17" s="9">
        <v>0</v>
      </c>
      <c r="P17" s="10">
        <v>0.2402384747009727</v>
      </c>
      <c r="Q17" s="9">
        <v>0</v>
      </c>
      <c r="S17" s="42"/>
    </row>
    <row r="18" spans="2:19" ht="15" customHeight="1" x14ac:dyDescent="0.25">
      <c r="B18" s="55">
        <v>38199</v>
      </c>
      <c r="C18" s="9">
        <v>0</v>
      </c>
      <c r="D18" s="10">
        <v>0.25708712502840098</v>
      </c>
      <c r="E18" s="10">
        <v>0.23947095495242701</v>
      </c>
      <c r="F18" s="10">
        <v>0.25931763642996303</v>
      </c>
      <c r="G18" s="9">
        <v>0</v>
      </c>
      <c r="H18" s="10">
        <v>0.25254214912046002</v>
      </c>
      <c r="I18" s="10">
        <v>0.25121985790829798</v>
      </c>
      <c r="J18" s="10">
        <v>0.256631236517185</v>
      </c>
      <c r="K18" s="10">
        <v>0.25320681007691698</v>
      </c>
      <c r="L18" s="10">
        <v>0.24748988251309301</v>
      </c>
      <c r="M18" s="10">
        <v>0.26530226052637301</v>
      </c>
      <c r="N18" s="10">
        <v>0.25319999999999998</v>
      </c>
      <c r="O18" s="9">
        <v>0</v>
      </c>
      <c r="P18" s="10">
        <v>0.25319999999999998</v>
      </c>
      <c r="Q18" s="9">
        <v>0</v>
      </c>
    </row>
    <row r="19" spans="2:19" ht="15" customHeight="1" x14ac:dyDescent="0.25">
      <c r="B19" s="55">
        <v>38230</v>
      </c>
      <c r="C19" s="9">
        <v>0</v>
      </c>
      <c r="D19" s="10">
        <v>0.26305129050709802</v>
      </c>
      <c r="E19" s="10">
        <v>0.246883437035989</v>
      </c>
      <c r="F19" s="10">
        <v>0.24850692793639101</v>
      </c>
      <c r="G19" s="9">
        <v>0</v>
      </c>
      <c r="H19" s="10">
        <v>0.25792354408342499</v>
      </c>
      <c r="I19" s="10">
        <v>0.219555805682001</v>
      </c>
      <c r="J19" s="10">
        <v>0.24571966189955</v>
      </c>
      <c r="K19" s="10">
        <v>0.26009507263938902</v>
      </c>
      <c r="L19" s="10">
        <v>0.254042453533327</v>
      </c>
      <c r="M19" s="10">
        <v>0.250519918870164</v>
      </c>
      <c r="N19" s="10">
        <v>0.25990000000000002</v>
      </c>
      <c r="O19" s="9">
        <v>0</v>
      </c>
      <c r="P19" s="10">
        <v>0.25950000000000001</v>
      </c>
      <c r="Q19" s="9">
        <v>0</v>
      </c>
    </row>
    <row r="20" spans="2:19" ht="15" customHeight="1" x14ac:dyDescent="0.25">
      <c r="B20" s="55">
        <v>38260</v>
      </c>
      <c r="C20" s="9">
        <v>0</v>
      </c>
      <c r="D20" s="10">
        <v>0.262979003155066</v>
      </c>
      <c r="E20" s="10">
        <v>0.24738624107961699</v>
      </c>
      <c r="F20" s="10">
        <v>0.23116061056479301</v>
      </c>
      <c r="G20" s="9">
        <v>0</v>
      </c>
      <c r="H20" s="10">
        <v>0.25771506890099499</v>
      </c>
      <c r="I20" s="10">
        <v>0.20968937361775999</v>
      </c>
      <c r="J20" s="10">
        <v>0.22856000327328799</v>
      </c>
      <c r="K20" s="10">
        <v>0.26127063412120599</v>
      </c>
      <c r="L20" s="10">
        <v>0.25131995584339201</v>
      </c>
      <c r="M20" s="10">
        <v>0.23928237264577801</v>
      </c>
      <c r="N20" s="10">
        <v>0.2611</v>
      </c>
      <c r="O20" s="9">
        <v>0</v>
      </c>
      <c r="P20" s="10">
        <v>0.26100000000000001</v>
      </c>
      <c r="Q20" s="9">
        <v>0</v>
      </c>
    </row>
    <row r="21" spans="2:19" ht="15" customHeight="1" x14ac:dyDescent="0.25">
      <c r="B21" s="55">
        <v>38291</v>
      </c>
      <c r="C21" s="9">
        <v>0</v>
      </c>
      <c r="D21" s="10">
        <v>0.26219999999999999</v>
      </c>
      <c r="E21" s="10">
        <v>0.24809999999999999</v>
      </c>
      <c r="F21" s="10">
        <v>0.22170000000000001</v>
      </c>
      <c r="G21" s="9">
        <v>0</v>
      </c>
      <c r="H21" s="10">
        <v>0.25679999999999997</v>
      </c>
      <c r="I21" s="10">
        <v>0.21110000000000001</v>
      </c>
      <c r="J21" s="9">
        <v>0</v>
      </c>
      <c r="K21" s="10">
        <v>0.26029999999999998</v>
      </c>
      <c r="L21" s="10">
        <v>0.249</v>
      </c>
      <c r="M21" s="10">
        <v>0.23039999999999999</v>
      </c>
      <c r="N21" s="10">
        <v>0.25979999999999998</v>
      </c>
      <c r="O21" s="9">
        <v>0</v>
      </c>
      <c r="P21" s="10">
        <v>0.25779999999999997</v>
      </c>
      <c r="Q21" s="9">
        <v>0</v>
      </c>
    </row>
    <row r="22" spans="2:19" ht="15" customHeight="1" x14ac:dyDescent="0.25">
      <c r="B22" s="55">
        <v>38321</v>
      </c>
      <c r="C22" s="9">
        <v>0</v>
      </c>
      <c r="D22" s="10">
        <v>0.26590000000000003</v>
      </c>
      <c r="E22" s="10">
        <v>0.25319999999999998</v>
      </c>
      <c r="F22" s="10">
        <v>0.2142</v>
      </c>
      <c r="G22" s="9">
        <v>0</v>
      </c>
      <c r="H22" s="10">
        <v>0.26140000000000002</v>
      </c>
      <c r="I22" s="10">
        <v>0.2036</v>
      </c>
      <c r="J22" s="9">
        <v>0</v>
      </c>
      <c r="K22" s="10">
        <v>0.26519999999999999</v>
      </c>
      <c r="L22" s="10">
        <v>0.25330000000000003</v>
      </c>
      <c r="M22" s="10">
        <v>0.22159999999999999</v>
      </c>
      <c r="N22" s="10">
        <v>0.2646</v>
      </c>
      <c r="O22" s="9">
        <v>0</v>
      </c>
      <c r="P22" s="10">
        <v>0.26300000000000001</v>
      </c>
      <c r="Q22" s="9">
        <v>0</v>
      </c>
    </row>
    <row r="23" spans="2:19" ht="15" customHeight="1" x14ac:dyDescent="0.25">
      <c r="B23" s="55">
        <v>38352</v>
      </c>
      <c r="C23" s="9">
        <v>0</v>
      </c>
      <c r="D23" s="10">
        <v>0.26621535901815202</v>
      </c>
      <c r="E23" s="10">
        <v>0.25397130995666001</v>
      </c>
      <c r="F23" s="10">
        <v>0.22093490586317299</v>
      </c>
      <c r="G23" s="9">
        <v>0</v>
      </c>
      <c r="H23" s="10">
        <v>0.262396104186152</v>
      </c>
      <c r="I23" s="10">
        <v>0.219090579050879</v>
      </c>
      <c r="J23" s="9">
        <v>0</v>
      </c>
      <c r="K23" s="10">
        <v>0.26633399667375501</v>
      </c>
      <c r="L23" s="10">
        <v>0.25398737189781601</v>
      </c>
      <c r="M23" s="10">
        <v>0.22283276392020801</v>
      </c>
      <c r="N23" s="10">
        <v>0.26593236896439398</v>
      </c>
      <c r="O23" s="9">
        <v>0</v>
      </c>
      <c r="P23" s="10">
        <v>0.263654255876063</v>
      </c>
      <c r="Q23" s="9">
        <v>0</v>
      </c>
    </row>
    <row r="24" spans="2:19" ht="15" customHeight="1" x14ac:dyDescent="0.25">
      <c r="B24" s="55">
        <v>38383</v>
      </c>
      <c r="C24" s="9">
        <v>0</v>
      </c>
      <c r="D24" s="9">
        <v>0</v>
      </c>
      <c r="E24" s="10">
        <v>0.25690000000000002</v>
      </c>
      <c r="F24" s="10">
        <v>0.22550000000000001</v>
      </c>
      <c r="G24" s="9">
        <v>0</v>
      </c>
      <c r="H24" s="10">
        <v>0.2656</v>
      </c>
      <c r="I24" s="10">
        <v>0.22539999999999999</v>
      </c>
      <c r="J24" s="9">
        <v>0</v>
      </c>
      <c r="K24" s="10">
        <v>0.26989999999999997</v>
      </c>
      <c r="L24" s="10">
        <v>0.25659999999999999</v>
      </c>
      <c r="M24" s="10">
        <v>0.2268</v>
      </c>
      <c r="N24" s="10">
        <v>0.26939999999999997</v>
      </c>
      <c r="O24" s="9">
        <v>0</v>
      </c>
      <c r="P24" s="10">
        <v>0.26729999999999998</v>
      </c>
      <c r="Q24" s="9">
        <v>0</v>
      </c>
    </row>
    <row r="25" spans="2:19" s="13" customFormat="1" ht="15" customHeight="1" x14ac:dyDescent="0.25">
      <c r="B25" s="55">
        <v>38411</v>
      </c>
      <c r="C25" s="9">
        <v>0</v>
      </c>
      <c r="D25" s="9">
        <v>0</v>
      </c>
      <c r="E25" s="10">
        <v>0.25956978195582803</v>
      </c>
      <c r="F25" s="10">
        <v>0.21710454492203568</v>
      </c>
      <c r="G25" s="9">
        <v>0</v>
      </c>
      <c r="H25" s="10">
        <v>0.26753977440161325</v>
      </c>
      <c r="I25" s="10">
        <v>0.22673935319639368</v>
      </c>
      <c r="J25" s="9">
        <v>0</v>
      </c>
      <c r="K25" s="10">
        <v>0.27269402651581931</v>
      </c>
      <c r="L25" s="10">
        <v>0.25891571896309795</v>
      </c>
      <c r="M25" s="10">
        <v>0.22860938583891374</v>
      </c>
      <c r="N25" s="10">
        <v>0.27204161661180715</v>
      </c>
      <c r="O25" s="9">
        <v>0</v>
      </c>
      <c r="P25" s="10">
        <v>0.27049518495665814</v>
      </c>
      <c r="Q25" s="9">
        <v>0</v>
      </c>
      <c r="R25" s="8"/>
    </row>
    <row r="26" spans="2:19" ht="15" customHeight="1" x14ac:dyDescent="0.25">
      <c r="B26" s="55">
        <v>38442</v>
      </c>
      <c r="C26" s="9">
        <v>0</v>
      </c>
      <c r="D26" s="9">
        <v>0</v>
      </c>
      <c r="E26" s="10">
        <v>0.25731270089256175</v>
      </c>
      <c r="F26" s="10">
        <v>0.21787009517677003</v>
      </c>
      <c r="G26" s="9">
        <v>0</v>
      </c>
      <c r="H26" s="10">
        <v>0.26423677553971547</v>
      </c>
      <c r="I26" s="10">
        <v>0.22348480554447381</v>
      </c>
      <c r="J26" s="9">
        <v>0</v>
      </c>
      <c r="K26" s="10">
        <v>0.27022112885944449</v>
      </c>
      <c r="L26" s="10">
        <v>0.25496326412876869</v>
      </c>
      <c r="M26" s="10">
        <v>0.22547487309600522</v>
      </c>
      <c r="N26" s="10">
        <v>0.26978851582199992</v>
      </c>
      <c r="O26" s="9">
        <v>0</v>
      </c>
      <c r="P26" s="10">
        <v>0.26831584487407456</v>
      </c>
      <c r="Q26" s="9">
        <v>0</v>
      </c>
    </row>
    <row r="27" spans="2:19" ht="15" customHeight="1" x14ac:dyDescent="0.25">
      <c r="B27" s="55">
        <v>38472</v>
      </c>
      <c r="C27" s="9">
        <v>0</v>
      </c>
      <c r="D27" s="9">
        <v>0</v>
      </c>
      <c r="E27" s="10">
        <v>0.25242024457660728</v>
      </c>
      <c r="F27" s="10">
        <v>0.21288082252681798</v>
      </c>
      <c r="G27" s="9">
        <v>0</v>
      </c>
      <c r="H27" s="10">
        <v>0.25722327383318655</v>
      </c>
      <c r="I27" s="10">
        <v>0.21484561116641832</v>
      </c>
      <c r="J27" s="9">
        <v>0</v>
      </c>
      <c r="K27" s="10">
        <v>0.26458486267885473</v>
      </c>
      <c r="L27" s="10">
        <v>0.24643621714534825</v>
      </c>
      <c r="M27" s="10">
        <v>0.21862256256895862</v>
      </c>
      <c r="N27" s="10">
        <v>0.26457846732791968</v>
      </c>
      <c r="O27" s="9">
        <v>0</v>
      </c>
      <c r="P27" s="10">
        <v>0.26247428539262829</v>
      </c>
      <c r="Q27" s="9">
        <v>0</v>
      </c>
    </row>
    <row r="28" spans="2:19" ht="15" customHeight="1" x14ac:dyDescent="0.25">
      <c r="B28" s="55">
        <v>38503</v>
      </c>
      <c r="C28" s="9">
        <v>0</v>
      </c>
      <c r="D28" s="9">
        <v>0</v>
      </c>
      <c r="E28" s="10">
        <v>0.24395757765465054</v>
      </c>
      <c r="F28" s="10">
        <v>0.20337596821282378</v>
      </c>
      <c r="G28" s="9">
        <v>0</v>
      </c>
      <c r="H28" s="10">
        <v>0.24643968509975078</v>
      </c>
      <c r="I28" s="10">
        <v>0.20094462994068985</v>
      </c>
      <c r="J28" s="9">
        <v>0</v>
      </c>
      <c r="K28" s="10">
        <v>0.2544886093194727</v>
      </c>
      <c r="L28" s="10">
        <v>0.23269088041851282</v>
      </c>
      <c r="M28" s="10">
        <v>0.20587090468085534</v>
      </c>
      <c r="N28" s="10">
        <v>0.25493185808293028</v>
      </c>
      <c r="O28" s="9">
        <v>0</v>
      </c>
      <c r="P28" s="10">
        <v>0.25309309742666142</v>
      </c>
      <c r="Q28" s="9">
        <v>0</v>
      </c>
    </row>
    <row r="29" spans="2:19" ht="15" customHeight="1" x14ac:dyDescent="0.25">
      <c r="B29" s="55">
        <v>38533</v>
      </c>
      <c r="C29" s="9">
        <v>0</v>
      </c>
      <c r="D29" s="9">
        <v>0</v>
      </c>
      <c r="E29" s="10">
        <v>0.22161304320050726</v>
      </c>
      <c r="F29" s="10">
        <v>0.19627107395253707</v>
      </c>
      <c r="G29" s="9">
        <v>0</v>
      </c>
      <c r="H29" s="10">
        <v>0.22037264613563257</v>
      </c>
      <c r="I29" s="10">
        <v>0.19219498658971901</v>
      </c>
      <c r="J29" s="9">
        <v>0</v>
      </c>
      <c r="K29" s="10">
        <v>0.22244808847033704</v>
      </c>
      <c r="L29" s="10">
        <v>0.21790827966836734</v>
      </c>
      <c r="M29" s="10">
        <v>0.19262591034659748</v>
      </c>
      <c r="N29" s="10">
        <v>0.22273069500637122</v>
      </c>
      <c r="O29" s="9">
        <v>0</v>
      </c>
      <c r="P29" s="10">
        <v>0.22191357601779171</v>
      </c>
      <c r="Q29" s="9">
        <v>0</v>
      </c>
    </row>
    <row r="30" spans="2:19" ht="15" customHeight="1" x14ac:dyDescent="0.25">
      <c r="B30" s="55">
        <v>38564</v>
      </c>
      <c r="C30" s="9">
        <v>0</v>
      </c>
      <c r="D30" s="9">
        <v>0</v>
      </c>
      <c r="E30" s="10">
        <v>0.20616888392822719</v>
      </c>
      <c r="F30" s="10">
        <v>0.18794135657268954</v>
      </c>
      <c r="G30" s="9">
        <v>0</v>
      </c>
      <c r="H30" s="10">
        <v>0.20526204459646435</v>
      </c>
      <c r="I30" s="10">
        <v>0.18779126391672782</v>
      </c>
      <c r="J30" s="9">
        <v>0</v>
      </c>
      <c r="K30" s="10">
        <v>0.20594952181761816</v>
      </c>
      <c r="L30" s="10">
        <v>0.20406177988636132</v>
      </c>
      <c r="M30" s="10">
        <v>0.17928097486957939</v>
      </c>
      <c r="N30" s="10">
        <v>0.20658837409450512</v>
      </c>
      <c r="O30" s="9">
        <v>0</v>
      </c>
      <c r="P30" s="10">
        <v>0.20659463716626636</v>
      </c>
      <c r="Q30" s="9">
        <v>0</v>
      </c>
    </row>
    <row r="31" spans="2:19" ht="15" customHeight="1" x14ac:dyDescent="0.25">
      <c r="B31" s="55">
        <v>38595</v>
      </c>
      <c r="C31" s="9">
        <v>0</v>
      </c>
      <c r="D31" s="9">
        <v>0</v>
      </c>
      <c r="E31" s="10">
        <v>0.19312288227436958</v>
      </c>
      <c r="F31" s="10">
        <v>0.19143766607324708</v>
      </c>
      <c r="G31" s="9">
        <v>0</v>
      </c>
      <c r="H31" s="10">
        <v>0.19204520487386012</v>
      </c>
      <c r="I31" s="10">
        <v>0.2118869267951522</v>
      </c>
      <c r="J31" s="9">
        <v>0</v>
      </c>
      <c r="K31" s="10">
        <v>0.19316463748080159</v>
      </c>
      <c r="L31" s="10">
        <v>0.19093459977937699</v>
      </c>
      <c r="M31" s="10">
        <v>0.1843683537156966</v>
      </c>
      <c r="N31" s="10">
        <v>0.19399761214767341</v>
      </c>
      <c r="O31" s="9">
        <v>0</v>
      </c>
      <c r="P31" s="10">
        <v>0.19471094112384102</v>
      </c>
      <c r="Q31" s="9">
        <v>0</v>
      </c>
    </row>
    <row r="32" spans="2:19" ht="15" customHeight="1" x14ac:dyDescent="0.25">
      <c r="B32" s="55">
        <v>38625</v>
      </c>
      <c r="C32" s="9">
        <v>0</v>
      </c>
      <c r="D32" s="9">
        <v>0</v>
      </c>
      <c r="E32" s="10">
        <v>0.18090897843588749</v>
      </c>
      <c r="F32" s="10">
        <v>0.19659705623903379</v>
      </c>
      <c r="G32" s="9">
        <v>0</v>
      </c>
      <c r="H32" s="10">
        <v>0.18039015527517877</v>
      </c>
      <c r="I32" s="10">
        <v>0.20954099307742305</v>
      </c>
      <c r="J32" s="9">
        <v>0</v>
      </c>
      <c r="K32" s="10">
        <v>0.18146073787696282</v>
      </c>
      <c r="L32" s="10">
        <v>0.18127811538421354</v>
      </c>
      <c r="M32" s="10">
        <v>0.18406676566378466</v>
      </c>
      <c r="N32" s="10">
        <v>0.18226387786502188</v>
      </c>
      <c r="O32" s="9">
        <v>0</v>
      </c>
      <c r="P32" s="10">
        <v>0.18391846804652001</v>
      </c>
      <c r="Q32" s="9">
        <v>0</v>
      </c>
    </row>
    <row r="33" spans="2:17" ht="15" customHeight="1" x14ac:dyDescent="0.25">
      <c r="B33" s="55">
        <v>38656</v>
      </c>
      <c r="C33" s="9">
        <v>0</v>
      </c>
      <c r="D33" s="9">
        <v>0</v>
      </c>
      <c r="E33" s="10">
        <v>0.1733332938644141</v>
      </c>
      <c r="F33" s="10">
        <v>0.19555692136560876</v>
      </c>
      <c r="G33" s="9">
        <v>0</v>
      </c>
      <c r="H33" s="10">
        <v>0.17468251845408786</v>
      </c>
      <c r="I33" s="10">
        <v>0.19750380254710898</v>
      </c>
      <c r="J33" s="9">
        <v>0</v>
      </c>
      <c r="K33" s="10">
        <v>0.17409996016517718</v>
      </c>
      <c r="L33" s="10">
        <v>0.1767677359261397</v>
      </c>
      <c r="M33" s="10">
        <v>0.18163454323728304</v>
      </c>
      <c r="N33" s="10">
        <v>0.17415465468539401</v>
      </c>
      <c r="O33" s="9">
        <v>0</v>
      </c>
      <c r="P33" s="10">
        <v>0.17459594454416538</v>
      </c>
      <c r="Q33" s="9">
        <v>0</v>
      </c>
    </row>
    <row r="34" spans="2:17" ht="15" customHeight="1" x14ac:dyDescent="0.25">
      <c r="B34" s="55">
        <v>38686</v>
      </c>
      <c r="C34" s="9">
        <v>0</v>
      </c>
      <c r="D34" s="9">
        <v>0</v>
      </c>
      <c r="E34" s="10">
        <v>0.1651371015046148</v>
      </c>
      <c r="F34" s="10">
        <v>0.19532666978772451</v>
      </c>
      <c r="G34" s="9">
        <v>0</v>
      </c>
      <c r="H34" s="10">
        <v>0.16622928064513975</v>
      </c>
      <c r="I34" s="10">
        <v>0.19541438768557096</v>
      </c>
      <c r="J34" s="9">
        <v>0</v>
      </c>
      <c r="K34" s="10">
        <v>0.16536593395136645</v>
      </c>
      <c r="L34" s="10">
        <v>0.16719845988282267</v>
      </c>
      <c r="M34" s="10">
        <v>0.18172505578935508</v>
      </c>
      <c r="N34" s="10">
        <v>0.16536445182062365</v>
      </c>
      <c r="O34" s="9">
        <v>0</v>
      </c>
      <c r="P34" s="10">
        <v>0.16610080725938103</v>
      </c>
      <c r="Q34" s="9">
        <v>0</v>
      </c>
    </row>
    <row r="35" spans="2:17" ht="15" customHeight="1" x14ac:dyDescent="0.25">
      <c r="B35" s="55">
        <v>38717</v>
      </c>
      <c r="C35" s="9">
        <v>0</v>
      </c>
      <c r="D35" s="9">
        <v>0</v>
      </c>
      <c r="E35" s="10">
        <v>0.16422548553048366</v>
      </c>
      <c r="F35" s="10">
        <v>0.17889904206539331</v>
      </c>
      <c r="G35" s="9">
        <v>0</v>
      </c>
      <c r="H35" s="10">
        <v>0.16430841081119207</v>
      </c>
      <c r="I35" s="10">
        <v>0.1701651173588079</v>
      </c>
      <c r="J35" s="9">
        <v>0</v>
      </c>
      <c r="K35" s="10">
        <v>0.16372280683513729</v>
      </c>
      <c r="L35" s="10">
        <v>0.1649600698854701</v>
      </c>
      <c r="M35" s="10">
        <v>0.17016681497133868</v>
      </c>
      <c r="N35" s="10">
        <v>0.16351243881169264</v>
      </c>
      <c r="O35" s="9">
        <v>0</v>
      </c>
      <c r="P35" s="10">
        <v>0.16403643491681374</v>
      </c>
      <c r="Q35" s="9">
        <v>0</v>
      </c>
    </row>
    <row r="36" spans="2:17" ht="15" customHeight="1" x14ac:dyDescent="0.25">
      <c r="B36" s="55">
        <v>38748</v>
      </c>
      <c r="C36" s="9">
        <v>0</v>
      </c>
      <c r="D36" s="9">
        <v>0</v>
      </c>
      <c r="E36" s="10">
        <v>0.1550371398775805</v>
      </c>
      <c r="F36" s="10">
        <v>0.16703375482165028</v>
      </c>
      <c r="G36" s="9">
        <v>0</v>
      </c>
      <c r="H36" s="10">
        <v>0.15520908717333426</v>
      </c>
      <c r="I36" s="10">
        <v>0.1573822587135667</v>
      </c>
      <c r="J36" s="9">
        <v>0</v>
      </c>
      <c r="K36" s="10">
        <v>0.15422474133159847</v>
      </c>
      <c r="L36" s="10">
        <v>0.15663804114006874</v>
      </c>
      <c r="M36" s="10">
        <v>0.15984290094199349</v>
      </c>
      <c r="N36" s="10">
        <v>0.15389471184215053</v>
      </c>
      <c r="O36" s="9">
        <v>0</v>
      </c>
      <c r="P36" s="10">
        <v>0.15445276186090706</v>
      </c>
      <c r="Q36" s="9">
        <v>0</v>
      </c>
    </row>
    <row r="37" spans="2:17" ht="15" customHeight="1" x14ac:dyDescent="0.25">
      <c r="B37" s="55">
        <v>38776</v>
      </c>
      <c r="C37" s="9">
        <v>0</v>
      </c>
      <c r="D37" s="9">
        <v>0</v>
      </c>
      <c r="E37" s="10">
        <v>0.14701590855246893</v>
      </c>
      <c r="F37" s="10">
        <v>0.15949046934250966</v>
      </c>
      <c r="G37" s="9">
        <v>0</v>
      </c>
      <c r="H37" s="10">
        <v>0.1474151370636243</v>
      </c>
      <c r="I37" s="10">
        <v>0.1496801901539857</v>
      </c>
      <c r="J37" s="9">
        <v>0</v>
      </c>
      <c r="K37" s="10">
        <v>0.14603223608837301</v>
      </c>
      <c r="L37" s="10">
        <v>0.14951495576269735</v>
      </c>
      <c r="M37" s="10">
        <v>0.15174510621048243</v>
      </c>
      <c r="N37" s="10">
        <v>0.14594479015424944</v>
      </c>
      <c r="O37" s="9">
        <v>0</v>
      </c>
      <c r="P37" s="10">
        <v>0.14599181398685035</v>
      </c>
      <c r="Q37" s="9">
        <v>0</v>
      </c>
    </row>
    <row r="38" spans="2:17" ht="15" customHeight="1" x14ac:dyDescent="0.25">
      <c r="B38" s="55">
        <v>38807</v>
      </c>
      <c r="C38" s="9">
        <v>0</v>
      </c>
      <c r="D38" s="9">
        <v>0</v>
      </c>
      <c r="E38" s="10">
        <v>0.13934996663799604</v>
      </c>
      <c r="F38" s="10">
        <v>0.14663476231204808</v>
      </c>
      <c r="G38" s="9">
        <v>0</v>
      </c>
      <c r="H38" s="10">
        <v>0.13896403682553893</v>
      </c>
      <c r="I38" s="10">
        <v>0.13947241472359106</v>
      </c>
      <c r="J38" s="9">
        <v>0</v>
      </c>
      <c r="K38" s="10">
        <v>0.13629778455930919</v>
      </c>
      <c r="L38" s="10">
        <v>0.14265097955171235</v>
      </c>
      <c r="M38" s="10">
        <v>0.14282306352841112</v>
      </c>
      <c r="N38" s="10">
        <v>0.13620561784418261</v>
      </c>
      <c r="O38" s="9">
        <v>0</v>
      </c>
      <c r="P38" s="10">
        <v>0.13714528734230758</v>
      </c>
      <c r="Q38" s="9">
        <v>0</v>
      </c>
    </row>
    <row r="39" spans="2:17" ht="15" customHeight="1" x14ac:dyDescent="0.25">
      <c r="B39" s="55">
        <v>38837</v>
      </c>
      <c r="C39" s="9">
        <v>0</v>
      </c>
      <c r="D39" s="9">
        <v>0</v>
      </c>
      <c r="E39" s="10">
        <v>0.134180730480983</v>
      </c>
      <c r="F39" s="10">
        <v>0.13803967093597502</v>
      </c>
      <c r="G39" s="9">
        <v>0</v>
      </c>
      <c r="H39" s="10">
        <v>0.13375490783763877</v>
      </c>
      <c r="I39" s="10">
        <v>0.13277550939274541</v>
      </c>
      <c r="J39" s="9">
        <v>0</v>
      </c>
      <c r="K39" s="10">
        <v>0.12869463652120494</v>
      </c>
      <c r="L39" s="10">
        <v>0.13944932652506647</v>
      </c>
      <c r="M39" s="10">
        <v>0.13677026635827216</v>
      </c>
      <c r="N39" s="10">
        <v>0.12858630261366177</v>
      </c>
      <c r="O39" s="9">
        <v>0</v>
      </c>
      <c r="P39" s="10">
        <v>0.13087877989420615</v>
      </c>
      <c r="Q39" s="9">
        <v>0</v>
      </c>
    </row>
    <row r="40" spans="2:17" ht="15" customHeight="1" x14ac:dyDescent="0.25">
      <c r="B40" s="55">
        <v>38868</v>
      </c>
      <c r="C40" s="9">
        <v>0</v>
      </c>
      <c r="D40" s="9">
        <v>0</v>
      </c>
      <c r="E40" s="10">
        <v>0.13228934497262768</v>
      </c>
      <c r="F40" s="10">
        <v>0.13373537486941345</v>
      </c>
      <c r="G40" s="9">
        <v>0</v>
      </c>
      <c r="H40" s="10">
        <v>0.13225221762228578</v>
      </c>
      <c r="I40" s="10">
        <v>0.12955513165398003</v>
      </c>
      <c r="J40" s="9">
        <v>0</v>
      </c>
      <c r="K40" s="10">
        <v>0.12513121705212593</v>
      </c>
      <c r="L40" s="10">
        <v>0.14049131670651738</v>
      </c>
      <c r="M40" s="10">
        <v>0.13466387757380538</v>
      </c>
      <c r="N40" s="10">
        <v>0.12489204554699995</v>
      </c>
      <c r="O40" s="9">
        <v>0</v>
      </c>
      <c r="P40" s="10">
        <v>0.12779804371212911</v>
      </c>
      <c r="Q40" s="9">
        <v>0</v>
      </c>
    </row>
    <row r="41" spans="2:17" ht="15" customHeight="1" x14ac:dyDescent="0.25">
      <c r="B41" s="55">
        <v>38898</v>
      </c>
      <c r="C41" s="9">
        <v>0</v>
      </c>
      <c r="D41" s="9">
        <v>0</v>
      </c>
      <c r="E41" s="10">
        <v>0.14161074276826136</v>
      </c>
      <c r="F41" s="10">
        <v>0.13215138910682267</v>
      </c>
      <c r="G41" s="9">
        <v>0</v>
      </c>
      <c r="H41" s="10">
        <v>0.14412325737646614</v>
      </c>
      <c r="I41" s="10">
        <v>0.12773870351843186</v>
      </c>
      <c r="J41" s="9">
        <v>0</v>
      </c>
      <c r="K41" s="10">
        <v>0.14208600813122629</v>
      </c>
      <c r="L41" s="10">
        <v>0.14236045611470671</v>
      </c>
      <c r="M41" s="10">
        <v>0.13397553038581278</v>
      </c>
      <c r="N41" s="10">
        <v>0.14202804760198795</v>
      </c>
      <c r="O41" s="9">
        <v>0</v>
      </c>
      <c r="P41" s="10">
        <v>0.14433497212583779</v>
      </c>
      <c r="Q41" s="9">
        <v>0</v>
      </c>
    </row>
    <row r="42" spans="2:17" ht="15" customHeight="1" x14ac:dyDescent="0.25">
      <c r="B42" s="55">
        <v>38929</v>
      </c>
      <c r="C42" s="9">
        <v>0</v>
      </c>
      <c r="D42" s="9">
        <v>0</v>
      </c>
      <c r="E42" s="10">
        <v>0.14475591728537629</v>
      </c>
      <c r="F42" s="10">
        <v>0.13159883921169779</v>
      </c>
      <c r="G42" s="9">
        <v>0</v>
      </c>
      <c r="H42" s="10">
        <v>0.14611047901596663</v>
      </c>
      <c r="I42" s="10">
        <v>0.12777546642333881</v>
      </c>
      <c r="J42" s="9">
        <v>0</v>
      </c>
      <c r="K42" s="10">
        <v>0.14501466492337878</v>
      </c>
      <c r="L42" s="10">
        <v>0.14404698003925787</v>
      </c>
      <c r="M42" s="10">
        <v>0.13427926848922467</v>
      </c>
      <c r="N42" s="10">
        <v>0.14467063696222238</v>
      </c>
      <c r="O42" s="9">
        <v>0</v>
      </c>
      <c r="P42" s="10">
        <v>0.14654132106401541</v>
      </c>
      <c r="Q42" s="9">
        <v>0</v>
      </c>
    </row>
    <row r="43" spans="2:17" ht="15" customHeight="1" x14ac:dyDescent="0.25">
      <c r="B43" s="55">
        <v>38960</v>
      </c>
      <c r="C43" s="9">
        <v>0</v>
      </c>
      <c r="D43" s="9">
        <v>0</v>
      </c>
      <c r="E43" s="10">
        <v>0.14378300750430562</v>
      </c>
      <c r="F43" s="10">
        <v>0.1292991794709113</v>
      </c>
      <c r="G43" s="9">
        <v>0</v>
      </c>
      <c r="H43" s="10">
        <v>0.14489248225507478</v>
      </c>
      <c r="I43" s="10">
        <v>0.12602000963077287</v>
      </c>
      <c r="J43" s="9">
        <v>0</v>
      </c>
      <c r="K43" s="10">
        <v>0.14310269732181435</v>
      </c>
      <c r="L43" s="10">
        <v>0.14323277975395654</v>
      </c>
      <c r="M43" s="10">
        <v>0.13280169924293994</v>
      </c>
      <c r="N43" s="10">
        <v>0.14239936945866716</v>
      </c>
      <c r="O43" s="9">
        <v>0</v>
      </c>
      <c r="P43" s="10">
        <v>0.14378163883682071</v>
      </c>
      <c r="Q43" s="9">
        <v>0</v>
      </c>
    </row>
    <row r="44" spans="2:17" ht="15" customHeight="1" x14ac:dyDescent="0.25">
      <c r="B44" s="55">
        <v>38990</v>
      </c>
      <c r="C44" s="9">
        <v>0</v>
      </c>
      <c r="D44" s="9">
        <v>0</v>
      </c>
      <c r="E44" s="10">
        <v>0.14171685795265265</v>
      </c>
      <c r="F44" s="10">
        <v>0.12592644267339792</v>
      </c>
      <c r="G44" s="9">
        <v>0</v>
      </c>
      <c r="H44" s="10">
        <v>0.13836426063320695</v>
      </c>
      <c r="I44" s="10">
        <v>0.12225645331089785</v>
      </c>
      <c r="J44" s="9">
        <v>0</v>
      </c>
      <c r="K44" s="10">
        <v>0.13904640471941221</v>
      </c>
      <c r="L44" s="10">
        <v>0.14033666649156751</v>
      </c>
      <c r="M44" s="10">
        <v>0.12815145849652065</v>
      </c>
      <c r="N44" s="10">
        <v>0.13839335047663703</v>
      </c>
      <c r="O44" s="9">
        <v>0</v>
      </c>
      <c r="P44" s="10">
        <v>0.13907350504701133</v>
      </c>
      <c r="Q44" s="9">
        <v>0</v>
      </c>
    </row>
    <row r="45" spans="2:17" ht="15" customHeight="1" x14ac:dyDescent="0.25">
      <c r="B45" s="55">
        <v>39021</v>
      </c>
      <c r="C45" s="9">
        <v>0</v>
      </c>
      <c r="D45" s="9">
        <v>0</v>
      </c>
      <c r="E45" s="10">
        <v>0.13790578495712658</v>
      </c>
      <c r="F45" s="10">
        <v>0.12462278088570657</v>
      </c>
      <c r="G45" s="9">
        <v>0</v>
      </c>
      <c r="H45" s="10">
        <v>0.13747666864194885</v>
      </c>
      <c r="I45" s="10">
        <v>0.1206001879958125</v>
      </c>
      <c r="J45" s="9">
        <v>0</v>
      </c>
      <c r="K45" s="10">
        <v>0.13491841732130117</v>
      </c>
      <c r="L45" s="10">
        <v>0.1353963011045749</v>
      </c>
      <c r="M45" s="10">
        <v>0.126702256296233</v>
      </c>
      <c r="N45" s="10">
        <v>0.13492764507507893</v>
      </c>
      <c r="O45" s="9">
        <v>0</v>
      </c>
      <c r="P45" s="10">
        <v>0.13708986305719661</v>
      </c>
      <c r="Q45" s="9">
        <v>0</v>
      </c>
    </row>
    <row r="46" spans="2:17" ht="15" customHeight="1" x14ac:dyDescent="0.25">
      <c r="B46" s="55">
        <v>39051</v>
      </c>
      <c r="C46" s="9">
        <v>0</v>
      </c>
      <c r="D46" s="9">
        <v>0</v>
      </c>
      <c r="E46" s="10">
        <v>0.13122848878595006</v>
      </c>
      <c r="F46" s="10">
        <v>0.12083079986631873</v>
      </c>
      <c r="G46" s="9">
        <v>0</v>
      </c>
      <c r="H46" s="10">
        <v>0.13075581210726184</v>
      </c>
      <c r="I46" s="10">
        <v>0.11636508075152661</v>
      </c>
      <c r="J46" s="9">
        <v>0</v>
      </c>
      <c r="K46" s="10">
        <v>0.12776111901563714</v>
      </c>
      <c r="L46" s="10">
        <v>0.12986885641730184</v>
      </c>
      <c r="M46" s="10">
        <v>0.12288334867458417</v>
      </c>
      <c r="N46" s="10">
        <v>0.12773197429663807</v>
      </c>
      <c r="O46" s="9">
        <v>0</v>
      </c>
      <c r="P46" s="10">
        <v>0.13010632048024084</v>
      </c>
      <c r="Q46" s="9">
        <v>0</v>
      </c>
    </row>
    <row r="47" spans="2:17" ht="15" customHeight="1" x14ac:dyDescent="0.25">
      <c r="B47" s="55">
        <v>39082</v>
      </c>
      <c r="C47" s="9">
        <v>0</v>
      </c>
      <c r="D47" s="9">
        <v>0</v>
      </c>
      <c r="E47" s="10">
        <v>0.11778811860458926</v>
      </c>
      <c r="F47" s="10">
        <v>0.11618191763578523</v>
      </c>
      <c r="G47" s="9">
        <v>0</v>
      </c>
      <c r="H47" s="10">
        <v>0.11801834431899882</v>
      </c>
      <c r="I47" s="10">
        <v>0.11169757770915666</v>
      </c>
      <c r="J47" s="9">
        <v>0</v>
      </c>
      <c r="K47" s="10">
        <v>0.11441505130789409</v>
      </c>
      <c r="L47" s="10">
        <v>0.11774768321326</v>
      </c>
      <c r="M47" s="10">
        <v>0.11784380387111139</v>
      </c>
      <c r="N47" s="10">
        <v>0.11442345123866371</v>
      </c>
      <c r="O47" s="9">
        <v>0</v>
      </c>
      <c r="P47" s="10">
        <v>0.11704537329732512</v>
      </c>
      <c r="Q47" s="9">
        <v>0</v>
      </c>
    </row>
    <row r="48" spans="2:17" ht="15" customHeight="1" x14ac:dyDescent="0.25">
      <c r="B48" s="55">
        <v>39113</v>
      </c>
      <c r="C48" s="9">
        <v>0</v>
      </c>
      <c r="D48" s="9">
        <v>0</v>
      </c>
      <c r="E48" s="10">
        <v>0.11339270470629327</v>
      </c>
      <c r="F48" s="10">
        <v>0.11161257864170926</v>
      </c>
      <c r="G48" s="9">
        <v>0</v>
      </c>
      <c r="H48" s="10">
        <v>0.11373972829346934</v>
      </c>
      <c r="I48" s="10">
        <v>0.10728709594319884</v>
      </c>
      <c r="J48" s="9">
        <v>0</v>
      </c>
      <c r="K48" s="10">
        <v>0.11014226831172567</v>
      </c>
      <c r="L48" s="10">
        <v>0.1131262361642138</v>
      </c>
      <c r="M48" s="10">
        <v>0.11303980992671893</v>
      </c>
      <c r="N48" s="10">
        <v>0.11284095638178249</v>
      </c>
      <c r="O48" s="9">
        <v>0</v>
      </c>
      <c r="P48" s="10">
        <v>0.11020015555506602</v>
      </c>
      <c r="Q48" s="9">
        <v>0</v>
      </c>
    </row>
    <row r="49" spans="2:19" ht="15" customHeight="1" x14ac:dyDescent="0.25">
      <c r="B49" s="55">
        <v>39141</v>
      </c>
      <c r="C49" s="9">
        <v>0</v>
      </c>
      <c r="D49" s="9">
        <v>0</v>
      </c>
      <c r="E49" s="10">
        <v>0.10908475349942549</v>
      </c>
      <c r="F49" s="10">
        <v>0.10740329071774246</v>
      </c>
      <c r="G49" s="9">
        <v>0</v>
      </c>
      <c r="H49" s="10">
        <v>0.10951926529698142</v>
      </c>
      <c r="I49" s="10">
        <v>0.10310436429303005</v>
      </c>
      <c r="J49" s="9">
        <v>0</v>
      </c>
      <c r="K49" s="10">
        <v>0.10612247978229504</v>
      </c>
      <c r="L49" s="10">
        <v>0.10867552586404529</v>
      </c>
      <c r="M49" s="10">
        <v>0.10867561034478701</v>
      </c>
      <c r="N49" s="10">
        <v>0.10598112710519736</v>
      </c>
      <c r="O49" s="9">
        <v>0</v>
      </c>
      <c r="P49" s="10">
        <v>0.10618756490447254</v>
      </c>
      <c r="Q49" s="9">
        <v>0</v>
      </c>
    </row>
    <row r="50" spans="2:19" ht="15" customHeight="1" x14ac:dyDescent="0.25">
      <c r="B50" s="55">
        <v>39172</v>
      </c>
      <c r="C50" s="9">
        <v>0</v>
      </c>
      <c r="D50" s="9">
        <v>0</v>
      </c>
      <c r="E50" s="10">
        <v>0.10441846760845962</v>
      </c>
      <c r="F50" s="10">
        <v>0.10597359572321086</v>
      </c>
      <c r="G50" s="9">
        <v>0</v>
      </c>
      <c r="H50" s="10">
        <v>0.10549945518241222</v>
      </c>
      <c r="I50" s="10">
        <v>0.10047887494875729</v>
      </c>
      <c r="J50" s="9">
        <v>0</v>
      </c>
      <c r="K50" s="10">
        <v>0.10267517270689887</v>
      </c>
      <c r="L50" s="10">
        <v>0.10402676078356698</v>
      </c>
      <c r="M50" s="10">
        <v>0.10452764977464302</v>
      </c>
      <c r="N50" s="10">
        <v>0.10238334332359011</v>
      </c>
      <c r="O50" s="9">
        <v>0</v>
      </c>
      <c r="P50" s="10">
        <v>0.10447928327508915</v>
      </c>
      <c r="Q50" s="9">
        <v>0</v>
      </c>
    </row>
    <row r="51" spans="2:19" ht="15" customHeight="1" x14ac:dyDescent="0.25">
      <c r="B51" s="55">
        <v>39202</v>
      </c>
      <c r="C51" s="9">
        <v>0</v>
      </c>
      <c r="D51" s="9">
        <v>0</v>
      </c>
      <c r="E51" s="10">
        <v>0.10074646044162726</v>
      </c>
      <c r="F51" s="10">
        <v>0.10349977752754637</v>
      </c>
      <c r="G51" s="9">
        <v>0</v>
      </c>
      <c r="H51" s="10">
        <v>0.10232529570219938</v>
      </c>
      <c r="I51" s="10">
        <v>9.8709140419463312E-2</v>
      </c>
      <c r="J51" s="9">
        <v>0</v>
      </c>
      <c r="K51" s="10">
        <v>0.10019012743213329</v>
      </c>
      <c r="L51" s="10">
        <v>0.10035616686379134</v>
      </c>
      <c r="M51" s="10">
        <v>0.10134291839181175</v>
      </c>
      <c r="N51" s="10">
        <v>9.9705259710713534E-2</v>
      </c>
      <c r="O51" s="9">
        <v>0</v>
      </c>
      <c r="P51" s="10">
        <v>0.10116937764307732</v>
      </c>
      <c r="Q51" s="9">
        <v>0</v>
      </c>
    </row>
    <row r="52" spans="2:19" ht="15" customHeight="1" x14ac:dyDescent="0.25">
      <c r="B52" s="55">
        <v>39233</v>
      </c>
      <c r="C52" s="9">
        <v>0</v>
      </c>
      <c r="D52" s="9">
        <v>0</v>
      </c>
      <c r="E52" s="9">
        <v>0</v>
      </c>
      <c r="F52" s="10">
        <v>0.10094645853351845</v>
      </c>
      <c r="G52" s="9">
        <v>0</v>
      </c>
      <c r="H52" s="10">
        <v>9.8808037871672236E-2</v>
      </c>
      <c r="I52" s="10">
        <v>9.6807162592707177E-2</v>
      </c>
      <c r="J52" s="9">
        <v>0</v>
      </c>
      <c r="K52" s="10">
        <v>9.7479823560894227E-2</v>
      </c>
      <c r="L52" s="10">
        <v>9.6472001285855757E-2</v>
      </c>
      <c r="M52" s="10">
        <v>9.8104692654148451E-2</v>
      </c>
      <c r="N52" s="10">
        <v>9.6812565763932046E-2</v>
      </c>
      <c r="O52" s="9">
        <v>0</v>
      </c>
      <c r="P52" s="10">
        <v>9.7317068698563602E-2</v>
      </c>
      <c r="Q52" s="9">
        <v>0</v>
      </c>
      <c r="S52" s="14"/>
    </row>
    <row r="53" spans="2:19" ht="15" customHeight="1" x14ac:dyDescent="0.25">
      <c r="B53" s="55">
        <v>39263</v>
      </c>
      <c r="C53" s="9">
        <v>0</v>
      </c>
      <c r="D53" s="9">
        <v>0</v>
      </c>
      <c r="E53" s="9">
        <v>0</v>
      </c>
      <c r="F53" s="10">
        <v>9.7157971256023531E-2</v>
      </c>
      <c r="G53" s="9">
        <v>0</v>
      </c>
      <c r="H53" s="9">
        <v>0</v>
      </c>
      <c r="I53" s="10">
        <v>9.3164521205437043E-2</v>
      </c>
      <c r="J53" s="9">
        <v>0</v>
      </c>
      <c r="K53" s="10">
        <v>9.3482062837821456E-2</v>
      </c>
      <c r="L53" s="10">
        <v>9.2327592842274195E-2</v>
      </c>
      <c r="M53" s="10">
        <v>9.427950604740222E-2</v>
      </c>
      <c r="N53" s="10">
        <v>9.3178428861197413E-2</v>
      </c>
      <c r="O53" s="9">
        <v>0</v>
      </c>
      <c r="P53" s="10">
        <v>9.280032378668078E-2</v>
      </c>
      <c r="Q53" s="9">
        <v>0</v>
      </c>
      <c r="S53" s="14"/>
    </row>
    <row r="54" spans="2:19" ht="15" customHeight="1" x14ac:dyDescent="0.25">
      <c r="B54" s="55">
        <v>39294</v>
      </c>
      <c r="C54" s="9">
        <v>0</v>
      </c>
      <c r="D54" s="9">
        <v>0</v>
      </c>
      <c r="E54" s="9">
        <v>0</v>
      </c>
      <c r="F54" s="10">
        <v>9.4090336128113142E-2</v>
      </c>
      <c r="G54" s="9">
        <v>0</v>
      </c>
      <c r="H54" s="9">
        <v>0</v>
      </c>
      <c r="I54" s="10">
        <v>8.9968375040617263E-2</v>
      </c>
      <c r="J54" s="9">
        <v>0</v>
      </c>
      <c r="K54" s="10">
        <v>9.0123183111685781E-2</v>
      </c>
      <c r="L54" s="10">
        <v>8.9118611488808952E-2</v>
      </c>
      <c r="M54" s="10">
        <v>9.1271988690811087E-2</v>
      </c>
      <c r="N54" s="10">
        <v>8.9360897938220094E-2</v>
      </c>
      <c r="O54" s="9">
        <v>0</v>
      </c>
      <c r="P54" s="10">
        <v>8.9610611470870349E-2</v>
      </c>
      <c r="Q54" s="9">
        <v>0</v>
      </c>
      <c r="S54" s="14"/>
    </row>
    <row r="55" spans="2:19" ht="15" customHeight="1" x14ac:dyDescent="0.25">
      <c r="B55" s="55">
        <v>39325</v>
      </c>
      <c r="C55" s="9">
        <v>0</v>
      </c>
      <c r="D55" s="9">
        <v>0</v>
      </c>
      <c r="E55" s="9">
        <v>0</v>
      </c>
      <c r="F55" s="10">
        <v>9.1320958867805016E-2</v>
      </c>
      <c r="G55" s="9">
        <v>0</v>
      </c>
      <c r="H55" s="9">
        <v>0</v>
      </c>
      <c r="I55" s="10">
        <v>8.7048267094625972E-2</v>
      </c>
      <c r="J55" s="9">
        <v>0</v>
      </c>
      <c r="K55" s="10">
        <v>8.7184701721097144E-2</v>
      </c>
      <c r="L55" s="10">
        <v>8.6435332378299604E-2</v>
      </c>
      <c r="M55" s="10">
        <v>8.8589237748883942E-2</v>
      </c>
      <c r="N55" s="10">
        <v>8.6526792751334694E-2</v>
      </c>
      <c r="O55" s="9">
        <v>0</v>
      </c>
      <c r="P55" s="10">
        <v>8.6842451625013015E-2</v>
      </c>
      <c r="Q55" s="9">
        <v>0</v>
      </c>
      <c r="S55" s="14"/>
    </row>
    <row r="56" spans="2:19" ht="15" customHeight="1" x14ac:dyDescent="0.25">
      <c r="B56" s="55">
        <v>39355</v>
      </c>
      <c r="C56" s="9">
        <v>0</v>
      </c>
      <c r="D56" s="9">
        <v>0</v>
      </c>
      <c r="E56" s="9">
        <v>0</v>
      </c>
      <c r="F56" s="10">
        <v>8.922926269673305E-2</v>
      </c>
      <c r="G56" s="9">
        <v>0</v>
      </c>
      <c r="H56" s="9">
        <v>0</v>
      </c>
      <c r="I56" s="10">
        <v>8.5661076806598194E-2</v>
      </c>
      <c r="J56" s="9">
        <v>0</v>
      </c>
      <c r="K56" s="10">
        <v>8.42251649669883E-2</v>
      </c>
      <c r="L56" s="10">
        <v>8.080062649631635E-2</v>
      </c>
      <c r="M56" s="10">
        <v>8.6927940567298467E-2</v>
      </c>
      <c r="N56" s="10">
        <v>8.3171438268076839E-2</v>
      </c>
      <c r="O56" s="9">
        <v>0</v>
      </c>
      <c r="P56" s="10">
        <v>8.4937020228103677E-2</v>
      </c>
      <c r="Q56" s="9">
        <v>0</v>
      </c>
      <c r="S56" s="14"/>
    </row>
    <row r="57" spans="2:19" ht="15" customHeight="1" x14ac:dyDescent="0.25">
      <c r="B57" s="55">
        <v>39386</v>
      </c>
      <c r="C57" s="9">
        <v>0</v>
      </c>
      <c r="D57" s="9">
        <v>0</v>
      </c>
      <c r="E57" s="9">
        <v>0</v>
      </c>
      <c r="F57" s="10">
        <v>8.7973985540240801E-2</v>
      </c>
      <c r="G57" s="9">
        <v>0</v>
      </c>
      <c r="H57" s="9">
        <v>0</v>
      </c>
      <c r="I57" s="10">
        <v>8.5065885622280998E-2</v>
      </c>
      <c r="J57" s="9">
        <v>0</v>
      </c>
      <c r="K57" s="10">
        <v>8.3330353411559907E-2</v>
      </c>
      <c r="L57" s="10">
        <v>7.9741564752388472E-2</v>
      </c>
      <c r="M57" s="10">
        <v>8.5904741726818834E-2</v>
      </c>
      <c r="N57" s="10">
        <v>8.2211810553057388E-2</v>
      </c>
      <c r="O57" s="9">
        <v>0</v>
      </c>
      <c r="P57" s="10">
        <v>8.3652175749827862E-2</v>
      </c>
      <c r="Q57" s="9">
        <v>0</v>
      </c>
      <c r="S57" s="14"/>
    </row>
    <row r="58" spans="2:19" ht="15" customHeight="1" x14ac:dyDescent="0.25">
      <c r="B58" s="55">
        <v>39416</v>
      </c>
      <c r="C58" s="9">
        <v>0</v>
      </c>
      <c r="D58" s="9">
        <v>0</v>
      </c>
      <c r="E58" s="9">
        <v>0</v>
      </c>
      <c r="F58" s="10">
        <v>8.7124049287607794E-2</v>
      </c>
      <c r="G58" s="9">
        <v>0</v>
      </c>
      <c r="H58" s="9">
        <v>0</v>
      </c>
      <c r="I58" s="10">
        <v>8.4506499073803601E-2</v>
      </c>
      <c r="J58" s="9">
        <v>0</v>
      </c>
      <c r="K58" s="10">
        <v>8.291947412827616E-2</v>
      </c>
      <c r="L58" s="10">
        <v>7.9880375825350569E-2</v>
      </c>
      <c r="M58" s="10">
        <v>8.5153305715531355E-2</v>
      </c>
      <c r="N58" s="10">
        <v>8.1577010475594847E-2</v>
      </c>
      <c r="O58" s="9">
        <v>0</v>
      </c>
      <c r="P58" s="10">
        <v>8.2861381078494833E-2</v>
      </c>
      <c r="Q58" s="9">
        <v>0</v>
      </c>
      <c r="S58" s="14"/>
    </row>
    <row r="59" spans="2:19" ht="15" customHeight="1" x14ac:dyDescent="0.25">
      <c r="B59" s="55">
        <v>39447</v>
      </c>
      <c r="C59" s="9">
        <v>0</v>
      </c>
      <c r="D59" s="9">
        <v>0</v>
      </c>
      <c r="E59" s="9">
        <v>0</v>
      </c>
      <c r="F59" s="10">
        <v>8.6807361915582207E-2</v>
      </c>
      <c r="G59" s="9">
        <v>0</v>
      </c>
      <c r="H59" s="9">
        <v>0</v>
      </c>
      <c r="I59" s="10">
        <v>8.4366844752335801E-2</v>
      </c>
      <c r="J59" s="9">
        <v>0</v>
      </c>
      <c r="K59" s="10">
        <v>8.2792931058556701E-2</v>
      </c>
      <c r="L59" s="10">
        <v>7.9484293541368697E-2</v>
      </c>
      <c r="M59" s="10">
        <v>8.4953795519465705E-2</v>
      </c>
      <c r="N59" s="10">
        <v>8.1348987117342494E-2</v>
      </c>
      <c r="O59" s="9">
        <v>0</v>
      </c>
      <c r="P59" s="10">
        <v>8.2194884702157897E-2</v>
      </c>
      <c r="Q59" s="9">
        <v>0</v>
      </c>
      <c r="S59" s="14"/>
    </row>
    <row r="60" spans="2:19" ht="15" customHeight="1" x14ac:dyDescent="0.25">
      <c r="B60" s="55">
        <v>39478</v>
      </c>
      <c r="C60" s="9">
        <v>0</v>
      </c>
      <c r="D60" s="9">
        <v>0</v>
      </c>
      <c r="E60" s="9">
        <v>0</v>
      </c>
      <c r="F60" s="10">
        <v>8.6282989179596856E-2</v>
      </c>
      <c r="G60" s="9">
        <v>0</v>
      </c>
      <c r="H60" s="9">
        <v>0</v>
      </c>
      <c r="I60" s="10">
        <v>8.364246932022068E-2</v>
      </c>
      <c r="J60" s="9">
        <v>0</v>
      </c>
      <c r="K60" s="10">
        <v>8.2205166200947519E-2</v>
      </c>
      <c r="L60" s="10">
        <v>7.880394186130335E-2</v>
      </c>
      <c r="M60" s="10">
        <v>8.4138496881322133E-2</v>
      </c>
      <c r="N60" s="10">
        <v>8.0852892103382867E-2</v>
      </c>
      <c r="O60" s="10">
        <v>0.1115</v>
      </c>
      <c r="P60" s="10">
        <v>8.1078003479829963E-2</v>
      </c>
      <c r="Q60" s="10">
        <v>9.7100000000000006E-2</v>
      </c>
      <c r="S60" s="14"/>
    </row>
    <row r="61" spans="2:19" ht="15" customHeight="1" x14ac:dyDescent="0.25">
      <c r="B61" s="55">
        <v>39507</v>
      </c>
      <c r="C61" s="9">
        <v>0</v>
      </c>
      <c r="D61" s="9">
        <v>0</v>
      </c>
      <c r="E61" s="9">
        <v>0</v>
      </c>
      <c r="F61" s="10">
        <v>8.6316517711398935E-2</v>
      </c>
      <c r="G61" s="9">
        <v>0</v>
      </c>
      <c r="H61" s="9">
        <v>0</v>
      </c>
      <c r="I61" s="10">
        <v>8.3940918982995813E-2</v>
      </c>
      <c r="J61" s="9">
        <v>0</v>
      </c>
      <c r="K61" s="10">
        <v>8.1704448937700125E-2</v>
      </c>
      <c r="L61" s="10">
        <v>7.8737443749941738E-2</v>
      </c>
      <c r="M61" s="10">
        <v>8.4393928982313238E-2</v>
      </c>
      <c r="N61" s="10">
        <v>8.0319186005397794E-2</v>
      </c>
      <c r="O61" s="10">
        <v>0.11065999999999999</v>
      </c>
      <c r="P61" s="10">
        <v>8.0160640305427133E-2</v>
      </c>
      <c r="Q61" s="10">
        <v>9.7600000000000006E-2</v>
      </c>
      <c r="S61" s="14"/>
    </row>
    <row r="62" spans="2:19" ht="15" customHeight="1" x14ac:dyDescent="0.25">
      <c r="B62" s="55">
        <v>39538</v>
      </c>
      <c r="C62" s="9">
        <v>0</v>
      </c>
      <c r="D62" s="9">
        <v>0</v>
      </c>
      <c r="E62" s="9">
        <v>0</v>
      </c>
      <c r="F62" s="10">
        <v>8.48929769598879E-2</v>
      </c>
      <c r="G62" s="9">
        <v>0</v>
      </c>
      <c r="H62" s="9">
        <v>0</v>
      </c>
      <c r="I62" s="10">
        <v>8.4449076883177807E-2</v>
      </c>
      <c r="J62" s="9">
        <v>0</v>
      </c>
      <c r="K62" s="10">
        <v>8.2210504008082899E-2</v>
      </c>
      <c r="L62" s="10">
        <v>7.9306545394167705E-2</v>
      </c>
      <c r="M62" s="10">
        <v>8.4652201138184294E-2</v>
      </c>
      <c r="N62" s="10">
        <v>8.0486856237110799E-2</v>
      </c>
      <c r="O62" s="10">
        <v>0.1096</v>
      </c>
      <c r="P62" s="10">
        <v>8.0466439671452103E-2</v>
      </c>
      <c r="Q62" s="10">
        <v>0.10199999999999999</v>
      </c>
      <c r="S62" s="14"/>
    </row>
    <row r="63" spans="2:19" ht="15" customHeight="1" x14ac:dyDescent="0.25">
      <c r="B63" s="55">
        <v>39568</v>
      </c>
      <c r="C63" s="9">
        <v>0</v>
      </c>
      <c r="D63" s="9">
        <v>0</v>
      </c>
      <c r="E63" s="9">
        <v>0</v>
      </c>
      <c r="F63" s="10">
        <v>8.5698619983389998E-2</v>
      </c>
      <c r="G63" s="9">
        <v>0</v>
      </c>
      <c r="H63" s="9">
        <v>0</v>
      </c>
      <c r="I63" s="10">
        <v>8.5486404987881168E-2</v>
      </c>
      <c r="J63" s="9">
        <v>0</v>
      </c>
      <c r="K63" s="10">
        <v>8.2870258470521888E-2</v>
      </c>
      <c r="L63" s="10">
        <v>8.0121269132642295E-2</v>
      </c>
      <c r="M63" s="10">
        <v>8.5336150913929418E-2</v>
      </c>
      <c r="N63" s="10">
        <v>8.1044562993711752E-2</v>
      </c>
      <c r="O63" s="10">
        <v>0.1091</v>
      </c>
      <c r="P63" s="10">
        <v>8.0455522938180923E-2</v>
      </c>
      <c r="Q63" s="10">
        <v>0.10009999999999999</v>
      </c>
      <c r="S63" s="14"/>
    </row>
    <row r="64" spans="2:19" ht="15" customHeight="1" x14ac:dyDescent="0.25">
      <c r="B64" s="55">
        <v>39599</v>
      </c>
      <c r="C64" s="9">
        <v>0</v>
      </c>
      <c r="D64" s="9">
        <v>0</v>
      </c>
      <c r="E64" s="9">
        <v>0</v>
      </c>
      <c r="F64" s="10">
        <v>8.5470316802154195E-2</v>
      </c>
      <c r="G64" s="9">
        <v>0</v>
      </c>
      <c r="H64" s="9">
        <v>0</v>
      </c>
      <c r="I64" s="10">
        <v>8.5601711656881893E-2</v>
      </c>
      <c r="J64" s="9">
        <v>0</v>
      </c>
      <c r="K64" s="10">
        <v>8.4585926997070404E-2</v>
      </c>
      <c r="L64" s="10">
        <v>7.9453963663087795E-2</v>
      </c>
      <c r="M64" s="10">
        <v>8.5660064085061494E-2</v>
      </c>
      <c r="N64" s="10">
        <v>8.0776493850106296E-2</v>
      </c>
      <c r="O64" s="10">
        <v>0.107</v>
      </c>
      <c r="P64" s="10">
        <v>8.0192293945934995E-2</v>
      </c>
      <c r="Q64" s="10">
        <v>0.104</v>
      </c>
      <c r="S64" s="14"/>
    </row>
    <row r="65" spans="2:19" ht="15" customHeight="1" x14ac:dyDescent="0.25">
      <c r="B65" s="55">
        <v>39629</v>
      </c>
      <c r="C65" s="9">
        <v>0</v>
      </c>
      <c r="D65" s="9">
        <v>0</v>
      </c>
      <c r="E65" s="9">
        <v>0</v>
      </c>
      <c r="F65" s="10">
        <v>8.6628932572076198E-2</v>
      </c>
      <c r="G65" s="9">
        <v>0</v>
      </c>
      <c r="H65" s="9">
        <v>0</v>
      </c>
      <c r="I65" s="10">
        <v>8.7548065734859695E-2</v>
      </c>
      <c r="J65" s="9">
        <v>0</v>
      </c>
      <c r="K65" s="10">
        <v>8.5759275749480099E-2</v>
      </c>
      <c r="L65" s="10">
        <v>7.9905291712295295E-2</v>
      </c>
      <c r="M65" s="10">
        <v>8.6407261353362394E-2</v>
      </c>
      <c r="N65" s="10">
        <v>8.3000000000000004E-2</v>
      </c>
      <c r="O65" s="10">
        <v>0.10780000000000001</v>
      </c>
      <c r="P65" s="10">
        <v>8.2600000000000007E-2</v>
      </c>
      <c r="Q65" s="10">
        <v>0.1052</v>
      </c>
      <c r="S65" s="14"/>
    </row>
    <row r="66" spans="2:19" ht="15" customHeight="1" x14ac:dyDescent="0.25">
      <c r="B66" s="55">
        <v>39660</v>
      </c>
      <c r="C66" s="9">
        <v>0</v>
      </c>
      <c r="D66" s="9">
        <v>0</v>
      </c>
      <c r="E66" s="9">
        <v>0</v>
      </c>
      <c r="F66" s="10">
        <v>8.9599999999999999E-2</v>
      </c>
      <c r="G66" s="9">
        <v>0</v>
      </c>
      <c r="H66" s="9">
        <v>0</v>
      </c>
      <c r="I66" s="10">
        <v>9.1899999999999996E-2</v>
      </c>
      <c r="J66" s="9">
        <v>0</v>
      </c>
      <c r="K66" s="10">
        <v>9.0499999999999997E-2</v>
      </c>
      <c r="L66" s="10">
        <v>8.4199999999999997E-2</v>
      </c>
      <c r="M66" s="10">
        <v>9.1300000000000006E-2</v>
      </c>
      <c r="N66" s="10">
        <v>8.5699999999999998E-2</v>
      </c>
      <c r="O66" s="10">
        <v>0.1086</v>
      </c>
      <c r="P66" s="10">
        <v>8.4900000000000003E-2</v>
      </c>
      <c r="Q66" s="10">
        <v>0.10639999999999999</v>
      </c>
      <c r="S66" s="14"/>
    </row>
    <row r="67" spans="2:19" ht="15" customHeight="1" x14ac:dyDescent="0.25">
      <c r="B67" s="55">
        <v>39691</v>
      </c>
      <c r="C67" s="9">
        <v>0</v>
      </c>
      <c r="D67" s="9">
        <v>0</v>
      </c>
      <c r="E67" s="9">
        <v>0</v>
      </c>
      <c r="F67" s="10">
        <v>9.2600000000000002E-2</v>
      </c>
      <c r="G67" s="9">
        <v>0</v>
      </c>
      <c r="H67" s="9">
        <v>0</v>
      </c>
      <c r="I67" s="10">
        <v>9.6299999999999997E-2</v>
      </c>
      <c r="J67" s="9">
        <v>0</v>
      </c>
      <c r="K67" s="10">
        <v>9.3799999999999994E-2</v>
      </c>
      <c r="L67" s="10">
        <v>8.6300000000000002E-2</v>
      </c>
      <c r="M67" s="10">
        <v>9.4899999999999998E-2</v>
      </c>
      <c r="N67" s="10">
        <v>8.9300000000000004E-2</v>
      </c>
      <c r="O67" s="10">
        <v>0.1128</v>
      </c>
      <c r="P67" s="10">
        <v>8.8099999999999998E-2</v>
      </c>
      <c r="Q67" s="10">
        <v>0.1094</v>
      </c>
      <c r="S67" s="14"/>
    </row>
    <row r="68" spans="2:19" ht="15" customHeight="1" x14ac:dyDescent="0.25">
      <c r="B68" s="55">
        <v>39721</v>
      </c>
      <c r="C68" s="9">
        <v>0</v>
      </c>
      <c r="D68" s="9">
        <v>0</v>
      </c>
      <c r="E68" s="9">
        <v>0</v>
      </c>
      <c r="F68" s="10">
        <v>9.8599999999999993E-2</v>
      </c>
      <c r="G68" s="9">
        <v>0</v>
      </c>
      <c r="H68" s="9">
        <v>0</v>
      </c>
      <c r="I68" s="10">
        <v>0.1028</v>
      </c>
      <c r="J68" s="9">
        <v>0</v>
      </c>
      <c r="K68" s="10">
        <v>0.1013</v>
      </c>
      <c r="L68" s="10">
        <v>9.5600000000000004E-2</v>
      </c>
      <c r="M68" s="10">
        <v>0.1009</v>
      </c>
      <c r="N68" s="10">
        <v>9.7199999999999995E-2</v>
      </c>
      <c r="O68" s="10">
        <v>0.1179</v>
      </c>
      <c r="P68" s="10">
        <v>9.4700000000000006E-2</v>
      </c>
      <c r="Q68" s="10">
        <v>0.1108</v>
      </c>
      <c r="S68" s="14"/>
    </row>
    <row r="69" spans="2:19" ht="15" customHeight="1" x14ac:dyDescent="0.25">
      <c r="B69" s="55">
        <v>39752</v>
      </c>
      <c r="C69" s="9">
        <v>0</v>
      </c>
      <c r="D69" s="9">
        <v>0</v>
      </c>
      <c r="E69" s="9">
        <v>0</v>
      </c>
      <c r="F69" s="10">
        <v>0.1036</v>
      </c>
      <c r="G69" s="9">
        <v>0</v>
      </c>
      <c r="H69" s="9">
        <v>0</v>
      </c>
      <c r="I69" s="10">
        <v>0.10829999999999999</v>
      </c>
      <c r="J69" s="9">
        <v>0</v>
      </c>
      <c r="K69" s="10">
        <v>0.10639999999999999</v>
      </c>
      <c r="L69" s="10">
        <v>0.10100000000000001</v>
      </c>
      <c r="M69" s="10">
        <v>0.1062</v>
      </c>
      <c r="N69" s="10">
        <v>0.1021</v>
      </c>
      <c r="O69" s="10">
        <v>0.1221</v>
      </c>
      <c r="P69" s="10">
        <v>9.8000000000000004E-2</v>
      </c>
      <c r="Q69" s="10">
        <v>0.11310000000000001</v>
      </c>
      <c r="S69" s="14"/>
    </row>
    <row r="70" spans="2:19" ht="15" customHeight="1" x14ac:dyDescent="0.25">
      <c r="B70" s="55">
        <v>39782</v>
      </c>
      <c r="C70" s="9">
        <v>0</v>
      </c>
      <c r="D70" s="9">
        <v>0</v>
      </c>
      <c r="E70" s="9">
        <v>0</v>
      </c>
      <c r="F70" s="10">
        <v>0.10879999999999999</v>
      </c>
      <c r="G70" s="9">
        <v>0</v>
      </c>
      <c r="H70" s="9">
        <v>0</v>
      </c>
      <c r="I70" s="10">
        <v>0.1148</v>
      </c>
      <c r="J70" s="9">
        <v>0</v>
      </c>
      <c r="K70" s="10">
        <v>0.1147</v>
      </c>
      <c r="L70" s="10">
        <v>0.1032</v>
      </c>
      <c r="M70" s="10">
        <v>0.1139</v>
      </c>
      <c r="N70" s="10">
        <v>0.1142</v>
      </c>
      <c r="O70" s="10">
        <v>0.1348</v>
      </c>
      <c r="P70" s="10">
        <v>0.1067</v>
      </c>
      <c r="Q70" s="10">
        <v>0.16239999999999999</v>
      </c>
    </row>
    <row r="71" spans="2:19" ht="15" customHeight="1" x14ac:dyDescent="0.25">
      <c r="B71" s="55">
        <v>39813</v>
      </c>
      <c r="C71" s="9">
        <v>0</v>
      </c>
      <c r="D71" s="9">
        <v>0</v>
      </c>
      <c r="E71" s="9">
        <v>0</v>
      </c>
      <c r="F71" s="10">
        <v>0.11624894376727468</v>
      </c>
      <c r="G71" s="9">
        <v>0</v>
      </c>
      <c r="H71" s="9">
        <v>0</v>
      </c>
      <c r="I71" s="10">
        <v>0.12280725393518033</v>
      </c>
      <c r="J71" s="9">
        <v>0</v>
      </c>
      <c r="K71" s="10">
        <v>0.12243683374122183</v>
      </c>
      <c r="L71" s="10">
        <v>0.10964297981235749</v>
      </c>
      <c r="M71" s="10">
        <v>0.12164469393616774</v>
      </c>
      <c r="N71" s="10">
        <v>0.11898504058358859</v>
      </c>
      <c r="O71" s="10">
        <v>0.1484</v>
      </c>
      <c r="P71" s="10">
        <v>0.11386466121786087</v>
      </c>
      <c r="Q71" s="10">
        <v>0.16950000000000001</v>
      </c>
    </row>
    <row r="72" spans="2:19" ht="15" customHeight="1" x14ac:dyDescent="0.25">
      <c r="B72" s="55">
        <v>39844</v>
      </c>
      <c r="C72" s="9">
        <v>0</v>
      </c>
      <c r="D72" s="9">
        <v>0</v>
      </c>
      <c r="E72" s="9">
        <v>0</v>
      </c>
      <c r="F72" s="10">
        <v>0.1226</v>
      </c>
      <c r="G72" s="9">
        <v>0</v>
      </c>
      <c r="H72" s="9">
        <v>0</v>
      </c>
      <c r="I72" s="10">
        <v>0.1293</v>
      </c>
      <c r="J72" s="9">
        <v>0</v>
      </c>
      <c r="K72" s="10">
        <v>0.13</v>
      </c>
      <c r="L72" s="10">
        <v>0.1164</v>
      </c>
      <c r="M72" s="10">
        <v>0.1288</v>
      </c>
      <c r="N72" s="10">
        <v>0.127</v>
      </c>
      <c r="O72" s="10">
        <v>0.1542</v>
      </c>
      <c r="P72" s="10">
        <v>0.1217</v>
      </c>
      <c r="Q72" s="10">
        <v>0.1691</v>
      </c>
    </row>
    <row r="73" spans="2:19" ht="15" customHeight="1" x14ac:dyDescent="0.25">
      <c r="B73" s="55">
        <v>39872</v>
      </c>
      <c r="C73" s="9">
        <v>0</v>
      </c>
      <c r="D73" s="9">
        <v>0</v>
      </c>
      <c r="E73" s="9">
        <v>0</v>
      </c>
      <c r="F73" s="10">
        <v>0.12809999999999999</v>
      </c>
      <c r="G73" s="9">
        <v>0</v>
      </c>
      <c r="H73" s="9">
        <v>0</v>
      </c>
      <c r="I73" s="10">
        <v>0.13519999999999999</v>
      </c>
      <c r="J73" s="9">
        <v>0</v>
      </c>
      <c r="K73" s="10">
        <v>0.13639999999999999</v>
      </c>
      <c r="L73" s="10">
        <v>0.12089999999999999</v>
      </c>
      <c r="M73" s="10">
        <v>0.13500000000000001</v>
      </c>
      <c r="N73" s="10">
        <v>0.13489999999999999</v>
      </c>
      <c r="O73" s="10">
        <v>0.16600000000000001</v>
      </c>
      <c r="P73" s="10">
        <v>0.1331</v>
      </c>
      <c r="Q73" s="10">
        <v>0.1704</v>
      </c>
    </row>
    <row r="74" spans="2:19" ht="15" customHeight="1" x14ac:dyDescent="0.25">
      <c r="B74" s="55">
        <v>39903</v>
      </c>
      <c r="C74" s="9">
        <v>0</v>
      </c>
      <c r="D74" s="9">
        <v>0</v>
      </c>
      <c r="E74" s="9">
        <v>0</v>
      </c>
      <c r="F74" s="10">
        <v>0.13519999999999999</v>
      </c>
      <c r="G74" s="9">
        <v>0</v>
      </c>
      <c r="H74" s="9">
        <v>0</v>
      </c>
      <c r="I74" s="10">
        <v>0.1421</v>
      </c>
      <c r="J74" s="9">
        <v>0</v>
      </c>
      <c r="K74" s="10">
        <v>0.1474</v>
      </c>
      <c r="L74" s="10">
        <v>0.12790000000000001</v>
      </c>
      <c r="M74" s="10">
        <v>0.14349999999999999</v>
      </c>
      <c r="N74" s="10">
        <v>0.14349999999999999</v>
      </c>
      <c r="O74" s="10">
        <v>0.1759</v>
      </c>
      <c r="P74" s="10">
        <v>0.14380000000000001</v>
      </c>
      <c r="Q74" s="10">
        <v>0.1696</v>
      </c>
    </row>
    <row r="75" spans="2:19" ht="15" customHeight="1" x14ac:dyDescent="0.25">
      <c r="B75" s="55">
        <v>39933</v>
      </c>
      <c r="C75" s="9">
        <v>0</v>
      </c>
      <c r="D75" s="9">
        <v>0</v>
      </c>
      <c r="E75" s="9">
        <v>0</v>
      </c>
      <c r="F75" s="10">
        <v>0.14080000000000001</v>
      </c>
      <c r="G75" s="9">
        <v>0</v>
      </c>
      <c r="H75" s="9">
        <v>0</v>
      </c>
      <c r="I75" s="10">
        <v>0.1479</v>
      </c>
      <c r="J75" s="9">
        <v>0</v>
      </c>
      <c r="K75" s="10">
        <v>0.1535</v>
      </c>
      <c r="L75" s="10">
        <v>0.1326</v>
      </c>
      <c r="M75" s="10">
        <v>0.14990000000000001</v>
      </c>
      <c r="N75" s="10">
        <v>0.14940000000000001</v>
      </c>
      <c r="O75" s="10">
        <v>0.18240000000000001</v>
      </c>
      <c r="P75" s="10">
        <v>0.15090000000000001</v>
      </c>
      <c r="Q75" s="10">
        <v>0.1686</v>
      </c>
    </row>
    <row r="76" spans="2:19" ht="15" customHeight="1" x14ac:dyDescent="0.25">
      <c r="B76" s="55">
        <v>39964</v>
      </c>
      <c r="C76" s="9">
        <v>0</v>
      </c>
      <c r="D76" s="9">
        <v>0</v>
      </c>
      <c r="E76" s="9">
        <v>0</v>
      </c>
      <c r="F76" s="10">
        <v>0.1447</v>
      </c>
      <c r="G76" s="9">
        <v>0</v>
      </c>
      <c r="H76" s="9">
        <v>0</v>
      </c>
      <c r="I76" s="10">
        <v>0.15110000000000001</v>
      </c>
      <c r="J76" s="9">
        <v>0</v>
      </c>
      <c r="K76" s="10">
        <v>0.15540000000000001</v>
      </c>
      <c r="L76" s="10">
        <v>0.1361</v>
      </c>
      <c r="M76" s="10">
        <v>0.1535</v>
      </c>
      <c r="N76" s="10">
        <v>0.1537</v>
      </c>
      <c r="O76" s="10">
        <v>0.1905</v>
      </c>
      <c r="P76" s="10">
        <v>0.15540000000000001</v>
      </c>
      <c r="Q76" s="10">
        <v>0.1668</v>
      </c>
    </row>
    <row r="77" spans="2:19" ht="15" customHeight="1" x14ac:dyDescent="0.25">
      <c r="B77" s="55">
        <v>39994</v>
      </c>
      <c r="C77" s="9">
        <v>0</v>
      </c>
      <c r="D77" s="9">
        <v>0</v>
      </c>
      <c r="E77" s="9">
        <v>0</v>
      </c>
      <c r="F77" s="10">
        <v>0.1489</v>
      </c>
      <c r="G77" s="9">
        <v>0</v>
      </c>
      <c r="H77" s="9">
        <v>0</v>
      </c>
      <c r="I77" s="10">
        <v>0.1552</v>
      </c>
      <c r="J77" s="9">
        <v>0</v>
      </c>
      <c r="K77" s="10">
        <v>0.16009999999999999</v>
      </c>
      <c r="L77" s="10">
        <v>0.1396</v>
      </c>
      <c r="M77" s="10">
        <v>0.1598</v>
      </c>
      <c r="N77" s="10">
        <v>0.15640000000000001</v>
      </c>
      <c r="O77" s="10">
        <v>0.1928</v>
      </c>
      <c r="P77" s="10">
        <v>0.15920000000000001</v>
      </c>
      <c r="Q77" s="10">
        <v>0.16589999999999999</v>
      </c>
    </row>
    <row r="78" spans="2:19" ht="15" customHeight="1" x14ac:dyDescent="0.25">
      <c r="B78" s="55">
        <v>40025</v>
      </c>
      <c r="C78" s="9">
        <v>0</v>
      </c>
      <c r="D78" s="9">
        <v>0</v>
      </c>
      <c r="E78" s="9">
        <v>0</v>
      </c>
      <c r="F78" s="10">
        <v>0.1497</v>
      </c>
      <c r="G78" s="9">
        <v>0</v>
      </c>
      <c r="H78" s="9">
        <v>0</v>
      </c>
      <c r="I78" s="10">
        <v>0.1542</v>
      </c>
      <c r="J78" s="9">
        <v>0</v>
      </c>
      <c r="K78" s="10">
        <v>0.15939999999999999</v>
      </c>
      <c r="L78" s="10">
        <v>0.14050000000000001</v>
      </c>
      <c r="M78" s="10">
        <v>0.15870000000000001</v>
      </c>
      <c r="N78" s="10">
        <v>0.15820000000000001</v>
      </c>
      <c r="O78" s="10">
        <v>0.2014</v>
      </c>
      <c r="P78" s="10">
        <v>0.16059999999999999</v>
      </c>
      <c r="Q78" s="10">
        <v>0.16209999999999999</v>
      </c>
    </row>
    <row r="79" spans="2:19" ht="15" customHeight="1" x14ac:dyDescent="0.25">
      <c r="B79" s="55">
        <v>40056</v>
      </c>
      <c r="C79" s="9">
        <v>0</v>
      </c>
      <c r="D79" s="9">
        <v>0</v>
      </c>
      <c r="E79" s="9">
        <v>0</v>
      </c>
      <c r="F79" s="10">
        <v>0.15079999999999999</v>
      </c>
      <c r="G79" s="9">
        <v>0</v>
      </c>
      <c r="H79" s="9">
        <v>0</v>
      </c>
      <c r="I79" s="10">
        <v>0.15590000000000001</v>
      </c>
      <c r="J79" s="9">
        <v>0</v>
      </c>
      <c r="K79" s="10">
        <v>0.1603</v>
      </c>
      <c r="L79" s="10">
        <v>0.14019999999999999</v>
      </c>
      <c r="M79" s="10">
        <v>0.159</v>
      </c>
      <c r="N79" s="10">
        <v>0.15870000000000001</v>
      </c>
      <c r="O79" s="10">
        <v>0.1983</v>
      </c>
      <c r="P79" s="10">
        <v>0.161</v>
      </c>
      <c r="Q79" s="10">
        <v>0.16059999999999999</v>
      </c>
    </row>
    <row r="80" spans="2:19" ht="15" customHeight="1" x14ac:dyDescent="0.25">
      <c r="B80" s="55">
        <v>40086</v>
      </c>
      <c r="C80" s="9">
        <v>0</v>
      </c>
      <c r="D80" s="9">
        <v>0</v>
      </c>
      <c r="E80" s="9">
        <v>0</v>
      </c>
      <c r="F80" s="10">
        <v>0.1487</v>
      </c>
      <c r="G80" s="9">
        <v>0</v>
      </c>
      <c r="H80" s="9">
        <v>0</v>
      </c>
      <c r="I80" s="10">
        <v>0.15229999999999999</v>
      </c>
      <c r="J80" s="9">
        <v>0</v>
      </c>
      <c r="K80" s="10">
        <v>0.15840000000000001</v>
      </c>
      <c r="L80" s="10">
        <v>0.13769999999999999</v>
      </c>
      <c r="M80" s="10">
        <v>0.15690000000000001</v>
      </c>
      <c r="N80" s="10">
        <v>0.15659999999999999</v>
      </c>
      <c r="O80" s="10">
        <v>0.19900000000000001</v>
      </c>
      <c r="P80" s="10">
        <v>0.1585</v>
      </c>
      <c r="Q80" s="10">
        <v>0.16009999999999999</v>
      </c>
    </row>
    <row r="81" spans="2:17" ht="15" customHeight="1" x14ac:dyDescent="0.25">
      <c r="B81" s="55">
        <v>40117</v>
      </c>
      <c r="C81" s="9">
        <v>0</v>
      </c>
      <c r="D81" s="9">
        <v>0</v>
      </c>
      <c r="E81" s="9">
        <v>0</v>
      </c>
      <c r="F81" s="10">
        <v>0.1457</v>
      </c>
      <c r="G81" s="9">
        <v>0</v>
      </c>
      <c r="H81" s="9">
        <v>0</v>
      </c>
      <c r="I81" s="10">
        <v>0.14860000000000001</v>
      </c>
      <c r="J81" s="9">
        <v>0</v>
      </c>
      <c r="K81" s="10">
        <v>0.15620000000000001</v>
      </c>
      <c r="L81" s="10">
        <v>0.1346</v>
      </c>
      <c r="M81" s="10">
        <v>0.15290000000000001</v>
      </c>
      <c r="N81" s="10">
        <v>0.15429999999999999</v>
      </c>
      <c r="O81" s="10">
        <v>0.19420000000000001</v>
      </c>
      <c r="P81" s="10">
        <v>0.1578</v>
      </c>
      <c r="Q81" s="10">
        <v>0.15709999999999999</v>
      </c>
    </row>
    <row r="82" spans="2:17" ht="15" customHeight="1" x14ac:dyDescent="0.25">
      <c r="B82" s="55">
        <v>40147</v>
      </c>
      <c r="C82" s="9">
        <v>0</v>
      </c>
      <c r="D82" s="9">
        <v>0</v>
      </c>
      <c r="E82" s="9">
        <v>0</v>
      </c>
      <c r="F82" s="10">
        <v>0.1431</v>
      </c>
      <c r="G82" s="9">
        <v>0</v>
      </c>
      <c r="H82" s="9">
        <v>0</v>
      </c>
      <c r="I82" s="10">
        <v>0.14399999999999999</v>
      </c>
      <c r="J82" s="9">
        <v>0</v>
      </c>
      <c r="K82" s="10">
        <v>0.151</v>
      </c>
      <c r="L82" s="10">
        <v>0.13400000000000001</v>
      </c>
      <c r="M82" s="10">
        <v>0.14779999999999999</v>
      </c>
      <c r="N82" s="10">
        <v>0.14430000000000001</v>
      </c>
      <c r="O82" s="10">
        <v>0.1827</v>
      </c>
      <c r="P82" s="10">
        <v>0.14990000000000001</v>
      </c>
      <c r="Q82" s="10">
        <v>0.13300000000000001</v>
      </c>
    </row>
    <row r="83" spans="2:17" ht="15" customHeight="1" x14ac:dyDescent="0.25">
      <c r="B83" s="55">
        <v>40178</v>
      </c>
      <c r="C83" s="9">
        <v>0</v>
      </c>
      <c r="D83" s="9">
        <v>0</v>
      </c>
      <c r="E83" s="9">
        <v>0</v>
      </c>
      <c r="F83" s="10">
        <v>0.13969999999999999</v>
      </c>
      <c r="G83" s="9">
        <v>0</v>
      </c>
      <c r="H83" s="9">
        <v>0</v>
      </c>
      <c r="I83" s="10">
        <v>0.13769999999999999</v>
      </c>
      <c r="J83" s="9">
        <v>0</v>
      </c>
      <c r="K83" s="10">
        <v>0.14599999999999999</v>
      </c>
      <c r="L83" s="10">
        <v>0.1295</v>
      </c>
      <c r="M83" s="10">
        <v>0.14219999999999999</v>
      </c>
      <c r="N83" s="10">
        <v>0.14230000000000001</v>
      </c>
      <c r="O83" s="10">
        <v>0.1681</v>
      </c>
      <c r="P83" s="10">
        <v>0.14549999999999999</v>
      </c>
      <c r="Q83" s="10">
        <v>0.1321</v>
      </c>
    </row>
    <row r="84" spans="2:17" ht="15" customHeight="1" x14ac:dyDescent="0.25">
      <c r="B84" s="55">
        <v>40209</v>
      </c>
      <c r="C84" s="9">
        <v>0</v>
      </c>
      <c r="D84" s="9">
        <v>0</v>
      </c>
      <c r="E84" s="9">
        <v>0</v>
      </c>
      <c r="F84" s="10">
        <v>0.13389999999999999</v>
      </c>
      <c r="G84" s="9">
        <v>0</v>
      </c>
      <c r="H84" s="9">
        <v>0</v>
      </c>
      <c r="I84" s="10">
        <v>0.13159999999999999</v>
      </c>
      <c r="J84" s="9">
        <v>0</v>
      </c>
      <c r="K84" s="10">
        <v>0.14000000000000001</v>
      </c>
      <c r="L84" s="10">
        <v>0.1232</v>
      </c>
      <c r="M84" s="10">
        <v>0.13619999999999999</v>
      </c>
      <c r="N84" s="10">
        <v>0.13569999999999999</v>
      </c>
      <c r="O84" s="10">
        <v>0.16059999999999999</v>
      </c>
      <c r="P84" s="10">
        <v>0.13950000000000001</v>
      </c>
      <c r="Q84" s="10">
        <v>0.1396</v>
      </c>
    </row>
    <row r="85" spans="2:17" ht="15" customHeight="1" x14ac:dyDescent="0.25">
      <c r="B85" s="55">
        <v>40237</v>
      </c>
      <c r="C85" s="9">
        <v>0</v>
      </c>
      <c r="D85" s="9">
        <v>0</v>
      </c>
      <c r="E85" s="9">
        <v>0</v>
      </c>
      <c r="F85" s="10">
        <v>0.12909999999999999</v>
      </c>
      <c r="G85" s="9">
        <v>0</v>
      </c>
      <c r="H85" s="9">
        <v>0</v>
      </c>
      <c r="I85" s="10">
        <v>0.12620000000000001</v>
      </c>
      <c r="J85" s="9">
        <v>0</v>
      </c>
      <c r="K85" s="10">
        <v>0.13589999999999999</v>
      </c>
      <c r="L85" s="10">
        <v>0.11940000000000001</v>
      </c>
      <c r="M85" s="10">
        <v>0.13109999999999999</v>
      </c>
      <c r="N85" s="10">
        <v>0.13650000000000001</v>
      </c>
      <c r="O85" s="10">
        <v>0.14749999999999999</v>
      </c>
      <c r="P85" s="10">
        <v>0.14630000000000001</v>
      </c>
      <c r="Q85" s="10">
        <v>0.13919999999999999</v>
      </c>
    </row>
    <row r="86" spans="2:17" ht="15" customHeight="1" x14ac:dyDescent="0.25">
      <c r="B86" s="55">
        <v>40268</v>
      </c>
      <c r="C86" s="9">
        <v>0</v>
      </c>
      <c r="D86" s="9">
        <v>0</v>
      </c>
      <c r="E86" s="9">
        <v>0</v>
      </c>
      <c r="F86" s="10">
        <v>0.12330000000000001</v>
      </c>
      <c r="G86" s="9">
        <v>0</v>
      </c>
      <c r="H86" s="9">
        <v>0</v>
      </c>
      <c r="I86" s="10">
        <v>0.12180000000000001</v>
      </c>
      <c r="J86" s="9">
        <v>0</v>
      </c>
      <c r="K86" s="10">
        <v>0.1273</v>
      </c>
      <c r="L86" s="10">
        <v>0.1142</v>
      </c>
      <c r="M86" s="10">
        <v>0.12770000000000001</v>
      </c>
      <c r="N86" s="10">
        <v>0.1308</v>
      </c>
      <c r="O86" s="10">
        <v>0.1371</v>
      </c>
      <c r="P86" s="10">
        <v>0.1386</v>
      </c>
      <c r="Q86" s="10">
        <v>0.13900000000000001</v>
      </c>
    </row>
    <row r="87" spans="2:17" ht="15" customHeight="1" x14ac:dyDescent="0.25">
      <c r="B87" s="55">
        <v>40298</v>
      </c>
      <c r="C87" s="9">
        <v>0</v>
      </c>
      <c r="D87" s="9">
        <v>0</v>
      </c>
      <c r="E87" s="9">
        <v>0</v>
      </c>
      <c r="F87" s="10">
        <v>0.11849999999999999</v>
      </c>
      <c r="G87" s="9">
        <v>0</v>
      </c>
      <c r="H87" s="9">
        <v>0</v>
      </c>
      <c r="I87" s="10">
        <v>0.11899999999999999</v>
      </c>
      <c r="J87" s="9">
        <v>0</v>
      </c>
      <c r="K87" s="10">
        <v>0.1239</v>
      </c>
      <c r="L87" s="10">
        <v>0.1091</v>
      </c>
      <c r="M87" s="10">
        <v>0.1245</v>
      </c>
      <c r="N87" s="10">
        <v>0.1273</v>
      </c>
      <c r="O87" s="10">
        <v>0.12939999999999999</v>
      </c>
      <c r="P87" s="10">
        <v>0.1331</v>
      </c>
      <c r="Q87" s="10">
        <v>0.13900000000000001</v>
      </c>
    </row>
    <row r="88" spans="2:17" ht="15" customHeight="1" x14ac:dyDescent="0.25">
      <c r="B88" s="55">
        <v>40329</v>
      </c>
      <c r="C88" s="9">
        <v>0</v>
      </c>
      <c r="D88" s="9">
        <v>0</v>
      </c>
      <c r="E88" s="9">
        <v>0</v>
      </c>
      <c r="F88" s="10">
        <v>0.1157</v>
      </c>
      <c r="G88" s="9">
        <v>0</v>
      </c>
      <c r="H88" s="9">
        <v>0</v>
      </c>
      <c r="I88" s="10">
        <v>0.1169</v>
      </c>
      <c r="J88" s="9">
        <v>0</v>
      </c>
      <c r="K88" s="10">
        <v>0.1235</v>
      </c>
      <c r="L88" s="10">
        <v>0.1084</v>
      </c>
      <c r="M88" s="10">
        <v>0.12239999999999999</v>
      </c>
      <c r="N88" s="10">
        <v>0.12570000000000001</v>
      </c>
      <c r="O88" s="10">
        <v>0.12</v>
      </c>
      <c r="P88" s="10">
        <v>0.13009999999999999</v>
      </c>
      <c r="Q88" s="10">
        <v>0.13869999999999999</v>
      </c>
    </row>
    <row r="89" spans="2:17" ht="15" customHeight="1" x14ac:dyDescent="0.25">
      <c r="B89" s="55">
        <v>40359</v>
      </c>
      <c r="C89" s="9">
        <v>0</v>
      </c>
      <c r="D89" s="9">
        <v>0</v>
      </c>
      <c r="E89" s="9">
        <v>0</v>
      </c>
      <c r="F89" s="10">
        <v>0.1148</v>
      </c>
      <c r="G89" s="9">
        <v>0</v>
      </c>
      <c r="H89" s="9">
        <v>0</v>
      </c>
      <c r="I89" s="10">
        <v>0.11459999999999999</v>
      </c>
      <c r="J89" s="9">
        <v>0</v>
      </c>
      <c r="K89" s="10">
        <v>0.1203</v>
      </c>
      <c r="L89" s="10">
        <v>0.10730000000000001</v>
      </c>
      <c r="M89" s="10">
        <v>0.1177</v>
      </c>
      <c r="N89" s="10">
        <v>0.1231</v>
      </c>
      <c r="O89" s="10">
        <v>0.1149</v>
      </c>
      <c r="P89" s="10">
        <v>0.12590000000000001</v>
      </c>
      <c r="Q89" s="10">
        <v>0.1384</v>
      </c>
    </row>
    <row r="90" spans="2:17" ht="15" customHeight="1" x14ac:dyDescent="0.25">
      <c r="B90" s="55">
        <v>40390</v>
      </c>
      <c r="C90" s="9">
        <v>0</v>
      </c>
      <c r="D90" s="9">
        <v>0</v>
      </c>
      <c r="E90" s="9">
        <v>0</v>
      </c>
      <c r="F90" s="10">
        <v>0.1114</v>
      </c>
      <c r="G90" s="9">
        <v>0</v>
      </c>
      <c r="H90" s="9">
        <v>0</v>
      </c>
      <c r="I90" s="10">
        <v>0.112</v>
      </c>
      <c r="J90" s="9">
        <v>0</v>
      </c>
      <c r="K90" s="10">
        <v>0.1179</v>
      </c>
      <c r="L90" s="10">
        <v>0.1018</v>
      </c>
      <c r="M90" s="10">
        <v>0.1149</v>
      </c>
      <c r="N90" s="10">
        <v>0.11940000000000001</v>
      </c>
      <c r="O90" s="10">
        <v>0.1031</v>
      </c>
      <c r="P90" s="10">
        <v>0.1227</v>
      </c>
      <c r="Q90" s="10">
        <v>0.13850000000000001</v>
      </c>
    </row>
    <row r="91" spans="2:17" ht="15" customHeight="1" x14ac:dyDescent="0.25">
      <c r="B91" s="55">
        <v>40421</v>
      </c>
      <c r="C91" s="9">
        <v>0</v>
      </c>
      <c r="D91" s="9">
        <v>0</v>
      </c>
      <c r="E91" s="9">
        <v>0</v>
      </c>
      <c r="F91" s="10">
        <v>0.109</v>
      </c>
      <c r="G91" s="9">
        <v>0</v>
      </c>
      <c r="H91" s="9">
        <v>0</v>
      </c>
      <c r="I91" s="10">
        <v>0.1077</v>
      </c>
      <c r="J91" s="9">
        <v>0</v>
      </c>
      <c r="K91" s="10">
        <v>0.11600000000000001</v>
      </c>
      <c r="L91" s="10">
        <v>0.1008</v>
      </c>
      <c r="M91" s="10">
        <v>0.11310000000000001</v>
      </c>
      <c r="N91" s="10">
        <v>0.1171</v>
      </c>
      <c r="O91" s="10">
        <v>9.9299999999999999E-2</v>
      </c>
      <c r="P91" s="10">
        <v>0.1203</v>
      </c>
      <c r="Q91" s="10">
        <v>0.14080000000000001</v>
      </c>
    </row>
    <row r="92" spans="2:17" ht="15" customHeight="1" x14ac:dyDescent="0.25">
      <c r="B92" s="55">
        <v>40451</v>
      </c>
      <c r="C92" s="9">
        <v>0</v>
      </c>
      <c r="D92" s="9">
        <v>0</v>
      </c>
      <c r="E92" s="9">
        <v>0</v>
      </c>
      <c r="F92" s="10">
        <v>0.107</v>
      </c>
      <c r="G92" s="9">
        <v>0</v>
      </c>
      <c r="H92" s="9">
        <v>0</v>
      </c>
      <c r="I92" s="10">
        <v>0.10639999999999999</v>
      </c>
      <c r="J92" s="9">
        <v>0</v>
      </c>
      <c r="K92" s="10">
        <v>0.1142</v>
      </c>
      <c r="L92" s="10">
        <v>0.10349999999999999</v>
      </c>
      <c r="M92" s="10">
        <v>0.1123</v>
      </c>
      <c r="N92" s="10">
        <v>0.1221</v>
      </c>
      <c r="O92" s="10">
        <v>9.2399999999999996E-2</v>
      </c>
      <c r="P92" s="10">
        <v>0.1242</v>
      </c>
      <c r="Q92" s="10">
        <v>0.14030000000000001</v>
      </c>
    </row>
    <row r="93" spans="2:17" ht="15" customHeight="1" x14ac:dyDescent="0.25">
      <c r="B93" s="55">
        <v>40482</v>
      </c>
      <c r="C93" s="9">
        <v>0</v>
      </c>
      <c r="D93" s="9">
        <v>0</v>
      </c>
      <c r="E93" s="9">
        <v>0</v>
      </c>
      <c r="F93" s="10">
        <v>0.10512720595503</v>
      </c>
      <c r="G93" s="9">
        <v>0</v>
      </c>
      <c r="H93" s="9">
        <v>0</v>
      </c>
      <c r="I93" s="10">
        <v>0.104905553418699</v>
      </c>
      <c r="J93" s="9">
        <v>0</v>
      </c>
      <c r="K93" s="10">
        <v>0.112625737130205</v>
      </c>
      <c r="L93" s="10">
        <v>0.102981052716432</v>
      </c>
      <c r="M93" s="10">
        <v>0.111539299787936</v>
      </c>
      <c r="N93" s="10">
        <v>0.119881888797393</v>
      </c>
      <c r="O93" s="10">
        <v>9.0124252213036105E-2</v>
      </c>
      <c r="P93" s="10">
        <v>0.122200945409306</v>
      </c>
      <c r="Q93" s="10">
        <v>0.14599999999999999</v>
      </c>
    </row>
    <row r="94" spans="2:17" ht="15" customHeight="1" x14ac:dyDescent="0.25">
      <c r="B94" s="55">
        <v>40512</v>
      </c>
      <c r="C94" s="9">
        <v>0</v>
      </c>
      <c r="D94" s="9">
        <v>0</v>
      </c>
      <c r="E94" s="9">
        <v>0</v>
      </c>
      <c r="F94" s="10">
        <v>0.104972794720501</v>
      </c>
      <c r="G94" s="9">
        <v>0</v>
      </c>
      <c r="H94" s="9">
        <v>0</v>
      </c>
      <c r="I94" s="10">
        <v>0.107054206204939</v>
      </c>
      <c r="J94" s="9">
        <v>0</v>
      </c>
      <c r="K94" s="10">
        <v>0.11241999885538299</v>
      </c>
      <c r="L94" s="10">
        <v>0.10281511153462</v>
      </c>
      <c r="M94" s="10">
        <v>0.111455473723691</v>
      </c>
      <c r="N94" s="10">
        <v>0.11996946126819499</v>
      </c>
      <c r="O94" s="10">
        <v>8.7945752753595396E-2</v>
      </c>
      <c r="P94" s="10">
        <v>0.12336272008858699</v>
      </c>
      <c r="Q94" s="10">
        <v>0.1462</v>
      </c>
    </row>
    <row r="95" spans="2:17" ht="15" customHeight="1" x14ac:dyDescent="0.25">
      <c r="B95" s="55">
        <v>40543</v>
      </c>
      <c r="C95" s="9">
        <v>0</v>
      </c>
      <c r="D95" s="9">
        <v>0</v>
      </c>
      <c r="E95" s="9">
        <v>0</v>
      </c>
      <c r="F95" s="10">
        <v>0.10524461800772</v>
      </c>
      <c r="G95" s="9">
        <v>0</v>
      </c>
      <c r="H95" s="9">
        <v>0</v>
      </c>
      <c r="I95" s="10">
        <v>0.107229431624965</v>
      </c>
      <c r="J95" s="9">
        <v>0</v>
      </c>
      <c r="K95" s="10">
        <v>0.112136366612914</v>
      </c>
      <c r="L95" s="10">
        <v>0.102772157998287</v>
      </c>
      <c r="M95" s="10">
        <v>0.11141154575163</v>
      </c>
      <c r="N95" s="10">
        <v>0.124067452925188</v>
      </c>
      <c r="O95" s="10">
        <v>9.0720324173345607E-2</v>
      </c>
      <c r="P95" s="10">
        <v>0.123137447592087</v>
      </c>
      <c r="Q95" s="10">
        <v>0.14630000000000001</v>
      </c>
    </row>
    <row r="96" spans="2:17" ht="15" customHeight="1" x14ac:dyDescent="0.25">
      <c r="B96" s="55">
        <v>40574</v>
      </c>
      <c r="C96" s="9">
        <v>0</v>
      </c>
      <c r="D96" s="9">
        <v>0</v>
      </c>
      <c r="E96" s="9">
        <v>0</v>
      </c>
      <c r="F96" s="10">
        <v>0.105935767144356</v>
      </c>
      <c r="G96" s="9">
        <v>0</v>
      </c>
      <c r="H96" s="9">
        <v>0</v>
      </c>
      <c r="I96" s="10">
        <v>0.10841966221622799</v>
      </c>
      <c r="J96" s="9">
        <v>0</v>
      </c>
      <c r="K96" s="10">
        <v>0.112783574220222</v>
      </c>
      <c r="L96" s="10">
        <v>0.103642862466957</v>
      </c>
      <c r="M96" s="10">
        <v>0.112398254699664</v>
      </c>
      <c r="N96" s="10">
        <v>0.124045389182521</v>
      </c>
      <c r="O96" s="10">
        <v>0.107268518836418</v>
      </c>
      <c r="P96" s="10">
        <v>0.12307871082718801</v>
      </c>
      <c r="Q96" s="10">
        <v>0.14630000000000001</v>
      </c>
    </row>
    <row r="97" spans="2:17" ht="15" customHeight="1" x14ac:dyDescent="0.25">
      <c r="B97" s="55">
        <v>40602</v>
      </c>
      <c r="C97" s="9">
        <v>0</v>
      </c>
      <c r="D97" s="9">
        <v>0</v>
      </c>
      <c r="E97" s="9">
        <v>0</v>
      </c>
      <c r="F97" s="10">
        <v>0.107143597962831</v>
      </c>
      <c r="G97" s="9">
        <v>0</v>
      </c>
      <c r="H97" s="9">
        <v>0</v>
      </c>
      <c r="I97" s="10">
        <v>0.109376746130741</v>
      </c>
      <c r="J97" s="9">
        <v>0</v>
      </c>
      <c r="K97" s="10">
        <v>0.114475684911737</v>
      </c>
      <c r="L97" s="10">
        <v>0.104074345386931</v>
      </c>
      <c r="M97" s="10">
        <v>0.113100594646592</v>
      </c>
      <c r="N97" s="10">
        <v>0.116915661230475</v>
      </c>
      <c r="O97" s="10">
        <v>9.3105601149709102E-2</v>
      </c>
      <c r="P97" s="10">
        <v>0.10799779957227799</v>
      </c>
      <c r="Q97" s="10">
        <v>0.1464</v>
      </c>
    </row>
    <row r="98" spans="2:17" ht="15" customHeight="1" x14ac:dyDescent="0.25">
      <c r="B98" s="55">
        <v>40633</v>
      </c>
      <c r="C98" s="9">
        <v>0</v>
      </c>
      <c r="D98" s="9">
        <v>0</v>
      </c>
      <c r="E98" s="9">
        <v>0</v>
      </c>
      <c r="F98" s="10">
        <v>0.108729400207754</v>
      </c>
      <c r="G98" s="9">
        <v>0</v>
      </c>
      <c r="H98" s="9">
        <v>0</v>
      </c>
      <c r="I98" s="10">
        <v>0.107847563256649</v>
      </c>
      <c r="J98" s="9">
        <v>0</v>
      </c>
      <c r="K98" s="10">
        <v>0.113811149636697</v>
      </c>
      <c r="L98" s="10">
        <v>0.102851327040651</v>
      </c>
      <c r="M98" s="10">
        <v>0.11116533450138801</v>
      </c>
      <c r="N98" s="10">
        <v>0.115417314100387</v>
      </c>
      <c r="O98" s="10">
        <v>9.4472435271047303E-2</v>
      </c>
      <c r="P98" s="10">
        <v>0.105280672643568</v>
      </c>
      <c r="Q98" s="10">
        <v>0.14680000000000001</v>
      </c>
    </row>
    <row r="99" spans="2:17" ht="15" customHeight="1" x14ac:dyDescent="0.25">
      <c r="B99" s="55">
        <v>40663</v>
      </c>
      <c r="C99" s="9">
        <v>0</v>
      </c>
      <c r="D99" s="9">
        <v>0</v>
      </c>
      <c r="E99" s="9">
        <v>0</v>
      </c>
      <c r="F99" s="10">
        <v>0.11020000000000001</v>
      </c>
      <c r="G99" s="9">
        <v>0</v>
      </c>
      <c r="H99" s="9">
        <v>0</v>
      </c>
      <c r="I99" s="10">
        <v>0.1087</v>
      </c>
      <c r="J99" s="9">
        <v>0</v>
      </c>
      <c r="K99" s="10">
        <v>0.1134</v>
      </c>
      <c r="L99" s="10">
        <v>0.1046</v>
      </c>
      <c r="M99" s="10">
        <v>0.1148</v>
      </c>
      <c r="N99" s="10">
        <v>0.1143</v>
      </c>
      <c r="O99" s="10">
        <v>9.6100000000000005E-2</v>
      </c>
      <c r="P99" s="10">
        <v>0.1072</v>
      </c>
      <c r="Q99" s="10">
        <v>0.14729999999999999</v>
      </c>
    </row>
    <row r="100" spans="2:17" ht="15" customHeight="1" x14ac:dyDescent="0.25">
      <c r="B100" s="55">
        <v>40694</v>
      </c>
      <c r="C100" s="9">
        <v>0</v>
      </c>
      <c r="D100" s="9">
        <v>0</v>
      </c>
      <c r="E100" s="9">
        <v>0</v>
      </c>
      <c r="F100" s="10">
        <v>0.110347892346443</v>
      </c>
      <c r="G100" s="9">
        <v>0</v>
      </c>
      <c r="H100" s="9">
        <v>0</v>
      </c>
      <c r="I100" s="10">
        <v>0.112770777646437</v>
      </c>
      <c r="J100" s="9">
        <v>0</v>
      </c>
      <c r="K100" s="10">
        <v>0.113710836351435</v>
      </c>
      <c r="L100" s="10">
        <v>0.103259991890908</v>
      </c>
      <c r="M100" s="10">
        <v>0.11538905640149801</v>
      </c>
      <c r="N100" s="10">
        <v>0.116027636504549</v>
      </c>
      <c r="O100" s="10">
        <v>9.8699999999999996E-2</v>
      </c>
      <c r="P100" s="10">
        <v>0.107686021912307</v>
      </c>
      <c r="Q100" s="10">
        <v>0.14799999999999999</v>
      </c>
    </row>
    <row r="101" spans="2:17" ht="15" customHeight="1" x14ac:dyDescent="0.25">
      <c r="B101" s="55">
        <v>40724</v>
      </c>
      <c r="C101" s="9">
        <v>0</v>
      </c>
      <c r="D101" s="9">
        <v>0</v>
      </c>
      <c r="E101" s="9">
        <v>0</v>
      </c>
      <c r="F101" s="10">
        <v>0.11155431672850601</v>
      </c>
      <c r="G101" s="9">
        <v>0</v>
      </c>
      <c r="H101" s="9">
        <v>0</v>
      </c>
      <c r="I101" s="10">
        <v>0.113271479651002</v>
      </c>
      <c r="J101" s="9">
        <v>0</v>
      </c>
      <c r="K101" s="10">
        <v>0.116253564151116</v>
      </c>
      <c r="L101" s="10">
        <v>0.102664828168596</v>
      </c>
      <c r="M101" s="10">
        <v>0.116630217431186</v>
      </c>
      <c r="N101" s="10">
        <v>0.11784112684126299</v>
      </c>
      <c r="O101" s="10">
        <v>0.101695489879721</v>
      </c>
      <c r="P101" s="10">
        <v>0.111700556164347</v>
      </c>
      <c r="Q101" s="10">
        <v>0.14860000000000001</v>
      </c>
    </row>
    <row r="102" spans="2:17" ht="15" customHeight="1" x14ac:dyDescent="0.25">
      <c r="B102" s="55">
        <v>40755</v>
      </c>
      <c r="C102" s="9">
        <v>0</v>
      </c>
      <c r="D102" s="9">
        <v>0</v>
      </c>
      <c r="E102" s="9">
        <v>0</v>
      </c>
      <c r="F102" s="10">
        <v>0.11329754236421199</v>
      </c>
      <c r="G102" s="9">
        <v>0</v>
      </c>
      <c r="H102" s="9">
        <v>0</v>
      </c>
      <c r="I102" s="10">
        <v>0.11514963424576501</v>
      </c>
      <c r="J102" s="9">
        <v>0</v>
      </c>
      <c r="K102" s="10">
        <v>0.11701087727371801</v>
      </c>
      <c r="L102" s="10">
        <v>0.10517517124584599</v>
      </c>
      <c r="M102" s="10">
        <v>0.11798387589868201</v>
      </c>
      <c r="N102" s="10">
        <v>0.11902936384188099</v>
      </c>
      <c r="O102" s="10">
        <v>0.104258129683444</v>
      </c>
      <c r="P102" s="10">
        <v>0.112644394007639</v>
      </c>
      <c r="Q102" s="10">
        <v>0.15479999999999999</v>
      </c>
    </row>
    <row r="103" spans="2:17" ht="15" customHeight="1" x14ac:dyDescent="0.25">
      <c r="B103" s="55">
        <v>40786</v>
      </c>
      <c r="C103" s="9">
        <v>0</v>
      </c>
      <c r="D103" s="9">
        <v>0</v>
      </c>
      <c r="E103" s="9">
        <v>0</v>
      </c>
      <c r="F103" s="10">
        <v>0.1162</v>
      </c>
      <c r="G103" s="9">
        <v>0</v>
      </c>
      <c r="H103" s="9">
        <v>0</v>
      </c>
      <c r="I103" s="10">
        <v>0.1173</v>
      </c>
      <c r="J103" s="9">
        <v>0</v>
      </c>
      <c r="K103" s="10">
        <v>0.1197</v>
      </c>
      <c r="L103" s="10">
        <v>0.1081</v>
      </c>
      <c r="M103" s="10">
        <v>0.1203</v>
      </c>
      <c r="N103" s="10">
        <v>0.1236</v>
      </c>
      <c r="O103" s="10">
        <v>0.10829999999999999</v>
      </c>
      <c r="P103" s="10">
        <v>0.115</v>
      </c>
      <c r="Q103" s="10">
        <v>0.15890000000000001</v>
      </c>
    </row>
    <row r="104" spans="2:17" ht="15" customHeight="1" x14ac:dyDescent="0.25">
      <c r="B104" s="55">
        <v>40816</v>
      </c>
      <c r="C104" s="9">
        <v>0</v>
      </c>
      <c r="D104" s="9">
        <v>0</v>
      </c>
      <c r="E104" s="9">
        <v>0</v>
      </c>
      <c r="F104" s="10">
        <v>0.11865660808803299</v>
      </c>
      <c r="G104" s="9">
        <v>0</v>
      </c>
      <c r="H104" s="9">
        <v>0</v>
      </c>
      <c r="I104" s="10">
        <v>0.11979695050523601</v>
      </c>
      <c r="J104" s="9">
        <v>0</v>
      </c>
      <c r="K104" s="10">
        <v>0.122730975381681</v>
      </c>
      <c r="L104" s="10">
        <v>0.106058739928952</v>
      </c>
      <c r="M104" s="10">
        <v>0.12158934091251</v>
      </c>
      <c r="N104" s="10">
        <v>0.118297318534198</v>
      </c>
      <c r="O104" s="10">
        <v>0.111638058417379</v>
      </c>
      <c r="P104" s="10">
        <v>0.110644832784397</v>
      </c>
      <c r="Q104" s="10">
        <v>0.15970000000000001</v>
      </c>
    </row>
    <row r="105" spans="2:17" ht="15" customHeight="1" x14ac:dyDescent="0.25">
      <c r="B105" s="55">
        <v>40847</v>
      </c>
      <c r="C105" s="9">
        <v>0</v>
      </c>
      <c r="D105" s="9">
        <v>0</v>
      </c>
      <c r="E105" s="9">
        <v>0</v>
      </c>
      <c r="F105" s="10">
        <v>0.122</v>
      </c>
      <c r="G105" s="9">
        <v>0</v>
      </c>
      <c r="H105" s="9">
        <v>0</v>
      </c>
      <c r="I105" s="10">
        <v>0.12268700256798699</v>
      </c>
      <c r="J105" s="9">
        <v>0</v>
      </c>
      <c r="K105" s="10">
        <v>0.12640000000000001</v>
      </c>
      <c r="L105" s="10">
        <v>0.1077</v>
      </c>
      <c r="M105" s="10">
        <v>0.1246</v>
      </c>
      <c r="N105" s="10">
        <v>0.1211</v>
      </c>
      <c r="O105" s="10">
        <v>0.11559999999999999</v>
      </c>
      <c r="P105" s="10">
        <v>0.1132</v>
      </c>
      <c r="Q105" s="10">
        <v>0.1605</v>
      </c>
    </row>
    <row r="106" spans="2:17" ht="15" customHeight="1" x14ac:dyDescent="0.25">
      <c r="B106" s="55">
        <v>40877</v>
      </c>
      <c r="C106" s="9">
        <v>0</v>
      </c>
      <c r="D106" s="9">
        <v>0</v>
      </c>
      <c r="E106" s="9">
        <v>0</v>
      </c>
      <c r="F106" s="10">
        <v>0.12286810844104</v>
      </c>
      <c r="G106" s="9">
        <v>0</v>
      </c>
      <c r="H106" s="9">
        <v>0</v>
      </c>
      <c r="I106" s="10">
        <v>0.12210674395071899</v>
      </c>
      <c r="J106" s="9">
        <v>0</v>
      </c>
      <c r="K106" s="10">
        <v>0.12728159655485199</v>
      </c>
      <c r="L106" s="10">
        <v>0.109665219757868</v>
      </c>
      <c r="M106" s="10">
        <v>0.12548805492186199</v>
      </c>
      <c r="N106" s="10">
        <v>0.12228945404107699</v>
      </c>
      <c r="O106" s="10">
        <v>0.119816814179461</v>
      </c>
      <c r="P106" s="10">
        <v>0.11469352830611999</v>
      </c>
      <c r="Q106" s="10">
        <v>0.16300000000000001</v>
      </c>
    </row>
    <row r="107" spans="2:17" ht="15" customHeight="1" x14ac:dyDescent="0.25">
      <c r="B107" s="55">
        <v>40908</v>
      </c>
      <c r="C107" s="9">
        <v>0</v>
      </c>
      <c r="D107" s="9">
        <v>0</v>
      </c>
      <c r="E107" s="9">
        <v>0</v>
      </c>
      <c r="F107" s="10">
        <v>0.122540735467036</v>
      </c>
      <c r="G107" s="9">
        <v>0</v>
      </c>
      <c r="H107" s="9">
        <v>0</v>
      </c>
      <c r="I107" s="10">
        <v>0.12344683797825901</v>
      </c>
      <c r="J107" s="9">
        <v>0</v>
      </c>
      <c r="K107" s="10">
        <v>0.12873793303294301</v>
      </c>
      <c r="L107" s="10">
        <v>0.11209120977294899</v>
      </c>
      <c r="M107" s="10">
        <v>0.12740635463580699</v>
      </c>
      <c r="N107" s="10">
        <v>0.119326840006951</v>
      </c>
      <c r="O107" s="10">
        <v>0.119408649508737</v>
      </c>
      <c r="P107" s="10">
        <v>0.11522254187566799</v>
      </c>
      <c r="Q107" s="10">
        <v>0.16450000000000001</v>
      </c>
    </row>
    <row r="108" spans="2:17" ht="15" customHeight="1" x14ac:dyDescent="0.25">
      <c r="B108" s="55">
        <v>40939</v>
      </c>
      <c r="C108" s="9">
        <v>0</v>
      </c>
      <c r="D108" s="9">
        <v>0</v>
      </c>
      <c r="E108" s="9">
        <v>0</v>
      </c>
      <c r="F108" s="10">
        <v>0.12485565307688</v>
      </c>
      <c r="G108" s="9">
        <v>0</v>
      </c>
      <c r="H108" s="9">
        <v>0</v>
      </c>
      <c r="I108" s="10">
        <v>0.125685952292825</v>
      </c>
      <c r="J108" s="9">
        <v>0</v>
      </c>
      <c r="K108" s="10">
        <v>0.130406558204051</v>
      </c>
      <c r="L108" s="10">
        <v>0.114769352424125</v>
      </c>
      <c r="M108" s="10">
        <v>0.128742076210284</v>
      </c>
      <c r="N108" s="10">
        <v>0.121884512552632</v>
      </c>
      <c r="O108" s="10">
        <v>0.10733258350246901</v>
      </c>
      <c r="P108" s="10">
        <v>0.11452074610612301</v>
      </c>
      <c r="Q108" s="10">
        <v>0.16639999999999999</v>
      </c>
    </row>
    <row r="109" spans="2:17" ht="15" customHeight="1" x14ac:dyDescent="0.25">
      <c r="B109" s="55">
        <v>40968</v>
      </c>
      <c r="C109" s="9">
        <v>0</v>
      </c>
      <c r="D109" s="9">
        <v>0</v>
      </c>
      <c r="E109" s="9">
        <v>0</v>
      </c>
      <c r="F109" s="10">
        <v>0.12662844883152299</v>
      </c>
      <c r="G109" s="9">
        <v>0</v>
      </c>
      <c r="H109" s="9">
        <v>0</v>
      </c>
      <c r="I109" s="10">
        <v>0.12805472866915699</v>
      </c>
      <c r="J109" s="9">
        <v>0</v>
      </c>
      <c r="K109" s="10">
        <v>0.130669728429612</v>
      </c>
      <c r="L109" s="10">
        <v>0.11561907207113301</v>
      </c>
      <c r="M109" s="10">
        <v>0.13113125395486799</v>
      </c>
      <c r="N109" s="10">
        <v>0.124541573759313</v>
      </c>
      <c r="O109" s="10">
        <v>0.12546423510906099</v>
      </c>
      <c r="P109" s="10">
        <v>0.117832000355772</v>
      </c>
      <c r="Q109" s="10">
        <v>0.16830000000000001</v>
      </c>
    </row>
    <row r="110" spans="2:17" ht="15" customHeight="1" x14ac:dyDescent="0.25">
      <c r="B110" s="55">
        <v>40999</v>
      </c>
      <c r="C110" s="9">
        <v>0</v>
      </c>
      <c r="D110" s="9">
        <v>0</v>
      </c>
      <c r="E110" s="9">
        <v>0</v>
      </c>
      <c r="F110" s="10">
        <v>0.12732910730599301</v>
      </c>
      <c r="G110" s="9">
        <v>0</v>
      </c>
      <c r="H110" s="9">
        <v>0</v>
      </c>
      <c r="I110" s="10">
        <v>0.13020028338155501</v>
      </c>
      <c r="J110" s="9">
        <v>0</v>
      </c>
      <c r="K110" s="10">
        <v>0.13224570209079201</v>
      </c>
      <c r="L110" s="10">
        <v>0.11860810067535101</v>
      </c>
      <c r="M110" s="10">
        <v>0.132429187883357</v>
      </c>
      <c r="N110" s="10">
        <v>0.126254064416015</v>
      </c>
      <c r="O110" s="10">
        <v>0.12586056494004599</v>
      </c>
      <c r="P110" s="10">
        <v>0.120121020489119</v>
      </c>
      <c r="Q110" s="10">
        <v>0.17399999999999999</v>
      </c>
    </row>
    <row r="111" spans="2:17" ht="15" customHeight="1" x14ac:dyDescent="0.25">
      <c r="B111" s="55">
        <v>41029</v>
      </c>
      <c r="C111" s="9">
        <v>0</v>
      </c>
      <c r="D111" s="9">
        <v>0</v>
      </c>
      <c r="E111" s="9">
        <v>0</v>
      </c>
      <c r="F111" s="10">
        <v>0.12746977484343799</v>
      </c>
      <c r="G111" s="9">
        <v>0</v>
      </c>
      <c r="H111" s="9">
        <v>0</v>
      </c>
      <c r="I111" s="10">
        <v>0.12848088301681401</v>
      </c>
      <c r="J111" s="9">
        <v>0</v>
      </c>
      <c r="K111" s="10">
        <v>0.132602170680552</v>
      </c>
      <c r="L111" s="10">
        <v>0.119031641188322</v>
      </c>
      <c r="M111" s="10">
        <v>0.12973000604249799</v>
      </c>
      <c r="N111" s="10">
        <v>0.12776179947594099</v>
      </c>
      <c r="O111" s="10">
        <v>0.12581830579845499</v>
      </c>
      <c r="P111" s="10">
        <v>0.119546457270802</v>
      </c>
      <c r="Q111" s="10">
        <v>0.17430000000000001</v>
      </c>
    </row>
    <row r="112" spans="2:17" ht="15" customHeight="1" x14ac:dyDescent="0.25">
      <c r="B112" s="55">
        <v>41060</v>
      </c>
      <c r="C112" s="9">
        <v>0</v>
      </c>
      <c r="D112" s="9">
        <v>0</v>
      </c>
      <c r="E112" s="9">
        <v>0</v>
      </c>
      <c r="F112" s="10">
        <v>0.130292653500137</v>
      </c>
      <c r="G112" s="9">
        <v>0</v>
      </c>
      <c r="H112" s="9">
        <v>0</v>
      </c>
      <c r="I112" s="10">
        <v>0.126926259019291</v>
      </c>
      <c r="J112" s="9">
        <v>0</v>
      </c>
      <c r="K112" s="10">
        <v>0.13276358495785401</v>
      </c>
      <c r="L112" s="10">
        <v>0.123413118559054</v>
      </c>
      <c r="M112" s="10">
        <v>0.133124979303821</v>
      </c>
      <c r="N112" s="10">
        <v>0.127421320016781</v>
      </c>
      <c r="O112" s="10">
        <v>0.13009032725830999</v>
      </c>
      <c r="P112" s="10">
        <v>0.120085055643539</v>
      </c>
      <c r="Q112" s="10">
        <v>0.17560000000000001</v>
      </c>
    </row>
    <row r="113" spans="2:17" ht="15" customHeight="1" x14ac:dyDescent="0.25">
      <c r="B113" s="55">
        <v>41090</v>
      </c>
      <c r="C113" s="9">
        <v>0</v>
      </c>
      <c r="D113" s="9">
        <v>0</v>
      </c>
      <c r="E113" s="9">
        <v>0</v>
      </c>
      <c r="F113" s="10">
        <v>0.13053468001109936</v>
      </c>
      <c r="G113" s="9">
        <v>0</v>
      </c>
      <c r="H113" s="9">
        <v>0</v>
      </c>
      <c r="I113" s="10">
        <v>0.12768452884882001</v>
      </c>
      <c r="J113" s="9">
        <v>0</v>
      </c>
      <c r="K113" s="10">
        <v>0.13400506595730999</v>
      </c>
      <c r="L113" s="10">
        <v>0.12764199185103742</v>
      </c>
      <c r="M113" s="10">
        <v>0.13474698310393007</v>
      </c>
      <c r="N113" s="10">
        <v>0.13154180606709143</v>
      </c>
      <c r="O113" s="10">
        <v>0.13612409199178521</v>
      </c>
      <c r="P113" s="10">
        <v>0.1188301164985659</v>
      </c>
      <c r="Q113" s="10">
        <v>0.1757</v>
      </c>
    </row>
    <row r="114" spans="2:17" ht="15" customHeight="1" x14ac:dyDescent="0.25">
      <c r="B114" s="55">
        <v>41121</v>
      </c>
      <c r="C114" s="9">
        <v>0</v>
      </c>
      <c r="D114" s="9">
        <v>0</v>
      </c>
      <c r="E114" s="9">
        <v>0</v>
      </c>
      <c r="F114" s="10">
        <v>0.13539999999999999</v>
      </c>
      <c r="G114" s="9">
        <v>0</v>
      </c>
      <c r="H114" s="9">
        <v>0</v>
      </c>
      <c r="I114" s="10">
        <v>0.1303</v>
      </c>
      <c r="J114" s="9">
        <v>0</v>
      </c>
      <c r="K114" s="10">
        <v>0.13789999999999999</v>
      </c>
      <c r="L114" s="10">
        <v>0.1338</v>
      </c>
      <c r="M114" s="10">
        <v>0.14099999999999999</v>
      </c>
      <c r="N114" s="10">
        <v>0.1361</v>
      </c>
      <c r="O114" s="10">
        <v>0.13930000000000001</v>
      </c>
      <c r="P114" s="10">
        <v>0.12280000000000001</v>
      </c>
      <c r="Q114" s="10">
        <v>0.17349999999999999</v>
      </c>
    </row>
    <row r="115" spans="2:17" ht="15" customHeight="1" x14ac:dyDescent="0.25">
      <c r="B115" s="55">
        <v>41152</v>
      </c>
      <c r="C115" s="9">
        <v>0</v>
      </c>
      <c r="D115" s="9">
        <v>0</v>
      </c>
      <c r="E115" s="9">
        <v>0</v>
      </c>
      <c r="F115" s="10">
        <v>0.13519999999999999</v>
      </c>
      <c r="G115" s="9">
        <v>0</v>
      </c>
      <c r="H115" s="9">
        <v>0</v>
      </c>
      <c r="I115" s="10">
        <v>0.1295</v>
      </c>
      <c r="J115" s="9">
        <v>0</v>
      </c>
      <c r="K115" s="10">
        <v>0.13730000000000001</v>
      </c>
      <c r="L115" s="10">
        <v>0.1356</v>
      </c>
      <c r="M115" s="10">
        <v>0.1401</v>
      </c>
      <c r="N115" s="10">
        <v>0.13550000000000001</v>
      </c>
      <c r="O115" s="10">
        <v>0.14680000000000001</v>
      </c>
      <c r="P115" s="10">
        <v>0.1225</v>
      </c>
      <c r="Q115" s="10">
        <v>0.1734</v>
      </c>
    </row>
    <row r="116" spans="2:17" ht="15" customHeight="1" x14ac:dyDescent="0.25">
      <c r="B116" s="55">
        <v>41182</v>
      </c>
      <c r="C116" s="9">
        <v>0</v>
      </c>
      <c r="D116" s="9">
        <v>0</v>
      </c>
      <c r="E116" s="9">
        <v>0</v>
      </c>
      <c r="F116" s="10">
        <v>0.13750000000000001</v>
      </c>
      <c r="G116" s="9">
        <v>0</v>
      </c>
      <c r="H116" s="9">
        <v>0</v>
      </c>
      <c r="I116" s="10">
        <v>0.13</v>
      </c>
      <c r="J116" s="9">
        <v>0</v>
      </c>
      <c r="K116" s="10">
        <v>0.13539999999999999</v>
      </c>
      <c r="L116" s="10">
        <v>0.13439999999999999</v>
      </c>
      <c r="M116" s="10">
        <v>0.1404</v>
      </c>
      <c r="N116" s="10">
        <v>0.1353</v>
      </c>
      <c r="O116" s="10">
        <v>0.14760000000000001</v>
      </c>
      <c r="P116" s="10">
        <v>0.12959999999999999</v>
      </c>
      <c r="Q116" s="10">
        <v>0.17299999999999999</v>
      </c>
    </row>
    <row r="117" spans="2:17" ht="15" customHeight="1" x14ac:dyDescent="0.25">
      <c r="B117" s="55">
        <v>41213</v>
      </c>
      <c r="C117" s="9">
        <v>0</v>
      </c>
      <c r="D117" s="9">
        <v>0</v>
      </c>
      <c r="E117" s="9">
        <v>0</v>
      </c>
      <c r="F117" s="10">
        <v>0.14000000000000001</v>
      </c>
      <c r="G117" s="9">
        <v>0</v>
      </c>
      <c r="H117" s="9">
        <v>0</v>
      </c>
      <c r="I117" s="10">
        <v>0.12920000000000001</v>
      </c>
      <c r="J117" s="9">
        <v>0</v>
      </c>
      <c r="K117" s="10">
        <v>0.13500000000000001</v>
      </c>
      <c r="L117" s="10">
        <v>0.14430000000000001</v>
      </c>
      <c r="M117" s="10">
        <v>0.1459</v>
      </c>
      <c r="N117" s="10">
        <v>0.1399</v>
      </c>
      <c r="O117" s="10">
        <v>0.15759999999999999</v>
      </c>
      <c r="P117" s="10">
        <v>0.1333</v>
      </c>
      <c r="Q117" s="10">
        <v>0.17050000000000001</v>
      </c>
    </row>
    <row r="118" spans="2:17" ht="15" customHeight="1" x14ac:dyDescent="0.25">
      <c r="B118" s="55">
        <v>41243</v>
      </c>
      <c r="C118" s="9">
        <v>0</v>
      </c>
      <c r="D118" s="9">
        <v>0</v>
      </c>
      <c r="E118" s="9">
        <v>0</v>
      </c>
      <c r="F118" s="10">
        <v>0.14199999999999999</v>
      </c>
      <c r="G118" s="9">
        <v>0</v>
      </c>
      <c r="H118" s="9">
        <v>0</v>
      </c>
      <c r="I118" s="10">
        <v>0.14199999999999999</v>
      </c>
      <c r="J118" s="9">
        <v>0</v>
      </c>
      <c r="K118" s="10">
        <v>0.14680000000000001</v>
      </c>
      <c r="L118" s="10">
        <v>0.14630000000000001</v>
      </c>
      <c r="M118" s="10">
        <v>0.1502</v>
      </c>
      <c r="N118" s="10">
        <v>0.14929999999999999</v>
      </c>
      <c r="O118" s="10">
        <v>0.15340000000000001</v>
      </c>
      <c r="P118" s="10">
        <v>0.13769999999999999</v>
      </c>
      <c r="Q118" s="10">
        <v>0.17019999999999999</v>
      </c>
    </row>
    <row r="119" spans="2:17" ht="15" customHeight="1" x14ac:dyDescent="0.25">
      <c r="B119" s="55">
        <v>41274</v>
      </c>
      <c r="C119" s="9">
        <v>0</v>
      </c>
      <c r="D119" s="9">
        <v>0</v>
      </c>
      <c r="E119" s="9">
        <v>0</v>
      </c>
      <c r="F119" s="10">
        <v>0.1396</v>
      </c>
      <c r="G119" s="9">
        <v>0</v>
      </c>
      <c r="H119" s="9">
        <v>0</v>
      </c>
      <c r="I119" s="10">
        <v>0.1401</v>
      </c>
      <c r="J119" s="9">
        <v>0</v>
      </c>
      <c r="K119" s="10">
        <v>0.14510000000000001</v>
      </c>
      <c r="L119" s="10">
        <v>0.1431</v>
      </c>
      <c r="M119" s="10">
        <v>0.14860000000000001</v>
      </c>
      <c r="N119" s="10">
        <v>0.14729999999999999</v>
      </c>
      <c r="O119" s="10">
        <v>0.1507</v>
      </c>
      <c r="P119" s="10">
        <v>0.1389</v>
      </c>
      <c r="Q119" s="10">
        <v>0.16969999999999999</v>
      </c>
    </row>
    <row r="120" spans="2:17" ht="15" customHeight="1" x14ac:dyDescent="0.25">
      <c r="B120" s="55">
        <v>41305</v>
      </c>
      <c r="C120" s="9">
        <v>0</v>
      </c>
      <c r="D120" s="9">
        <v>0</v>
      </c>
      <c r="E120" s="9">
        <v>0</v>
      </c>
      <c r="F120" s="10">
        <v>0.1371</v>
      </c>
      <c r="G120" s="9">
        <v>0</v>
      </c>
      <c r="H120" s="9">
        <v>0</v>
      </c>
      <c r="I120" s="10">
        <v>0.1381</v>
      </c>
      <c r="J120" s="9">
        <v>0</v>
      </c>
      <c r="K120" s="10">
        <v>0.14380000000000001</v>
      </c>
      <c r="L120" s="10">
        <v>0.14050000000000001</v>
      </c>
      <c r="M120" s="10">
        <v>0.14749999999999999</v>
      </c>
      <c r="N120" s="10">
        <v>0.14680000000000001</v>
      </c>
      <c r="O120" s="10">
        <v>0.1474</v>
      </c>
      <c r="P120" s="10">
        <v>0.14000000000000001</v>
      </c>
      <c r="Q120" s="10">
        <v>0.16800000000000001</v>
      </c>
    </row>
    <row r="121" spans="2:17" ht="15" customHeight="1" x14ac:dyDescent="0.25">
      <c r="B121" s="55">
        <v>41333</v>
      </c>
      <c r="C121" s="9">
        <v>0</v>
      </c>
      <c r="D121" s="9">
        <v>0</v>
      </c>
      <c r="E121" s="9">
        <v>0</v>
      </c>
      <c r="F121" s="10">
        <v>0.1386</v>
      </c>
      <c r="G121" s="9">
        <v>0</v>
      </c>
      <c r="H121" s="9">
        <v>0</v>
      </c>
      <c r="I121" s="10">
        <v>0.13650000000000001</v>
      </c>
      <c r="J121" s="9">
        <v>0</v>
      </c>
      <c r="K121" s="10">
        <v>0.14910000000000001</v>
      </c>
      <c r="L121" s="10">
        <v>0.1484</v>
      </c>
      <c r="M121" s="10">
        <v>0.14910000000000001</v>
      </c>
      <c r="N121" s="10">
        <v>0.15859999999999999</v>
      </c>
      <c r="O121" s="10">
        <v>0.1578</v>
      </c>
      <c r="P121" s="10">
        <v>0.13900000000000001</v>
      </c>
      <c r="Q121" s="10">
        <v>0.1678</v>
      </c>
    </row>
    <row r="122" spans="2:17" ht="15" customHeight="1" x14ac:dyDescent="0.25">
      <c r="B122" s="55">
        <v>41364</v>
      </c>
      <c r="C122" s="9">
        <v>0</v>
      </c>
      <c r="D122" s="9">
        <v>0</v>
      </c>
      <c r="E122" s="9">
        <v>0</v>
      </c>
      <c r="F122" s="10">
        <v>0.1434</v>
      </c>
      <c r="G122" s="9">
        <v>0</v>
      </c>
      <c r="H122" s="9">
        <v>0</v>
      </c>
      <c r="I122" s="10">
        <v>0.14000000000000001</v>
      </c>
      <c r="J122" s="9">
        <v>0</v>
      </c>
      <c r="K122" s="10">
        <v>0.15060000000000001</v>
      </c>
      <c r="L122" s="10">
        <v>0.14660000000000001</v>
      </c>
      <c r="M122" s="10">
        <v>0.14990000000000001</v>
      </c>
      <c r="N122" s="10">
        <v>0.1598</v>
      </c>
      <c r="O122" s="10">
        <v>0.15590000000000001</v>
      </c>
      <c r="P122" s="10">
        <v>0.1376</v>
      </c>
      <c r="Q122" s="10">
        <v>0.16830000000000001</v>
      </c>
    </row>
    <row r="123" spans="2:17" ht="15" customHeight="1" x14ac:dyDescent="0.25">
      <c r="B123" s="55">
        <v>41394</v>
      </c>
      <c r="C123" s="9">
        <v>0</v>
      </c>
      <c r="D123" s="9">
        <v>0</v>
      </c>
      <c r="E123" s="9">
        <v>0</v>
      </c>
      <c r="F123" s="10">
        <v>0.14649999999999999</v>
      </c>
      <c r="G123" s="9">
        <v>0</v>
      </c>
      <c r="H123" s="9">
        <v>0</v>
      </c>
      <c r="I123" s="10">
        <v>0.1421</v>
      </c>
      <c r="J123" s="9">
        <v>0</v>
      </c>
      <c r="K123" s="10">
        <v>0.1547</v>
      </c>
      <c r="L123" s="10">
        <v>0.151</v>
      </c>
      <c r="M123" s="10">
        <v>0.15290000000000001</v>
      </c>
      <c r="N123" s="10">
        <v>0.1656</v>
      </c>
      <c r="O123" s="10">
        <v>0.1673</v>
      </c>
      <c r="P123" s="10">
        <v>0.13689999999999999</v>
      </c>
      <c r="Q123" s="10">
        <v>0.16689999999999999</v>
      </c>
    </row>
    <row r="124" spans="2:17" ht="15" customHeight="1" x14ac:dyDescent="0.25">
      <c r="B124" s="55">
        <v>41425</v>
      </c>
      <c r="C124" s="9">
        <v>0</v>
      </c>
      <c r="D124" s="9">
        <v>0</v>
      </c>
      <c r="E124" s="9">
        <v>0</v>
      </c>
      <c r="F124" s="10">
        <v>0.14599999999999999</v>
      </c>
      <c r="G124" s="9">
        <v>0</v>
      </c>
      <c r="H124" s="9">
        <v>0</v>
      </c>
      <c r="I124" s="10">
        <v>0.14030000000000001</v>
      </c>
      <c r="J124" s="9">
        <v>0</v>
      </c>
      <c r="K124" s="10">
        <v>0.15479999999999999</v>
      </c>
      <c r="L124" s="10">
        <v>0.15559999999999999</v>
      </c>
      <c r="M124" s="10">
        <v>0.1575</v>
      </c>
      <c r="N124" s="10">
        <v>0.1686</v>
      </c>
      <c r="O124" s="10">
        <v>0.16339999999999999</v>
      </c>
      <c r="P124" s="10">
        <v>0.13950000000000001</v>
      </c>
      <c r="Q124" s="10">
        <v>0.16650000000000001</v>
      </c>
    </row>
    <row r="125" spans="2:17" ht="15" customHeight="1" x14ac:dyDescent="0.25">
      <c r="B125" s="55">
        <v>41455</v>
      </c>
      <c r="C125" s="9">
        <v>0</v>
      </c>
      <c r="D125" s="9">
        <v>0</v>
      </c>
      <c r="E125" s="9">
        <v>0</v>
      </c>
      <c r="F125" s="10">
        <v>0.14990000000000001</v>
      </c>
      <c r="G125" s="9">
        <v>0</v>
      </c>
      <c r="H125" s="9">
        <v>0</v>
      </c>
      <c r="I125" s="10">
        <v>0.1469</v>
      </c>
      <c r="J125" s="9">
        <v>0</v>
      </c>
      <c r="K125" s="10">
        <v>0.15809999999999999</v>
      </c>
      <c r="L125" s="10">
        <v>0.1663</v>
      </c>
      <c r="M125" s="10">
        <v>0.16320000000000001</v>
      </c>
      <c r="N125" s="10">
        <v>0.17349999999999999</v>
      </c>
      <c r="O125" s="10">
        <v>0.1857</v>
      </c>
      <c r="P125" s="10">
        <v>0.15459999999999999</v>
      </c>
      <c r="Q125" s="10">
        <v>0.16539999999999999</v>
      </c>
    </row>
    <row r="126" spans="2:17" ht="15" customHeight="1" x14ac:dyDescent="0.25">
      <c r="B126" s="55">
        <v>41486</v>
      </c>
      <c r="C126" s="9">
        <v>0</v>
      </c>
      <c r="D126" s="9">
        <v>0</v>
      </c>
      <c r="E126" s="9">
        <v>0</v>
      </c>
      <c r="F126" s="10">
        <v>0.15</v>
      </c>
      <c r="G126" s="9">
        <v>0</v>
      </c>
      <c r="H126" s="9">
        <v>0</v>
      </c>
      <c r="I126" s="10">
        <v>0.1542</v>
      </c>
      <c r="J126" s="9">
        <v>0</v>
      </c>
      <c r="K126" s="10">
        <v>0.1573</v>
      </c>
      <c r="L126" s="10">
        <v>0.16120000000000001</v>
      </c>
      <c r="M126" s="10">
        <v>0.15920000000000001</v>
      </c>
      <c r="N126" s="10">
        <v>0.1694</v>
      </c>
      <c r="O126" s="10">
        <v>0.18840000000000001</v>
      </c>
      <c r="P126" s="10">
        <v>0.14899999999999999</v>
      </c>
      <c r="Q126" s="10">
        <v>0.16309999999999999</v>
      </c>
    </row>
    <row r="127" spans="2:17" ht="15" customHeight="1" x14ac:dyDescent="0.25">
      <c r="B127" s="55">
        <v>41517</v>
      </c>
      <c r="C127" s="9">
        <v>0</v>
      </c>
      <c r="D127" s="9">
        <v>0</v>
      </c>
      <c r="E127" s="9">
        <v>0</v>
      </c>
      <c r="F127" s="10">
        <v>0.14560000000000001</v>
      </c>
      <c r="G127" s="9">
        <v>0</v>
      </c>
      <c r="H127" s="9">
        <v>0</v>
      </c>
      <c r="I127" s="10">
        <v>0.15310000000000001</v>
      </c>
      <c r="J127" s="9">
        <v>0</v>
      </c>
      <c r="K127" s="10">
        <v>0.1525</v>
      </c>
      <c r="L127" s="10">
        <v>0.1532</v>
      </c>
      <c r="M127" s="10">
        <v>0.15559999999999999</v>
      </c>
      <c r="N127" s="10">
        <v>0.16389999999999999</v>
      </c>
      <c r="O127" s="10">
        <v>0.17449999999999999</v>
      </c>
      <c r="P127" s="10">
        <v>0.14460000000000001</v>
      </c>
      <c r="Q127" s="10">
        <v>0.16220000000000001</v>
      </c>
    </row>
    <row r="128" spans="2:17" ht="15" customHeight="1" x14ac:dyDescent="0.25">
      <c r="B128" s="55">
        <v>41547</v>
      </c>
      <c r="C128" s="9">
        <v>0</v>
      </c>
      <c r="D128" s="9">
        <v>0</v>
      </c>
      <c r="E128" s="9">
        <v>0</v>
      </c>
      <c r="F128" s="10">
        <v>0.13650000000000001</v>
      </c>
      <c r="G128" s="9">
        <v>0</v>
      </c>
      <c r="H128" s="9">
        <v>0</v>
      </c>
      <c r="I128" s="10">
        <v>0.14460000000000001</v>
      </c>
      <c r="J128" s="9">
        <v>0</v>
      </c>
      <c r="K128" s="10">
        <v>0.14630000000000001</v>
      </c>
      <c r="L128" s="10">
        <v>0.1489</v>
      </c>
      <c r="M128" s="10">
        <v>0.14749999999999999</v>
      </c>
      <c r="N128" s="10">
        <v>0.15529999999999999</v>
      </c>
      <c r="O128" s="10">
        <v>0.16700000000000001</v>
      </c>
      <c r="P128" s="10">
        <v>0.13170000000000001</v>
      </c>
      <c r="Q128" s="10">
        <v>0.16220000000000001</v>
      </c>
    </row>
    <row r="129" spans="2:17" ht="15" customHeight="1" x14ac:dyDescent="0.25">
      <c r="B129" s="55">
        <v>41578</v>
      </c>
      <c r="C129" s="9">
        <v>0</v>
      </c>
      <c r="D129" s="9">
        <v>0</v>
      </c>
      <c r="E129" s="9">
        <v>0</v>
      </c>
      <c r="F129" s="10">
        <v>0.13370000000000001</v>
      </c>
      <c r="G129" s="9">
        <v>0</v>
      </c>
      <c r="H129" s="9">
        <v>0</v>
      </c>
      <c r="I129" s="10">
        <v>0.14080000000000001</v>
      </c>
      <c r="J129" s="9">
        <v>0</v>
      </c>
      <c r="K129" s="10">
        <v>0.14449999999999999</v>
      </c>
      <c r="L129" s="10">
        <v>0.1363</v>
      </c>
      <c r="M129" s="10">
        <v>0.13600000000000001</v>
      </c>
      <c r="N129" s="10">
        <v>0.1497</v>
      </c>
      <c r="O129" s="10">
        <v>0.1487</v>
      </c>
      <c r="P129" s="10">
        <v>0.12520000000000001</v>
      </c>
      <c r="Q129" s="10">
        <v>0.16039999999999999</v>
      </c>
    </row>
    <row r="130" spans="2:17" ht="15" customHeight="1" x14ac:dyDescent="0.25">
      <c r="B130" s="55">
        <v>41608</v>
      </c>
      <c r="C130" s="9">
        <v>0</v>
      </c>
      <c r="D130" s="9">
        <v>0</v>
      </c>
      <c r="E130" s="9">
        <v>0</v>
      </c>
      <c r="F130" s="10">
        <v>0.131409241978997</v>
      </c>
      <c r="G130" s="9">
        <v>0</v>
      </c>
      <c r="H130" s="9">
        <v>0</v>
      </c>
      <c r="I130" s="10">
        <v>0.130009755102243</v>
      </c>
      <c r="J130" s="9">
        <v>0</v>
      </c>
      <c r="K130" s="10">
        <v>0.13670589548377901</v>
      </c>
      <c r="L130" s="10">
        <v>0.131847841854561</v>
      </c>
      <c r="M130" s="10">
        <v>0.13118767447899499</v>
      </c>
      <c r="N130" s="10">
        <v>0.13953542499354399</v>
      </c>
      <c r="O130" s="10">
        <v>0.14970184467237399</v>
      </c>
      <c r="P130" s="10">
        <v>0.120037567884987</v>
      </c>
      <c r="Q130" s="10">
        <v>0.16039999999999999</v>
      </c>
    </row>
    <row r="131" spans="2:17" ht="15" customHeight="1" x14ac:dyDescent="0.25">
      <c r="B131" s="55">
        <v>41639</v>
      </c>
      <c r="C131" s="9">
        <v>0</v>
      </c>
      <c r="D131" s="9">
        <v>0</v>
      </c>
      <c r="E131" s="9">
        <v>0</v>
      </c>
      <c r="F131" s="10">
        <v>0.13061278685682001</v>
      </c>
      <c r="G131" s="9">
        <v>0</v>
      </c>
      <c r="H131" s="9">
        <v>0</v>
      </c>
      <c r="I131" s="10">
        <v>0.13223267408391601</v>
      </c>
      <c r="J131" s="9">
        <v>0</v>
      </c>
      <c r="K131" s="10">
        <v>0.13743631485575</v>
      </c>
      <c r="L131" s="10">
        <v>0.124582211153085</v>
      </c>
      <c r="M131" s="10">
        <v>0.13089095697080899</v>
      </c>
      <c r="N131" s="10">
        <v>0.13409589985965101</v>
      </c>
      <c r="O131" s="10">
        <v>0.12536896056589</v>
      </c>
      <c r="P131" s="10">
        <v>0.118915353810103</v>
      </c>
      <c r="Q131" s="10">
        <v>0.16059999999999999</v>
      </c>
    </row>
    <row r="132" spans="2:17" ht="15" customHeight="1" x14ac:dyDescent="0.25">
      <c r="B132" s="55">
        <v>41670</v>
      </c>
      <c r="C132" s="9">
        <v>0</v>
      </c>
      <c r="D132" s="9">
        <v>0</v>
      </c>
      <c r="E132" s="9">
        <v>0</v>
      </c>
      <c r="F132" s="10">
        <v>0.13131762071075201</v>
      </c>
      <c r="G132" s="9">
        <v>0</v>
      </c>
      <c r="H132" s="9">
        <v>0</v>
      </c>
      <c r="I132" s="10">
        <v>0.130829904476018</v>
      </c>
      <c r="J132" s="9">
        <v>0</v>
      </c>
      <c r="K132" s="10">
        <v>0.13751157521568499</v>
      </c>
      <c r="L132" s="10">
        <v>0.12231339601456299</v>
      </c>
      <c r="M132" s="10">
        <v>0.13393624384438299</v>
      </c>
      <c r="N132" s="10">
        <v>0.13641841624033901</v>
      </c>
      <c r="O132" s="10">
        <v>0.129524723083216</v>
      </c>
      <c r="P132" s="10">
        <v>0.11956288821833699</v>
      </c>
      <c r="Q132" s="10">
        <v>0.15989999999999999</v>
      </c>
    </row>
    <row r="133" spans="2:17" ht="15" customHeight="1" x14ac:dyDescent="0.25">
      <c r="B133" s="55">
        <v>41698</v>
      </c>
      <c r="C133" s="9">
        <v>0</v>
      </c>
      <c r="D133" s="9">
        <v>0</v>
      </c>
      <c r="E133" s="9">
        <v>0</v>
      </c>
      <c r="F133" s="10">
        <v>0.12976578809425199</v>
      </c>
      <c r="G133" s="9">
        <v>0</v>
      </c>
      <c r="H133" s="9">
        <v>0</v>
      </c>
      <c r="I133" s="10">
        <v>0.13070923573884399</v>
      </c>
      <c r="J133" s="9">
        <v>0</v>
      </c>
      <c r="K133" s="10">
        <v>0.13167698807789799</v>
      </c>
      <c r="L133" s="10">
        <v>0.115145519418627</v>
      </c>
      <c r="M133" s="10">
        <v>0.131687423086255</v>
      </c>
      <c r="N133" s="10">
        <v>0.125621734316476</v>
      </c>
      <c r="O133" s="10">
        <v>0.119312843408396</v>
      </c>
      <c r="P133" s="10">
        <v>0.116583413463293</v>
      </c>
      <c r="Q133" s="10">
        <v>0.1593</v>
      </c>
    </row>
    <row r="134" spans="2:17" ht="15" customHeight="1" x14ac:dyDescent="0.25">
      <c r="B134" s="55">
        <v>41729</v>
      </c>
      <c r="C134" s="9">
        <v>0</v>
      </c>
      <c r="D134" s="9">
        <v>0</v>
      </c>
      <c r="E134" s="9">
        <v>0</v>
      </c>
      <c r="F134" s="10">
        <v>0.123459720600363</v>
      </c>
      <c r="G134" s="9">
        <v>0</v>
      </c>
      <c r="H134" s="9">
        <v>0</v>
      </c>
      <c r="I134" s="10">
        <v>0.12605359980063799</v>
      </c>
      <c r="J134" s="9">
        <v>0</v>
      </c>
      <c r="K134" s="10">
        <v>0.12825231659080599</v>
      </c>
      <c r="L134" s="10">
        <v>0.11437660916447399</v>
      </c>
      <c r="M134" s="10">
        <v>0.128436457296843</v>
      </c>
      <c r="N134" s="10">
        <v>0.125957763068205</v>
      </c>
      <c r="O134" s="10">
        <v>0.12063195702320199</v>
      </c>
      <c r="P134" s="10">
        <v>0.11813853526899901</v>
      </c>
      <c r="Q134" s="10">
        <v>0.15909999999999999</v>
      </c>
    </row>
    <row r="135" spans="2:17" ht="15" customHeight="1" x14ac:dyDescent="0.25">
      <c r="B135" s="55">
        <v>41759</v>
      </c>
      <c r="C135" s="9">
        <v>0</v>
      </c>
      <c r="D135" s="9">
        <v>0</v>
      </c>
      <c r="E135" s="9">
        <v>0</v>
      </c>
      <c r="F135" s="10">
        <v>0.11903643651529899</v>
      </c>
      <c r="G135" s="9">
        <v>0</v>
      </c>
      <c r="H135" s="9">
        <v>0</v>
      </c>
      <c r="I135" s="10">
        <v>0.123320319335329</v>
      </c>
      <c r="J135" s="9">
        <v>0</v>
      </c>
      <c r="K135" s="10">
        <v>0.123488088136366</v>
      </c>
      <c r="L135" s="10">
        <v>0.110083809997743</v>
      </c>
      <c r="M135" s="10">
        <v>0.12358205105556599</v>
      </c>
      <c r="N135" s="10">
        <v>0.120485333963482</v>
      </c>
      <c r="O135" s="10">
        <v>0.11031371373745499</v>
      </c>
      <c r="P135" s="10">
        <v>0.117943764107763</v>
      </c>
      <c r="Q135" s="10">
        <v>0.15840000000000001</v>
      </c>
    </row>
    <row r="136" spans="2:17" ht="15" customHeight="1" x14ac:dyDescent="0.25">
      <c r="B136" s="55">
        <v>41790</v>
      </c>
      <c r="C136" s="9">
        <v>0</v>
      </c>
      <c r="D136" s="9">
        <v>0</v>
      </c>
      <c r="E136" s="9">
        <v>0</v>
      </c>
      <c r="F136" s="10">
        <v>0.115654795817347</v>
      </c>
      <c r="G136" s="9">
        <v>0</v>
      </c>
      <c r="H136" s="9">
        <v>0</v>
      </c>
      <c r="I136" s="10">
        <v>0.121626288239376</v>
      </c>
      <c r="J136" s="9">
        <v>0</v>
      </c>
      <c r="K136" s="10">
        <v>0.11999068365701</v>
      </c>
      <c r="L136" s="10">
        <v>0.101297334072943</v>
      </c>
      <c r="M136" s="10">
        <v>0.11385527102139199</v>
      </c>
      <c r="N136" s="10">
        <v>0.114701429647929</v>
      </c>
      <c r="O136" s="10">
        <v>0.108752178331449</v>
      </c>
      <c r="P136" s="10">
        <v>0.113624160481046</v>
      </c>
      <c r="Q136" s="10">
        <v>0.1583</v>
      </c>
    </row>
    <row r="137" spans="2:17" ht="15" customHeight="1" x14ac:dyDescent="0.25">
      <c r="B137" s="55">
        <v>41820</v>
      </c>
      <c r="C137" s="9">
        <v>0</v>
      </c>
      <c r="D137" s="9">
        <v>0</v>
      </c>
      <c r="E137" s="9">
        <v>0</v>
      </c>
      <c r="F137" s="10">
        <v>0.113353713927855</v>
      </c>
      <c r="G137" s="9">
        <v>0</v>
      </c>
      <c r="H137" s="9">
        <v>0</v>
      </c>
      <c r="I137" s="10">
        <v>0.120550642658612</v>
      </c>
      <c r="J137" s="9">
        <v>0</v>
      </c>
      <c r="K137" s="10">
        <v>0.119219601772034</v>
      </c>
      <c r="L137" s="10">
        <v>9.1346393168508302E-2</v>
      </c>
      <c r="M137" s="10">
        <v>0.113429362058569</v>
      </c>
      <c r="N137" s="10">
        <v>0.113986809147802</v>
      </c>
      <c r="O137" s="10">
        <v>8.7806462821542502E-2</v>
      </c>
      <c r="P137" s="10">
        <v>0.101993862887197</v>
      </c>
      <c r="Q137" s="10">
        <v>0.15790000000000001</v>
      </c>
    </row>
    <row r="138" spans="2:17" ht="15" customHeight="1" x14ac:dyDescent="0.25">
      <c r="B138" s="55">
        <v>41851</v>
      </c>
      <c r="C138" s="9">
        <v>0</v>
      </c>
      <c r="D138" s="9">
        <v>0</v>
      </c>
      <c r="E138" s="9">
        <v>0</v>
      </c>
      <c r="F138" s="10">
        <v>0.11088711734734</v>
      </c>
      <c r="G138" s="9">
        <v>0</v>
      </c>
      <c r="H138" s="9">
        <v>0</v>
      </c>
      <c r="I138" s="10">
        <v>0.11668449019793101</v>
      </c>
      <c r="J138" s="9">
        <v>0</v>
      </c>
      <c r="K138" s="10">
        <v>0.121955287333463</v>
      </c>
      <c r="L138" s="10">
        <v>0.111694004919839</v>
      </c>
      <c r="M138" s="10">
        <v>0.120030894347774</v>
      </c>
      <c r="N138" s="10">
        <v>0.121891263112881</v>
      </c>
      <c r="O138" s="10">
        <v>9.4555182669333201E-2</v>
      </c>
      <c r="P138" s="10">
        <v>0.107793407924484</v>
      </c>
      <c r="Q138" s="10">
        <v>0.156</v>
      </c>
    </row>
    <row r="139" spans="2:17" ht="15" customHeight="1" x14ac:dyDescent="0.25">
      <c r="B139" s="55">
        <v>41882</v>
      </c>
      <c r="C139" s="9">
        <v>0</v>
      </c>
      <c r="D139" s="9">
        <v>0</v>
      </c>
      <c r="E139" s="9">
        <v>0</v>
      </c>
      <c r="F139" s="10">
        <v>0.111721335607658</v>
      </c>
      <c r="G139" s="9">
        <v>0</v>
      </c>
      <c r="H139" s="9">
        <v>0</v>
      </c>
      <c r="I139" s="10">
        <v>0.11616373425897999</v>
      </c>
      <c r="J139" s="9">
        <v>0</v>
      </c>
      <c r="K139" s="10">
        <v>0.123841440768118</v>
      </c>
      <c r="L139" s="10">
        <v>0.11454728302945601</v>
      </c>
      <c r="M139" s="10">
        <v>0.12075604902121399</v>
      </c>
      <c r="N139" s="10">
        <v>0.12457285809610601</v>
      </c>
      <c r="O139" s="10">
        <v>0.103869409727464</v>
      </c>
      <c r="P139" s="10">
        <v>0.110645345265262</v>
      </c>
      <c r="Q139" s="10">
        <v>0.15490000000000001</v>
      </c>
    </row>
    <row r="140" spans="2:17" ht="15" customHeight="1" x14ac:dyDescent="0.25">
      <c r="B140" s="55">
        <v>41912</v>
      </c>
      <c r="C140" s="9">
        <v>0</v>
      </c>
      <c r="D140" s="9">
        <v>0</v>
      </c>
      <c r="E140" s="9">
        <v>0</v>
      </c>
      <c r="F140" s="10">
        <v>0.116028580967624</v>
      </c>
      <c r="G140" s="9">
        <v>0</v>
      </c>
      <c r="H140" s="9">
        <v>0</v>
      </c>
      <c r="I140" s="10">
        <v>0.12279780975876101</v>
      </c>
      <c r="J140" s="9">
        <v>0</v>
      </c>
      <c r="K140" s="10">
        <v>0.128209507223842</v>
      </c>
      <c r="L140" s="10">
        <v>0.118699842019242</v>
      </c>
      <c r="M140" s="10">
        <v>0.12602813633669499</v>
      </c>
      <c r="N140" s="10">
        <v>0.13145538944070401</v>
      </c>
      <c r="O140" s="10">
        <v>0.108364561220302</v>
      </c>
      <c r="P140" s="10">
        <v>0.116858747367485</v>
      </c>
      <c r="Q140" s="10">
        <v>0.15340000000000001</v>
      </c>
    </row>
    <row r="141" spans="2:17" ht="15" customHeight="1" x14ac:dyDescent="0.25">
      <c r="B141" s="55">
        <v>41943</v>
      </c>
      <c r="C141" s="9">
        <v>0</v>
      </c>
      <c r="D141" s="9">
        <v>0</v>
      </c>
      <c r="E141" s="9">
        <v>0</v>
      </c>
      <c r="F141" s="10">
        <v>0.11346658766701501</v>
      </c>
      <c r="G141" s="9">
        <v>0</v>
      </c>
      <c r="H141" s="9">
        <v>0</v>
      </c>
      <c r="I141" s="10">
        <v>0.12468420697881399</v>
      </c>
      <c r="J141" s="9">
        <v>0</v>
      </c>
      <c r="K141" s="10">
        <v>0.12689048072272299</v>
      </c>
      <c r="L141" s="10">
        <v>0.118430602153744</v>
      </c>
      <c r="M141" s="10">
        <v>0.12846468106389999</v>
      </c>
      <c r="N141" s="10">
        <v>0.132125609927635</v>
      </c>
      <c r="O141" s="10">
        <v>0.115072498983445</v>
      </c>
      <c r="P141" s="10">
        <v>0.118073104814487</v>
      </c>
      <c r="Q141" s="10">
        <v>0.15029999999999999</v>
      </c>
    </row>
    <row r="142" spans="2:17" ht="15" customHeight="1" x14ac:dyDescent="0.25">
      <c r="B142" s="55">
        <v>41973</v>
      </c>
      <c r="C142" s="9">
        <v>0</v>
      </c>
      <c r="D142" s="9">
        <v>0</v>
      </c>
      <c r="E142" s="9">
        <v>0</v>
      </c>
      <c r="F142" s="10">
        <v>0.11202722272863599</v>
      </c>
      <c r="G142" s="9">
        <v>0</v>
      </c>
      <c r="H142" s="9">
        <v>0</v>
      </c>
      <c r="I142" s="10">
        <v>0.119958822874494</v>
      </c>
      <c r="J142" s="9">
        <v>0</v>
      </c>
      <c r="K142" s="10">
        <v>0.121503820614731</v>
      </c>
      <c r="L142" s="10">
        <v>0.117180415603871</v>
      </c>
      <c r="M142" s="10">
        <v>0.126272939456401</v>
      </c>
      <c r="N142" s="10">
        <v>0.13209568034811001</v>
      </c>
      <c r="O142" s="10">
        <v>0.113312223447695</v>
      </c>
      <c r="P142" s="10">
        <v>0.116719011402787</v>
      </c>
      <c r="Q142" s="10">
        <v>0.15079999999999999</v>
      </c>
    </row>
    <row r="143" spans="2:17" ht="15" customHeight="1" x14ac:dyDescent="0.25">
      <c r="B143" s="55">
        <v>42004</v>
      </c>
      <c r="C143" s="9">
        <v>0</v>
      </c>
      <c r="D143" s="9">
        <v>0</v>
      </c>
      <c r="E143" s="9">
        <v>0</v>
      </c>
      <c r="F143" s="10">
        <v>0.114045333882312</v>
      </c>
      <c r="G143" s="9">
        <v>0</v>
      </c>
      <c r="H143" s="9">
        <v>0</v>
      </c>
      <c r="I143" s="10">
        <v>0.119113171702925</v>
      </c>
      <c r="J143" s="9">
        <v>0</v>
      </c>
      <c r="K143" s="10">
        <v>0.12177522356846</v>
      </c>
      <c r="L143" s="10">
        <v>0.126126272424473</v>
      </c>
      <c r="M143" s="10">
        <v>0.12761285071759201</v>
      </c>
      <c r="N143" s="10">
        <v>0.14010869131732201</v>
      </c>
      <c r="O143" s="10">
        <v>0.13949037230025399</v>
      </c>
      <c r="P143" s="10">
        <v>0.117228349948878</v>
      </c>
      <c r="Q143" s="10">
        <v>0.1512</v>
      </c>
    </row>
    <row r="144" spans="2:17" ht="15" customHeight="1" x14ac:dyDescent="0.25">
      <c r="B144" s="55">
        <v>42035</v>
      </c>
      <c r="C144" s="9">
        <v>0</v>
      </c>
      <c r="D144" s="9">
        <v>0</v>
      </c>
      <c r="E144" s="9">
        <v>0</v>
      </c>
      <c r="F144" s="10">
        <v>0.1152</v>
      </c>
      <c r="G144" s="9">
        <v>0</v>
      </c>
      <c r="H144" s="9">
        <v>0</v>
      </c>
      <c r="I144" s="10">
        <v>0.1211</v>
      </c>
      <c r="J144" s="9">
        <v>0</v>
      </c>
      <c r="K144" s="10">
        <v>0.1226</v>
      </c>
      <c r="L144" s="10">
        <v>0.1298</v>
      </c>
      <c r="M144" s="10">
        <v>0.12529999999999999</v>
      </c>
      <c r="N144" s="10">
        <v>0.14019999999999999</v>
      </c>
      <c r="O144" s="10">
        <v>0.13739999999999999</v>
      </c>
      <c r="P144" s="10">
        <v>0.11700000000000001</v>
      </c>
      <c r="Q144" s="10">
        <v>0.1489</v>
      </c>
    </row>
    <row r="145" spans="2:17" ht="15" customHeight="1" x14ac:dyDescent="0.25">
      <c r="B145" s="55">
        <v>42063</v>
      </c>
      <c r="C145" s="9">
        <v>0</v>
      </c>
      <c r="D145" s="9">
        <v>0</v>
      </c>
      <c r="E145" s="9">
        <v>0</v>
      </c>
      <c r="F145" s="10">
        <v>0.113063997439824</v>
      </c>
      <c r="G145" s="9">
        <v>0</v>
      </c>
      <c r="H145" s="9">
        <v>0</v>
      </c>
      <c r="I145" s="10">
        <v>0.12102680727868</v>
      </c>
      <c r="J145" s="9">
        <v>0</v>
      </c>
      <c r="K145" s="10">
        <v>0.121732111019656</v>
      </c>
      <c r="L145" s="10">
        <v>0.1290524120979</v>
      </c>
      <c r="M145" s="10">
        <v>0.124834031690259</v>
      </c>
      <c r="N145" s="10">
        <v>0.13961821277276798</v>
      </c>
      <c r="O145" s="10">
        <v>0.13524093215993502</v>
      </c>
      <c r="P145" s="10">
        <v>0.11860623459829502</v>
      </c>
      <c r="Q145" s="10">
        <v>0.1484</v>
      </c>
    </row>
    <row r="146" spans="2:17" ht="15" customHeight="1" x14ac:dyDescent="0.25">
      <c r="B146" s="55">
        <v>42094</v>
      </c>
      <c r="C146" s="9">
        <v>0</v>
      </c>
      <c r="D146" s="9">
        <v>0</v>
      </c>
      <c r="E146" s="9">
        <v>0</v>
      </c>
      <c r="F146" s="10">
        <v>0.11564032865155199</v>
      </c>
      <c r="G146" s="9">
        <v>0</v>
      </c>
      <c r="H146" s="9">
        <v>0</v>
      </c>
      <c r="I146" s="10">
        <v>0.12308469791901901</v>
      </c>
      <c r="J146" s="9">
        <v>0</v>
      </c>
      <c r="K146" s="10">
        <v>0.12588200601004801</v>
      </c>
      <c r="L146" s="10">
        <v>0.134628386284982</v>
      </c>
      <c r="M146" s="10">
        <v>0.12790055429828301</v>
      </c>
      <c r="N146" s="10">
        <v>0.144403041588576</v>
      </c>
      <c r="O146" s="10">
        <v>0.144631325176929</v>
      </c>
      <c r="P146" s="10">
        <v>0.12108190232650599</v>
      </c>
      <c r="Q146" s="10">
        <v>0.14710000000000001</v>
      </c>
    </row>
    <row r="147" spans="2:17" ht="15" customHeight="1" x14ac:dyDescent="0.25">
      <c r="B147" s="55">
        <v>42124</v>
      </c>
      <c r="C147" s="9">
        <v>0</v>
      </c>
      <c r="D147" s="9">
        <v>0</v>
      </c>
      <c r="E147" s="9">
        <v>0</v>
      </c>
      <c r="F147" s="10">
        <v>0.11610795074847099</v>
      </c>
      <c r="G147" s="9">
        <v>0</v>
      </c>
      <c r="H147" s="9">
        <v>0</v>
      </c>
      <c r="I147" s="10">
        <v>0.12355833890934199</v>
      </c>
      <c r="J147" s="9">
        <v>0</v>
      </c>
      <c r="K147" s="10">
        <v>0.12719449775959599</v>
      </c>
      <c r="L147" s="10">
        <v>0.13435696201247699</v>
      </c>
      <c r="M147" s="10">
        <v>0.12781501416984101</v>
      </c>
      <c r="N147" s="10">
        <v>0.14413367423924101</v>
      </c>
      <c r="O147" s="10">
        <v>0.142752898469623</v>
      </c>
      <c r="P147" s="10">
        <v>0.122582038782571</v>
      </c>
      <c r="Q147" s="10">
        <v>0.1464</v>
      </c>
    </row>
    <row r="148" spans="2:17" ht="15" customHeight="1" x14ac:dyDescent="0.25">
      <c r="B148" s="55">
        <v>42155</v>
      </c>
      <c r="C148" s="9">
        <v>0</v>
      </c>
      <c r="D148" s="9">
        <v>0</v>
      </c>
      <c r="E148" s="9">
        <v>0</v>
      </c>
      <c r="F148" s="10">
        <v>0.119712365787897</v>
      </c>
      <c r="G148" s="9">
        <v>0</v>
      </c>
      <c r="H148" s="9">
        <v>0</v>
      </c>
      <c r="I148" s="10">
        <v>0.12531129477799</v>
      </c>
      <c r="J148" s="9">
        <v>0</v>
      </c>
      <c r="K148" s="10">
        <v>0.13016399054621</v>
      </c>
      <c r="L148" s="10">
        <v>0.13576393967577899</v>
      </c>
      <c r="M148" s="10">
        <v>0.129544939176711</v>
      </c>
      <c r="N148" s="10">
        <v>0.14799144710378501</v>
      </c>
      <c r="O148" s="10">
        <v>0.143666581177646</v>
      </c>
      <c r="P148" s="10">
        <v>0.12541590540133599</v>
      </c>
      <c r="Q148" s="10">
        <v>0.14610000000000001</v>
      </c>
    </row>
    <row r="149" spans="2:17" ht="15" customHeight="1" x14ac:dyDescent="0.25">
      <c r="B149" s="55">
        <v>42185</v>
      </c>
      <c r="C149" s="9">
        <v>0</v>
      </c>
      <c r="D149" s="9">
        <v>0</v>
      </c>
      <c r="E149" s="9">
        <v>0</v>
      </c>
      <c r="F149" s="10">
        <v>0.11642578728127401</v>
      </c>
      <c r="G149" s="9">
        <v>0</v>
      </c>
      <c r="H149" s="9">
        <v>0</v>
      </c>
      <c r="I149" s="10">
        <v>0.118528511165906</v>
      </c>
      <c r="J149" s="9">
        <v>0</v>
      </c>
      <c r="K149" s="10">
        <v>0.12366469293422</v>
      </c>
      <c r="L149" s="10">
        <v>0.130641057154363</v>
      </c>
      <c r="M149" s="10">
        <v>0.12269348812700299</v>
      </c>
      <c r="N149" s="10">
        <v>0.136391742400996</v>
      </c>
      <c r="O149" s="10">
        <v>0.13594329458350801</v>
      </c>
      <c r="P149" s="10">
        <v>0.12085901171084899</v>
      </c>
      <c r="Q149" s="10">
        <v>0.14599999999999999</v>
      </c>
    </row>
    <row r="150" spans="2:17" ht="15" customHeight="1" x14ac:dyDescent="0.25">
      <c r="B150" s="55">
        <v>42216</v>
      </c>
      <c r="C150" s="9">
        <v>0</v>
      </c>
      <c r="D150" s="9">
        <v>0</v>
      </c>
      <c r="E150" s="9">
        <v>0</v>
      </c>
      <c r="F150" s="10">
        <v>0.11214609235700999</v>
      </c>
      <c r="G150" s="9">
        <v>0</v>
      </c>
      <c r="H150" s="9">
        <v>0</v>
      </c>
      <c r="I150" s="10">
        <v>0.11064238165527199</v>
      </c>
      <c r="J150" s="9">
        <v>0</v>
      </c>
      <c r="K150" s="10">
        <v>0.11640228785433901</v>
      </c>
      <c r="L150" s="10">
        <v>0.10830428155347199</v>
      </c>
      <c r="M150" s="10">
        <v>0.11177576473337002</v>
      </c>
      <c r="N150" s="10">
        <v>0.12820000000000001</v>
      </c>
      <c r="O150" s="10">
        <v>0.12230000000000001</v>
      </c>
      <c r="P150" s="10">
        <v>0.1169</v>
      </c>
      <c r="Q150" s="10">
        <v>0.14199999999999999</v>
      </c>
    </row>
    <row r="151" spans="2:17" ht="15" customHeight="1" x14ac:dyDescent="0.25">
      <c r="B151" s="55">
        <v>42247</v>
      </c>
      <c r="C151" s="9">
        <v>0</v>
      </c>
      <c r="D151" s="9">
        <v>0</v>
      </c>
      <c r="E151" s="9">
        <v>0</v>
      </c>
      <c r="F151" s="10">
        <v>0.11312854242782701</v>
      </c>
      <c r="G151" s="9">
        <v>0</v>
      </c>
      <c r="H151" s="9">
        <v>0</v>
      </c>
      <c r="I151" s="10">
        <v>0.1109</v>
      </c>
      <c r="J151" s="9">
        <v>0</v>
      </c>
      <c r="K151" s="10">
        <v>0.1158483502968</v>
      </c>
      <c r="L151" s="10">
        <v>0.10861388471003799</v>
      </c>
      <c r="M151" s="10">
        <v>0.111661874845272</v>
      </c>
      <c r="N151" s="10">
        <v>0.1273</v>
      </c>
      <c r="O151" s="10">
        <v>0.1167</v>
      </c>
      <c r="P151" s="10">
        <v>0.1172</v>
      </c>
      <c r="Q151" s="10">
        <v>0.1419</v>
      </c>
    </row>
    <row r="152" spans="2:17" ht="15" customHeight="1" x14ac:dyDescent="0.25">
      <c r="B152" s="55">
        <v>42277</v>
      </c>
      <c r="C152" s="9">
        <v>0</v>
      </c>
      <c r="D152" s="9">
        <v>0</v>
      </c>
      <c r="E152" s="9">
        <v>0</v>
      </c>
      <c r="F152" s="10">
        <v>0.1123</v>
      </c>
      <c r="G152" s="9">
        <v>0</v>
      </c>
      <c r="H152" s="9">
        <v>0</v>
      </c>
      <c r="I152" s="10">
        <v>0.1095</v>
      </c>
      <c r="J152" s="9">
        <v>0</v>
      </c>
      <c r="K152" s="10">
        <v>0.1157</v>
      </c>
      <c r="L152" s="10">
        <v>0.1071</v>
      </c>
      <c r="M152" s="10">
        <v>0.1119</v>
      </c>
      <c r="N152" s="10">
        <v>0.12809999999999999</v>
      </c>
      <c r="O152" s="10">
        <v>0.1158</v>
      </c>
      <c r="P152" s="10">
        <v>0.1157</v>
      </c>
      <c r="Q152" s="10">
        <v>0.1411</v>
      </c>
    </row>
    <row r="153" spans="2:17" ht="15" customHeight="1" x14ac:dyDescent="0.25">
      <c r="B153" s="55">
        <v>42308</v>
      </c>
      <c r="C153" s="9">
        <v>0</v>
      </c>
      <c r="D153" s="9">
        <v>0</v>
      </c>
      <c r="E153" s="9">
        <v>0</v>
      </c>
      <c r="F153" s="10">
        <v>0.11134687756290941</v>
      </c>
      <c r="G153" s="9">
        <v>0</v>
      </c>
      <c r="H153" s="9">
        <v>0</v>
      </c>
      <c r="I153" s="10">
        <v>0.10764320229071433</v>
      </c>
      <c r="J153" s="9">
        <v>0</v>
      </c>
      <c r="K153" s="10">
        <v>0.11419013055341608</v>
      </c>
      <c r="L153" s="10">
        <v>0.1072307954473537</v>
      </c>
      <c r="M153" s="10">
        <v>0.1107234124227341</v>
      </c>
      <c r="N153" s="10">
        <v>0.12482221547185655</v>
      </c>
      <c r="O153" s="10">
        <v>0.11442020950787857</v>
      </c>
      <c r="P153" s="10">
        <v>0.11500564966872684</v>
      </c>
      <c r="Q153" s="10">
        <v>0.14050000000000001</v>
      </c>
    </row>
    <row r="154" spans="2:17" ht="15" customHeight="1" x14ac:dyDescent="0.25">
      <c r="B154" s="55">
        <v>42338</v>
      </c>
      <c r="C154" s="9">
        <v>0</v>
      </c>
      <c r="D154" s="9">
        <v>0</v>
      </c>
      <c r="E154" s="9">
        <v>0</v>
      </c>
      <c r="F154" s="10">
        <v>0.10959365487921356</v>
      </c>
      <c r="G154" s="9">
        <v>0</v>
      </c>
      <c r="H154" s="9">
        <v>0</v>
      </c>
      <c r="I154" s="10">
        <v>0.10795245039971313</v>
      </c>
      <c r="J154" s="9">
        <v>0</v>
      </c>
      <c r="K154" s="10">
        <v>0.10974677750341065</v>
      </c>
      <c r="L154" s="10">
        <v>0.10803101140094619</v>
      </c>
      <c r="M154" s="10">
        <v>0.10986237323471348</v>
      </c>
      <c r="N154" s="10">
        <v>0.11738015756462448</v>
      </c>
      <c r="O154" s="10">
        <v>0.1152912035901168</v>
      </c>
      <c r="P154" s="10">
        <v>0.11169074167861304</v>
      </c>
      <c r="Q154" s="10">
        <v>0.14050000000000001</v>
      </c>
    </row>
    <row r="155" spans="2:17" ht="15" customHeight="1" x14ac:dyDescent="0.25">
      <c r="B155" s="55">
        <v>42369</v>
      </c>
      <c r="C155" s="9">
        <v>0</v>
      </c>
      <c r="D155" s="9">
        <v>0</v>
      </c>
      <c r="E155" s="9">
        <v>0</v>
      </c>
      <c r="F155" s="10">
        <v>0.1079259033200457</v>
      </c>
      <c r="G155" s="9">
        <v>0</v>
      </c>
      <c r="H155" s="9">
        <v>0</v>
      </c>
      <c r="I155" s="10">
        <v>0.10572728115856433</v>
      </c>
      <c r="J155" s="9">
        <v>0</v>
      </c>
      <c r="K155" s="10">
        <v>0.10781241594134695</v>
      </c>
      <c r="L155" s="10">
        <v>0.10491769612482461</v>
      </c>
      <c r="M155" s="10">
        <v>0.10744763328509865</v>
      </c>
      <c r="N155" s="10">
        <v>0.11650146697812858</v>
      </c>
      <c r="O155" s="10">
        <v>0.11383815309283785</v>
      </c>
      <c r="P155" s="10">
        <v>0.1099162589451337</v>
      </c>
      <c r="Q155" s="10">
        <v>0.1404</v>
      </c>
    </row>
    <row r="156" spans="2:17" ht="15" customHeight="1" x14ac:dyDescent="0.25">
      <c r="B156" s="55">
        <v>42400</v>
      </c>
      <c r="C156" s="9">
        <v>0</v>
      </c>
      <c r="D156" s="9">
        <v>0</v>
      </c>
      <c r="E156" s="9">
        <v>0</v>
      </c>
      <c r="F156" s="10">
        <v>0.10450572008752079</v>
      </c>
      <c r="G156" s="9">
        <v>0</v>
      </c>
      <c r="H156" s="9">
        <v>0</v>
      </c>
      <c r="I156" s="10">
        <v>0.10348689366922879</v>
      </c>
      <c r="J156" s="9">
        <v>0</v>
      </c>
      <c r="K156" s="10">
        <v>0.10435890352533207</v>
      </c>
      <c r="L156" s="10">
        <v>0.10212643890496054</v>
      </c>
      <c r="M156" s="10">
        <v>0.10427917954291722</v>
      </c>
      <c r="N156" s="10">
        <v>0.11089361147277055</v>
      </c>
      <c r="O156" s="10">
        <v>0.11094839198907502</v>
      </c>
      <c r="P156" s="10">
        <v>0.10818234864578713</v>
      </c>
      <c r="Q156" s="10">
        <v>0.1381</v>
      </c>
    </row>
    <row r="157" spans="2:17" ht="15" customHeight="1" x14ac:dyDescent="0.25">
      <c r="B157" s="55">
        <v>42429</v>
      </c>
      <c r="C157" s="9">
        <v>0</v>
      </c>
      <c r="D157" s="9">
        <v>0</v>
      </c>
      <c r="E157" s="9">
        <v>0</v>
      </c>
      <c r="F157" s="10">
        <v>0.10464511427066858</v>
      </c>
      <c r="G157" s="9">
        <v>0</v>
      </c>
      <c r="H157" s="9">
        <v>0</v>
      </c>
      <c r="I157" s="10">
        <v>0.10293921605620016</v>
      </c>
      <c r="J157" s="9">
        <v>0</v>
      </c>
      <c r="K157" s="10">
        <v>0.10339074809801317</v>
      </c>
      <c r="L157" s="10">
        <v>0.10255574488614716</v>
      </c>
      <c r="M157" s="10">
        <v>0.10207441817367592</v>
      </c>
      <c r="N157" s="10">
        <v>0.1092731785533485</v>
      </c>
      <c r="O157" s="10">
        <v>0.11124872601386461</v>
      </c>
      <c r="P157" s="10">
        <v>0.1072748001075885</v>
      </c>
      <c r="Q157" s="10">
        <v>0.14019999999999999</v>
      </c>
    </row>
    <row r="158" spans="2:17" ht="15" customHeight="1" x14ac:dyDescent="0.25">
      <c r="B158" s="55">
        <v>42460</v>
      </c>
      <c r="C158" s="9">
        <v>0</v>
      </c>
      <c r="D158" s="9">
        <v>0</v>
      </c>
      <c r="E158" s="9">
        <v>0</v>
      </c>
      <c r="F158" s="10">
        <v>0.10127668273080669</v>
      </c>
      <c r="G158" s="9">
        <v>0</v>
      </c>
      <c r="H158" s="9">
        <v>0</v>
      </c>
      <c r="I158" s="10">
        <v>0.10055473258226577</v>
      </c>
      <c r="J158" s="9">
        <v>0</v>
      </c>
      <c r="K158" s="10">
        <v>9.9782097410074488E-2</v>
      </c>
      <c r="L158" s="10">
        <v>9.8282601398336875E-2</v>
      </c>
      <c r="M158" s="10">
        <v>9.8967088697204067E-2</v>
      </c>
      <c r="N158" s="10">
        <v>0.10291650506876039</v>
      </c>
      <c r="O158" s="10">
        <v>0.10185352618332576</v>
      </c>
      <c r="P158" s="10">
        <v>0.10497480102436431</v>
      </c>
      <c r="Q158" s="10">
        <v>0.14410000000000001</v>
      </c>
    </row>
    <row r="159" spans="2:17" ht="15" customHeight="1" x14ac:dyDescent="0.25">
      <c r="B159" s="55">
        <v>42490</v>
      </c>
      <c r="C159" s="9">
        <v>0</v>
      </c>
      <c r="D159" s="9">
        <v>0</v>
      </c>
      <c r="E159" s="9">
        <v>0</v>
      </c>
      <c r="F159" s="10">
        <v>0.10082801621656579</v>
      </c>
      <c r="G159" s="9">
        <v>0</v>
      </c>
      <c r="H159" s="9">
        <v>0</v>
      </c>
      <c r="I159" s="10">
        <v>9.9338608212919954E-2</v>
      </c>
      <c r="J159" s="9">
        <v>0</v>
      </c>
      <c r="K159" s="10">
        <v>9.7968136240845785E-2</v>
      </c>
      <c r="L159" s="10">
        <v>9.722375962451156E-2</v>
      </c>
      <c r="M159" s="10">
        <v>9.9102262140242883E-2</v>
      </c>
      <c r="N159" s="10">
        <v>0.10350005749153655</v>
      </c>
      <c r="O159" s="10">
        <v>0.10289600586232694</v>
      </c>
      <c r="P159" s="10">
        <v>0.10436409920357793</v>
      </c>
      <c r="Q159" s="10">
        <v>0.13780000000000001</v>
      </c>
    </row>
    <row r="160" spans="2:17" ht="15" customHeight="1" x14ac:dyDescent="0.25">
      <c r="B160" s="55">
        <v>42521</v>
      </c>
      <c r="C160" s="9">
        <v>0</v>
      </c>
      <c r="D160" s="9">
        <v>0</v>
      </c>
      <c r="E160" s="9">
        <v>0</v>
      </c>
      <c r="F160" s="10">
        <v>9.7232104027136668E-2</v>
      </c>
      <c r="G160" s="9">
        <v>0</v>
      </c>
      <c r="H160" s="9">
        <v>0</v>
      </c>
      <c r="I160" s="10">
        <v>9.7712817650676076E-2</v>
      </c>
      <c r="J160" s="9">
        <v>0</v>
      </c>
      <c r="K160" s="10">
        <v>9.5018585532603783E-2</v>
      </c>
      <c r="L160" s="10">
        <v>9.5868653094074899E-2</v>
      </c>
      <c r="M160" s="10">
        <v>9.7104919490528907E-2</v>
      </c>
      <c r="N160" s="10">
        <v>9.9973892696336511E-2</v>
      </c>
      <c r="O160" s="10">
        <v>0.10169383230851746</v>
      </c>
      <c r="P160" s="10">
        <v>0.10225061795959078</v>
      </c>
      <c r="Q160" s="10">
        <v>0.13739999999999999</v>
      </c>
    </row>
    <row r="161" spans="2:17" ht="15" customHeight="1" x14ac:dyDescent="0.25">
      <c r="B161" s="55">
        <v>42551</v>
      </c>
      <c r="C161" s="9">
        <v>0</v>
      </c>
      <c r="D161" s="9">
        <v>0</v>
      </c>
      <c r="E161" s="9">
        <v>0</v>
      </c>
      <c r="F161" s="10">
        <v>9.4100000000000003E-2</v>
      </c>
      <c r="G161" s="9">
        <v>0</v>
      </c>
      <c r="H161" s="9">
        <v>0</v>
      </c>
      <c r="I161" s="10">
        <v>9.5699999999999993E-2</v>
      </c>
      <c r="J161" s="9">
        <v>0</v>
      </c>
      <c r="K161" s="10">
        <v>9.3399999999999997E-2</v>
      </c>
      <c r="L161" s="10">
        <v>9.4899999999999998E-2</v>
      </c>
      <c r="M161" s="10">
        <v>9.4799999999999995E-2</v>
      </c>
      <c r="N161" s="10">
        <v>0.1003</v>
      </c>
      <c r="O161" s="10">
        <v>0.1012</v>
      </c>
      <c r="P161" s="10">
        <v>0.1003</v>
      </c>
      <c r="Q161" s="10">
        <v>0.13689999999999999</v>
      </c>
    </row>
    <row r="162" spans="2:17" ht="15" customHeight="1" x14ac:dyDescent="0.25">
      <c r="B162" s="55">
        <v>42582</v>
      </c>
      <c r="C162" s="9">
        <v>0</v>
      </c>
      <c r="D162" s="9">
        <v>0</v>
      </c>
      <c r="E162" s="9">
        <v>0</v>
      </c>
      <c r="F162" s="10">
        <v>9.4019960507904621E-2</v>
      </c>
      <c r="G162" s="9">
        <v>0</v>
      </c>
      <c r="H162" s="9">
        <v>0</v>
      </c>
      <c r="I162" s="10">
        <v>9.5225690147398456E-2</v>
      </c>
      <c r="J162" s="9">
        <v>0</v>
      </c>
      <c r="K162" s="10">
        <v>9.228622869914993E-2</v>
      </c>
      <c r="L162" s="10">
        <v>9.4209480952000213E-2</v>
      </c>
      <c r="M162" s="10">
        <v>9.5181647602831779E-2</v>
      </c>
      <c r="N162" s="10">
        <v>9.8667247160332719E-2</v>
      </c>
      <c r="O162" s="10">
        <v>0.10010690479008666</v>
      </c>
      <c r="P162" s="10">
        <v>9.8869062199362437E-2</v>
      </c>
      <c r="Q162" s="10">
        <v>0.13500000000000001</v>
      </c>
    </row>
    <row r="163" spans="2:17" ht="15" customHeight="1" x14ac:dyDescent="0.25">
      <c r="B163" s="55">
        <v>42613</v>
      </c>
      <c r="C163" s="10">
        <v>0.1057</v>
      </c>
      <c r="D163" s="9">
        <v>0</v>
      </c>
      <c r="E163" s="9">
        <v>0</v>
      </c>
      <c r="F163" s="10">
        <v>9.3512063839856552E-2</v>
      </c>
      <c r="G163" s="9">
        <v>0</v>
      </c>
      <c r="H163" s="9">
        <v>0</v>
      </c>
      <c r="I163" s="10">
        <v>9.4994958262080154E-2</v>
      </c>
      <c r="J163" s="9">
        <v>0</v>
      </c>
      <c r="K163" s="10">
        <v>9.2146869235888426E-2</v>
      </c>
      <c r="L163" s="10">
        <v>9.3917280051609264E-2</v>
      </c>
      <c r="M163" s="10">
        <v>9.4632316894862623E-2</v>
      </c>
      <c r="N163" s="10">
        <v>9.8062568123736593E-2</v>
      </c>
      <c r="O163" s="10">
        <v>9.9298835258512241E-2</v>
      </c>
      <c r="P163" s="10">
        <v>9.8225686930453873E-2</v>
      </c>
      <c r="Q163" s="10">
        <v>0.1343</v>
      </c>
    </row>
    <row r="164" spans="2:17" ht="15" customHeight="1" x14ac:dyDescent="0.25">
      <c r="B164" s="55">
        <v>42643</v>
      </c>
      <c r="C164" s="10">
        <v>0.10830000000000001</v>
      </c>
      <c r="D164" s="9">
        <v>0</v>
      </c>
      <c r="E164" s="9">
        <v>0</v>
      </c>
      <c r="F164" s="10">
        <v>9.3751149585225443E-2</v>
      </c>
      <c r="G164" s="9">
        <v>0</v>
      </c>
      <c r="H164" s="9">
        <v>0</v>
      </c>
      <c r="I164" s="10">
        <v>9.5425426486990941E-2</v>
      </c>
      <c r="J164" s="9">
        <v>0</v>
      </c>
      <c r="K164" s="10">
        <v>9.2128586813901236E-2</v>
      </c>
      <c r="L164" s="10">
        <v>9.4044431034461903E-2</v>
      </c>
      <c r="M164" s="10">
        <v>9.4363738419944485E-2</v>
      </c>
      <c r="N164" s="10">
        <v>9.714428341870418E-2</v>
      </c>
      <c r="O164" s="10">
        <v>9.9434512160952546E-2</v>
      </c>
      <c r="P164" s="10">
        <v>9.7011266228712825E-2</v>
      </c>
      <c r="Q164" s="10">
        <v>0.1343</v>
      </c>
    </row>
    <row r="165" spans="2:17" ht="15" customHeight="1" x14ac:dyDescent="0.25">
      <c r="B165" s="55">
        <v>42674</v>
      </c>
      <c r="C165" s="10">
        <v>0.10880000000000001</v>
      </c>
      <c r="D165" s="9">
        <v>0</v>
      </c>
      <c r="E165" s="9">
        <v>0</v>
      </c>
      <c r="F165" s="10">
        <v>9.4489012147233917E-2</v>
      </c>
      <c r="G165" s="9">
        <v>0</v>
      </c>
      <c r="H165" s="9">
        <v>0</v>
      </c>
      <c r="I165" s="10">
        <v>9.674470008141034E-2</v>
      </c>
      <c r="J165" s="9">
        <v>0</v>
      </c>
      <c r="K165" s="10">
        <v>9.2044974405239829E-2</v>
      </c>
      <c r="L165" s="10">
        <v>9.3871798773313753E-2</v>
      </c>
      <c r="M165" s="10">
        <v>9.5473317047463535E-2</v>
      </c>
      <c r="N165" s="10">
        <v>9.810192165386411E-2</v>
      </c>
      <c r="O165" s="10">
        <v>9.9729255806522796E-2</v>
      </c>
      <c r="P165" s="10">
        <v>9.6578466750237832E-2</v>
      </c>
      <c r="Q165" s="10">
        <v>0.1341</v>
      </c>
    </row>
    <row r="166" spans="2:17" ht="15" customHeight="1" x14ac:dyDescent="0.25">
      <c r="B166" s="55">
        <v>42704</v>
      </c>
      <c r="C166" s="10">
        <v>0.10635862971300609</v>
      </c>
      <c r="D166" s="9">
        <v>0</v>
      </c>
      <c r="E166" s="9">
        <v>0</v>
      </c>
      <c r="F166" s="10">
        <v>9.7175213441445418E-2</v>
      </c>
      <c r="G166" s="9">
        <v>0</v>
      </c>
      <c r="H166" s="9">
        <v>0</v>
      </c>
      <c r="I166" s="10">
        <v>9.7635475990128354E-2</v>
      </c>
      <c r="J166" s="9">
        <v>0</v>
      </c>
      <c r="K166" s="10">
        <v>9.6640399476005209E-2</v>
      </c>
      <c r="L166" s="10">
        <v>9.4747504526224061E-2</v>
      </c>
      <c r="M166" s="10">
        <v>9.7370542387905878E-2</v>
      </c>
      <c r="N166" s="10">
        <v>0.10720684806084545</v>
      </c>
      <c r="O166" s="10">
        <v>0.10109806088494032</v>
      </c>
      <c r="P166" s="10">
        <v>0.10301755098753528</v>
      </c>
      <c r="Q166" s="10">
        <v>0.13390000000000002</v>
      </c>
    </row>
    <row r="167" spans="2:17" ht="15" customHeight="1" x14ac:dyDescent="0.25">
      <c r="B167" s="55">
        <v>42735</v>
      </c>
      <c r="C167" s="10">
        <v>0.10357245091807457</v>
      </c>
      <c r="D167" s="9">
        <v>0</v>
      </c>
      <c r="E167" s="9">
        <v>0</v>
      </c>
      <c r="F167" s="10">
        <v>9.788408593772413E-2</v>
      </c>
      <c r="G167" s="9">
        <v>0</v>
      </c>
      <c r="H167" s="9">
        <v>0</v>
      </c>
      <c r="I167" s="10">
        <v>9.8823164443647471E-2</v>
      </c>
      <c r="J167" s="9">
        <v>0</v>
      </c>
      <c r="K167" s="10">
        <v>9.7346433921597253E-2</v>
      </c>
      <c r="L167" s="10">
        <v>9.8613441745206032E-2</v>
      </c>
      <c r="M167" s="10">
        <v>9.864298105380008E-2</v>
      </c>
      <c r="N167" s="10">
        <v>0.10672625813364632</v>
      </c>
      <c r="O167" s="10">
        <v>0.10377784020954328</v>
      </c>
      <c r="P167" s="10">
        <v>0.10432323636153606</v>
      </c>
      <c r="Q167" s="10">
        <v>0.13300000000000001</v>
      </c>
    </row>
    <row r="168" spans="2:17" ht="15" customHeight="1" x14ac:dyDescent="0.25">
      <c r="B168" s="55">
        <v>42766</v>
      </c>
      <c r="C168" s="10">
        <v>0.10580000000000001</v>
      </c>
      <c r="D168" s="9">
        <v>0</v>
      </c>
      <c r="E168" s="9">
        <v>0</v>
      </c>
      <c r="F168" s="10">
        <v>9.9540900685018752E-2</v>
      </c>
      <c r="G168" s="9">
        <v>0</v>
      </c>
      <c r="H168" s="9">
        <v>0</v>
      </c>
      <c r="I168" s="10">
        <v>9.9689985224730382E-2</v>
      </c>
      <c r="J168" s="9">
        <v>0</v>
      </c>
      <c r="K168" s="10">
        <v>9.8639517974600674E-2</v>
      </c>
      <c r="L168" s="10">
        <v>9.949627987005695E-2</v>
      </c>
      <c r="M168" s="10">
        <v>0.1001854279908545</v>
      </c>
      <c r="N168" s="10">
        <v>0.10832979368542638</v>
      </c>
      <c r="O168" s="10">
        <v>0.10537215957673386</v>
      </c>
      <c r="P168" s="10">
        <v>0.10530376400863828</v>
      </c>
      <c r="Q168" s="10">
        <v>0.13289999999999999</v>
      </c>
    </row>
    <row r="169" spans="2:17" ht="15" customHeight="1" x14ac:dyDescent="0.25">
      <c r="B169" s="55">
        <v>42794</v>
      </c>
      <c r="C169" s="10">
        <v>0.10630000000000001</v>
      </c>
      <c r="D169" s="9">
        <v>0</v>
      </c>
      <c r="E169" s="9">
        <v>0</v>
      </c>
      <c r="F169" s="10">
        <v>9.8443360730779292E-2</v>
      </c>
      <c r="G169" s="9">
        <v>0</v>
      </c>
      <c r="H169" s="9">
        <v>0</v>
      </c>
      <c r="I169" s="10">
        <v>9.8044637491002687E-2</v>
      </c>
      <c r="J169" s="9">
        <v>0</v>
      </c>
      <c r="K169" s="10">
        <v>9.7686859333791856E-2</v>
      </c>
      <c r="L169" s="10">
        <v>9.8292810230046643E-2</v>
      </c>
      <c r="M169" s="10">
        <v>9.8957390449195159E-2</v>
      </c>
      <c r="N169" s="10">
        <v>0.10722045047691164</v>
      </c>
      <c r="O169" s="10">
        <v>0.10501425009270203</v>
      </c>
      <c r="P169" s="10">
        <v>0.10449205700291753</v>
      </c>
      <c r="Q169" s="10">
        <v>0.13250000000000001</v>
      </c>
    </row>
    <row r="170" spans="2:17" ht="15" customHeight="1" x14ac:dyDescent="0.25">
      <c r="B170" s="55">
        <v>42825</v>
      </c>
      <c r="C170" s="10">
        <v>0.10640000000000001</v>
      </c>
      <c r="D170" s="9">
        <v>0</v>
      </c>
      <c r="E170" s="9">
        <v>0</v>
      </c>
      <c r="F170" s="10">
        <v>9.804313004511013E-2</v>
      </c>
      <c r="G170" s="9">
        <v>0</v>
      </c>
      <c r="H170" s="9">
        <v>0</v>
      </c>
      <c r="I170" s="10">
        <v>9.7424823697123575E-2</v>
      </c>
      <c r="J170" s="9">
        <v>0</v>
      </c>
      <c r="K170" s="10">
        <v>9.6451402631752003E-2</v>
      </c>
      <c r="L170" s="10">
        <v>9.6724848342701217E-2</v>
      </c>
      <c r="M170" s="10">
        <v>9.8437098084841246E-2</v>
      </c>
      <c r="N170" s="10">
        <v>0.10600805818380653</v>
      </c>
      <c r="O170" s="10">
        <v>0.10534140664404322</v>
      </c>
      <c r="P170" s="10">
        <v>0.10306656160048799</v>
      </c>
      <c r="Q170" s="10">
        <v>0.13220000000000001</v>
      </c>
    </row>
    <row r="171" spans="2:17" ht="15" customHeight="1" x14ac:dyDescent="0.25">
      <c r="B171" s="55">
        <v>42855</v>
      </c>
      <c r="C171" s="10">
        <v>0.10589999999999999</v>
      </c>
      <c r="D171" s="9">
        <v>0</v>
      </c>
      <c r="E171" s="9">
        <v>0</v>
      </c>
      <c r="F171" s="10">
        <v>9.6815853859545373E-2</v>
      </c>
      <c r="G171" s="9">
        <v>0</v>
      </c>
      <c r="H171" s="9">
        <v>0</v>
      </c>
      <c r="I171" s="10">
        <v>9.6325701549149864E-2</v>
      </c>
      <c r="J171" s="9">
        <v>0</v>
      </c>
      <c r="K171" s="10">
        <v>9.5138361124162282E-2</v>
      </c>
      <c r="L171" s="10">
        <v>9.6626512350878033E-2</v>
      </c>
      <c r="M171" s="10">
        <v>9.6089804573312509E-2</v>
      </c>
      <c r="N171" s="10">
        <v>0.10309786909281925</v>
      </c>
      <c r="O171" s="10">
        <v>0.1048368666364774</v>
      </c>
      <c r="P171" s="10">
        <v>0.1010414847308516</v>
      </c>
      <c r="Q171" s="10">
        <v>0.13159999999999999</v>
      </c>
    </row>
    <row r="172" spans="2:17" ht="15" customHeight="1" x14ac:dyDescent="0.25">
      <c r="B172" s="55">
        <v>42886</v>
      </c>
      <c r="C172" s="10">
        <v>0.10529999999999999</v>
      </c>
      <c r="D172" s="9">
        <v>0</v>
      </c>
      <c r="E172" s="9">
        <v>0</v>
      </c>
      <c r="F172" s="10">
        <v>9.6978612331287697E-2</v>
      </c>
      <c r="G172" s="9">
        <v>0</v>
      </c>
      <c r="H172" s="9">
        <v>0</v>
      </c>
      <c r="I172" s="10">
        <v>9.6434679911019394E-2</v>
      </c>
      <c r="J172" s="9">
        <v>0</v>
      </c>
      <c r="K172" s="10">
        <v>9.5102117172250158E-2</v>
      </c>
      <c r="L172" s="10">
        <v>9.6631852644314176E-2</v>
      </c>
      <c r="M172" s="10">
        <v>9.6799108032910475E-2</v>
      </c>
      <c r="N172" s="10">
        <v>0.10320538143381007</v>
      </c>
      <c r="O172" s="10">
        <v>0.10582760944843717</v>
      </c>
      <c r="P172" s="10">
        <v>0.1004182125155182</v>
      </c>
      <c r="Q172" s="10">
        <v>0.13100000000000001</v>
      </c>
    </row>
    <row r="173" spans="2:17" ht="15" customHeight="1" x14ac:dyDescent="0.25">
      <c r="B173" s="55">
        <v>42916</v>
      </c>
      <c r="C173" s="10">
        <v>0.10529999999999999</v>
      </c>
      <c r="D173" s="9">
        <v>0</v>
      </c>
      <c r="E173" s="9">
        <v>0</v>
      </c>
      <c r="F173" s="10">
        <v>9.654362146413685E-2</v>
      </c>
      <c r="G173" s="9">
        <v>0</v>
      </c>
      <c r="H173" s="9">
        <v>0</v>
      </c>
      <c r="I173" s="10">
        <v>9.5730220985531536E-2</v>
      </c>
      <c r="J173" s="9">
        <v>0</v>
      </c>
      <c r="K173" s="10">
        <v>9.4489032550870919E-2</v>
      </c>
      <c r="L173" s="10">
        <v>9.6341465376744484E-2</v>
      </c>
      <c r="M173" s="10">
        <v>9.5690358903546949E-2</v>
      </c>
      <c r="N173" s="10">
        <v>0.10247421164435222</v>
      </c>
      <c r="O173" s="10">
        <v>0.10613650439854849</v>
      </c>
      <c r="P173" s="10">
        <v>9.9619150774286958E-2</v>
      </c>
      <c r="Q173" s="10">
        <v>0.13109999999999999</v>
      </c>
    </row>
    <row r="174" spans="2:17" ht="15" customHeight="1" x14ac:dyDescent="0.25">
      <c r="B174" s="55">
        <v>42947</v>
      </c>
      <c r="C174" s="10">
        <v>0.1048</v>
      </c>
      <c r="D174" s="9">
        <v>0</v>
      </c>
      <c r="E174" s="9">
        <v>0</v>
      </c>
      <c r="F174" s="10">
        <v>9.6698114199876173E-2</v>
      </c>
      <c r="G174" s="9">
        <v>0</v>
      </c>
      <c r="H174" s="9">
        <v>0</v>
      </c>
      <c r="I174" s="10">
        <v>9.5790560540065073E-2</v>
      </c>
      <c r="J174" s="9">
        <v>0</v>
      </c>
      <c r="K174" s="10">
        <v>9.4875485421080263E-2</v>
      </c>
      <c r="L174" s="10">
        <v>9.7731173278209571E-2</v>
      </c>
      <c r="M174" s="10">
        <v>9.5359738406740183E-2</v>
      </c>
      <c r="N174" s="10">
        <v>0.10222315336494381</v>
      </c>
      <c r="O174" s="10">
        <v>0.10763075926388212</v>
      </c>
      <c r="P174" s="10">
        <v>0.10018030651961161</v>
      </c>
      <c r="Q174" s="10">
        <v>0.12960000000000002</v>
      </c>
    </row>
    <row r="175" spans="2:17" ht="15" customHeight="1" x14ac:dyDescent="0.25">
      <c r="B175" s="55">
        <v>42978</v>
      </c>
      <c r="C175" s="10">
        <v>0.1033</v>
      </c>
      <c r="D175" s="9">
        <v>0</v>
      </c>
      <c r="E175" s="9">
        <v>0</v>
      </c>
      <c r="F175" s="10">
        <v>9.8738452723677206E-2</v>
      </c>
      <c r="G175" s="9">
        <v>0</v>
      </c>
      <c r="H175" s="9">
        <v>0</v>
      </c>
      <c r="I175" s="10">
        <v>9.8583353009134012E-2</v>
      </c>
      <c r="J175" s="9">
        <v>0</v>
      </c>
      <c r="K175" s="10">
        <v>9.7660115108836543E-2</v>
      </c>
      <c r="L175" s="10">
        <v>9.988210278715591E-2</v>
      </c>
      <c r="M175" s="10">
        <v>9.999166374616042E-2</v>
      </c>
      <c r="N175" s="10">
        <v>0.10655056970274736</v>
      </c>
      <c r="O175" s="10">
        <v>0.10925593333973982</v>
      </c>
      <c r="P175" s="10">
        <v>0.10372477576290917</v>
      </c>
      <c r="Q175" s="10">
        <v>0.1283</v>
      </c>
    </row>
    <row r="176" spans="2:17" ht="15" customHeight="1" x14ac:dyDescent="0.25">
      <c r="B176" s="55">
        <v>43008</v>
      </c>
      <c r="C176" s="10">
        <v>0.10369999999999999</v>
      </c>
      <c r="D176" s="9">
        <v>0</v>
      </c>
      <c r="E176" s="9">
        <v>0</v>
      </c>
      <c r="F176" s="10">
        <v>9.8061751767208202E-2</v>
      </c>
      <c r="G176" s="9">
        <v>0</v>
      </c>
      <c r="H176" s="9">
        <v>0</v>
      </c>
      <c r="I176" s="10">
        <v>9.7177883985140698E-2</v>
      </c>
      <c r="J176" s="9">
        <v>0</v>
      </c>
      <c r="K176" s="10">
        <v>9.6662191669059747E-2</v>
      </c>
      <c r="L176" s="10">
        <v>9.8837126994189214E-2</v>
      </c>
      <c r="M176" s="10">
        <v>9.900308643685897E-2</v>
      </c>
      <c r="N176" s="10">
        <v>0.10595934295923426</v>
      </c>
      <c r="O176" s="10">
        <v>0.10896220901694642</v>
      </c>
      <c r="P176" s="10">
        <v>0.10383151826285907</v>
      </c>
      <c r="Q176" s="10">
        <v>0.12789999999999999</v>
      </c>
    </row>
    <row r="177" spans="2:18" ht="15" customHeight="1" x14ac:dyDescent="0.25">
      <c r="B177" s="55">
        <v>43039</v>
      </c>
      <c r="C177" s="10">
        <v>0.1169</v>
      </c>
      <c r="D177" s="9">
        <v>0</v>
      </c>
      <c r="E177" s="9">
        <v>0</v>
      </c>
      <c r="F177" s="10">
        <v>0.1012</v>
      </c>
      <c r="G177" s="10">
        <v>9.9900000000000003E-2</v>
      </c>
      <c r="H177" s="9">
        <v>0</v>
      </c>
      <c r="I177" s="10">
        <v>0.10059999999999999</v>
      </c>
      <c r="J177" s="9">
        <v>0</v>
      </c>
      <c r="K177" s="10">
        <v>0.1012</v>
      </c>
      <c r="L177" s="10">
        <v>0.1028</v>
      </c>
      <c r="M177" s="10">
        <v>0.10349999999999999</v>
      </c>
      <c r="N177" s="10">
        <v>0.1111</v>
      </c>
      <c r="O177" s="10">
        <v>0.11210000000000001</v>
      </c>
      <c r="P177" s="10">
        <v>0.10979999999999999</v>
      </c>
      <c r="Q177" s="10">
        <v>0.1263</v>
      </c>
    </row>
    <row r="178" spans="2:18" ht="15" customHeight="1" x14ac:dyDescent="0.25">
      <c r="B178" s="55">
        <v>43069</v>
      </c>
      <c r="C178" s="10">
        <v>0.1162</v>
      </c>
      <c r="D178" s="9">
        <v>0</v>
      </c>
      <c r="E178" s="9">
        <v>0</v>
      </c>
      <c r="F178" s="10">
        <v>0.10150000000000001</v>
      </c>
      <c r="G178" s="10">
        <v>9.4E-2</v>
      </c>
      <c r="H178" s="9">
        <v>0</v>
      </c>
      <c r="I178" s="10">
        <v>0.1023</v>
      </c>
      <c r="J178" s="9">
        <v>0</v>
      </c>
      <c r="K178" s="10">
        <v>0.1032</v>
      </c>
      <c r="L178" s="10">
        <v>0.109</v>
      </c>
      <c r="M178" s="10">
        <v>0.1084</v>
      </c>
      <c r="N178" s="10">
        <v>0.1144</v>
      </c>
      <c r="O178" s="10">
        <v>0.11260000000000001</v>
      </c>
      <c r="P178" s="10">
        <v>0.11020000000000001</v>
      </c>
      <c r="Q178" s="10">
        <v>0.1258</v>
      </c>
    </row>
    <row r="179" spans="2:18" s="15" customFormat="1" ht="15" customHeight="1" x14ac:dyDescent="0.35">
      <c r="B179" s="55">
        <v>43100</v>
      </c>
      <c r="C179" s="10">
        <v>0.124</v>
      </c>
      <c r="D179" s="9">
        <v>0</v>
      </c>
      <c r="E179" s="9">
        <v>0</v>
      </c>
      <c r="F179" s="10">
        <v>0.1047</v>
      </c>
      <c r="G179" s="10">
        <v>9.2999999999999999E-2</v>
      </c>
      <c r="H179" s="9">
        <v>0</v>
      </c>
      <c r="I179" s="10">
        <v>0.1061</v>
      </c>
      <c r="J179" s="9">
        <v>0</v>
      </c>
      <c r="K179" s="10">
        <v>0.1085</v>
      </c>
      <c r="L179" s="10">
        <v>0.1076</v>
      </c>
      <c r="M179" s="10">
        <v>0.1148</v>
      </c>
      <c r="N179" s="10">
        <v>0.1206</v>
      </c>
      <c r="O179" s="10">
        <v>0.1111</v>
      </c>
      <c r="P179" s="10">
        <v>0.11650000000000001</v>
      </c>
      <c r="Q179" s="10">
        <v>0.12379999999999999</v>
      </c>
      <c r="R179" s="8"/>
    </row>
    <row r="180" spans="2:18" s="15" customFormat="1" ht="15" customHeight="1" x14ac:dyDescent="0.35">
      <c r="B180" s="55">
        <v>43131</v>
      </c>
      <c r="C180" s="10">
        <v>0.1235</v>
      </c>
      <c r="D180" s="9">
        <v>0</v>
      </c>
      <c r="E180" s="9">
        <v>0</v>
      </c>
      <c r="F180" s="10">
        <v>0.105</v>
      </c>
      <c r="G180" s="10">
        <v>9.1499999999999998E-2</v>
      </c>
      <c r="H180" s="9">
        <v>0</v>
      </c>
      <c r="I180" s="10">
        <v>0.1085</v>
      </c>
      <c r="J180" s="9">
        <v>0</v>
      </c>
      <c r="K180" s="10">
        <v>0.1103</v>
      </c>
      <c r="L180" s="10">
        <v>0.11269999999999999</v>
      </c>
      <c r="M180" s="10">
        <v>0.115</v>
      </c>
      <c r="N180" s="10">
        <v>0.1226</v>
      </c>
      <c r="O180" s="10">
        <v>0.10979999999999999</v>
      </c>
      <c r="P180" s="10">
        <v>0.1196</v>
      </c>
      <c r="Q180" s="10">
        <v>0.12189999999999999</v>
      </c>
      <c r="R180" s="8"/>
    </row>
    <row r="181" spans="2:18" s="15" customFormat="1" ht="15" customHeight="1" x14ac:dyDescent="0.35">
      <c r="B181" s="55">
        <v>43159</v>
      </c>
      <c r="C181" s="10">
        <v>0.12470000000000001</v>
      </c>
      <c r="D181" s="9">
        <v>0</v>
      </c>
      <c r="E181" s="9">
        <v>0</v>
      </c>
      <c r="F181" s="10">
        <v>0.107</v>
      </c>
      <c r="G181" s="10">
        <v>8.8400000000000006E-2</v>
      </c>
      <c r="H181" s="9">
        <v>0</v>
      </c>
      <c r="I181" s="10">
        <v>0.1111</v>
      </c>
      <c r="J181" s="9">
        <v>0</v>
      </c>
      <c r="K181" s="10">
        <v>0.1145</v>
      </c>
      <c r="L181" s="10">
        <v>0.1119</v>
      </c>
      <c r="M181" s="10">
        <v>0.11990000000000001</v>
      </c>
      <c r="N181" s="10">
        <v>0.1278</v>
      </c>
      <c r="O181" s="10">
        <v>0.1115</v>
      </c>
      <c r="P181" s="10">
        <v>0.1226</v>
      </c>
      <c r="Q181" s="10">
        <v>0.1187</v>
      </c>
      <c r="R181" s="8"/>
    </row>
    <row r="182" spans="2:18" s="15" customFormat="1" ht="15" customHeight="1" x14ac:dyDescent="0.35">
      <c r="B182" s="55">
        <v>43190</v>
      </c>
      <c r="C182" s="10">
        <v>0.1174</v>
      </c>
      <c r="D182" s="9">
        <v>0</v>
      </c>
      <c r="E182" s="9">
        <v>0</v>
      </c>
      <c r="F182" s="10">
        <v>0.1031</v>
      </c>
      <c r="G182" s="10">
        <v>8.8800000000000004E-2</v>
      </c>
      <c r="H182" s="9">
        <v>0</v>
      </c>
      <c r="I182" s="10">
        <v>0.10639999999999999</v>
      </c>
      <c r="J182" s="9">
        <v>0</v>
      </c>
      <c r="K182" s="10">
        <v>0.10970000000000001</v>
      </c>
      <c r="L182" s="10">
        <v>0.1081</v>
      </c>
      <c r="M182" s="10">
        <v>0.11700000000000001</v>
      </c>
      <c r="N182" s="10">
        <v>0.12429999999999999</v>
      </c>
      <c r="O182" s="10">
        <v>0.1089</v>
      </c>
      <c r="P182" s="10">
        <v>0.1169</v>
      </c>
      <c r="Q182" s="10">
        <v>0.1086</v>
      </c>
      <c r="R182" s="8"/>
    </row>
    <row r="183" spans="2:18" ht="15" customHeight="1" x14ac:dyDescent="0.25">
      <c r="B183" s="55">
        <v>43220</v>
      </c>
      <c r="C183" s="10">
        <v>0.1154</v>
      </c>
      <c r="D183" s="9">
        <v>0</v>
      </c>
      <c r="E183" s="9">
        <v>0</v>
      </c>
      <c r="F183" s="10">
        <v>0.1028</v>
      </c>
      <c r="G183" s="10">
        <v>8.9700000000000002E-2</v>
      </c>
      <c r="H183" s="9">
        <v>0</v>
      </c>
      <c r="I183" s="10">
        <v>0.107</v>
      </c>
      <c r="J183" s="9">
        <v>0</v>
      </c>
      <c r="K183" s="10">
        <v>0.1104</v>
      </c>
      <c r="L183" s="10">
        <v>0.10730000000000001</v>
      </c>
      <c r="M183" s="10">
        <v>0.1169</v>
      </c>
      <c r="N183" s="10">
        <v>0.1249</v>
      </c>
      <c r="O183" s="10">
        <v>0.1084</v>
      </c>
      <c r="P183" s="10">
        <v>0.1174</v>
      </c>
      <c r="Q183" s="10">
        <v>0.1177</v>
      </c>
    </row>
    <row r="184" spans="2:18" ht="15" customHeight="1" x14ac:dyDescent="0.25">
      <c r="B184" s="55">
        <v>43251</v>
      </c>
      <c r="C184" s="10">
        <v>0.1133</v>
      </c>
      <c r="D184" s="9">
        <v>0</v>
      </c>
      <c r="E184" s="9">
        <v>0</v>
      </c>
      <c r="F184" s="10">
        <v>0.1013</v>
      </c>
      <c r="G184" s="10">
        <v>9.0499999999999997E-2</v>
      </c>
      <c r="H184" s="9">
        <v>0</v>
      </c>
      <c r="I184" s="10">
        <v>0.1036</v>
      </c>
      <c r="J184" s="9">
        <v>0</v>
      </c>
      <c r="K184" s="10">
        <v>0.108</v>
      </c>
      <c r="L184" s="10">
        <v>0.10489999999999999</v>
      </c>
      <c r="M184" s="10">
        <v>0.1137</v>
      </c>
      <c r="N184" s="10">
        <v>0.1229</v>
      </c>
      <c r="O184" s="10">
        <v>0.1062</v>
      </c>
      <c r="P184" s="10">
        <v>0.11600000000000001</v>
      </c>
      <c r="Q184" s="10">
        <v>0.1176</v>
      </c>
    </row>
    <row r="185" spans="2:18" ht="15" customHeight="1" x14ac:dyDescent="0.25">
      <c r="B185" s="55">
        <v>43281</v>
      </c>
      <c r="C185" s="10">
        <v>0.1052</v>
      </c>
      <c r="D185" s="9">
        <v>0</v>
      </c>
      <c r="E185" s="9">
        <v>0</v>
      </c>
      <c r="F185" s="10">
        <v>9.8100000000000007E-2</v>
      </c>
      <c r="G185" s="10">
        <v>9.1899999999999996E-2</v>
      </c>
      <c r="H185" s="9">
        <v>0</v>
      </c>
      <c r="I185" s="10">
        <v>0.1</v>
      </c>
      <c r="J185" s="9">
        <v>0</v>
      </c>
      <c r="K185" s="10">
        <v>0.104</v>
      </c>
      <c r="L185" s="10">
        <v>9.9099999999999994E-2</v>
      </c>
      <c r="M185" s="10">
        <v>0.106</v>
      </c>
      <c r="N185" s="10">
        <v>0.1195</v>
      </c>
      <c r="O185" s="10">
        <v>0.1037</v>
      </c>
      <c r="P185" s="10">
        <v>0.11219999999999999</v>
      </c>
      <c r="Q185" s="10">
        <v>0.11749999999999999</v>
      </c>
    </row>
    <row r="186" spans="2:18" ht="15" customHeight="1" x14ac:dyDescent="0.25">
      <c r="B186" s="55">
        <v>43312</v>
      </c>
      <c r="C186" s="10">
        <v>0.10282444198034968</v>
      </c>
      <c r="D186" s="9">
        <v>0</v>
      </c>
      <c r="E186" s="9">
        <v>0</v>
      </c>
      <c r="F186" s="10">
        <v>9.7838442882664189E-2</v>
      </c>
      <c r="G186" s="10">
        <v>9.1999999999999998E-2</v>
      </c>
      <c r="H186" s="9">
        <v>0</v>
      </c>
      <c r="I186" s="10">
        <v>9.934274210319316E-2</v>
      </c>
      <c r="J186" s="9">
        <v>0</v>
      </c>
      <c r="K186" s="10">
        <v>0.10312634749757699</v>
      </c>
      <c r="L186" s="10">
        <v>9.6752684879183981E-2</v>
      </c>
      <c r="M186" s="10">
        <v>0.10654778073060743</v>
      </c>
      <c r="N186" s="10">
        <v>0.11963031432695793</v>
      </c>
      <c r="O186" s="10">
        <v>0.10332231351336653</v>
      </c>
      <c r="P186" s="10">
        <v>0.11081667419367713</v>
      </c>
      <c r="Q186" s="10">
        <v>0.1158</v>
      </c>
    </row>
    <row r="187" spans="2:18" ht="15" customHeight="1" x14ac:dyDescent="0.25">
      <c r="B187" s="55">
        <v>43343</v>
      </c>
      <c r="C187" s="10">
        <v>9.7073564892179665E-2</v>
      </c>
      <c r="D187" s="9">
        <v>0</v>
      </c>
      <c r="E187" s="9">
        <v>0</v>
      </c>
      <c r="F187" s="10">
        <v>9.4380506231639641E-2</v>
      </c>
      <c r="G187" s="10">
        <v>9.35E-2</v>
      </c>
      <c r="H187" s="9">
        <v>0</v>
      </c>
      <c r="I187" s="10">
        <v>9.4569566722364259E-2</v>
      </c>
      <c r="J187" s="9">
        <v>0</v>
      </c>
      <c r="K187" s="10">
        <v>9.9529320510219468E-2</v>
      </c>
      <c r="L187" s="10">
        <v>9.2163931072743357E-2</v>
      </c>
      <c r="M187" s="10">
        <v>0.10143542600345402</v>
      </c>
      <c r="N187" s="10">
        <v>0.11464493914599029</v>
      </c>
      <c r="O187" s="10">
        <v>0.10173881484292856</v>
      </c>
      <c r="P187" s="10">
        <v>0.1061578657459641</v>
      </c>
      <c r="Q187" s="10">
        <v>0.11609999999999999</v>
      </c>
    </row>
    <row r="188" spans="2:18" ht="15" customHeight="1" x14ac:dyDescent="0.25">
      <c r="B188" s="55">
        <v>43373</v>
      </c>
      <c r="C188" s="10">
        <v>9.5255750032871025E-2</v>
      </c>
      <c r="D188" s="9">
        <v>0</v>
      </c>
      <c r="E188" s="9">
        <v>0</v>
      </c>
      <c r="F188" s="10">
        <v>9.2930905340434786E-2</v>
      </c>
      <c r="G188" s="10">
        <v>9.7100000000000006E-2</v>
      </c>
      <c r="H188" s="9">
        <v>0</v>
      </c>
      <c r="I188" s="10">
        <v>9.2204886847033762E-2</v>
      </c>
      <c r="J188" s="9">
        <v>0</v>
      </c>
      <c r="K188" s="10">
        <v>9.6513644057625303E-2</v>
      </c>
      <c r="L188" s="10">
        <v>8.8470997102729321E-2</v>
      </c>
      <c r="M188" s="10">
        <v>9.8466312677842449E-2</v>
      </c>
      <c r="N188" s="10">
        <v>0.11056866457191304</v>
      </c>
      <c r="O188" s="10">
        <v>9.9537799409215241E-2</v>
      </c>
      <c r="P188" s="10">
        <v>0.10236006154788659</v>
      </c>
      <c r="Q188" s="10">
        <v>0.1167</v>
      </c>
    </row>
    <row r="189" spans="2:18" ht="15" customHeight="1" x14ac:dyDescent="0.25">
      <c r="B189" s="55">
        <v>43404</v>
      </c>
      <c r="C189" s="10">
        <v>8.9557853978731186E-2</v>
      </c>
      <c r="D189" s="9">
        <v>0</v>
      </c>
      <c r="E189" s="9">
        <v>0</v>
      </c>
      <c r="F189" s="10">
        <v>8.8398942412015735E-2</v>
      </c>
      <c r="G189" s="10">
        <v>0.10279896777079323</v>
      </c>
      <c r="H189" s="9">
        <v>0</v>
      </c>
      <c r="I189" s="10">
        <v>8.8189797878347451E-2</v>
      </c>
      <c r="J189" s="9">
        <v>0</v>
      </c>
      <c r="K189" s="10">
        <v>9.0499999999999997E-2</v>
      </c>
      <c r="L189" s="10">
        <v>8.522023197331885E-2</v>
      </c>
      <c r="M189" s="10">
        <v>9.4039140325882217E-2</v>
      </c>
      <c r="N189" s="10">
        <v>0.10462369416989169</v>
      </c>
      <c r="O189" s="10">
        <v>9.7050355031091495E-2</v>
      </c>
      <c r="P189" s="10">
        <v>9.4412810114931953E-2</v>
      </c>
      <c r="Q189" s="10">
        <v>0.11460000000000001</v>
      </c>
    </row>
    <row r="190" spans="2:18" ht="15" customHeight="1" x14ac:dyDescent="0.25">
      <c r="B190" s="55">
        <v>43434</v>
      </c>
      <c r="C190" s="10">
        <v>7.8302519822616823E-2</v>
      </c>
      <c r="D190" s="9">
        <v>0</v>
      </c>
      <c r="E190" s="9">
        <v>0</v>
      </c>
      <c r="F190" s="10">
        <v>8.3845507714845446E-2</v>
      </c>
      <c r="G190" s="10">
        <v>9.7846280326270088E-2</v>
      </c>
      <c r="H190" s="9">
        <v>0</v>
      </c>
      <c r="I190" s="10">
        <v>8.199402811215073E-2</v>
      </c>
      <c r="J190" s="9">
        <v>0</v>
      </c>
      <c r="K190" s="10">
        <v>8.3746916360604384E-2</v>
      </c>
      <c r="L190" s="10">
        <v>7.4972708261859866E-2</v>
      </c>
      <c r="M190" s="10">
        <v>8.594423478459623E-2</v>
      </c>
      <c r="N190" s="10">
        <v>9.6416471796688649E-2</v>
      </c>
      <c r="O190" s="10">
        <v>9.3097514526646594E-2</v>
      </c>
      <c r="P190" s="10">
        <v>8.9064838346451194E-2</v>
      </c>
      <c r="Q190" s="10">
        <v>0.1143</v>
      </c>
    </row>
    <row r="191" spans="2:18" ht="15" customHeight="1" x14ac:dyDescent="0.25">
      <c r="B191" s="55">
        <v>43465</v>
      </c>
      <c r="C191" s="10">
        <v>6.8745353285536215E-2</v>
      </c>
      <c r="D191" s="9">
        <v>0</v>
      </c>
      <c r="E191" s="9">
        <v>0</v>
      </c>
      <c r="F191" s="10">
        <v>7.8686695091294556E-2</v>
      </c>
      <c r="G191" s="10">
        <v>9.1895105183774847E-2</v>
      </c>
      <c r="H191" s="9">
        <v>0</v>
      </c>
      <c r="I191" s="10">
        <v>7.7440019175754715E-2</v>
      </c>
      <c r="J191" s="9">
        <v>0</v>
      </c>
      <c r="K191" s="10">
        <v>7.7368546305897068E-2</v>
      </c>
      <c r="L191" s="10">
        <v>7.4630430484574406E-2</v>
      </c>
      <c r="M191" s="10">
        <v>7.7167675682469516E-2</v>
      </c>
      <c r="N191" s="10">
        <v>8.8578017240638296E-2</v>
      </c>
      <c r="O191" s="10">
        <v>9.2602156198981364E-2</v>
      </c>
      <c r="P191" s="10">
        <v>8.1381008058556178E-2</v>
      </c>
      <c r="Q191" s="10">
        <v>0.1153</v>
      </c>
    </row>
    <row r="192" spans="2:18" ht="15" customHeight="1" x14ac:dyDescent="0.25">
      <c r="B192" s="55">
        <v>43496</v>
      </c>
      <c r="C192" s="10">
        <v>6.7697266718407922E-2</v>
      </c>
      <c r="D192" s="9">
        <v>0</v>
      </c>
      <c r="E192" s="9">
        <v>0</v>
      </c>
      <c r="F192" s="10">
        <v>7.8953683228311977E-2</v>
      </c>
      <c r="G192" s="10">
        <v>9.2183825777465631E-2</v>
      </c>
      <c r="H192" s="9">
        <v>0</v>
      </c>
      <c r="I192" s="10">
        <v>7.7317484195841724E-2</v>
      </c>
      <c r="J192" s="9">
        <v>0</v>
      </c>
      <c r="K192" s="10">
        <v>7.6210945361236737E-2</v>
      </c>
      <c r="L192" s="10">
        <v>7.194802297520253E-2</v>
      </c>
      <c r="M192" s="10">
        <v>7.7175616074620645E-2</v>
      </c>
      <c r="N192" s="10">
        <v>8.698275789582223E-2</v>
      </c>
      <c r="O192" s="10">
        <v>9.5020964518538253E-2</v>
      </c>
      <c r="P192" s="10">
        <v>7.6758527228744322E-2</v>
      </c>
      <c r="Q192" s="10">
        <v>0.1105</v>
      </c>
    </row>
    <row r="193" spans="2:17" ht="15" customHeight="1" x14ac:dyDescent="0.25">
      <c r="B193" s="55">
        <v>43524</v>
      </c>
      <c r="C193" s="10">
        <v>6.8213440564069305E-2</v>
      </c>
      <c r="D193" s="9">
        <v>0</v>
      </c>
      <c r="E193" s="9">
        <v>0</v>
      </c>
      <c r="F193" s="10">
        <v>7.7679010155949246E-2</v>
      </c>
      <c r="G193" s="10">
        <v>8.8787338635118562E-2</v>
      </c>
      <c r="H193" s="9">
        <v>0</v>
      </c>
      <c r="I193" s="10">
        <v>7.6674693967420771E-2</v>
      </c>
      <c r="J193" s="9">
        <v>0</v>
      </c>
      <c r="K193" s="10">
        <v>7.3312144505169208E-2</v>
      </c>
      <c r="L193" s="10">
        <v>7.5244760874290106E-2</v>
      </c>
      <c r="M193" s="10">
        <v>7.413659611352208E-2</v>
      </c>
      <c r="N193" s="10">
        <v>8.1758919762076498E-2</v>
      </c>
      <c r="O193" s="10">
        <v>9.4086958253607911E-2</v>
      </c>
      <c r="P193" s="10">
        <v>7.2956350108146495E-2</v>
      </c>
      <c r="Q193" s="10">
        <v>0.1082</v>
      </c>
    </row>
    <row r="194" spans="2:17" ht="15" customHeight="1" x14ac:dyDescent="0.25">
      <c r="B194" s="55">
        <v>43555</v>
      </c>
      <c r="C194" s="10">
        <v>7.3638346595659376E-2</v>
      </c>
      <c r="D194" s="9">
        <v>0</v>
      </c>
      <c r="E194" s="9">
        <v>0</v>
      </c>
      <c r="F194" s="10">
        <v>8.054872051017338E-2</v>
      </c>
      <c r="G194" s="10">
        <v>9.5151888952645258E-2</v>
      </c>
      <c r="H194" s="9">
        <v>0</v>
      </c>
      <c r="I194" s="10">
        <v>7.9796594470903592E-2</v>
      </c>
      <c r="J194" s="9">
        <v>0</v>
      </c>
      <c r="K194" s="10">
        <v>7.7198687131333044E-2</v>
      </c>
      <c r="L194" s="10">
        <v>7.8512987692768155E-2</v>
      </c>
      <c r="M194" s="10">
        <v>7.519567711688957E-2</v>
      </c>
      <c r="N194" s="10">
        <v>8.4141408318980412E-2</v>
      </c>
      <c r="O194" s="10">
        <v>9.6360982584777766E-2</v>
      </c>
      <c r="P194" s="10">
        <v>7.7554209750772651E-2</v>
      </c>
      <c r="Q194" s="10">
        <v>0.1075</v>
      </c>
    </row>
    <row r="195" spans="2:17" ht="15" customHeight="1" x14ac:dyDescent="0.25">
      <c r="B195" s="55">
        <v>43585</v>
      </c>
      <c r="C195" s="10">
        <v>7.6382826583610397E-2</v>
      </c>
      <c r="D195" s="9">
        <v>0</v>
      </c>
      <c r="E195" s="9">
        <v>0</v>
      </c>
      <c r="F195" s="10">
        <v>8.3309732476301898E-2</v>
      </c>
      <c r="G195" s="10">
        <v>9.6659835258509089E-2</v>
      </c>
      <c r="H195" s="9">
        <v>0</v>
      </c>
      <c r="I195" s="10">
        <v>8.1537556250601106E-2</v>
      </c>
      <c r="J195" s="9">
        <v>0</v>
      </c>
      <c r="K195" s="10">
        <v>7.9550251754022749E-2</v>
      </c>
      <c r="L195" s="10">
        <v>8.2844694820290096E-2</v>
      </c>
      <c r="M195" s="10">
        <v>7.7185271656461385E-2</v>
      </c>
      <c r="N195" s="10">
        <v>8.721614537779887E-2</v>
      </c>
      <c r="O195" s="10">
        <v>9.9994907025215726E-2</v>
      </c>
      <c r="P195" s="10">
        <v>8.00555974052366E-2</v>
      </c>
      <c r="Q195" s="10">
        <v>0.10589999999999999</v>
      </c>
    </row>
    <row r="196" spans="2:17" ht="15" customHeight="1" x14ac:dyDescent="0.25">
      <c r="B196" s="55">
        <v>43616</v>
      </c>
      <c r="C196" s="10">
        <v>7.9810242261953102E-2</v>
      </c>
      <c r="D196" s="9">
        <v>0</v>
      </c>
      <c r="E196" s="9">
        <v>0</v>
      </c>
      <c r="F196" s="10">
        <v>8.9065270345451975E-2</v>
      </c>
      <c r="G196" s="10">
        <v>0.10044402283426868</v>
      </c>
      <c r="H196" s="9">
        <v>0</v>
      </c>
      <c r="I196" s="10">
        <v>8.949281172420287E-2</v>
      </c>
      <c r="J196" s="9">
        <v>0</v>
      </c>
      <c r="K196" s="10">
        <v>8.669369587999419E-2</v>
      </c>
      <c r="L196" s="10">
        <v>9.076965724393693E-2</v>
      </c>
      <c r="M196" s="10">
        <v>8.4516004926502783E-2</v>
      </c>
      <c r="N196" s="10">
        <v>9.4608323244158576E-2</v>
      </c>
      <c r="O196" s="10">
        <v>0.10484242468061034</v>
      </c>
      <c r="P196" s="10">
        <v>8.5148590789448253E-2</v>
      </c>
      <c r="Q196" s="10">
        <v>0.10550000000000001</v>
      </c>
    </row>
    <row r="197" spans="2:17" ht="15" customHeight="1" x14ac:dyDescent="0.25">
      <c r="B197" s="55">
        <v>43646</v>
      </c>
      <c r="C197" s="10">
        <v>8.977029791229052E-2</v>
      </c>
      <c r="D197" s="9">
        <v>0</v>
      </c>
      <c r="E197" s="9">
        <v>0</v>
      </c>
      <c r="F197" s="10">
        <v>9.5060481682312847E-2</v>
      </c>
      <c r="G197" s="10">
        <v>0.10781616087253187</v>
      </c>
      <c r="H197" s="9">
        <v>0</v>
      </c>
      <c r="I197" s="10">
        <v>9.4943830123396675E-2</v>
      </c>
      <c r="J197" s="9">
        <v>0</v>
      </c>
      <c r="K197" s="10">
        <v>9.2931287043367158E-2</v>
      </c>
      <c r="L197" s="10">
        <v>9.956238282352349E-2</v>
      </c>
      <c r="M197" s="10">
        <v>9.4385252935715425E-2</v>
      </c>
      <c r="N197" s="10">
        <v>0.10144259445042003</v>
      </c>
      <c r="O197" s="10">
        <v>0.10992576858517179</v>
      </c>
      <c r="P197" s="10">
        <v>9.273958875552267E-2</v>
      </c>
      <c r="Q197" s="10">
        <v>0.1048</v>
      </c>
    </row>
    <row r="198" spans="2:17" ht="18.75" customHeight="1" x14ac:dyDescent="0.25">
      <c r="B198" s="55">
        <v>43677</v>
      </c>
      <c r="C198" s="10">
        <v>9.3337684657383915E-2</v>
      </c>
      <c r="D198" s="9">
        <v>0</v>
      </c>
      <c r="E198" s="9">
        <v>0</v>
      </c>
      <c r="F198" s="10">
        <v>9.840875559526395E-2</v>
      </c>
      <c r="G198" s="10">
        <v>0.10996394729902415</v>
      </c>
      <c r="H198" s="9">
        <v>0</v>
      </c>
      <c r="I198" s="10">
        <v>9.830794872118688E-2</v>
      </c>
      <c r="J198" s="9">
        <v>0</v>
      </c>
      <c r="K198" s="10">
        <v>9.5846822349240343E-2</v>
      </c>
      <c r="L198" s="10">
        <v>0.10190541759065287</v>
      </c>
      <c r="M198" s="10">
        <v>9.7441984890079811E-2</v>
      </c>
      <c r="N198" s="10">
        <v>0.10390726766777503</v>
      </c>
      <c r="O198" s="10">
        <v>0.11374769789475048</v>
      </c>
      <c r="P198" s="10">
        <v>9.6239530933652548E-2</v>
      </c>
      <c r="Q198" s="10">
        <v>0.1027</v>
      </c>
    </row>
    <row r="199" spans="2:17" ht="18.75" customHeight="1" x14ac:dyDescent="0.25">
      <c r="B199" s="55">
        <v>43708</v>
      </c>
      <c r="C199" s="10">
        <v>9.7452827962701813E-2</v>
      </c>
      <c r="D199" s="9">
        <v>0</v>
      </c>
      <c r="E199" s="9">
        <v>0</v>
      </c>
      <c r="F199" s="10">
        <v>0.10296436489278937</v>
      </c>
      <c r="G199" s="10">
        <v>0.1113869246440171</v>
      </c>
      <c r="H199" s="9">
        <v>0</v>
      </c>
      <c r="I199" s="10">
        <v>0.10477013897066678</v>
      </c>
      <c r="J199" s="9">
        <v>0</v>
      </c>
      <c r="K199" s="10">
        <v>0.10171871460014149</v>
      </c>
      <c r="L199" s="10">
        <v>0.11145543963390558</v>
      </c>
      <c r="M199" s="10">
        <v>0.10417132416901076</v>
      </c>
      <c r="N199" s="10">
        <v>0.11013643496710458</v>
      </c>
      <c r="O199" s="10">
        <v>0.11631035450538253</v>
      </c>
      <c r="P199" s="10">
        <v>0.10400350663619262</v>
      </c>
      <c r="Q199" s="10">
        <v>0.1018</v>
      </c>
    </row>
    <row r="200" spans="2:17" ht="18.75" customHeight="1" x14ac:dyDescent="0.25">
      <c r="B200" s="55">
        <v>43738</v>
      </c>
      <c r="C200" s="10">
        <v>9.9844785249741039E-2</v>
      </c>
      <c r="D200" s="9">
        <v>0</v>
      </c>
      <c r="E200" s="9">
        <v>0</v>
      </c>
      <c r="F200" s="10">
        <v>0.1055521830926569</v>
      </c>
      <c r="G200" s="10">
        <v>0.11056807468142038</v>
      </c>
      <c r="H200" s="9">
        <v>0</v>
      </c>
      <c r="I200" s="10">
        <v>0.1087239549889234</v>
      </c>
      <c r="J200" s="9">
        <v>0</v>
      </c>
      <c r="K200" s="10">
        <v>0.10570771893842303</v>
      </c>
      <c r="L200" s="10">
        <v>0.11534416249262858</v>
      </c>
      <c r="M200" s="10">
        <v>0.10877997376073602</v>
      </c>
      <c r="N200" s="10">
        <v>0.11524952214960461</v>
      </c>
      <c r="O200" s="10">
        <v>0.1197556152102921</v>
      </c>
      <c r="P200" s="10">
        <v>0.10799618775208408</v>
      </c>
      <c r="Q200" s="10">
        <v>0.1014</v>
      </c>
    </row>
    <row r="201" spans="2:17" ht="18.75" customHeight="1" x14ac:dyDescent="0.25">
      <c r="B201" s="55">
        <v>43769</v>
      </c>
      <c r="C201" s="10">
        <v>9.7936010276912899E-2</v>
      </c>
      <c r="D201" s="9">
        <v>0</v>
      </c>
      <c r="E201" s="9">
        <v>0</v>
      </c>
      <c r="F201" s="10">
        <v>0.10416108219776966</v>
      </c>
      <c r="G201" s="10">
        <v>0.10755618607539841</v>
      </c>
      <c r="H201" s="9">
        <v>0</v>
      </c>
      <c r="I201" s="10">
        <v>0.10778773945891729</v>
      </c>
      <c r="J201" s="9">
        <v>0</v>
      </c>
      <c r="K201" s="10">
        <v>0.10626569639863126</v>
      </c>
      <c r="L201" s="10">
        <v>0.11212802399600807</v>
      </c>
      <c r="M201" s="10">
        <v>0.10751292508594279</v>
      </c>
      <c r="N201" s="10">
        <v>0.11587017928856014</v>
      </c>
      <c r="O201" s="10">
        <v>0.12005261406073785</v>
      </c>
      <c r="P201" s="10">
        <v>0.10978992597977812</v>
      </c>
      <c r="Q201" s="10">
        <v>0.10099999999999999</v>
      </c>
    </row>
    <row r="202" spans="2:17" ht="18.75" customHeight="1" x14ac:dyDescent="0.25">
      <c r="B202" s="55">
        <v>43799</v>
      </c>
      <c r="C202" s="10">
        <v>0.10067573427133825</v>
      </c>
      <c r="D202" s="9">
        <v>0</v>
      </c>
      <c r="E202" s="9">
        <v>0</v>
      </c>
      <c r="F202" s="10">
        <v>0.10664564351290151</v>
      </c>
      <c r="G202" s="10">
        <v>0.10796437278918214</v>
      </c>
      <c r="H202" s="9">
        <v>0</v>
      </c>
      <c r="I202" s="10">
        <v>0.11095498805604521</v>
      </c>
      <c r="J202" s="9">
        <v>0</v>
      </c>
      <c r="K202" s="10">
        <v>0.10775471231728308</v>
      </c>
      <c r="L202" s="10">
        <v>0.11524240586012514</v>
      </c>
      <c r="M202" s="10">
        <v>0.10903654038921617</v>
      </c>
      <c r="N202" s="10">
        <v>0.11660963527511402</v>
      </c>
      <c r="O202" s="10">
        <v>0.12280222309843512</v>
      </c>
      <c r="P202" s="10">
        <v>0.11028843749139373</v>
      </c>
      <c r="Q202" s="10">
        <v>0.10099999999999999</v>
      </c>
    </row>
    <row r="203" spans="2:17" ht="18.75" customHeight="1" x14ac:dyDescent="0.25">
      <c r="B203" s="55">
        <v>43830</v>
      </c>
      <c r="C203" s="10">
        <v>0.10133952188651719</v>
      </c>
      <c r="D203" s="9">
        <v>0</v>
      </c>
      <c r="E203" s="9">
        <v>0</v>
      </c>
      <c r="F203" s="10">
        <v>0.10664312811472619</v>
      </c>
      <c r="G203" s="10">
        <v>0.10851322200069081</v>
      </c>
      <c r="H203" s="9">
        <v>0</v>
      </c>
      <c r="I203" s="10">
        <v>0.10953083781290542</v>
      </c>
      <c r="J203" s="9">
        <v>0</v>
      </c>
      <c r="K203" s="10">
        <v>0.10684369415916661</v>
      </c>
      <c r="L203" s="10">
        <v>0.1139998114235954</v>
      </c>
      <c r="M203" s="10">
        <v>0.10835403841058477</v>
      </c>
      <c r="N203" s="10">
        <v>0.11539594273018651</v>
      </c>
      <c r="O203" s="10">
        <v>0.12240469776811791</v>
      </c>
      <c r="P203" s="10">
        <v>0.10954821049215656</v>
      </c>
      <c r="Q203" s="10">
        <v>0.1009</v>
      </c>
    </row>
    <row r="204" spans="2:17" ht="18.75" customHeight="1" x14ac:dyDescent="0.25">
      <c r="B204" s="55">
        <v>43861</v>
      </c>
      <c r="C204" s="10">
        <v>0.10092561301871417</v>
      </c>
      <c r="D204" s="9">
        <v>0</v>
      </c>
      <c r="E204" s="9">
        <v>0</v>
      </c>
      <c r="F204" s="10">
        <v>0.10603484945062046</v>
      </c>
      <c r="G204" s="10">
        <v>0.10739310816106705</v>
      </c>
      <c r="H204" s="9">
        <v>0</v>
      </c>
      <c r="I204" s="10">
        <v>0.10610633068028384</v>
      </c>
      <c r="J204" s="9">
        <v>0</v>
      </c>
      <c r="K204" s="10">
        <v>0.10490841654079386</v>
      </c>
      <c r="L204" s="10">
        <v>0.11044514527608262</v>
      </c>
      <c r="M204" s="10">
        <v>0.10638625611594366</v>
      </c>
      <c r="N204" s="10">
        <v>0.11363523848745594</v>
      </c>
      <c r="O204" s="10">
        <v>0.12003758510877383</v>
      </c>
      <c r="P204" s="10">
        <v>0.10994479044338057</v>
      </c>
      <c r="Q204" s="10">
        <v>0.10060000000000001</v>
      </c>
    </row>
    <row r="205" spans="2:17" ht="18.75" customHeight="1" x14ac:dyDescent="0.25">
      <c r="B205" s="55">
        <v>43890</v>
      </c>
      <c r="C205" s="10">
        <v>0.10016445882787671</v>
      </c>
      <c r="D205" s="9">
        <v>0</v>
      </c>
      <c r="E205" s="9">
        <v>0</v>
      </c>
      <c r="F205" s="10">
        <v>0.10779100145551856</v>
      </c>
      <c r="G205" s="10">
        <v>0.10932933064480889</v>
      </c>
      <c r="H205" s="9">
        <v>0</v>
      </c>
      <c r="I205" s="10">
        <v>0.10604148259108515</v>
      </c>
      <c r="J205" s="9">
        <v>0</v>
      </c>
      <c r="K205" s="10">
        <v>0.10439348806127825</v>
      </c>
      <c r="L205" s="10">
        <v>0.10906018395175711</v>
      </c>
      <c r="M205" s="10">
        <v>0.10674325766191049</v>
      </c>
      <c r="N205" s="10">
        <v>0.11461361800620896</v>
      </c>
      <c r="O205" s="10">
        <v>0.12041146333822983</v>
      </c>
      <c r="P205" s="10">
        <v>0.11049103019227612</v>
      </c>
      <c r="Q205" s="10">
        <v>0.10060000000000001</v>
      </c>
    </row>
    <row r="206" spans="2:17" ht="18.75" customHeight="1" x14ac:dyDescent="0.25">
      <c r="B206" s="55">
        <v>43921</v>
      </c>
      <c r="C206" s="10">
        <v>9.9655374873225178E-2</v>
      </c>
      <c r="D206" s="9">
        <v>0</v>
      </c>
      <c r="E206" s="9">
        <v>0</v>
      </c>
      <c r="F206" s="10">
        <v>0.10325036910440177</v>
      </c>
      <c r="G206" s="10">
        <v>0.10834454220301847</v>
      </c>
      <c r="H206" s="9">
        <v>0</v>
      </c>
      <c r="I206" s="10">
        <v>0.10113306305110846</v>
      </c>
      <c r="J206" s="9">
        <v>0</v>
      </c>
      <c r="K206" s="10">
        <v>0.10357928546920459</v>
      </c>
      <c r="L206" s="10">
        <v>0.10733823837577618</v>
      </c>
      <c r="M206" s="10">
        <v>9.9950766002614197E-2</v>
      </c>
      <c r="N206" s="10">
        <v>0.11467744761538444</v>
      </c>
      <c r="O206" s="10">
        <v>0.12092057573983815</v>
      </c>
      <c r="P206" s="10">
        <v>0.10944134067081945</v>
      </c>
      <c r="Q206" s="10">
        <v>0.1012</v>
      </c>
    </row>
    <row r="207" spans="2:17" ht="18.75" customHeight="1" x14ac:dyDescent="0.25">
      <c r="B207" s="55">
        <v>43951</v>
      </c>
      <c r="C207" s="10">
        <v>9.7830660379647938E-2</v>
      </c>
      <c r="D207" s="9">
        <v>0</v>
      </c>
      <c r="E207" s="9">
        <v>0</v>
      </c>
      <c r="F207" s="10">
        <v>0.10271558614733634</v>
      </c>
      <c r="G207" s="10">
        <v>0.10582483472712578</v>
      </c>
      <c r="H207" s="9">
        <v>0</v>
      </c>
      <c r="I207" s="10">
        <v>0.1012321258828135</v>
      </c>
      <c r="J207" s="9">
        <v>0</v>
      </c>
      <c r="K207" s="10">
        <v>0.10103645228638601</v>
      </c>
      <c r="L207" s="10">
        <v>0.10271727371389883</v>
      </c>
      <c r="M207" s="10">
        <v>0.10141823663577544</v>
      </c>
      <c r="N207" s="10">
        <v>0.11308817845160647</v>
      </c>
      <c r="O207" s="10">
        <v>0.11854174757621137</v>
      </c>
      <c r="P207" s="10">
        <v>0.10667337789028085</v>
      </c>
      <c r="Q207" s="10">
        <v>0.1011</v>
      </c>
    </row>
    <row r="208" spans="2:17" ht="18.75" customHeight="1" x14ac:dyDescent="0.25">
      <c r="B208" s="55">
        <v>43982</v>
      </c>
      <c r="C208" s="10">
        <v>9.4086790062739567E-2</v>
      </c>
      <c r="D208" s="9">
        <v>0</v>
      </c>
      <c r="E208" s="9">
        <v>0</v>
      </c>
      <c r="F208" s="10">
        <v>0.10186284009207668</v>
      </c>
      <c r="G208" s="10">
        <v>0.10413185629888755</v>
      </c>
      <c r="H208" s="9">
        <v>0</v>
      </c>
      <c r="I208" s="10">
        <v>0.10131887749282086</v>
      </c>
      <c r="J208" s="9">
        <v>0</v>
      </c>
      <c r="K208" s="10">
        <v>9.8744459435345502E-2</v>
      </c>
      <c r="L208" s="10">
        <v>9.4403732923643346E-2</v>
      </c>
      <c r="M208" s="10">
        <v>0.10254940144002278</v>
      </c>
      <c r="N208" s="10">
        <v>0.10799084258090685</v>
      </c>
      <c r="O208" s="10">
        <v>0.1149794579820167</v>
      </c>
      <c r="P208" s="10">
        <v>0.10303460155318135</v>
      </c>
      <c r="Q208" s="10">
        <v>0.1012</v>
      </c>
    </row>
    <row r="209" spans="2:17" ht="18.75" customHeight="1" x14ac:dyDescent="0.25">
      <c r="B209" s="55">
        <v>44012</v>
      </c>
      <c r="C209" s="10">
        <v>9.2681416416304785E-2</v>
      </c>
      <c r="D209" s="9">
        <v>0</v>
      </c>
      <c r="E209" s="9">
        <v>0</v>
      </c>
      <c r="F209" s="10">
        <v>0.10534414133309265</v>
      </c>
      <c r="G209" s="10">
        <v>0.10211813041112074</v>
      </c>
      <c r="H209" s="9">
        <v>0</v>
      </c>
      <c r="I209" s="10">
        <v>0.10515106297605371</v>
      </c>
      <c r="J209" s="9">
        <v>0</v>
      </c>
      <c r="K209" s="10">
        <v>0.10068339926952487</v>
      </c>
      <c r="L209" s="10">
        <v>9.12866549713236E-2</v>
      </c>
      <c r="M209" s="10">
        <v>0.1092953800367229</v>
      </c>
      <c r="N209" s="10">
        <v>0.11094733885780128</v>
      </c>
      <c r="O209" s="10">
        <v>0.1138380584054708</v>
      </c>
      <c r="P209" s="10">
        <v>0.10115565066964516</v>
      </c>
      <c r="Q209" s="10">
        <v>0.10189999999999999</v>
      </c>
    </row>
    <row r="210" spans="2:17" ht="18.75" customHeight="1" x14ac:dyDescent="0.25">
      <c r="B210" s="55">
        <v>44043</v>
      </c>
      <c r="C210" s="10">
        <v>9.0300000000000005E-2</v>
      </c>
      <c r="D210" s="9">
        <v>0</v>
      </c>
      <c r="E210" s="9">
        <v>0</v>
      </c>
      <c r="F210" s="10">
        <v>0.1012</v>
      </c>
      <c r="G210" s="10">
        <v>9.9099999999999994E-2</v>
      </c>
      <c r="H210" s="9">
        <v>0</v>
      </c>
      <c r="I210" s="10">
        <v>0.1008</v>
      </c>
      <c r="J210" s="9">
        <v>0</v>
      </c>
      <c r="K210" s="10">
        <v>9.7100000000000006E-2</v>
      </c>
      <c r="L210" s="10">
        <v>8.9200000000000002E-2</v>
      </c>
      <c r="M210" s="10">
        <v>0.1042</v>
      </c>
      <c r="N210" s="10">
        <v>0.1081</v>
      </c>
      <c r="O210" s="10">
        <v>0.1099</v>
      </c>
      <c r="P210" s="10">
        <v>9.7100000000000006E-2</v>
      </c>
      <c r="Q210" s="10">
        <v>0.10150000000000001</v>
      </c>
    </row>
    <row r="211" spans="2:17" ht="18.75" customHeight="1" x14ac:dyDescent="0.25">
      <c r="B211" s="55">
        <v>44074</v>
      </c>
      <c r="C211" s="10">
        <v>8.582010546037333E-2</v>
      </c>
      <c r="D211" s="9">
        <v>0</v>
      </c>
      <c r="E211" s="9">
        <v>0</v>
      </c>
      <c r="F211" s="10">
        <v>9.4323306855102373E-2</v>
      </c>
      <c r="G211" s="10">
        <v>9.5530956678619314E-2</v>
      </c>
      <c r="H211" s="9">
        <v>0</v>
      </c>
      <c r="I211" s="10">
        <v>9.8148129286546718E-2</v>
      </c>
      <c r="J211" s="9">
        <v>0</v>
      </c>
      <c r="K211" s="10">
        <v>9.0820418482159493E-2</v>
      </c>
      <c r="L211" s="10">
        <v>7.8290575027649467E-2</v>
      </c>
      <c r="M211" s="10">
        <v>0.10065741233676807</v>
      </c>
      <c r="N211" s="10">
        <v>0.1012838608757345</v>
      </c>
      <c r="O211" s="10">
        <v>0.10797297967834595</v>
      </c>
      <c r="P211" s="10">
        <v>8.8967838930110302E-2</v>
      </c>
      <c r="Q211" s="10">
        <v>9.9399999999999988E-2</v>
      </c>
    </row>
    <row r="212" spans="2:17" ht="18.75" customHeight="1" x14ac:dyDescent="0.25">
      <c r="B212" s="55">
        <v>44104</v>
      </c>
      <c r="C212" s="10">
        <v>8.3998310103541099E-2</v>
      </c>
      <c r="D212" s="9">
        <v>0</v>
      </c>
      <c r="E212" s="9">
        <v>0</v>
      </c>
      <c r="F212" s="10">
        <v>9.5265348924598481E-2</v>
      </c>
      <c r="G212" s="10">
        <v>9.8475890546057432E-2</v>
      </c>
      <c r="H212" s="9">
        <v>0</v>
      </c>
      <c r="I212" s="10">
        <v>9.5824578676429351E-2</v>
      </c>
      <c r="J212" s="9">
        <v>0</v>
      </c>
      <c r="K212" s="10">
        <v>9.0837125442705821E-2</v>
      </c>
      <c r="L212" s="10">
        <v>7.6329725959820571E-2</v>
      </c>
      <c r="M212" s="10">
        <v>9.7583595521562927E-2</v>
      </c>
      <c r="N212" s="10">
        <v>0.10034617298621985</v>
      </c>
      <c r="O212" s="10">
        <v>0.10787817842105607</v>
      </c>
      <c r="P212" s="10">
        <v>8.6034873297351044E-2</v>
      </c>
      <c r="Q212" s="10">
        <v>9.9299999999999999E-2</v>
      </c>
    </row>
    <row r="213" spans="2:17" ht="18.75" customHeight="1" x14ac:dyDescent="0.25">
      <c r="B213" s="55">
        <v>44135</v>
      </c>
      <c r="C213" s="10">
        <v>8.9887902139304643E-2</v>
      </c>
      <c r="D213" s="9">
        <v>0</v>
      </c>
      <c r="E213" s="9">
        <v>0</v>
      </c>
      <c r="F213" s="10">
        <v>9.8462068669299865E-2</v>
      </c>
      <c r="G213" s="10">
        <v>0.10387572311842931</v>
      </c>
      <c r="H213" s="9">
        <v>0</v>
      </c>
      <c r="I213" s="10">
        <v>0.10100249854610821</v>
      </c>
      <c r="J213" s="9">
        <v>0</v>
      </c>
      <c r="K213" s="10">
        <v>9.372959156840753E-2</v>
      </c>
      <c r="L213" s="10">
        <v>8.8254046120835206E-2</v>
      </c>
      <c r="M213" s="10">
        <v>0.10220071095669582</v>
      </c>
      <c r="N213" s="10">
        <v>0.10172785065613719</v>
      </c>
      <c r="O213" s="10">
        <v>0.10947471754785475</v>
      </c>
      <c r="P213" s="10">
        <v>8.7218942513111339E-2</v>
      </c>
      <c r="Q213" s="10">
        <v>9.9000000000000005E-2</v>
      </c>
    </row>
    <row r="214" spans="2:17" ht="18.75" customHeight="1" x14ac:dyDescent="0.25">
      <c r="B214" s="55">
        <v>44165</v>
      </c>
      <c r="C214" s="10">
        <v>9.2177206148644122E-2</v>
      </c>
      <c r="D214" s="9">
        <v>0</v>
      </c>
      <c r="E214" s="9">
        <v>0</v>
      </c>
      <c r="F214" s="10">
        <v>0.10348637019250395</v>
      </c>
      <c r="G214" s="10">
        <v>0.10618888824519444</v>
      </c>
      <c r="H214" s="9">
        <v>0</v>
      </c>
      <c r="I214" s="10">
        <v>0.10228598889628859</v>
      </c>
      <c r="J214" s="9">
        <v>0</v>
      </c>
      <c r="K214" s="10">
        <v>9.4503514860335702E-2</v>
      </c>
      <c r="L214" s="10">
        <v>8.6407613320180557E-2</v>
      </c>
      <c r="M214" s="10">
        <v>0.10420588379270823</v>
      </c>
      <c r="N214" s="10">
        <v>0.10332865996163253</v>
      </c>
      <c r="O214" s="10">
        <v>0.11051922834473672</v>
      </c>
      <c r="P214" s="10">
        <v>8.9596394802581761E-2</v>
      </c>
      <c r="Q214" s="10">
        <v>9.74E-2</v>
      </c>
    </row>
    <row r="215" spans="2:17" ht="18.75" customHeight="1" x14ac:dyDescent="0.25">
      <c r="B215" s="55">
        <v>44196</v>
      </c>
      <c r="C215" s="10">
        <v>9.2267291504552595E-2</v>
      </c>
      <c r="D215" s="9">
        <v>0</v>
      </c>
      <c r="E215" s="9">
        <v>0</v>
      </c>
      <c r="F215" s="10">
        <v>0.10442353293854367</v>
      </c>
      <c r="G215" s="10">
        <v>0.1077773900553991</v>
      </c>
      <c r="H215" s="9">
        <v>0</v>
      </c>
      <c r="I215" s="10">
        <v>0.10452331227528999</v>
      </c>
      <c r="J215" s="9">
        <v>0</v>
      </c>
      <c r="K215" s="10">
        <v>9.6067714264413309E-2</v>
      </c>
      <c r="L215" s="10">
        <v>9.0252716102462008E-2</v>
      </c>
      <c r="M215" s="10">
        <v>0.10466082545192258</v>
      </c>
      <c r="N215" s="10">
        <v>0.10612023445048259</v>
      </c>
      <c r="O215" s="10">
        <v>0.11050969808155674</v>
      </c>
      <c r="P215" s="10">
        <v>8.9681718483115139E-2</v>
      </c>
      <c r="Q215" s="10">
        <v>9.5299999999999996E-2</v>
      </c>
    </row>
    <row r="216" spans="2:17" ht="18.75" customHeight="1" x14ac:dyDescent="0.25">
      <c r="B216" s="55">
        <v>44227</v>
      </c>
      <c r="C216" s="10">
        <v>9.8367944647755015E-2</v>
      </c>
      <c r="D216" s="9">
        <v>0</v>
      </c>
      <c r="E216" s="9">
        <v>0</v>
      </c>
      <c r="F216" s="10">
        <v>0.10309253956354357</v>
      </c>
      <c r="G216" s="10">
        <v>0.10836545762495643</v>
      </c>
      <c r="H216" s="9">
        <v>0</v>
      </c>
      <c r="I216" s="10">
        <v>0.104148497553612</v>
      </c>
      <c r="J216" s="9">
        <v>0</v>
      </c>
      <c r="K216" s="10">
        <v>0.10509646462492217</v>
      </c>
      <c r="L216" s="10">
        <v>9.6264679722950941E-2</v>
      </c>
      <c r="M216" s="10">
        <v>0.10253594422271274</v>
      </c>
      <c r="N216" s="10">
        <v>0.10663356400292855</v>
      </c>
      <c r="O216" s="10">
        <v>0.1096142937389768</v>
      </c>
      <c r="P216" s="10">
        <v>8.9794101694206763E-2</v>
      </c>
      <c r="Q216" s="10">
        <v>9.4200000000000006E-2</v>
      </c>
    </row>
    <row r="217" spans="2:17" ht="18.75" customHeight="1" x14ac:dyDescent="0.25">
      <c r="B217" s="55">
        <v>44255</v>
      </c>
      <c r="C217" s="10">
        <v>0.11208685864154111</v>
      </c>
      <c r="D217" s="9">
        <v>0</v>
      </c>
      <c r="E217" s="9">
        <v>0</v>
      </c>
      <c r="F217" s="10">
        <v>0.11205648775777967</v>
      </c>
      <c r="G217" s="10">
        <v>0.11031352745125587</v>
      </c>
      <c r="H217" s="9">
        <v>0</v>
      </c>
      <c r="I217" s="10">
        <v>0.11472428748980355</v>
      </c>
      <c r="J217" s="9">
        <v>0</v>
      </c>
      <c r="K217" s="10">
        <v>0.11249968032007507</v>
      </c>
      <c r="L217" s="10">
        <v>0.12009354484746314</v>
      </c>
      <c r="M217" s="10">
        <v>0.11568772364349013</v>
      </c>
      <c r="N217" s="10">
        <v>0.11684073901326265</v>
      </c>
      <c r="O217" s="10">
        <v>0.11506975226784168</v>
      </c>
      <c r="P217" s="10">
        <v>9.8832039286795403E-2</v>
      </c>
      <c r="Q217" s="10">
        <v>9.4100000000000003E-2</v>
      </c>
    </row>
    <row r="218" spans="2:17" ht="18.75" customHeight="1" x14ac:dyDescent="0.25">
      <c r="B218" s="55">
        <v>44286</v>
      </c>
      <c r="C218" s="10">
        <v>0.11126214170848116</v>
      </c>
      <c r="D218" s="9">
        <v>0</v>
      </c>
      <c r="E218" s="9">
        <v>0</v>
      </c>
      <c r="F218" s="10">
        <v>0.11582739425032894</v>
      </c>
      <c r="G218" s="10">
        <v>0.1165198415483568</v>
      </c>
      <c r="H218" s="9">
        <v>0</v>
      </c>
      <c r="I218" s="10">
        <v>0.12050198476674279</v>
      </c>
      <c r="J218" s="9">
        <v>0</v>
      </c>
      <c r="K218" s="10">
        <v>0.1110152140216696</v>
      </c>
      <c r="L218" s="10">
        <v>0.13175319719629863</v>
      </c>
      <c r="M218" s="10">
        <v>0.12328770633768382</v>
      </c>
      <c r="N218" s="10">
        <v>0.11804526292053531</v>
      </c>
      <c r="O218" s="10">
        <v>0.12404342490105889</v>
      </c>
      <c r="P218" s="10">
        <v>9.9466405300530081E-2</v>
      </c>
      <c r="Q218" s="10">
        <v>9.4200000000000006E-2</v>
      </c>
    </row>
    <row r="219" spans="2:17" ht="18.75" customHeight="1" x14ac:dyDescent="0.25">
      <c r="B219" s="55">
        <v>44316</v>
      </c>
      <c r="C219" s="10">
        <v>0.11035030851677942</v>
      </c>
      <c r="D219" s="9">
        <v>0</v>
      </c>
      <c r="E219" s="9">
        <v>0</v>
      </c>
      <c r="F219" s="10">
        <v>0.11142816291366643</v>
      </c>
      <c r="G219" s="10">
        <v>0.116310365879581</v>
      </c>
      <c r="H219" s="9">
        <v>0</v>
      </c>
      <c r="I219" s="10">
        <v>0.11594707358814471</v>
      </c>
      <c r="J219" s="9">
        <v>0</v>
      </c>
      <c r="K219" s="10">
        <v>0.10913491090184912</v>
      </c>
      <c r="L219" s="10">
        <v>0.13074833090134241</v>
      </c>
      <c r="M219" s="10">
        <v>0.11726391662759506</v>
      </c>
      <c r="N219" s="10">
        <v>0.11524831680750891</v>
      </c>
      <c r="O219" s="10">
        <v>0.12079240075909903</v>
      </c>
      <c r="P219" s="10">
        <v>9.8918702729631894E-2</v>
      </c>
      <c r="Q219" s="10">
        <v>9.4200000000000006E-2</v>
      </c>
    </row>
    <row r="220" spans="2:17" ht="18.75" customHeight="1" x14ac:dyDescent="0.25">
      <c r="B220" s="55">
        <v>44347</v>
      </c>
      <c r="C220" s="10">
        <v>0.1144640128869041</v>
      </c>
      <c r="D220" s="9">
        <v>0</v>
      </c>
      <c r="E220" s="9">
        <v>0</v>
      </c>
      <c r="F220" s="10">
        <v>0.10879920088323614</v>
      </c>
      <c r="G220" s="10">
        <v>0.11859808500558146</v>
      </c>
      <c r="H220" s="9">
        <v>0</v>
      </c>
      <c r="I220" s="10">
        <v>0.11294150069156927</v>
      </c>
      <c r="J220" s="9">
        <v>0</v>
      </c>
      <c r="K220" s="10">
        <v>0.11022279460367201</v>
      </c>
      <c r="L220" s="10">
        <v>0.13629175236584912</v>
      </c>
      <c r="M220" s="10">
        <v>0.11319400719771068</v>
      </c>
      <c r="N220" s="10">
        <v>0.11396939221169265</v>
      </c>
      <c r="O220" s="10">
        <v>0.12206399451504923</v>
      </c>
      <c r="P220" s="10">
        <v>0.10387194119111154</v>
      </c>
      <c r="Q220" s="10">
        <v>9.4E-2</v>
      </c>
    </row>
    <row r="221" spans="2:17" ht="18.75" customHeight="1" x14ac:dyDescent="0.25">
      <c r="B221" s="55">
        <v>44377</v>
      </c>
      <c r="C221" s="10">
        <v>0.118180708558695</v>
      </c>
      <c r="D221" s="9">
        <v>0</v>
      </c>
      <c r="E221" s="9">
        <v>0</v>
      </c>
      <c r="F221" s="10">
        <v>0.10789345702637165</v>
      </c>
      <c r="G221" s="10">
        <v>0.12121986740066128</v>
      </c>
      <c r="H221" s="9">
        <v>0</v>
      </c>
      <c r="I221" s="10">
        <v>0.11209002500026122</v>
      </c>
      <c r="J221" s="9">
        <v>0</v>
      </c>
      <c r="K221" s="10">
        <v>0.10769349549565232</v>
      </c>
      <c r="L221" s="10">
        <v>0.14054432281689677</v>
      </c>
      <c r="M221" s="10">
        <v>0.11189698964984629</v>
      </c>
      <c r="N221" s="10">
        <v>0.11335959364712878</v>
      </c>
      <c r="O221" s="10">
        <v>0.12548854220821215</v>
      </c>
      <c r="P221" s="10">
        <v>0.10993629635385194</v>
      </c>
      <c r="Q221" s="10">
        <v>9.3900000000000011E-2</v>
      </c>
    </row>
    <row r="222" spans="2:17" ht="18.75" customHeight="1" x14ac:dyDescent="0.25">
      <c r="B222" s="55">
        <v>44408</v>
      </c>
      <c r="C222" s="10">
        <v>0.12403102634209917</v>
      </c>
      <c r="D222" s="9">
        <v>0</v>
      </c>
      <c r="E222" s="9">
        <v>0</v>
      </c>
      <c r="F222" s="10">
        <v>0.11180265815103407</v>
      </c>
      <c r="G222" s="10">
        <v>0.12512049282467097</v>
      </c>
      <c r="H222" s="9">
        <v>0</v>
      </c>
      <c r="I222" s="10">
        <v>0.11281429051026981</v>
      </c>
      <c r="J222" s="9">
        <v>0</v>
      </c>
      <c r="K222" s="10">
        <v>0.11056430165874342</v>
      </c>
      <c r="L222" s="10">
        <v>0.14136299129598173</v>
      </c>
      <c r="M222" s="10">
        <v>0.11329763210175647</v>
      </c>
      <c r="N222" s="10">
        <v>0.11994684140841327</v>
      </c>
      <c r="O222" s="10">
        <v>0.11770116464929536</v>
      </c>
      <c r="P222" s="10">
        <v>0.12689085963716185</v>
      </c>
      <c r="Q222" s="10">
        <v>9.3399999999999997E-2</v>
      </c>
    </row>
    <row r="223" spans="2:17" ht="18.75" customHeight="1" x14ac:dyDescent="0.25">
      <c r="B223" s="55">
        <v>44439</v>
      </c>
      <c r="C223" s="10">
        <v>0.14226320101825962</v>
      </c>
      <c r="D223" s="9">
        <v>0</v>
      </c>
      <c r="E223" s="9">
        <v>0</v>
      </c>
      <c r="F223" s="10">
        <v>0.13180441508707652</v>
      </c>
      <c r="G223" s="10">
        <v>0.13026840098833303</v>
      </c>
      <c r="H223" s="9">
        <v>0</v>
      </c>
      <c r="I223" s="10">
        <v>0.11972082319374033</v>
      </c>
      <c r="J223" s="9">
        <v>0</v>
      </c>
      <c r="K223" s="10">
        <v>0.11777831641093295</v>
      </c>
      <c r="L223" s="10">
        <v>0.15570885202549611</v>
      </c>
      <c r="M223" s="10">
        <v>0.11699177399133998</v>
      </c>
      <c r="N223" s="10">
        <v>0.13246114404590714</v>
      </c>
      <c r="O223" s="10">
        <v>0.13783477211047246</v>
      </c>
      <c r="P223" s="10">
        <v>0.12407864212064901</v>
      </c>
      <c r="Q223" s="10">
        <v>9.3299999999999994E-2</v>
      </c>
    </row>
    <row r="224" spans="2:17" ht="18.75" customHeight="1" x14ac:dyDescent="0.25">
      <c r="B224" s="55">
        <v>44469</v>
      </c>
      <c r="C224" s="10">
        <v>0.14641842319407083</v>
      </c>
      <c r="D224" s="9">
        <v>0</v>
      </c>
      <c r="E224" s="9">
        <v>0</v>
      </c>
      <c r="F224" s="10">
        <v>0.13131552682460979</v>
      </c>
      <c r="G224" s="10">
        <v>0.12982395830841265</v>
      </c>
      <c r="H224" s="9">
        <v>0</v>
      </c>
      <c r="I224" s="10">
        <v>0.11719093812031378</v>
      </c>
      <c r="J224" s="9">
        <v>0</v>
      </c>
      <c r="K224" s="10">
        <v>0.11962485004223054</v>
      </c>
      <c r="L224" s="10">
        <v>0.15189548225842042</v>
      </c>
      <c r="M224" s="10">
        <v>0.11291563005751737</v>
      </c>
      <c r="N224" s="10">
        <v>0.13287598397820855</v>
      </c>
      <c r="O224" s="10">
        <v>0.13528807753260685</v>
      </c>
      <c r="P224" s="10">
        <v>0.13025930135907426</v>
      </c>
      <c r="Q224" s="10">
        <v>9.2200000000000004E-2</v>
      </c>
    </row>
    <row r="225" spans="2:17" ht="18.75" customHeight="1" x14ac:dyDescent="0.25">
      <c r="B225" s="55">
        <v>44500</v>
      </c>
      <c r="C225" s="10">
        <v>0.15156122800612359</v>
      </c>
      <c r="D225" s="9">
        <v>0</v>
      </c>
      <c r="E225" s="9">
        <v>0</v>
      </c>
      <c r="F225" s="10">
        <v>0.14195612716649508</v>
      </c>
      <c r="G225" s="10">
        <v>0.12879883616098464</v>
      </c>
      <c r="H225" s="9">
        <v>0</v>
      </c>
      <c r="I225" s="10">
        <v>0.11556879797440223</v>
      </c>
      <c r="J225" s="9">
        <v>0</v>
      </c>
      <c r="K225" s="10">
        <v>0.12208931843587578</v>
      </c>
      <c r="L225" s="10">
        <v>0.13679370341634223</v>
      </c>
      <c r="M225" s="10">
        <v>0.11161819061440671</v>
      </c>
      <c r="N225" s="10">
        <v>0.14242932232941108</v>
      </c>
      <c r="O225" s="10">
        <v>0.13089620601333563</v>
      </c>
      <c r="P225" s="10">
        <v>0.13637819642219706</v>
      </c>
      <c r="Q225" s="10">
        <v>9.1999999999999998E-2</v>
      </c>
    </row>
    <row r="226" spans="2:17" ht="18.75" customHeight="1" x14ac:dyDescent="0.25">
      <c r="B226" s="55">
        <v>44530</v>
      </c>
      <c r="C226" s="10">
        <v>0.13958479431080084</v>
      </c>
      <c r="D226" s="9">
        <v>0</v>
      </c>
      <c r="E226" s="9">
        <v>0</v>
      </c>
      <c r="F226" s="10">
        <v>0.13478142824302797</v>
      </c>
      <c r="G226" s="10">
        <v>0.12736359440524492</v>
      </c>
      <c r="H226" s="9">
        <v>0</v>
      </c>
      <c r="I226" s="10">
        <v>0.11327485766300249</v>
      </c>
      <c r="J226" s="9">
        <v>0</v>
      </c>
      <c r="K226" s="10">
        <v>0.12461008489044169</v>
      </c>
      <c r="L226" s="10">
        <v>0.13795247548886236</v>
      </c>
      <c r="M226" s="10">
        <v>0.10942515921575759</v>
      </c>
      <c r="N226" s="10">
        <v>0.14526106856772292</v>
      </c>
      <c r="O226" s="10">
        <v>0.12832842351387552</v>
      </c>
      <c r="P226" s="10">
        <v>0.14020953507366452</v>
      </c>
      <c r="Q226" s="10">
        <v>9.1199999999999989E-2</v>
      </c>
    </row>
    <row r="227" spans="2:17" ht="18.75" customHeight="1" x14ac:dyDescent="0.25">
      <c r="B227" s="55">
        <v>44561</v>
      </c>
      <c r="C227" s="10">
        <v>0.13922097077368933</v>
      </c>
      <c r="D227" s="9">
        <v>0</v>
      </c>
      <c r="E227" s="9">
        <v>0</v>
      </c>
      <c r="F227" s="10">
        <v>0.13438373084799604</v>
      </c>
      <c r="G227" s="10">
        <v>0.12690673977599665</v>
      </c>
      <c r="H227" s="9">
        <v>0</v>
      </c>
      <c r="I227" s="10">
        <v>0.11451794562210547</v>
      </c>
      <c r="J227" s="9">
        <v>0</v>
      </c>
      <c r="K227" s="10">
        <v>0.12650133493729943</v>
      </c>
      <c r="L227" s="10">
        <v>0.13084391372980808</v>
      </c>
      <c r="M227" s="10">
        <v>0.1127331624895309</v>
      </c>
      <c r="N227" s="10">
        <v>0.14366248400704906</v>
      </c>
      <c r="O227" s="10">
        <v>0.12733127810738054</v>
      </c>
      <c r="P227" s="10">
        <v>0.14000554941653687</v>
      </c>
      <c r="Q227" s="10">
        <v>9.11E-2</v>
      </c>
    </row>
    <row r="228" spans="2:17" ht="18.75" customHeight="1" x14ac:dyDescent="0.25">
      <c r="B228" s="55">
        <v>44592</v>
      </c>
      <c r="C228" s="10">
        <v>0.1342682899356642</v>
      </c>
      <c r="D228" s="9">
        <v>0</v>
      </c>
      <c r="E228" s="9">
        <v>0</v>
      </c>
      <c r="F228" s="10">
        <v>0.13222144817912884</v>
      </c>
      <c r="G228" s="10">
        <v>0.12584365392629215</v>
      </c>
      <c r="H228" s="9">
        <v>0</v>
      </c>
      <c r="I228" s="10">
        <v>0.11413522352899808</v>
      </c>
      <c r="J228" s="9">
        <v>0</v>
      </c>
      <c r="K228" s="10">
        <v>0.11777802565684968</v>
      </c>
      <c r="L228" s="10">
        <v>0.11842134972706543</v>
      </c>
      <c r="M228" s="10">
        <v>0.11206399158716905</v>
      </c>
      <c r="N228" s="10">
        <v>0.14320152056004387</v>
      </c>
      <c r="O228" s="10">
        <v>0.12488111667631439</v>
      </c>
      <c r="P228" s="10">
        <v>0.14073563187270044</v>
      </c>
      <c r="Q228" s="10">
        <v>9.1600000000000001E-2</v>
      </c>
    </row>
    <row r="229" spans="2:17" ht="18.75" customHeight="1" x14ac:dyDescent="0.25">
      <c r="B229" s="55">
        <v>44620</v>
      </c>
      <c r="C229" s="10">
        <v>0.1115684546489495</v>
      </c>
      <c r="D229" s="9">
        <v>0</v>
      </c>
      <c r="E229" s="9">
        <v>0</v>
      </c>
      <c r="F229" s="10">
        <v>0.10613385327208548</v>
      </c>
      <c r="G229" s="10">
        <v>0.11144867141437764</v>
      </c>
      <c r="H229" s="9">
        <v>0</v>
      </c>
      <c r="I229" s="10">
        <v>8.389902821445494E-2</v>
      </c>
      <c r="J229" s="9">
        <v>0</v>
      </c>
      <c r="K229" s="10">
        <v>9.1861810168923252E-2</v>
      </c>
      <c r="L229" s="10">
        <v>9.1115715931055372E-2</v>
      </c>
      <c r="M229" s="10">
        <v>7.7364073191036109E-2</v>
      </c>
      <c r="N229" s="10">
        <v>0.11964745938466015</v>
      </c>
      <c r="O229" s="10">
        <v>0.10915864884623371</v>
      </c>
      <c r="P229" s="10">
        <v>0.121370703124996</v>
      </c>
      <c r="Q229" s="10">
        <v>9.2499999999999999E-2</v>
      </c>
    </row>
    <row r="230" spans="2:17" ht="18.75" customHeight="1" x14ac:dyDescent="0.25">
      <c r="B230" s="55">
        <v>44651</v>
      </c>
      <c r="C230" s="10">
        <v>0.11397728953569362</v>
      </c>
      <c r="D230" s="9">
        <v>0</v>
      </c>
      <c r="E230" s="9">
        <v>0</v>
      </c>
      <c r="F230" s="10">
        <v>0.10761454580919994</v>
      </c>
      <c r="G230" s="10">
        <v>0.10501604427935263</v>
      </c>
      <c r="H230" s="9">
        <v>0</v>
      </c>
      <c r="I230" s="10">
        <v>8.5027514118343639E-2</v>
      </c>
      <c r="J230" s="9">
        <v>0</v>
      </c>
      <c r="K230" s="10">
        <v>9.5167918447998989E-2</v>
      </c>
      <c r="L230" s="10">
        <v>7.8379996188803869E-2</v>
      </c>
      <c r="M230" s="10">
        <v>7.9374752568673212E-2</v>
      </c>
      <c r="N230" s="10">
        <v>0.11440694340293887</v>
      </c>
      <c r="O230" s="10">
        <v>9.7865435862909411E-2</v>
      </c>
      <c r="P230" s="10">
        <v>0.1133316847660668</v>
      </c>
      <c r="Q230" s="10">
        <v>9.4299999999999995E-2</v>
      </c>
    </row>
    <row r="231" spans="2:17" ht="18.75" customHeight="1" x14ac:dyDescent="0.25">
      <c r="B231" s="55">
        <v>44681</v>
      </c>
      <c r="C231" s="10">
        <v>0.11182277534534023</v>
      </c>
      <c r="D231" s="9">
        <v>0</v>
      </c>
      <c r="E231" s="9">
        <v>0</v>
      </c>
      <c r="F231" s="10">
        <v>0.1068836140849756</v>
      </c>
      <c r="G231" s="10">
        <v>0.10188421435195473</v>
      </c>
      <c r="H231" s="9">
        <v>0</v>
      </c>
      <c r="I231" s="10">
        <v>8.3846161595197768E-2</v>
      </c>
      <c r="J231" s="9">
        <v>0</v>
      </c>
      <c r="K231" s="10">
        <v>9.3455416416201378E-2</v>
      </c>
      <c r="L231" s="10">
        <v>7.7120404674677845E-2</v>
      </c>
      <c r="M231" s="10">
        <v>7.869502386776861E-2</v>
      </c>
      <c r="N231" s="10">
        <v>0.11285782201868422</v>
      </c>
      <c r="O231" s="10">
        <v>9.7888229835295673E-2</v>
      </c>
      <c r="P231" s="10">
        <v>0.11059782538663354</v>
      </c>
      <c r="Q231" s="10">
        <v>9.4600000000000004E-2</v>
      </c>
    </row>
    <row r="232" spans="2:17" ht="18.75" customHeight="1" x14ac:dyDescent="0.25">
      <c r="B232" s="55">
        <v>44712</v>
      </c>
      <c r="C232" s="10">
        <v>0.10587525072791039</v>
      </c>
      <c r="D232" s="9">
        <v>0</v>
      </c>
      <c r="E232" s="9">
        <v>0</v>
      </c>
      <c r="F232" s="10">
        <v>0.10183160535606772</v>
      </c>
      <c r="G232" s="10">
        <v>9.7256047531790735E-2</v>
      </c>
      <c r="H232" s="9">
        <v>0</v>
      </c>
      <c r="I232" s="10">
        <v>7.8020265226164121E-2</v>
      </c>
      <c r="J232" s="9">
        <v>0</v>
      </c>
      <c r="K232" s="10">
        <v>8.5692876133283344E-2</v>
      </c>
      <c r="L232" s="10">
        <v>7.0654083701583437E-2</v>
      </c>
      <c r="M232" s="10">
        <v>7.2713163053901075E-2</v>
      </c>
      <c r="N232" s="10">
        <v>0.11028482207388102</v>
      </c>
      <c r="O232" s="10">
        <v>9.4370029837948621E-2</v>
      </c>
      <c r="P232" s="10">
        <v>0.1017578590046455</v>
      </c>
      <c r="Q232" s="10">
        <v>9.6000000000000002E-2</v>
      </c>
    </row>
    <row r="233" spans="2:17" ht="18.75" customHeight="1" x14ac:dyDescent="0.25">
      <c r="B233" s="55">
        <v>44742</v>
      </c>
      <c r="C233" s="10">
        <v>9.8008539883265092E-2</v>
      </c>
      <c r="D233" s="9">
        <v>0</v>
      </c>
      <c r="E233" s="9">
        <v>0</v>
      </c>
      <c r="F233" s="10">
        <v>9.2261781800756074E-2</v>
      </c>
      <c r="G233" s="10">
        <v>9.1238047994250948E-2</v>
      </c>
      <c r="H233" s="9">
        <v>0</v>
      </c>
      <c r="I233" s="10">
        <v>6.8229429061780422E-2</v>
      </c>
      <c r="J233" s="9">
        <v>0</v>
      </c>
      <c r="K233" s="10">
        <v>7.9942296642503186E-2</v>
      </c>
      <c r="L233" s="10">
        <v>6.3148563026199866E-2</v>
      </c>
      <c r="M233" s="10">
        <v>6.1124017214693627E-2</v>
      </c>
      <c r="N233" s="10">
        <v>9.9695582594572021E-2</v>
      </c>
      <c r="O233" s="10">
        <v>8.6698434160950022E-2</v>
      </c>
      <c r="P233" s="10">
        <v>9.0251887874589945E-2</v>
      </c>
      <c r="Q233" s="10">
        <v>9.64E-2</v>
      </c>
    </row>
    <row r="234" spans="2:17" ht="18.75" customHeight="1" x14ac:dyDescent="0.25">
      <c r="B234" s="55">
        <v>44773</v>
      </c>
      <c r="C234" s="10">
        <v>8.8700628217042374E-2</v>
      </c>
      <c r="D234" s="9">
        <v>0</v>
      </c>
      <c r="E234" s="9">
        <v>0</v>
      </c>
      <c r="F234" s="10">
        <v>8.4744086983125091E-2</v>
      </c>
      <c r="G234" s="10">
        <v>8.3953443528721472E-2</v>
      </c>
      <c r="H234" s="9">
        <v>0</v>
      </c>
      <c r="I234" s="10">
        <v>6.4040633323804386E-2</v>
      </c>
      <c r="J234" s="9">
        <v>0</v>
      </c>
      <c r="K234" s="10">
        <v>7.3952778447284651E-2</v>
      </c>
      <c r="L234" s="10">
        <v>6.0422254968580669E-2</v>
      </c>
      <c r="M234" s="10">
        <v>5.6104230916522502E-2</v>
      </c>
      <c r="N234" s="10">
        <v>8.9684899693913037E-2</v>
      </c>
      <c r="O234" s="10">
        <v>8.2087487617735544E-2</v>
      </c>
      <c r="P234" s="10">
        <v>8.0150710252316237E-2</v>
      </c>
      <c r="Q234" s="10">
        <v>0.10189999999999999</v>
      </c>
    </row>
    <row r="235" spans="2:17" ht="18.75" customHeight="1" x14ac:dyDescent="0.25">
      <c r="B235" s="55">
        <v>44804</v>
      </c>
      <c r="C235" s="10">
        <v>6.8370536161678874E-2</v>
      </c>
      <c r="D235" s="9">
        <v>0</v>
      </c>
      <c r="E235" s="9">
        <v>0</v>
      </c>
      <c r="F235" s="10">
        <v>6.2958490928391342E-2</v>
      </c>
      <c r="G235" s="10">
        <v>7.4450707643326508E-2</v>
      </c>
      <c r="H235" s="9">
        <v>0</v>
      </c>
      <c r="I235" s="10">
        <v>4.8043519398639711E-2</v>
      </c>
      <c r="J235" s="9">
        <v>0</v>
      </c>
      <c r="K235" s="10">
        <v>6.1740296505523373E-2</v>
      </c>
      <c r="L235" s="10">
        <v>4.8697953538965999E-2</v>
      </c>
      <c r="M235" s="10">
        <v>4.3540561609250572E-2</v>
      </c>
      <c r="N235" s="10">
        <v>7.3581974359225422E-2</v>
      </c>
      <c r="O235" s="10">
        <v>6.7164710412924489E-2</v>
      </c>
      <c r="P235" s="10">
        <v>7.0239691060947518E-2</v>
      </c>
      <c r="Q235" s="10">
        <v>0.10220000000000001</v>
      </c>
    </row>
    <row r="236" spans="2:17" ht="18.75" customHeight="1" x14ac:dyDescent="0.25">
      <c r="B236" s="55">
        <v>44834</v>
      </c>
      <c r="C236" s="10">
        <v>6.4474225611225178E-2</v>
      </c>
      <c r="D236" s="9">
        <v>0</v>
      </c>
      <c r="E236" s="9">
        <v>0</v>
      </c>
      <c r="F236" s="10">
        <v>5.9021275177932431E-2</v>
      </c>
      <c r="G236" s="10">
        <v>7.0877791003089108E-2</v>
      </c>
      <c r="H236" s="9">
        <v>0</v>
      </c>
      <c r="I236" s="10">
        <v>4.8592064665547552E-2</v>
      </c>
      <c r="J236" s="9">
        <v>0</v>
      </c>
      <c r="K236" s="10">
        <v>5.6343199347748785E-2</v>
      </c>
      <c r="L236" s="10">
        <v>5.2855776688865763E-2</v>
      </c>
      <c r="M236" s="10">
        <v>4.5983901300559848E-2</v>
      </c>
      <c r="N236" s="10">
        <v>7.0468566956444434E-2</v>
      </c>
      <c r="O236" s="10">
        <v>6.7124351780899261E-2</v>
      </c>
      <c r="P236" s="10">
        <v>6.3786862750386808E-2</v>
      </c>
      <c r="Q236" s="10">
        <v>0.10220000000000001</v>
      </c>
    </row>
    <row r="237" spans="2:17" ht="18.75" customHeight="1" x14ac:dyDescent="0.25">
      <c r="B237" s="55">
        <v>44865</v>
      </c>
      <c r="C237" s="10">
        <v>5.5577990376155073E-2</v>
      </c>
      <c r="D237" s="9">
        <v>0</v>
      </c>
      <c r="E237" s="9">
        <v>0</v>
      </c>
      <c r="F237" s="10">
        <v>4.6497318426018897E-2</v>
      </c>
      <c r="G237" s="10">
        <v>7.3131716836325467E-2</v>
      </c>
      <c r="H237" s="9">
        <v>0</v>
      </c>
      <c r="I237" s="10">
        <v>4.5643097388447851E-2</v>
      </c>
      <c r="J237" s="9">
        <v>0</v>
      </c>
      <c r="K237" s="10">
        <v>5.3646484224963764E-2</v>
      </c>
      <c r="L237" s="10">
        <v>5.5931626264394296E-2</v>
      </c>
      <c r="M237" s="10">
        <v>4.5165859167436428E-2</v>
      </c>
      <c r="N237" s="10">
        <v>5.8200753214336043E-2</v>
      </c>
      <c r="O237" s="10">
        <v>6.7763648049725456E-2</v>
      </c>
      <c r="P237" s="10">
        <v>5.4732997235197978E-2</v>
      </c>
      <c r="Q237" s="10">
        <v>0.1033</v>
      </c>
    </row>
    <row r="238" spans="2:17" ht="18.75" customHeight="1" x14ac:dyDescent="0.25">
      <c r="B238" s="55">
        <v>44895</v>
      </c>
      <c r="C238" s="10">
        <v>6.5100000000000005E-2</v>
      </c>
      <c r="D238" s="9">
        <v>0</v>
      </c>
      <c r="E238" s="9">
        <v>0</v>
      </c>
      <c r="F238" s="10">
        <v>5.04E-2</v>
      </c>
      <c r="G238" s="10">
        <v>7.2499999999999995E-2</v>
      </c>
      <c r="H238" s="9">
        <v>0</v>
      </c>
      <c r="I238" s="10">
        <v>4.7699999999999999E-2</v>
      </c>
      <c r="J238" s="9">
        <v>0</v>
      </c>
      <c r="K238" s="10">
        <v>5.4800000000000001E-2</v>
      </c>
      <c r="L238" s="10">
        <v>5.5E-2</v>
      </c>
      <c r="M238" s="10">
        <v>4.7899999999999998E-2</v>
      </c>
      <c r="N238" s="10">
        <v>5.4699999999999999E-2</v>
      </c>
      <c r="O238" s="10">
        <v>6.8599999999999994E-2</v>
      </c>
      <c r="P238" s="10">
        <v>4.8099999999999997E-2</v>
      </c>
      <c r="Q238" s="10">
        <v>0.1038</v>
      </c>
    </row>
    <row r="239" spans="2:17" ht="18.75" customHeight="1" x14ac:dyDescent="0.25">
      <c r="B239" s="55">
        <v>44926</v>
      </c>
      <c r="C239" s="10">
        <v>6.9800000000000001E-2</v>
      </c>
      <c r="D239" s="9">
        <v>0</v>
      </c>
      <c r="E239" s="9">
        <v>0</v>
      </c>
      <c r="F239" s="10">
        <v>5.6399999999999999E-2</v>
      </c>
      <c r="G239" s="10">
        <v>7.3400000000000007E-2</v>
      </c>
      <c r="H239" s="9">
        <v>0</v>
      </c>
      <c r="I239" s="10">
        <v>5.1999999999999998E-2</v>
      </c>
      <c r="J239" s="9">
        <v>0</v>
      </c>
      <c r="K239" s="10">
        <v>6.0600000000000001E-2</v>
      </c>
      <c r="L239" s="10">
        <v>5.7099999999999998E-2</v>
      </c>
      <c r="M239" s="10">
        <v>5.3100000000000001E-2</v>
      </c>
      <c r="N239" s="10">
        <v>5.5199999999999999E-2</v>
      </c>
      <c r="O239" s="10">
        <v>7.1300000000000002E-2</v>
      </c>
      <c r="P239" s="10">
        <v>4.9099999999999998E-2</v>
      </c>
      <c r="Q239" s="10">
        <v>0.1045</v>
      </c>
    </row>
    <row r="240" spans="2:17" ht="18.75" customHeight="1" x14ac:dyDescent="0.25">
      <c r="B240" s="55">
        <v>44957</v>
      </c>
      <c r="C240" s="10">
        <v>6.9873534242844926E-2</v>
      </c>
      <c r="D240" s="9">
        <v>0</v>
      </c>
      <c r="E240" s="9">
        <v>0</v>
      </c>
      <c r="F240" s="10">
        <v>5.807701771616447E-2</v>
      </c>
      <c r="G240" s="10">
        <v>7.2985750405644589E-2</v>
      </c>
      <c r="H240" s="9">
        <v>0</v>
      </c>
      <c r="I240" s="10">
        <v>5.3009019056234896E-2</v>
      </c>
      <c r="J240" s="9">
        <v>0</v>
      </c>
      <c r="K240" s="10">
        <v>6.000731760710809E-2</v>
      </c>
      <c r="L240" s="10">
        <v>6.217108701005758E-2</v>
      </c>
      <c r="M240" s="10">
        <v>5.6942892614301632E-2</v>
      </c>
      <c r="N240" s="10">
        <v>5.739671205269592E-2</v>
      </c>
      <c r="O240" s="10">
        <v>7.3097794056872667E-2</v>
      </c>
      <c r="P240" s="10">
        <v>4.7012228624404129E-2</v>
      </c>
      <c r="Q240" s="10">
        <v>0.10539999999999999</v>
      </c>
    </row>
    <row r="241" spans="2:17" ht="18.75" customHeight="1" x14ac:dyDescent="0.25">
      <c r="B241" s="55">
        <v>44985</v>
      </c>
      <c r="C241" s="10">
        <v>7.5240997992058745E-2</v>
      </c>
      <c r="D241" s="9">
        <v>0</v>
      </c>
      <c r="E241" s="9">
        <v>0</v>
      </c>
      <c r="F241" s="10">
        <v>6.9357681184161635E-2</v>
      </c>
      <c r="G241" s="10">
        <v>8.717175091754692E-2</v>
      </c>
      <c r="H241" s="9">
        <v>0</v>
      </c>
      <c r="I241" s="10">
        <v>6.7373323583467926E-2</v>
      </c>
      <c r="J241" s="9">
        <v>0</v>
      </c>
      <c r="K241" s="10">
        <v>7.5778725258275115E-2</v>
      </c>
      <c r="L241" s="10">
        <v>6.2359567978681252E-2</v>
      </c>
      <c r="M241" s="10">
        <v>7.4542003837501758E-2</v>
      </c>
      <c r="N241" s="10">
        <v>6.7921106030966572E-2</v>
      </c>
      <c r="O241" s="10">
        <v>8.5093211171988425E-2</v>
      </c>
      <c r="P241" s="10">
        <v>5.5285230174928035E-2</v>
      </c>
      <c r="Q241" s="10">
        <v>0.10679999999999999</v>
      </c>
    </row>
    <row r="242" spans="2:17" ht="18.75" customHeight="1" x14ac:dyDescent="0.25">
      <c r="B242" s="55">
        <v>45016</v>
      </c>
      <c r="C242" s="10">
        <v>6.9800000000000001E-2</v>
      </c>
      <c r="D242" s="9">
        <v>0</v>
      </c>
      <c r="E242" s="9">
        <v>0</v>
      </c>
      <c r="F242" s="10">
        <v>6.5100000000000005E-2</v>
      </c>
      <c r="G242" s="10">
        <v>8.6099999999999996E-2</v>
      </c>
      <c r="H242" s="9">
        <v>0</v>
      </c>
      <c r="I242" s="10">
        <v>6.2799999999999995E-2</v>
      </c>
      <c r="J242" s="9">
        <v>0</v>
      </c>
      <c r="K242" s="10">
        <v>7.2400000000000006E-2</v>
      </c>
      <c r="L242" s="10">
        <v>6.3899999999999998E-2</v>
      </c>
      <c r="M242" s="10">
        <v>7.0300000000000001E-2</v>
      </c>
      <c r="N242" s="10">
        <v>6.9000000000000006E-2</v>
      </c>
      <c r="O242" s="10">
        <v>8.4500000000000006E-2</v>
      </c>
      <c r="P242" s="10">
        <v>6.0100000000000001E-2</v>
      </c>
      <c r="Q242" s="10">
        <v>0.1071</v>
      </c>
    </row>
    <row r="243" spans="2:17" ht="18.75" customHeight="1" x14ac:dyDescent="0.25">
      <c r="B243" s="55">
        <v>45046</v>
      </c>
      <c r="C243" s="10">
        <v>6.9599999999999995E-2</v>
      </c>
      <c r="D243" s="9">
        <v>0</v>
      </c>
      <c r="E243" s="9">
        <v>0</v>
      </c>
      <c r="F243" s="10">
        <v>6.3600000000000004E-2</v>
      </c>
      <c r="G243" s="10">
        <v>8.6499999999999994E-2</v>
      </c>
      <c r="H243" s="9">
        <v>0</v>
      </c>
      <c r="I243" s="10">
        <v>6.08E-2</v>
      </c>
      <c r="J243" s="9">
        <v>0</v>
      </c>
      <c r="K243" s="10">
        <v>7.0699999999999999E-2</v>
      </c>
      <c r="L243" s="10">
        <v>6.5199999999999994E-2</v>
      </c>
      <c r="M243" s="10">
        <v>6.8500000000000005E-2</v>
      </c>
      <c r="N243" s="10">
        <v>6.9099999999999995E-2</v>
      </c>
      <c r="O243" s="10">
        <v>8.3900000000000002E-2</v>
      </c>
      <c r="P243" s="10">
        <v>6.1400000000000003E-2</v>
      </c>
      <c r="Q243" s="10">
        <v>0.1076</v>
      </c>
    </row>
    <row r="244" spans="2:17" ht="18.75" customHeight="1" x14ac:dyDescent="0.25">
      <c r="B244" s="55">
        <v>45077</v>
      </c>
      <c r="C244" s="10">
        <v>6.8199999999999997E-2</v>
      </c>
      <c r="D244" s="9">
        <v>0</v>
      </c>
      <c r="E244" s="9">
        <v>0</v>
      </c>
      <c r="F244" s="10">
        <v>6.3500000000000001E-2</v>
      </c>
      <c r="G244" s="10">
        <v>8.8499999999999995E-2</v>
      </c>
      <c r="H244" s="9">
        <v>0</v>
      </c>
      <c r="I244" s="10">
        <v>0.06</v>
      </c>
      <c r="J244" s="9">
        <v>0</v>
      </c>
      <c r="K244" s="10">
        <v>7.17E-2</v>
      </c>
      <c r="L244" s="10">
        <v>6.7199999999999996E-2</v>
      </c>
      <c r="M244" s="10">
        <v>6.8000000000000005E-2</v>
      </c>
      <c r="N244" s="10">
        <v>6.88E-2</v>
      </c>
      <c r="O244" s="10">
        <v>8.3799999999999999E-2</v>
      </c>
      <c r="P244" s="10">
        <v>6.1699999999999998E-2</v>
      </c>
      <c r="Q244" s="10">
        <v>0.1076</v>
      </c>
    </row>
    <row r="245" spans="2:17" ht="18.75" customHeight="1" x14ac:dyDescent="0.25">
      <c r="B245" s="55">
        <v>45107</v>
      </c>
      <c r="C245" s="10">
        <v>6.93E-2</v>
      </c>
      <c r="D245" s="9">
        <v>0</v>
      </c>
      <c r="E245" s="9">
        <v>0</v>
      </c>
      <c r="F245" s="10">
        <v>6.5799999999999997E-2</v>
      </c>
      <c r="G245" s="10">
        <v>9.1600000000000001E-2</v>
      </c>
      <c r="H245" s="9">
        <v>0</v>
      </c>
      <c r="I245" s="10">
        <v>6.4799999999999996E-2</v>
      </c>
      <c r="J245" s="9">
        <v>0</v>
      </c>
      <c r="K245" s="10">
        <v>7.5499999999999998E-2</v>
      </c>
      <c r="L245" s="10">
        <v>7.0099999999999996E-2</v>
      </c>
      <c r="M245" s="10">
        <v>7.1499999999999994E-2</v>
      </c>
      <c r="N245" s="10">
        <v>7.2400000000000006E-2</v>
      </c>
      <c r="O245" s="10">
        <v>8.5699999999999998E-2</v>
      </c>
      <c r="P245" s="10">
        <v>6.3500000000000001E-2</v>
      </c>
      <c r="Q245" s="10">
        <v>0.1074</v>
      </c>
    </row>
    <row r="246" spans="2:17" ht="18.75" customHeight="1" x14ac:dyDescent="0.25">
      <c r="B246" s="55">
        <v>45138</v>
      </c>
      <c r="C246" s="10">
        <v>7.2999999999999995E-2</v>
      </c>
      <c r="D246" s="9">
        <v>0</v>
      </c>
      <c r="E246" s="9">
        <v>0</v>
      </c>
      <c r="F246" s="10">
        <v>7.2599999999999998E-2</v>
      </c>
      <c r="G246" s="10">
        <v>9.4200000000000006E-2</v>
      </c>
      <c r="H246" s="9">
        <v>0</v>
      </c>
      <c r="I246" s="10">
        <v>7.51E-2</v>
      </c>
      <c r="J246" s="9">
        <v>0</v>
      </c>
      <c r="K246" s="10">
        <v>8.1600000000000006E-2</v>
      </c>
      <c r="L246" s="10">
        <v>7.1599999999999997E-2</v>
      </c>
      <c r="M246" s="10">
        <v>8.0299999999999996E-2</v>
      </c>
      <c r="N246" s="10">
        <v>7.5800000000000006E-2</v>
      </c>
      <c r="O246" s="10">
        <v>8.9399999999999993E-2</v>
      </c>
      <c r="P246" s="10">
        <v>6.5799999999999997E-2</v>
      </c>
      <c r="Q246" s="10">
        <v>0.1071</v>
      </c>
    </row>
    <row r="247" spans="2:17" ht="18.75" customHeight="1" x14ac:dyDescent="0.25">
      <c r="B247" s="55">
        <v>45169</v>
      </c>
      <c r="C247" s="10">
        <f>786.17664597697%/100</f>
        <v>7.8617664597696993E-2</v>
      </c>
      <c r="D247" s="9">
        <v>0</v>
      </c>
      <c r="E247" s="9">
        <v>0</v>
      </c>
      <c r="F247" s="10">
        <f>839.467602358945%/100</f>
        <v>8.3946760235894494E-2</v>
      </c>
      <c r="G247" s="10">
        <v>0.10071429166598156</v>
      </c>
      <c r="H247" s="9">
        <v>0</v>
      </c>
      <c r="I247" s="10">
        <v>8.5148240389293375E-2</v>
      </c>
      <c r="J247" s="9">
        <v>0</v>
      </c>
      <c r="K247" s="10">
        <v>9.0556643128345549E-2</v>
      </c>
      <c r="L247" s="10">
        <v>7.2011379171560419E-2</v>
      </c>
      <c r="M247" s="10">
        <v>8.9820278101889736E-2</v>
      </c>
      <c r="N247" s="10">
        <v>8.0746840364827044E-2</v>
      </c>
      <c r="O247" s="10">
        <v>9.4812828280704795E-2</v>
      </c>
      <c r="P247" s="10">
        <v>6.9601266077189861E-2</v>
      </c>
      <c r="Q247" s="10">
        <v>0.1072</v>
      </c>
    </row>
    <row r="248" spans="2:17" ht="18.75" customHeight="1" x14ac:dyDescent="0.25">
      <c r="B248" s="55">
        <v>45199</v>
      </c>
      <c r="C248" s="10">
        <v>8.0913689020889912E-2</v>
      </c>
      <c r="D248" s="9">
        <v>0</v>
      </c>
      <c r="E248" s="9">
        <v>0</v>
      </c>
      <c r="F248" s="10">
        <v>8.6444526037547487E-2</v>
      </c>
      <c r="G248" s="10">
        <v>0.10351086061019131</v>
      </c>
      <c r="H248" s="9">
        <v>0</v>
      </c>
      <c r="I248" s="10">
        <v>9.1082237172202429E-2</v>
      </c>
      <c r="J248" s="9">
        <v>0</v>
      </c>
      <c r="K248" s="10">
        <v>9.6187177722101502E-2</v>
      </c>
      <c r="L248" s="10">
        <v>7.2369727259071759E-2</v>
      </c>
      <c r="M248" s="10">
        <v>9.3608486605246011E-2</v>
      </c>
      <c r="N248" s="10">
        <v>8.2496771176057818E-2</v>
      </c>
      <c r="O248" s="10">
        <v>9.7663504841619689E-2</v>
      </c>
      <c r="P248" s="10">
        <v>7.1345547844209545E-2</v>
      </c>
      <c r="Q248" s="10">
        <v>0.10679999999999999</v>
      </c>
    </row>
    <row r="249" spans="2:17" ht="18.75" customHeight="1" x14ac:dyDescent="0.25">
      <c r="B249" s="55">
        <v>45230</v>
      </c>
      <c r="C249" s="10">
        <v>7.9967238980699351E-2</v>
      </c>
      <c r="D249" s="9">
        <v>0</v>
      </c>
      <c r="E249" s="9">
        <v>0</v>
      </c>
      <c r="F249" s="10">
        <v>8.7653801780455107E-2</v>
      </c>
      <c r="G249" s="10">
        <v>9.9391665425527354E-2</v>
      </c>
      <c r="H249" s="9">
        <v>0</v>
      </c>
      <c r="I249" s="10">
        <v>9.2936389311319978E-2</v>
      </c>
      <c r="J249" s="9">
        <v>0</v>
      </c>
      <c r="K249" s="10">
        <v>9.5757368782191113E-2</v>
      </c>
      <c r="L249" s="10">
        <v>7.3086514846146367E-2</v>
      </c>
      <c r="M249" s="10">
        <v>9.341369177848069E-2</v>
      </c>
      <c r="N249" s="10">
        <v>8.5656593116893998E-2</v>
      </c>
      <c r="O249" s="10">
        <v>9.8962058091379035E-2</v>
      </c>
      <c r="P249" s="10">
        <v>7.3699181180068241E-2</v>
      </c>
      <c r="Q249" s="10">
        <v>0.10679999999999999</v>
      </c>
    </row>
    <row r="250" spans="2:17" ht="18.75" customHeight="1" x14ac:dyDescent="0.25">
      <c r="B250" s="55">
        <v>45260</v>
      </c>
      <c r="C250" s="10">
        <v>7.7669732726891372E-2</v>
      </c>
      <c r="D250" s="9">
        <v>0</v>
      </c>
      <c r="E250" s="9">
        <v>0</v>
      </c>
      <c r="F250" s="10">
        <v>8.338232013728053E-2</v>
      </c>
      <c r="G250" s="10">
        <v>9.8944657560461766E-2</v>
      </c>
      <c r="H250" s="9">
        <v>0</v>
      </c>
      <c r="I250" s="10">
        <v>9.1190778701916178E-2</v>
      </c>
      <c r="J250" s="9">
        <v>0</v>
      </c>
      <c r="K250" s="10">
        <v>9.0454888383380005E-2</v>
      </c>
      <c r="L250" s="10">
        <v>7.3546902001276226E-2</v>
      </c>
      <c r="M250" s="10">
        <v>8.9544673143662212E-2</v>
      </c>
      <c r="N250" s="10">
        <v>8.4028402353196294E-2</v>
      </c>
      <c r="O250" s="10">
        <v>9.8034224891229579E-2</v>
      </c>
      <c r="P250" s="10">
        <v>7.3407387772698396E-2</v>
      </c>
      <c r="Q250" s="10">
        <v>0.10730000000000001</v>
      </c>
    </row>
    <row r="251" spans="2:17" ht="18.75" customHeight="1" x14ac:dyDescent="0.25">
      <c r="B251" s="55">
        <v>45291</v>
      </c>
      <c r="C251" s="10">
        <v>7.7204221947354323E-2</v>
      </c>
      <c r="D251" s="9">
        <v>0</v>
      </c>
      <c r="E251" s="9">
        <v>0</v>
      </c>
      <c r="F251" s="10">
        <v>7.8138908190303891E-2</v>
      </c>
      <c r="G251" s="10">
        <v>9.9414732681418094E-2</v>
      </c>
      <c r="H251" s="9">
        <v>0</v>
      </c>
      <c r="I251" s="10">
        <v>9.5768498580890871E-2</v>
      </c>
      <c r="J251" s="9">
        <v>0</v>
      </c>
      <c r="K251" s="10">
        <v>8.9409724817357095E-2</v>
      </c>
      <c r="L251" s="10">
        <v>7.3086497397832684E-2</v>
      </c>
      <c r="M251" s="10">
        <v>8.3203926334589173E-2</v>
      </c>
      <c r="N251" s="10">
        <v>8.0296883713181888E-2</v>
      </c>
      <c r="O251" s="10">
        <v>9.5011311542093649E-2</v>
      </c>
      <c r="P251" s="10">
        <v>7.0902739535338322E-2</v>
      </c>
      <c r="Q251" s="10">
        <v>0.10679999999999999</v>
      </c>
    </row>
    <row r="252" spans="2:17" ht="18.75" customHeight="1" x14ac:dyDescent="0.25">
      <c r="B252" s="55">
        <v>45322</v>
      </c>
      <c r="C252" s="10">
        <v>7.7517025387872751E-2</v>
      </c>
      <c r="D252" s="9">
        <v>0</v>
      </c>
      <c r="E252" s="9">
        <v>0</v>
      </c>
      <c r="F252" s="10">
        <v>7.9845142801871383E-2</v>
      </c>
      <c r="G252" s="10">
        <v>0.10230824858174901</v>
      </c>
      <c r="H252" s="9">
        <v>0</v>
      </c>
      <c r="I252" s="10">
        <v>0.10181157046230549</v>
      </c>
      <c r="J252" s="9">
        <v>0</v>
      </c>
      <c r="K252" s="10">
        <v>9.1647066422474222E-2</v>
      </c>
      <c r="L252" s="10">
        <v>7.3991770789214373E-2</v>
      </c>
      <c r="M252" s="10">
        <v>8.5336978874501104E-2</v>
      </c>
      <c r="N252" s="10">
        <v>8.1041031186215751E-2</v>
      </c>
      <c r="O252" s="10">
        <v>9.8597038893927014E-2</v>
      </c>
      <c r="P252" s="10">
        <v>7.2214802035374559E-2</v>
      </c>
      <c r="Q252" s="10">
        <v>0.1065</v>
      </c>
    </row>
    <row r="253" spans="2:17" ht="18.75" customHeight="1" x14ac:dyDescent="0.25">
      <c r="B253" s="55">
        <v>45351</v>
      </c>
      <c r="C253" s="10">
        <v>8.0602316398818305E-2</v>
      </c>
      <c r="D253" s="9">
        <v>0</v>
      </c>
      <c r="E253" s="9">
        <v>0</v>
      </c>
      <c r="F253" s="10">
        <v>8.5124517999562332E-2</v>
      </c>
      <c r="G253" s="10">
        <v>9.9323523736239316E-2</v>
      </c>
      <c r="H253" s="9">
        <v>0</v>
      </c>
      <c r="I253" s="10">
        <v>0.10589068582821938</v>
      </c>
      <c r="J253" s="9">
        <v>0</v>
      </c>
      <c r="K253" s="10">
        <v>9.4851032021699311E-2</v>
      </c>
      <c r="L253" s="10">
        <v>7.4847481010937411E-2</v>
      </c>
      <c r="M253" s="10">
        <v>9.0038489489733475E-2</v>
      </c>
      <c r="N253" s="10">
        <v>8.1460858591675164E-2</v>
      </c>
      <c r="O253" s="10">
        <v>9.6192843974280962E-2</v>
      </c>
      <c r="P253" s="10">
        <v>7.2308776835893429E-2</v>
      </c>
      <c r="Q253" s="10">
        <v>0.10589999999999999</v>
      </c>
    </row>
    <row r="254" spans="2:17" ht="18.75" customHeight="1" x14ac:dyDescent="0.25">
      <c r="B254" s="55">
        <v>45382</v>
      </c>
      <c r="C254" s="10">
        <v>8.456367797415254E-2</v>
      </c>
      <c r="D254" s="9">
        <v>0</v>
      </c>
      <c r="E254" s="9">
        <v>0</v>
      </c>
      <c r="F254" s="10">
        <v>8.9184401376023903E-2</v>
      </c>
      <c r="G254" s="10">
        <v>0.10276906376798746</v>
      </c>
      <c r="H254" s="9">
        <v>0</v>
      </c>
      <c r="I254" s="10">
        <v>0.1101519015447856</v>
      </c>
      <c r="J254" s="9">
        <v>0</v>
      </c>
      <c r="K254" s="10">
        <v>0.10049033018174347</v>
      </c>
      <c r="L254" s="10">
        <v>7.4767313122525048E-2</v>
      </c>
      <c r="M254" s="10">
        <v>9.3838048257417483E-2</v>
      </c>
      <c r="N254" s="10">
        <v>8.906069382709747E-2</v>
      </c>
      <c r="O254" s="10">
        <v>9.8530442090228862E-2</v>
      </c>
      <c r="P254" s="10">
        <v>8.2434265659484307E-2</v>
      </c>
      <c r="Q254" s="10">
        <v>0.10580000000000001</v>
      </c>
    </row>
    <row r="255" spans="2:17" ht="18.75" customHeight="1" x14ac:dyDescent="0.25">
      <c r="B255" s="55">
        <v>45412</v>
      </c>
      <c r="C255" s="10">
        <v>8.6504929857061055E-2</v>
      </c>
      <c r="D255" s="9">
        <v>0</v>
      </c>
      <c r="E255" s="9">
        <v>0</v>
      </c>
      <c r="F255" s="10">
        <v>9.2419568080799083E-2</v>
      </c>
      <c r="G255" s="10">
        <v>0.1063601240138372</v>
      </c>
      <c r="H255" s="9">
        <v>0</v>
      </c>
      <c r="I255" s="10">
        <v>0.11411981693937868</v>
      </c>
      <c r="J255" s="9">
        <v>0</v>
      </c>
      <c r="K255" s="10">
        <v>0.1059351109405271</v>
      </c>
      <c r="L255" s="10">
        <v>7.9203298653718113E-2</v>
      </c>
      <c r="M255" s="10">
        <v>9.8824655379199586E-2</v>
      </c>
      <c r="N255" s="10">
        <v>9.0177717806912513E-2</v>
      </c>
      <c r="O255" s="10">
        <v>0.10193617971847457</v>
      </c>
      <c r="P255" s="10">
        <v>8.2652750031438238E-2</v>
      </c>
      <c r="Q255" s="10">
        <v>0.10529999999999999</v>
      </c>
    </row>
    <row r="256" spans="2:17" ht="18.75" customHeight="1" x14ac:dyDescent="0.25">
      <c r="B256" s="55">
        <v>45443</v>
      </c>
      <c r="C256" s="10">
        <v>8.8135057714059162E-2</v>
      </c>
      <c r="D256" s="9">
        <v>0</v>
      </c>
      <c r="E256" s="9">
        <v>0</v>
      </c>
      <c r="F256" s="10">
        <v>9.4824826102477111E-2</v>
      </c>
      <c r="G256" s="10">
        <v>0.10870075828032766</v>
      </c>
      <c r="H256" s="9">
        <v>0</v>
      </c>
      <c r="I256" s="10">
        <v>0.11582565705731085</v>
      </c>
      <c r="J256" s="9">
        <v>0</v>
      </c>
      <c r="K256" s="10">
        <v>0.10782296078659993</v>
      </c>
      <c r="L256" s="10">
        <v>8.1584007385760562E-2</v>
      </c>
      <c r="M256" s="10">
        <v>0.10092968780304791</v>
      </c>
      <c r="N256" s="10">
        <v>9.3222873404459575E-2</v>
      </c>
      <c r="O256" s="10">
        <v>0.10289269499735741</v>
      </c>
      <c r="P256" s="10">
        <v>8.3289197332206508E-2</v>
      </c>
      <c r="Q256" s="10">
        <v>0.10426551585947307</v>
      </c>
    </row>
    <row r="257" spans="2:17" ht="18.75" customHeight="1" x14ac:dyDescent="0.25">
      <c r="B257" s="55">
        <v>45473</v>
      </c>
      <c r="C257" s="10">
        <v>8.8477739878786613E-2</v>
      </c>
      <c r="D257" s="9">
        <v>0</v>
      </c>
      <c r="E257" s="9">
        <v>0</v>
      </c>
      <c r="F257" s="10">
        <v>9.4619905594262477E-2</v>
      </c>
      <c r="G257" s="10">
        <v>0.10735466463492438</v>
      </c>
      <c r="H257" s="9">
        <v>0</v>
      </c>
      <c r="I257" s="10">
        <v>0.11386243253183181</v>
      </c>
      <c r="J257" s="9">
        <v>0</v>
      </c>
      <c r="K257" s="10">
        <v>0.10845614977122577</v>
      </c>
      <c r="L257" s="10">
        <v>8.3490386623730858E-2</v>
      </c>
      <c r="M257" s="10">
        <v>0.10334934866167256</v>
      </c>
      <c r="N257" s="10">
        <v>9.2247237995122688E-2</v>
      </c>
      <c r="O257" s="10">
        <v>0.10280725990561933</v>
      </c>
      <c r="P257" s="10">
        <v>8.3210603155178031E-2</v>
      </c>
      <c r="Q257" s="10">
        <v>0.105</v>
      </c>
    </row>
    <row r="258" spans="2:17" ht="18.75" customHeight="1" x14ac:dyDescent="0.25">
      <c r="B258" s="55">
        <v>45504</v>
      </c>
      <c r="C258" s="10">
        <v>8.6937232881217685E-2</v>
      </c>
      <c r="D258" s="9">
        <v>0</v>
      </c>
      <c r="E258" s="9">
        <v>0</v>
      </c>
      <c r="F258" s="10">
        <v>9.0715491908253329E-2</v>
      </c>
      <c r="G258" s="10">
        <v>0.10922334581447535</v>
      </c>
      <c r="H258" s="9">
        <v>0</v>
      </c>
      <c r="I258" s="10">
        <v>0.10824688082200584</v>
      </c>
      <c r="J258" s="9">
        <v>0</v>
      </c>
      <c r="K258" s="10">
        <v>0.10560928509696144</v>
      </c>
      <c r="L258" s="10">
        <v>8.4546824875289861E-2</v>
      </c>
      <c r="M258" s="10">
        <v>9.8847111358872475E-2</v>
      </c>
      <c r="N258" s="10">
        <v>9.1559772747144871E-2</v>
      </c>
      <c r="O258" s="10">
        <v>0.1025071055697504</v>
      </c>
      <c r="P258" s="10">
        <v>8.33312771647714E-2</v>
      </c>
      <c r="Q258" s="10">
        <v>0.1048</v>
      </c>
    </row>
    <row r="259" spans="2:17" ht="18.75" customHeight="1" x14ac:dyDescent="0.25">
      <c r="B259" s="55">
        <v>45535</v>
      </c>
      <c r="C259" s="10">
        <v>8.5858425087561377E-2</v>
      </c>
      <c r="D259" s="9">
        <v>0</v>
      </c>
      <c r="E259" s="9">
        <v>0</v>
      </c>
      <c r="F259" s="10">
        <v>8.3818299502684823E-2</v>
      </c>
      <c r="G259" s="10">
        <v>0.10569659692707865</v>
      </c>
      <c r="H259" s="9">
        <v>0</v>
      </c>
      <c r="I259" s="10">
        <v>0.10460519331012064</v>
      </c>
      <c r="J259" s="9">
        <v>0</v>
      </c>
      <c r="K259" s="10">
        <v>0.10355562369377914</v>
      </c>
      <c r="L259" s="10">
        <v>8.7699280883400732E-2</v>
      </c>
      <c r="M259" s="10">
        <v>9.6592616748998564E-2</v>
      </c>
      <c r="N259" s="10">
        <v>9.0494523683144271E-2</v>
      </c>
      <c r="O259" s="10">
        <v>0.10101128724411247</v>
      </c>
      <c r="P259" s="10">
        <v>8.2639161401366609E-2</v>
      </c>
      <c r="Q259" s="10">
        <v>0.1048</v>
      </c>
    </row>
    <row r="260" spans="2:17" ht="18.75" customHeight="1" x14ac:dyDescent="0.25">
      <c r="B260" s="55">
        <v>45565</v>
      </c>
      <c r="C260" s="10">
        <v>8.5300000000000001E-2</v>
      </c>
      <c r="D260" s="9">
        <v>0</v>
      </c>
      <c r="E260" s="9">
        <v>0</v>
      </c>
      <c r="F260" s="10">
        <v>8.3900000000000002E-2</v>
      </c>
      <c r="G260" s="10">
        <v>0.1052</v>
      </c>
      <c r="H260" s="9">
        <v>0</v>
      </c>
      <c r="I260" s="10">
        <v>0.1004</v>
      </c>
      <c r="J260" s="9">
        <v>0</v>
      </c>
      <c r="K260" s="10">
        <v>9.9699999999999997E-2</v>
      </c>
      <c r="L260" s="10">
        <v>8.9700000000000002E-2</v>
      </c>
      <c r="M260" s="10">
        <v>9.7299999999999998E-2</v>
      </c>
      <c r="N260" s="10">
        <v>9.0700000000000003E-2</v>
      </c>
      <c r="O260" s="10">
        <v>0.10059999999999999</v>
      </c>
      <c r="P260" s="10">
        <v>8.3099999999999993E-2</v>
      </c>
      <c r="Q260" s="10">
        <v>0.1046</v>
      </c>
    </row>
    <row r="261" spans="2:17" ht="18.75" customHeight="1" x14ac:dyDescent="0.25">
      <c r="B261" s="55">
        <v>45596</v>
      </c>
      <c r="C261" s="10">
        <v>8.55813921934927E-2</v>
      </c>
      <c r="D261" s="9">
        <v>0</v>
      </c>
      <c r="E261" s="9">
        <v>0</v>
      </c>
      <c r="F261" s="10">
        <v>8.3905418624783401E-2</v>
      </c>
      <c r="G261" s="10">
        <v>0.10935673687788426</v>
      </c>
      <c r="H261" s="9">
        <v>0</v>
      </c>
      <c r="I261" s="10">
        <v>0.10051687445778711</v>
      </c>
      <c r="J261" s="9">
        <v>0</v>
      </c>
      <c r="K261" s="10">
        <v>0.10227794722940796</v>
      </c>
      <c r="L261" s="10">
        <v>9.0479772613949225E-2</v>
      </c>
      <c r="M261" s="10">
        <v>9.7675845665219155E-2</v>
      </c>
      <c r="N261" s="10">
        <v>9.3675925712205524E-2</v>
      </c>
      <c r="O261" s="10">
        <v>0.10136799858251644</v>
      </c>
      <c r="P261" s="10">
        <v>8.2646311539643622E-2</v>
      </c>
      <c r="Q261" s="10">
        <v>0.10199999999999999</v>
      </c>
    </row>
    <row r="262" spans="2:17" ht="18.75" customHeight="1" x14ac:dyDescent="0.25">
      <c r="B262" s="55">
        <v>45626</v>
      </c>
      <c r="C262" s="10">
        <v>8.495942402616663E-2</v>
      </c>
      <c r="D262" s="9">
        <v>0</v>
      </c>
      <c r="E262" s="9">
        <v>0</v>
      </c>
      <c r="F262" s="10">
        <v>8.533593356431958E-2</v>
      </c>
      <c r="G262" s="10">
        <v>0.11421996508848631</v>
      </c>
      <c r="H262" s="9">
        <v>0</v>
      </c>
      <c r="I262" s="10">
        <v>0.10136603809079393</v>
      </c>
      <c r="J262" s="9">
        <v>0</v>
      </c>
      <c r="K262" s="10">
        <v>0.10553648075204602</v>
      </c>
      <c r="L262" s="10">
        <v>9.1168790128163479E-2</v>
      </c>
      <c r="M262" s="10">
        <v>0.10275606707288887</v>
      </c>
      <c r="N262" s="10">
        <v>9.6463580368523427E-2</v>
      </c>
      <c r="O262" s="10">
        <v>0.1020813545966812</v>
      </c>
      <c r="P262" s="10">
        <v>8.2825779148730572E-2</v>
      </c>
      <c r="Q262" s="10">
        <v>0.10199999999999999</v>
      </c>
    </row>
    <row r="263" spans="2:17" ht="18.75" customHeight="1" x14ac:dyDescent="0.25">
      <c r="B263" s="55">
        <v>45657</v>
      </c>
      <c r="C263" s="10">
        <v>8.149307391145498E-2</v>
      </c>
      <c r="D263" s="9">
        <v>0</v>
      </c>
      <c r="E263" s="9">
        <v>0</v>
      </c>
      <c r="F263" s="10">
        <v>8.9784927552194027E-2</v>
      </c>
      <c r="G263" s="10">
        <v>0.11165974148885137</v>
      </c>
      <c r="H263" s="9">
        <v>0</v>
      </c>
      <c r="I263" s="10">
        <v>9.9190425706926919E-2</v>
      </c>
      <c r="J263" s="9">
        <v>0</v>
      </c>
      <c r="K263" s="10">
        <v>0.11034550165634549</v>
      </c>
      <c r="L263" s="10">
        <v>9.2821105336019727E-2</v>
      </c>
      <c r="M263" s="10">
        <v>0.10472656299808492</v>
      </c>
      <c r="N263" s="10">
        <v>9.9667110267088285E-2</v>
      </c>
      <c r="O263" s="10">
        <v>0.10388787118990672</v>
      </c>
      <c r="P263" s="10">
        <v>8.5383217904626107E-2</v>
      </c>
      <c r="Q263" s="10">
        <v>0.10199999999999999</v>
      </c>
    </row>
    <row r="264" spans="2:17" ht="18.75" customHeight="1" x14ac:dyDescent="0.25">
      <c r="B264" s="55">
        <v>45688</v>
      </c>
      <c r="C264" s="10">
        <v>8.1234293571038632E-2</v>
      </c>
      <c r="D264" s="9">
        <v>0</v>
      </c>
      <c r="E264" s="9">
        <v>0</v>
      </c>
      <c r="F264" s="10">
        <v>8.8660578909705468E-2</v>
      </c>
      <c r="G264" s="10">
        <v>0.11136231303157128</v>
      </c>
      <c r="H264" s="9">
        <v>0</v>
      </c>
      <c r="I264" s="10">
        <v>9.6338151023807259E-2</v>
      </c>
      <c r="J264" s="9">
        <v>0</v>
      </c>
      <c r="K264" s="10">
        <v>0.1101444556340818</v>
      </c>
      <c r="L264" s="10">
        <v>0.10160726847994273</v>
      </c>
      <c r="M264" s="10">
        <v>0.10215052932097723</v>
      </c>
      <c r="N264" s="10">
        <v>9.9683578199701195E-2</v>
      </c>
      <c r="O264" s="10">
        <v>0.10327869685811475</v>
      </c>
      <c r="P264" s="10">
        <v>8.5431800684389714E-2</v>
      </c>
      <c r="Q264" s="10">
        <v>0.1014</v>
      </c>
    </row>
    <row r="265" spans="2:17" ht="18.75" customHeight="1" x14ac:dyDescent="0.25">
      <c r="B265" s="55">
        <v>45716</v>
      </c>
      <c r="C265" s="10">
        <v>8.1213279059682453E-2</v>
      </c>
      <c r="D265" s="9">
        <v>0</v>
      </c>
      <c r="E265" s="9">
        <v>0</v>
      </c>
      <c r="F265" s="10">
        <v>8.7227610403737041E-2</v>
      </c>
      <c r="G265" s="10">
        <v>0.10944716649848241</v>
      </c>
      <c r="H265" s="9">
        <v>0</v>
      </c>
      <c r="I265" s="10">
        <v>9.5939315535378919E-2</v>
      </c>
      <c r="J265" s="9">
        <v>0</v>
      </c>
      <c r="K265" s="10">
        <v>0.10966136608659148</v>
      </c>
      <c r="L265" s="10">
        <v>0.1018846607602697</v>
      </c>
      <c r="M265" s="10">
        <v>0.10273157156611878</v>
      </c>
      <c r="N265" s="10">
        <v>0.11108412905431209</v>
      </c>
      <c r="O265" s="10">
        <v>0.10368672393548639</v>
      </c>
      <c r="P265" s="10">
        <v>8.8888060285540652E-2</v>
      </c>
      <c r="Q265" s="10">
        <v>0.10580000000000001</v>
      </c>
    </row>
    <row r="266" spans="2:17" ht="18.75" customHeight="1" x14ac:dyDescent="0.25">
      <c r="B266" s="55">
        <v>45747</v>
      </c>
      <c r="C266" s="10">
        <v>8.2802620658461765E-2</v>
      </c>
      <c r="D266" s="9">
        <v>0</v>
      </c>
      <c r="E266" s="9">
        <v>0</v>
      </c>
      <c r="F266" s="10">
        <v>8.9065154747561368E-2</v>
      </c>
      <c r="G266" s="10">
        <v>0.1103475525749069</v>
      </c>
      <c r="H266" s="9">
        <v>0</v>
      </c>
      <c r="I266" s="10">
        <v>9.5949707887682548E-2</v>
      </c>
      <c r="J266" s="9">
        <v>0</v>
      </c>
      <c r="K266" s="10">
        <v>0.1085205001833609</v>
      </c>
      <c r="L266" s="10">
        <v>0.10312402302949053</v>
      </c>
      <c r="M266" s="10">
        <v>0.10235883705684866</v>
      </c>
      <c r="N266" s="10">
        <v>0.10782162529051821</v>
      </c>
      <c r="O266" s="10">
        <v>0.10616438810503626</v>
      </c>
      <c r="P266" s="10">
        <v>9.6383376036340382E-2</v>
      </c>
      <c r="Q266" s="10">
        <v>0.10490000000000001</v>
      </c>
    </row>
    <row r="267" spans="2:17" ht="18.75" customHeight="1" x14ac:dyDescent="0.25">
      <c r="B267" s="55">
        <v>45777</v>
      </c>
      <c r="C267" s="10">
        <v>8.0355461890359248E-2</v>
      </c>
      <c r="D267" s="9">
        <v>0</v>
      </c>
      <c r="E267" s="9">
        <v>0</v>
      </c>
      <c r="F267" s="10">
        <v>8.59346690572005E-2</v>
      </c>
      <c r="G267" s="10">
        <v>0.11029446679269972</v>
      </c>
      <c r="H267" s="9">
        <v>0</v>
      </c>
      <c r="I267" s="10">
        <v>9.1549957598062046E-2</v>
      </c>
      <c r="J267" s="9">
        <v>0</v>
      </c>
      <c r="K267" s="10">
        <v>0.10293134111287185</v>
      </c>
      <c r="L267" s="10">
        <v>0.11214089387073865</v>
      </c>
      <c r="M267" s="10">
        <v>9.8816997215118274E-2</v>
      </c>
      <c r="N267" s="10">
        <v>0.1048554511597015</v>
      </c>
      <c r="O267" s="10">
        <v>0.10434949079274691</v>
      </c>
      <c r="P267" s="10">
        <v>9.4076064059899878E-2</v>
      </c>
      <c r="Q267" s="10">
        <v>0.10490000000000001</v>
      </c>
    </row>
    <row r="268" spans="2:17" ht="18.75" customHeight="1" x14ac:dyDescent="0.25">
      <c r="B268" s="57">
        <f>+EOMONTH(B267,1)</f>
        <v>45808</v>
      </c>
      <c r="C268" s="33">
        <v>7.7957494549591097E-2</v>
      </c>
      <c r="D268" s="34">
        <v>0</v>
      </c>
      <c r="E268" s="34">
        <v>0</v>
      </c>
      <c r="F268" s="33">
        <v>8.2993705392592904E-2</v>
      </c>
      <c r="G268" s="33">
        <v>0.106012445293435</v>
      </c>
      <c r="H268" s="34">
        <v>0</v>
      </c>
      <c r="I268" s="33">
        <v>8.7824927164467798E-2</v>
      </c>
      <c r="J268" s="34">
        <v>0</v>
      </c>
      <c r="K268" s="33">
        <v>9.8084550455205893E-2</v>
      </c>
      <c r="L268" s="33">
        <v>0.109746694385442</v>
      </c>
      <c r="M268" s="33">
        <v>9.7322603199555102E-2</v>
      </c>
      <c r="N268" s="33">
        <v>9.8819735128429204E-2</v>
      </c>
      <c r="O268" s="33">
        <v>0.10305711533982</v>
      </c>
      <c r="P268" s="33">
        <v>9.0320854512749404E-2</v>
      </c>
      <c r="Q268" s="35">
        <v>0.1051</v>
      </c>
    </row>
    <row r="269" spans="2:17" ht="18.75" customHeight="1" x14ac:dyDescent="0.25">
      <c r="B269" s="57">
        <f t="shared" ref="B269:B278" si="0">+EOMONTH(B268,1)</f>
        <v>45838</v>
      </c>
      <c r="C269" s="33">
        <v>7.5097847719329591E-2</v>
      </c>
      <c r="D269" s="34">
        <v>0</v>
      </c>
      <c r="E269" s="34">
        <v>0</v>
      </c>
      <c r="F269" s="33">
        <v>8.2679765426635576E-2</v>
      </c>
      <c r="G269" s="33">
        <v>0.10537746460746898</v>
      </c>
      <c r="H269" s="34">
        <v>0</v>
      </c>
      <c r="I269" s="33">
        <v>8.7413940723592307E-2</v>
      </c>
      <c r="J269" s="34">
        <v>0</v>
      </c>
      <c r="K269" s="33">
        <v>9.3451840300568842E-2</v>
      </c>
      <c r="L269" s="33">
        <v>0.10854879900135117</v>
      </c>
      <c r="M269" s="33">
        <v>9.3204261446536485E-2</v>
      </c>
      <c r="N269" s="33">
        <v>9.6679676121640412E-2</v>
      </c>
      <c r="O269" s="33">
        <v>0.10199709675793933</v>
      </c>
      <c r="P269" s="33">
        <v>8.6963156503534034E-2</v>
      </c>
      <c r="Q269" s="35">
        <v>0.10460000000000001</v>
      </c>
    </row>
    <row r="270" spans="2:17" ht="18.75" customHeight="1" x14ac:dyDescent="0.25">
      <c r="B270" s="57">
        <f t="shared" si="0"/>
        <v>45869</v>
      </c>
      <c r="C270" s="33">
        <v>7.1171152414646777E-2</v>
      </c>
      <c r="D270" s="34">
        <v>0</v>
      </c>
      <c r="E270" s="34">
        <v>0</v>
      </c>
      <c r="F270" s="33">
        <v>7.9279696132496413E-2</v>
      </c>
      <c r="G270" s="33">
        <v>0.10259228542861454</v>
      </c>
      <c r="H270" s="34">
        <v>0</v>
      </c>
      <c r="I270" s="33">
        <v>8.146831554199041E-2</v>
      </c>
      <c r="J270" s="34">
        <v>0</v>
      </c>
      <c r="K270" s="33">
        <v>8.8517818350355201E-2</v>
      </c>
      <c r="L270" s="33">
        <v>0.10732273402376503</v>
      </c>
      <c r="M270" s="33">
        <v>8.80570221748702E-2</v>
      </c>
      <c r="N270" s="33">
        <v>9.1372944347895876E-2</v>
      </c>
      <c r="O270" s="33">
        <v>9.7739753766245663E-2</v>
      </c>
      <c r="P270" s="33">
        <v>8.1623224406732961E-2</v>
      </c>
      <c r="Q270" s="35">
        <v>0.10529999999999999</v>
      </c>
    </row>
    <row r="271" spans="2:17" ht="18.75" customHeight="1" x14ac:dyDescent="0.25">
      <c r="B271" s="57">
        <f t="shared" si="0"/>
        <v>45900</v>
      </c>
      <c r="C271" s="37">
        <v>7.2151787565308795E-2</v>
      </c>
      <c r="D271" s="34">
        <v>0</v>
      </c>
      <c r="E271" s="34">
        <v>0</v>
      </c>
      <c r="F271" s="37">
        <v>8.4403263287229593E-2</v>
      </c>
      <c r="G271" s="38">
        <v>0.10615461059020299</v>
      </c>
      <c r="H271" s="34">
        <v>0</v>
      </c>
      <c r="I271" s="37">
        <v>9.0092970832470295E-2</v>
      </c>
      <c r="J271" s="34">
        <v>0</v>
      </c>
      <c r="K271" s="33">
        <v>9.0383456313998203E-2</v>
      </c>
      <c r="L271" s="33">
        <v>0.103365887833232</v>
      </c>
      <c r="M271" s="33">
        <v>9.9302688539800496E-2</v>
      </c>
      <c r="N271" s="33">
        <v>9.4197088773334103E-2</v>
      </c>
      <c r="O271" s="33">
        <v>0.100543189775914</v>
      </c>
      <c r="P271" s="33">
        <v>8.4754059359753997E-2</v>
      </c>
      <c r="Q271" s="33">
        <v>0.10390000000000001</v>
      </c>
    </row>
    <row r="272" spans="2:17" ht="18.75" customHeight="1" x14ac:dyDescent="0.25">
      <c r="B272" s="57">
        <f t="shared" si="0"/>
        <v>45930</v>
      </c>
      <c r="C272" s="37">
        <v>7.6295811793554602E-2</v>
      </c>
      <c r="D272" s="34">
        <v>0</v>
      </c>
      <c r="E272" s="34">
        <v>0</v>
      </c>
      <c r="F272" s="37">
        <v>8.8801537522928103E-2</v>
      </c>
      <c r="G272" s="38">
        <v>0.107994100737466</v>
      </c>
      <c r="H272" s="34">
        <v>0</v>
      </c>
      <c r="I272" s="37">
        <v>9.3993193101071598E-2</v>
      </c>
      <c r="J272" s="34">
        <v>0</v>
      </c>
      <c r="K272" s="33">
        <v>9.49218977089967E-2</v>
      </c>
      <c r="L272" s="33">
        <v>0.10392093002472801</v>
      </c>
      <c r="M272" s="33">
        <v>0.10103639841253401</v>
      </c>
      <c r="N272" s="33">
        <v>9.8341626716211605E-2</v>
      </c>
      <c r="O272" s="33">
        <v>0.106739325343727</v>
      </c>
      <c r="P272" s="33">
        <v>8.8807186277664499E-2</v>
      </c>
      <c r="Q272" s="33">
        <v>0.10440000000000001</v>
      </c>
    </row>
    <row r="273" spans="2:17" ht="18.75" customHeight="1" x14ac:dyDescent="0.25">
      <c r="B273" s="57">
        <f>+EOMONTH(B272,1)</f>
        <v>45961</v>
      </c>
      <c r="C273" s="37">
        <v>7.9804409863712705E-2</v>
      </c>
      <c r="D273" s="34">
        <v>0</v>
      </c>
      <c r="E273" s="34">
        <v>0</v>
      </c>
      <c r="F273" s="37">
        <v>9.4245032072707999E-2</v>
      </c>
      <c r="G273" s="38">
        <v>0.10362372158406701</v>
      </c>
      <c r="H273" s="34">
        <v>0</v>
      </c>
      <c r="I273" s="37">
        <v>9.9127545902973901E-2</v>
      </c>
      <c r="J273" s="34">
        <v>0</v>
      </c>
      <c r="K273" s="33">
        <v>9.4888125062102799E-2</v>
      </c>
      <c r="L273" s="33">
        <v>0.10435622807231899</v>
      </c>
      <c r="M273" s="33">
        <v>0.103430942651484</v>
      </c>
      <c r="N273" s="33">
        <v>9.5823109249106697E-2</v>
      </c>
      <c r="O273" s="33">
        <v>0.11278327710710601</v>
      </c>
      <c r="P273" s="33">
        <v>9.1683283631678797E-2</v>
      </c>
      <c r="Q273" s="33">
        <v>0.1028</v>
      </c>
    </row>
    <row r="274" spans="2:17" ht="18.75" customHeight="1" x14ac:dyDescent="0.25">
      <c r="B274" s="57">
        <f t="shared" si="0"/>
        <v>45991</v>
      </c>
      <c r="C274" s="37">
        <v>8.0985696899324305E-2</v>
      </c>
      <c r="D274" s="34">
        <v>0</v>
      </c>
      <c r="E274" s="34">
        <v>0</v>
      </c>
      <c r="F274" s="37">
        <v>9.3889700879353097E-2</v>
      </c>
      <c r="G274" s="38">
        <v>9.9293899386969905E-2</v>
      </c>
      <c r="H274" s="34">
        <v>0</v>
      </c>
      <c r="I274" s="37">
        <v>9.8914415074282697E-2</v>
      </c>
      <c r="J274" s="34">
        <v>0</v>
      </c>
      <c r="K274" s="33">
        <v>9.35595619597136E-2</v>
      </c>
      <c r="L274" s="33">
        <v>0.10636802126383001</v>
      </c>
      <c r="M274" s="33">
        <v>9.9106625020488406E-2</v>
      </c>
      <c r="N274" s="33">
        <v>9.3661381631135104E-2</v>
      </c>
      <c r="O274" s="33">
        <v>0.11235831641326401</v>
      </c>
      <c r="P274" s="33">
        <v>9.1603919211454193E-2</v>
      </c>
      <c r="Q274" s="33">
        <v>0.10249999999999999</v>
      </c>
    </row>
    <row r="275" spans="2:17" ht="18.75" customHeight="1" x14ac:dyDescent="0.25">
      <c r="B275" s="57">
        <f t="shared" si="0"/>
        <v>46022</v>
      </c>
      <c r="C275" s="37">
        <v>8.1263207570645202E-2</v>
      </c>
      <c r="D275" s="34">
        <v>0</v>
      </c>
      <c r="E275" s="34">
        <v>0</v>
      </c>
      <c r="F275" s="37">
        <v>9.7166577632961798E-2</v>
      </c>
      <c r="G275" s="38">
        <v>0.101980335457713</v>
      </c>
      <c r="H275" s="34">
        <v>0</v>
      </c>
      <c r="I275" s="37">
        <v>0.10175094795884899</v>
      </c>
      <c r="J275" s="34">
        <v>0</v>
      </c>
      <c r="K275" s="33">
        <v>9.5473670317559198E-2</v>
      </c>
      <c r="L275" s="33">
        <v>0.109410409535286</v>
      </c>
      <c r="M275" s="33">
        <v>0.100528136656398</v>
      </c>
      <c r="N275" s="33">
        <v>9.6397558707989495E-2</v>
      </c>
      <c r="O275" s="33">
        <v>0.113872274311332</v>
      </c>
      <c r="P275" s="33">
        <v>9.3964771144686501E-2</v>
      </c>
      <c r="Q275" s="33">
        <v>0.10150000000000001</v>
      </c>
    </row>
    <row r="276" spans="2:17" ht="18.75" customHeight="1" x14ac:dyDescent="0.25">
      <c r="B276" s="57">
        <f t="shared" si="0"/>
        <v>46053</v>
      </c>
      <c r="C276" s="37">
        <v>7.68356568727315E-2</v>
      </c>
      <c r="D276" s="34">
        <v>0</v>
      </c>
      <c r="E276" s="34">
        <v>0</v>
      </c>
      <c r="F276" s="37">
        <v>9.2964008935269196E-2</v>
      </c>
      <c r="G276" s="38">
        <v>9.7003582865161406E-2</v>
      </c>
      <c r="H276" s="34">
        <v>0</v>
      </c>
      <c r="I276" s="37">
        <v>9.2569871409894394E-2</v>
      </c>
      <c r="J276" s="34">
        <v>0</v>
      </c>
      <c r="K276" s="33">
        <v>8.9395388730890493E-2</v>
      </c>
      <c r="L276" s="33">
        <v>0.101529837414298</v>
      </c>
      <c r="M276" s="33">
        <v>9.6796451776457001E-2</v>
      </c>
      <c r="N276" s="33">
        <v>9.2659074577366302E-2</v>
      </c>
      <c r="O276" s="33">
        <v>0.11064085613114499</v>
      </c>
      <c r="P276" s="33">
        <v>9.0626659175606E-2</v>
      </c>
      <c r="Q276" s="33">
        <v>0.1007</v>
      </c>
    </row>
    <row r="277" spans="2:17" ht="18.75" customHeight="1" x14ac:dyDescent="0.25">
      <c r="B277" s="57">
        <f t="shared" si="0"/>
        <v>46081</v>
      </c>
      <c r="C277" s="37">
        <v>7.1050530145004398E-2</v>
      </c>
      <c r="D277" s="34">
        <v>0</v>
      </c>
      <c r="E277" s="34">
        <v>0</v>
      </c>
      <c r="F277" s="37">
        <v>8.5133175322653201E-2</v>
      </c>
      <c r="G277" s="38">
        <v>9.4456545790896795E-2</v>
      </c>
      <c r="H277" s="34">
        <v>0</v>
      </c>
      <c r="I277" s="37">
        <v>8.5838341740396701E-2</v>
      </c>
      <c r="J277" s="34">
        <v>0</v>
      </c>
      <c r="K277" s="33">
        <v>8.3837075709543504E-2</v>
      </c>
      <c r="L277" s="33">
        <v>0.102424407122402</v>
      </c>
      <c r="M277" s="33">
        <v>9.0348793573460595E-2</v>
      </c>
      <c r="N277" s="33">
        <v>7.7629320116959097E-2</v>
      </c>
      <c r="O277" s="33">
        <v>0.10681344301745301</v>
      </c>
      <c r="P277" s="33">
        <v>8.2785580196551606E-2</v>
      </c>
      <c r="Q277" s="33">
        <v>9.9900000000000003E-2</v>
      </c>
    </row>
    <row r="278" spans="2:17" ht="18.75" customHeight="1" x14ac:dyDescent="0.25">
      <c r="B278" s="57">
        <f t="shared" si="0"/>
        <v>46112</v>
      </c>
      <c r="C278" s="37">
        <v>6.3386299079948305E-2</v>
      </c>
      <c r="D278" s="34">
        <v>0</v>
      </c>
      <c r="E278" s="34">
        <v>0</v>
      </c>
      <c r="F278" s="37">
        <v>7.7364011887411002E-2</v>
      </c>
      <c r="G278" s="38">
        <v>8.5509749219936801E-2</v>
      </c>
      <c r="H278" s="34">
        <v>0</v>
      </c>
      <c r="I278" s="37">
        <v>7.9018057057153701E-2</v>
      </c>
      <c r="J278" s="34">
        <v>0</v>
      </c>
      <c r="K278" s="37">
        <v>7.6369718763778405E-2</v>
      </c>
      <c r="L278" s="37">
        <v>0.101812521896836</v>
      </c>
      <c r="M278" s="37">
        <v>8.3689927654224699E-2</v>
      </c>
      <c r="N278" s="38">
        <v>6.8301864850553104E-2</v>
      </c>
      <c r="O278" s="37">
        <v>0.100077179617831</v>
      </c>
      <c r="P278" s="37">
        <v>6.17964061679575E-2</v>
      </c>
      <c r="Q278" s="37">
        <v>9.9599999999999994E-2</v>
      </c>
    </row>
    <row r="279" spans="2:17" ht="17.25" customHeight="1" thickBot="1" x14ac:dyDescent="0.3">
      <c r="B279" s="58" t="s">
        <v>22</v>
      </c>
      <c r="C279" s="16"/>
      <c r="D279" s="16"/>
      <c r="E279" s="17"/>
      <c r="F279" s="16"/>
      <c r="G279" s="18"/>
      <c r="H279" s="16"/>
      <c r="I279" s="16"/>
      <c r="J279" s="16"/>
      <c r="K279" s="16"/>
      <c r="L279" s="16"/>
      <c r="M279" s="16"/>
      <c r="N279" s="18"/>
      <c r="O279" s="16"/>
      <c r="P279" s="16"/>
      <c r="Q279" s="16"/>
    </row>
    <row r="280" spans="2:17" ht="15" customHeight="1" thickTop="1" x14ac:dyDescent="0.25">
      <c r="B280" s="59" t="s">
        <v>23</v>
      </c>
      <c r="C280" s="47"/>
      <c r="D280" s="47"/>
      <c r="E280" s="47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</row>
    <row r="281" spans="2:17" ht="15" customHeight="1" x14ac:dyDescent="0.25">
      <c r="B281" s="59" t="s">
        <v>24</v>
      </c>
      <c r="C281" s="47"/>
      <c r="D281" s="47"/>
      <c r="E281" s="47"/>
      <c r="F281" s="47"/>
    </row>
    <row r="282" spans="2:17" ht="15" customHeight="1" x14ac:dyDescent="0.35">
      <c r="B282" s="59" t="s">
        <v>25</v>
      </c>
      <c r="C282" s="47"/>
      <c r="D282" s="47"/>
      <c r="E282" s="47"/>
      <c r="I282" s="20"/>
      <c r="J282" s="20"/>
      <c r="K282" s="20"/>
      <c r="L282" s="20"/>
      <c r="M282" s="20"/>
      <c r="N282" s="20"/>
      <c r="O282" s="21"/>
      <c r="P282" s="20"/>
      <c r="Q282" s="20"/>
    </row>
    <row r="283" spans="2:17" ht="15" customHeight="1" x14ac:dyDescent="0.35">
      <c r="B283" s="59" t="s">
        <v>26</v>
      </c>
      <c r="C283" s="47"/>
      <c r="D283" s="47"/>
      <c r="E283" s="47"/>
      <c r="F283" s="47"/>
      <c r="G283" s="47"/>
      <c r="H283" s="47"/>
      <c r="J283" s="22"/>
    </row>
    <row r="284" spans="2:17" ht="13.5" customHeight="1" x14ac:dyDescent="0.25">
      <c r="B284" s="60" t="s">
        <v>27</v>
      </c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</row>
    <row r="285" spans="2:17" ht="15" customHeight="1" x14ac:dyDescent="0.35">
      <c r="B285" s="58"/>
      <c r="E285" s="23"/>
    </row>
    <row r="286" spans="2:17" ht="15" customHeight="1" x14ac:dyDescent="0.35">
      <c r="E286" s="24"/>
    </row>
    <row r="287" spans="2:17" ht="15" customHeight="1" x14ac:dyDescent="0.35">
      <c r="E287" s="25"/>
      <c r="I287" s="20"/>
    </row>
    <row r="288" spans="2:17" ht="15" customHeight="1" x14ac:dyDescent="0.35">
      <c r="E288" s="25"/>
    </row>
    <row r="289" spans="5:10" ht="15" customHeight="1" x14ac:dyDescent="0.35">
      <c r="E289" s="25"/>
    </row>
    <row r="290" spans="5:10" ht="15" customHeight="1" x14ac:dyDescent="0.35">
      <c r="E290" s="23"/>
    </row>
    <row r="291" spans="5:10" ht="15" customHeight="1" x14ac:dyDescent="0.35">
      <c r="E291" s="24"/>
      <c r="G291" s="26"/>
      <c r="H291" s="26"/>
      <c r="I291" s="26"/>
      <c r="J291" s="26"/>
    </row>
    <row r="292" spans="5:10" ht="15" customHeight="1" x14ac:dyDescent="0.25"/>
    <row r="293" spans="5:10" ht="15" customHeight="1" x14ac:dyDescent="0.25"/>
    <row r="294" spans="5:10" ht="23.25" customHeight="1" x14ac:dyDescent="0.25"/>
    <row r="295" spans="5:10" ht="15" customHeight="1" x14ac:dyDescent="0.25"/>
    <row r="296" spans="5:10" ht="15" customHeight="1" x14ac:dyDescent="0.25">
      <c r="G296" s="26"/>
      <c r="H296" s="26"/>
      <c r="I296" s="26"/>
      <c r="J296" s="26"/>
    </row>
    <row r="297" spans="5:10" ht="15" customHeight="1" x14ac:dyDescent="0.25"/>
    <row r="298" spans="5:10" ht="16.5" customHeight="1" x14ac:dyDescent="0.25"/>
    <row r="299" spans="5:10" ht="16.5" customHeight="1" x14ac:dyDescent="0.25"/>
    <row r="300" spans="5:10" ht="16.5" customHeight="1" x14ac:dyDescent="0.25"/>
    <row r="301" spans="5:10" ht="16.5" customHeight="1" x14ac:dyDescent="0.25"/>
    <row r="302" spans="5:10" ht="16.5" customHeight="1" x14ac:dyDescent="0.25"/>
    <row r="303" spans="5:10" ht="16.5" customHeight="1" x14ac:dyDescent="0.25"/>
    <row r="304" spans="5:10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</sheetData>
  <sheetProtection formatCells="0" formatColumns="0" formatRows="0" insertColumns="0" insertRows="0" insertHyperlinks="0" deleteColumns="0" deleteRows="0" sort="0" autoFilter="0" pivotTables="0"/>
  <autoFilter ref="B4:B284" xr:uid="{3CE3160F-6153-4441-8561-6E36B2055807}"/>
  <phoneticPr fontId="0" type="noConversion"/>
  <printOptions horizontalCentered="1"/>
  <pageMargins left="0.74803149606299213" right="0.74803149606299213" top="0.19685039370078741" bottom="0.19685039370078741" header="0" footer="0"/>
  <pageSetup paperSize="9" scale="14" orientation="landscape" r:id="rId1"/>
  <headerFooter alignWithMargins="0"/>
  <rowBreaks count="1" manualBreakCount="1">
    <brk id="239" max="1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4e2f5b-9846-4671-8ae8-9e2b684eca7d">
      <Terms xmlns="http://schemas.microsoft.com/office/infopath/2007/PartnerControls"/>
    </lcf76f155ced4ddcb4097134ff3c332f>
    <TaxCatchAll xmlns="28489dc2-50cf-493e-a704-cb1420394a7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983F033EC1A74591962596A1C6179F" ma:contentTypeVersion="19" ma:contentTypeDescription="Crear nuevo documento." ma:contentTypeScope="" ma:versionID="d62db5fd3a1007438fde33aae1b7f7e1">
  <xsd:schema xmlns:xsd="http://www.w3.org/2001/XMLSchema" xmlns:xs="http://www.w3.org/2001/XMLSchema" xmlns:p="http://schemas.microsoft.com/office/2006/metadata/properties" xmlns:ns2="244e2f5b-9846-4671-8ae8-9e2b684eca7d" xmlns:ns3="28489dc2-50cf-493e-a704-cb1420394a7d" targetNamespace="http://schemas.microsoft.com/office/2006/metadata/properties" ma:root="true" ma:fieldsID="8d29b72af5d07ea04d13654443987983" ns2:_="" ns3:_="">
    <xsd:import namespace="244e2f5b-9846-4671-8ae8-9e2b684eca7d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e2f5b-9846-4671-8ae8-9e2b684eca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F569F3-4659-4CD2-B266-ADBF35CBF4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BC680-E13A-4F82-90D1-7D85826EC2D5}">
  <ds:schemaRefs>
    <ds:schemaRef ds:uri="28489dc2-50cf-493e-a704-cb1420394a7d"/>
    <ds:schemaRef ds:uri="http://schemas.microsoft.com/office/2006/documentManagement/types"/>
    <ds:schemaRef ds:uri="244e2f5b-9846-4671-8ae8-9e2b684eca7d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C426A5A-8780-4A70-BC9C-921E4C4D0A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4e2f5b-9846-4671-8ae8-9e2b684eca7d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Por SISTEMA</vt:lpstr>
      <vt:lpstr>Sheet1</vt:lpstr>
      <vt:lpstr>Por FONDO</vt:lpstr>
      <vt:lpstr>'Por FONDO'!Print_Area</vt:lpstr>
      <vt:lpstr>'Por SISTEMA'!Print_Area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Francisco Alberto Ramirez de Leon</cp:lastModifiedBy>
  <cp:revision/>
  <dcterms:created xsi:type="dcterms:W3CDTF">1996-11-27T10:00:04Z</dcterms:created>
  <dcterms:modified xsi:type="dcterms:W3CDTF">2026-04-17T20:56:24Z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0x010100D4983F033EC1A74591962596A1C6179F</vt:lpwstr>
  </property>
</Properties>
</file>