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4680" yWindow="-75" windowWidth="17430" windowHeight="12600" firstSheet="2" activeTab="11"/>
  </bookViews>
  <sheets>
    <sheet name="Ene.2018" sheetId="1" r:id="rId1"/>
    <sheet name="Feb.2018" sheetId="2" r:id="rId2"/>
    <sheet name="Mar.2018" sheetId="3" r:id="rId3"/>
    <sheet name="Abr.2018" sheetId="4" r:id="rId4"/>
    <sheet name="May.2018" sheetId="5" r:id="rId5"/>
    <sheet name="Jun.2018" sheetId="6" r:id="rId6"/>
    <sheet name="Jul.2018" sheetId="7" r:id="rId7"/>
    <sheet name="Ago.2018" sheetId="8" r:id="rId8"/>
    <sheet name="Sep.2018" sheetId="9" r:id="rId9"/>
    <sheet name="Oct.2018" sheetId="10" r:id="rId10"/>
    <sheet name="Nov.2018" sheetId="11" r:id="rId11"/>
    <sheet name="Dic.2018" sheetId="12" r:id="rId12"/>
  </sheets>
  <calcPr calcId="145621"/>
</workbook>
</file>

<file path=xl/calcChain.xml><?xml version="1.0" encoding="utf-8"?>
<calcChain xmlns="http://schemas.openxmlformats.org/spreadsheetml/2006/main">
  <c r="T20" i="12" l="1"/>
  <c r="U20" i="12" s="1"/>
  <c r="R20" i="12"/>
  <c r="S20" i="12" s="1"/>
  <c r="P20" i="12"/>
  <c r="Q20" i="12" s="1"/>
  <c r="N20" i="12"/>
  <c r="O20" i="12" s="1"/>
  <c r="L20" i="12"/>
  <c r="M20" i="12" s="1"/>
  <c r="J20" i="12"/>
  <c r="K20" i="12" s="1"/>
  <c r="H20" i="12"/>
  <c r="I20" i="12" s="1"/>
  <c r="F20" i="12"/>
  <c r="G20" i="12" s="1"/>
  <c r="D20" i="12"/>
  <c r="E20" i="12" s="1"/>
  <c r="B20" i="12"/>
  <c r="C20" i="12" s="1"/>
  <c r="T20" i="11" l="1"/>
  <c r="U20" i="11" s="1"/>
  <c r="R20" i="11"/>
  <c r="S20" i="11" s="1"/>
  <c r="P20" i="11"/>
  <c r="Q20" i="11" s="1"/>
  <c r="N20" i="11"/>
  <c r="O20" i="11" s="1"/>
  <c r="L20" i="11"/>
  <c r="M20" i="11" s="1"/>
  <c r="J20" i="11"/>
  <c r="K20" i="11" s="1"/>
  <c r="H20" i="11"/>
  <c r="I20" i="11" s="1"/>
  <c r="G20" i="11"/>
  <c r="F20" i="11"/>
  <c r="D20" i="11"/>
  <c r="E20" i="11" s="1"/>
  <c r="B20" i="11" l="1"/>
  <c r="C20" i="11" s="1"/>
  <c r="T20" i="10"/>
  <c r="R20" i="10"/>
  <c r="P20" i="10"/>
  <c r="N20" i="10"/>
  <c r="L20" i="10"/>
  <c r="J20" i="10"/>
  <c r="H20" i="10"/>
  <c r="F20" i="10"/>
  <c r="D20" i="10"/>
  <c r="B20" i="10"/>
  <c r="T20" i="9"/>
  <c r="R20" i="9"/>
  <c r="P20" i="9"/>
  <c r="N20" i="9"/>
  <c r="L20" i="9"/>
  <c r="J20" i="9"/>
  <c r="H20" i="9"/>
  <c r="F20" i="9"/>
  <c r="D20" i="9"/>
  <c r="B20" i="9"/>
  <c r="T20" i="8"/>
  <c r="R20" i="8"/>
  <c r="P20" i="8"/>
  <c r="N20" i="8"/>
  <c r="L20" i="8"/>
  <c r="J20" i="8"/>
  <c r="H20" i="8"/>
  <c r="F20" i="8"/>
  <c r="D20" i="8"/>
  <c r="B20" i="8"/>
  <c r="T21" i="7"/>
  <c r="R21" i="7"/>
  <c r="P21" i="7"/>
  <c r="N21" i="7"/>
  <c r="L21" i="7"/>
  <c r="J21" i="7"/>
  <c r="H21" i="7"/>
  <c r="F21" i="7"/>
  <c r="D21" i="7"/>
  <c r="B21" i="7"/>
  <c r="T21" i="6"/>
  <c r="R21" i="6"/>
  <c r="P21" i="6"/>
  <c r="N21" i="6"/>
  <c r="L21" i="6"/>
  <c r="J21" i="6"/>
  <c r="H21" i="6"/>
  <c r="F21" i="6"/>
  <c r="D21" i="6"/>
  <c r="B21" i="6"/>
  <c r="T21" i="5"/>
  <c r="P21" i="5"/>
  <c r="N21" i="5"/>
  <c r="L21" i="5"/>
  <c r="J21" i="5"/>
  <c r="H21" i="5"/>
  <c r="F21" i="5"/>
  <c r="D21" i="5"/>
  <c r="B21" i="5"/>
  <c r="R21" i="5"/>
</calcChain>
</file>

<file path=xl/sharedStrings.xml><?xml version="1.0" encoding="utf-8"?>
<sst xmlns="http://schemas.openxmlformats.org/spreadsheetml/2006/main" count="1101" uniqueCount="53">
  <si>
    <t>4/Promedio ponderado del rendimiento de los fondos de inversión GAM y Pioneer Inmoniliario correspondiente a los últimos 360 días. El promedio ponderado del rendimiento del Fondo Inmobiliario Excel corresponde a los últimos 90 días.</t>
  </si>
  <si>
    <t>3/Fondo de reparto individualizado administrado por AFP.</t>
  </si>
  <si>
    <t>2/Títulos valores emitidos por el Banco Central de la República Dominicana.</t>
  </si>
  <si>
    <t>1/Entidades de Intermediación Financiera.</t>
  </si>
  <si>
    <t>Nota: No se incluyen las inversiones en cuotas de fondos de inversión.</t>
  </si>
  <si>
    <t>TOTAL</t>
  </si>
  <si>
    <t>-</t>
  </si>
  <si>
    <t>Papeles Comerciales Empresas</t>
  </si>
  <si>
    <r>
      <t>Notas BCRD</t>
    </r>
    <r>
      <rPr>
        <b/>
        <vertAlign val="superscript"/>
        <sz val="11"/>
        <rFont val="Calibri"/>
        <family val="2"/>
      </rPr>
      <t>2</t>
    </r>
  </si>
  <si>
    <r>
      <t>Letras BCRD</t>
    </r>
    <r>
      <rPr>
        <b/>
        <vertAlign val="superscript"/>
        <sz val="11"/>
        <rFont val="Calibri"/>
        <family val="2"/>
      </rPr>
      <t>2</t>
    </r>
  </si>
  <si>
    <r>
      <t>Cuotas de Participación de Fondos de Inversión</t>
    </r>
    <r>
      <rPr>
        <b/>
        <vertAlign val="superscript"/>
        <sz val="11"/>
        <rFont val="Calibri"/>
        <family val="2"/>
      </rPr>
      <t>4</t>
    </r>
  </si>
  <si>
    <r>
      <t>Certificados Inversión Especial BCRD</t>
    </r>
    <r>
      <rPr>
        <b/>
        <vertAlign val="superscript"/>
        <sz val="11"/>
        <rFont val="Calibri"/>
        <family val="2"/>
      </rPr>
      <t>2</t>
    </r>
  </si>
  <si>
    <r>
      <t>Certificados de Depósito EIF</t>
    </r>
    <r>
      <rPr>
        <b/>
        <vertAlign val="superscript"/>
        <sz val="11"/>
        <rFont val="Calibri"/>
        <family val="2"/>
      </rPr>
      <t>1</t>
    </r>
  </si>
  <si>
    <t>Bonos Organismos Multilaterales</t>
  </si>
  <si>
    <t>Bonos Empresas</t>
  </si>
  <si>
    <r>
      <t xml:space="preserve">Bonos EIF </t>
    </r>
    <r>
      <rPr>
        <b/>
        <vertAlign val="superscript"/>
        <sz val="11"/>
        <rFont val="Calibri"/>
        <family val="2"/>
      </rPr>
      <t>1</t>
    </r>
  </si>
  <si>
    <t>Bonos Ministerio de Hacienda</t>
  </si>
  <si>
    <t>TIPP</t>
  </si>
  <si>
    <t>FONDO DE SOLIDARIDAD SOCIAL</t>
  </si>
  <si>
    <r>
      <t>BANCO CENTRAL-R</t>
    </r>
    <r>
      <rPr>
        <b/>
        <vertAlign val="superscript"/>
        <sz val="11"/>
        <color rgb="FFFFFFFF"/>
        <rFont val="Calibri"/>
        <family val="2"/>
      </rPr>
      <t>3</t>
    </r>
  </si>
  <si>
    <r>
      <t>RESERVAS-R</t>
    </r>
    <r>
      <rPr>
        <b/>
        <vertAlign val="superscript"/>
        <sz val="11"/>
        <color rgb="FFFFFFFF"/>
        <rFont val="Calibri"/>
        <family val="2"/>
      </rPr>
      <t>3</t>
    </r>
  </si>
  <si>
    <t>SIEMBRA</t>
  </si>
  <si>
    <t>SCOTIA CRECER</t>
  </si>
  <si>
    <t>ROMANA</t>
  </si>
  <si>
    <t>RESERVAS</t>
  </si>
  <si>
    <t>POPULAR</t>
  </si>
  <si>
    <t>JMMB BDI</t>
  </si>
  <si>
    <t>ATLÁNTICO</t>
  </si>
  <si>
    <t>TIPO DE INSTRUMENTO</t>
  </si>
  <si>
    <t>Al 31 de enero de 2018</t>
  </si>
  <si>
    <t xml:space="preserve"> Tasa de Interés Promedio Ponderada de las Inversiones de los Fondos de Pensiones por Tipo de Instrumento </t>
  </si>
  <si>
    <t>Al 28 de febrero de 2018</t>
  </si>
  <si>
    <t>Al 31 de marzo de 2018</t>
  </si>
  <si>
    <t>Valores representativos de deuda emitidos por Fideicomisos de oferta pública</t>
  </si>
  <si>
    <t>4/Promedio ponderado del rendimiento de los fondos de inversión GAM y Pioneer Inmoniliario correspondiente a los últimos 360 días. El promedio ponderado del rendimiento del Fondo Inmobiliario Excel corresponde a los últimos 180 días.</t>
  </si>
  <si>
    <t>Al 30 de abril de 2018</t>
  </si>
  <si>
    <t xml:space="preserve">Inversiones de los Fondos de Pensiones por Tipo de Instrumento </t>
  </si>
  <si>
    <t>y Tasa de Interés Promedio Ponderada</t>
  </si>
  <si>
    <t>Al 31 de mayo 2018</t>
  </si>
  <si>
    <t>RD$</t>
  </si>
  <si>
    <t>$RD MM y %</t>
  </si>
  <si>
    <t>Al 30 de junio 2018</t>
  </si>
  <si>
    <t>Al 31 de julio 2018</t>
  </si>
  <si>
    <t>4/Promedio ponderado del rendimiento de los fondos de inversión GAM y Pioneer Inmoniliario correspondiente a los últimos 360 días. El promedio ponderado del rendimiento del Fondo Inmobiliario Excel corresponde a los últimos 180 días. El promedio ponderado del rendimiento del Fondo Desarrollo de Sociedades de Pioneer corresponde a los últimos 90 días. El promedio ponderado del rendimiento del Fondo United Renta Fija de Pioneer corresponde a los últimos 30 días.</t>
  </si>
  <si>
    <t>Al 31 de agosto 2018</t>
  </si>
  <si>
    <t>4/Promedio ponderado del rendimiento de los fondos de inversión GAM y Pioneer Inmoniliario correspondiente a los últimos 360 días. El promedio ponderado del rendimiento del Fondo Inmobiliario Excel corresponde a los últimos 180 días. El promedio ponderado del rendimiento del Fondo Desarrollo de Sociedades de Pioneer corresponde a los últimos 90 días. El promedio ponderado del rendimiento del Fondo United Renta Fija de Pioneer corresponde a los últimos 90 días.</t>
  </si>
  <si>
    <t>Al 30 de septiembre 2018</t>
  </si>
  <si>
    <t>Al 31 de octubre 2018</t>
  </si>
  <si>
    <t>4/Promedio ponderado del rendimiento de los fondos de inversión GAM y Pioneer Inmoniliario correspondiente a los últimos 360 días. El promedio ponderado del rendimiento del Fondo Inmobiliario Excel corresponde a los últimos 180 días. El promedio ponderado del rendimiento del Fondo Desarrollo de Sociedades de Pioneer corresponde a los últimos 90 días. El promedio ponderado del rendimiento del Fondo United Renta Fija de Pioneer corresponde a los últimos 90 días. El promedio ponderado del rendimiento del Fondo de Renta Fija Capitalizable de AFI Popular y del Fondo Cerrado para Desarrollo de Infraestructura Dominicana de AFI Universal  corresponde a los últimos 30 días.</t>
  </si>
  <si>
    <t>Al 30 de noviembre 2018</t>
  </si>
  <si>
    <t>4/Promedio ponderado del rendimiento de los fondos de inversión GAM y Pioneer Inmoniliario correspondiente a los últimos 360 días. El promedio ponderado del rendimiento del Fondo Inmobiliario Excel corresponde a los últimos 180 días. El promedio ponderado del rendimiento del Fondo Desarrollo de Sociedades de Pioneer corresponde a los últimos 90 días. El promedio ponderado del rendimiento del Fondo United Renta Fija de Pioneer corresponde a los últimos 90 días. El promedio ponderado del rendimiento del Fondo de Renta Fija Capitalizable y de Renta Inmobiliaria Dólares de Popular  y del Fondo Cerrado para Desarrollo de Infraestructura Dominicana Universal  corresponde a los últimos 30 días.</t>
  </si>
  <si>
    <t>Al 31 de diciembre 2018</t>
  </si>
  <si>
    <t>4/Promedio ponderado del rendimiento de los fondos de inversión GAM y Pioneer Inmoniliario correspondiente a los últimos 360 días. El promedio ponderado del rendimiento del Fondo Inmobiliario Excel corresponde a los últimos 180 días. El promedio ponderado del rendimiento del Fondo Desarrollo de Sociedades de Pioneer corresponde a los últimos 90 días. El promedio ponderado del rendimiento del Fondo United Renta Fija de Pioneer y del Fondo de Renta Inmobiliaria Dólares de Popular  corresponde a los últimos 90 días. El promedio ponderado del rendimiento del Fondo de Renta Fija Capitalizable y  del Fondo Cerrado para Desarrollo de Infraestructura Dominicana Universal  corresponde a los últimos 30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</si>
</sst>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0.00%"/>
  </numFmts>
  <fonts count="9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</font>
    <font>
      <b/>
      <sz val="10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2" applyFont="1" applyFill="1" applyBorder="1" applyAlignment="1">
      <alignment horizontal="left" vertical="center" wrapText="1"/>
    </xf>
    <xf numFmtId="164" fontId="3" fillId="2" borderId="1" xfId="2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43" fontId="1" fillId="0" borderId="1" xfId="1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3" fillId="2" borderId="1" xfId="2" applyFont="1" applyFill="1" applyBorder="1" applyAlignment="1">
      <alignment vertical="center" wrapText="1"/>
    </xf>
    <xf numFmtId="164" fontId="1" fillId="0" borderId="1" xfId="2" applyNumberFormat="1" applyFill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0" fontId="1" fillId="0" borderId="0" xfId="2"/>
    <xf numFmtId="0" fontId="3" fillId="0" borderId="0" xfId="2" applyFont="1" applyAlignment="1">
      <alignment horizontal="right"/>
    </xf>
    <xf numFmtId="0" fontId="2" fillId="0" borderId="0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Alignment="1"/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164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Fill="1" applyBorder="1"/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4" fontId="0" fillId="0" borderId="1" xfId="0" applyNumberFormat="1" applyFill="1" applyBorder="1"/>
    <xf numFmtId="43" fontId="0" fillId="0" borderId="1" xfId="1" applyFont="1" applyBorder="1" applyAlignment="1">
      <alignment horizontal="center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10" fontId="0" fillId="0" borderId="1" xfId="3" applyNumberFormat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5" fillId="3" borderId="2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2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zoomScaleNormal="100" workbookViewId="0">
      <selection activeCell="A3" sqref="A3:K3"/>
    </sheetView>
  </sheetViews>
  <sheetFormatPr baseColWidth="10" defaultRowHeight="15"/>
  <cols>
    <col min="1" max="1" width="43.42578125" customWidth="1"/>
    <col min="2" max="3" width="12" customWidth="1"/>
    <col min="4" max="5" width="11.28515625" customWidth="1"/>
    <col min="6" max="10" width="12" customWidth="1"/>
    <col min="11" max="11" width="13.42578125" customWidth="1"/>
    <col min="12" max="12" width="15.140625" customWidth="1"/>
  </cols>
  <sheetData>
    <row r="1" spans="1:1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>
      <c r="A3" s="50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>
      <c r="A4" s="10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5" customHeight="1">
      <c r="A5" s="51" t="s">
        <v>28</v>
      </c>
      <c r="B5" s="51" t="s">
        <v>27</v>
      </c>
      <c r="C5" s="51" t="s">
        <v>26</v>
      </c>
      <c r="D5" s="51" t="s">
        <v>25</v>
      </c>
      <c r="E5" s="51" t="s">
        <v>24</v>
      </c>
      <c r="F5" s="51" t="s">
        <v>23</v>
      </c>
      <c r="G5" s="51" t="s">
        <v>22</v>
      </c>
      <c r="H5" s="51" t="s">
        <v>21</v>
      </c>
      <c r="I5" s="51" t="s">
        <v>20</v>
      </c>
      <c r="J5" s="51" t="s">
        <v>19</v>
      </c>
      <c r="K5" s="51" t="s">
        <v>18</v>
      </c>
    </row>
    <row r="6" spans="1:11" ht="35.25" customHeight="1">
      <c r="A6" s="51"/>
      <c r="B6" s="51"/>
      <c r="C6" s="51"/>
      <c r="D6" s="51" t="s">
        <v>17</v>
      </c>
      <c r="E6" s="51" t="s">
        <v>17</v>
      </c>
      <c r="F6" s="51" t="s">
        <v>17</v>
      </c>
      <c r="G6" s="51" t="s">
        <v>17</v>
      </c>
      <c r="H6" s="51" t="s">
        <v>17</v>
      </c>
      <c r="I6" s="51" t="s">
        <v>17</v>
      </c>
      <c r="J6" s="51" t="s">
        <v>17</v>
      </c>
      <c r="K6" s="51" t="s">
        <v>17</v>
      </c>
    </row>
    <row r="7" spans="1:11">
      <c r="A7" s="6" t="s">
        <v>16</v>
      </c>
      <c r="B7" s="5">
        <v>9.5600000000000004E-2</v>
      </c>
      <c r="C7" s="5">
        <v>9.8900000000000002E-2</v>
      </c>
      <c r="D7" s="5">
        <v>8.8599999999999998E-2</v>
      </c>
      <c r="E7" s="5">
        <v>9.2200000000000004E-2</v>
      </c>
      <c r="F7" s="5">
        <v>9.4100000000000003E-2</v>
      </c>
      <c r="G7" s="5">
        <v>9.3299999999999994E-2</v>
      </c>
      <c r="H7" s="5">
        <v>8.5800000000000001E-2</v>
      </c>
      <c r="I7" s="5">
        <v>9.7100000000000006E-2</v>
      </c>
      <c r="J7" s="5">
        <v>9.2200000000000004E-2</v>
      </c>
      <c r="K7" s="5">
        <v>9.2299999999999993E-2</v>
      </c>
    </row>
    <row r="8" spans="1:11" ht="17.25">
      <c r="A8" s="6" t="s">
        <v>15</v>
      </c>
      <c r="B8" s="5">
        <v>9.9599999999999994E-2</v>
      </c>
      <c r="C8" s="5">
        <v>0.1075</v>
      </c>
      <c r="D8" s="5">
        <v>8.8800000000000004E-2</v>
      </c>
      <c r="E8" s="5">
        <v>8.9800000000000005E-2</v>
      </c>
      <c r="F8" s="4" t="s">
        <v>6</v>
      </c>
      <c r="G8" s="5">
        <v>0.1013</v>
      </c>
      <c r="H8" s="5">
        <v>8.8800000000000004E-2</v>
      </c>
      <c r="I8" s="5">
        <v>8.0500000000000002E-2</v>
      </c>
      <c r="J8" s="4" t="s">
        <v>6</v>
      </c>
      <c r="K8" s="5">
        <v>9.0200000000000002E-2</v>
      </c>
    </row>
    <row r="9" spans="1:11">
      <c r="A9" s="6" t="s">
        <v>14</v>
      </c>
      <c r="B9" s="5">
        <v>0.10639999999999999</v>
      </c>
      <c r="C9" s="5">
        <v>0.1125</v>
      </c>
      <c r="D9" s="5">
        <v>7.6899999999999996E-2</v>
      </c>
      <c r="E9" s="5">
        <v>8.2000000000000003E-2</v>
      </c>
      <c r="F9" s="4" t="s">
        <v>6</v>
      </c>
      <c r="G9" s="5">
        <v>7.2599999999999998E-2</v>
      </c>
      <c r="H9" s="5">
        <v>8.3400000000000002E-2</v>
      </c>
      <c r="I9" s="5">
        <v>8.4099999999999994E-2</v>
      </c>
      <c r="J9" s="5">
        <v>0.1045</v>
      </c>
      <c r="K9" s="5">
        <v>7.3499999999999996E-2</v>
      </c>
    </row>
    <row r="10" spans="1:11">
      <c r="A10" s="6" t="s">
        <v>13</v>
      </c>
      <c r="B10" s="4" t="s">
        <v>6</v>
      </c>
      <c r="C10" s="4" t="s">
        <v>6</v>
      </c>
      <c r="D10" s="4" t="s">
        <v>6</v>
      </c>
      <c r="E10" s="5">
        <v>8.7499999999999994E-2</v>
      </c>
      <c r="F10" s="4" t="s">
        <v>6</v>
      </c>
      <c r="G10" s="4" t="s">
        <v>6</v>
      </c>
      <c r="H10" s="4" t="s">
        <v>6</v>
      </c>
      <c r="I10" s="5">
        <v>8.7499999999999994E-2</v>
      </c>
      <c r="J10" s="4" t="s">
        <v>6</v>
      </c>
      <c r="K10" s="5">
        <v>8.7499999999999994E-2</v>
      </c>
    </row>
    <row r="11" spans="1:11" ht="17.25">
      <c r="A11" s="6" t="s">
        <v>12</v>
      </c>
      <c r="B11" s="5">
        <v>6.9199999999999998E-2</v>
      </c>
      <c r="C11" s="5">
        <v>6.88E-2</v>
      </c>
      <c r="D11" s="5">
        <v>5.6399999999999999E-2</v>
      </c>
      <c r="E11" s="5">
        <v>5.4100000000000002E-2</v>
      </c>
      <c r="F11" s="5">
        <v>7.3800000000000004E-2</v>
      </c>
      <c r="G11" s="5">
        <v>6.2300000000000001E-2</v>
      </c>
      <c r="H11" s="5">
        <v>5.8999999999999997E-2</v>
      </c>
      <c r="I11" s="5">
        <v>4.36E-2</v>
      </c>
      <c r="J11" s="5">
        <v>6.6199999999999995E-2</v>
      </c>
      <c r="K11" s="5">
        <v>5.9400000000000001E-2</v>
      </c>
    </row>
    <row r="12" spans="1:11" ht="17.25">
      <c r="A12" s="6" t="s">
        <v>11</v>
      </c>
      <c r="B12" s="5">
        <v>9.2700000000000005E-2</v>
      </c>
      <c r="C12" s="5">
        <v>0.09</v>
      </c>
      <c r="D12" s="5">
        <v>9.2799999999999994E-2</v>
      </c>
      <c r="E12" s="5">
        <v>9.3600000000000003E-2</v>
      </c>
      <c r="F12" s="5">
        <v>9.1800000000000007E-2</v>
      </c>
      <c r="G12" s="5">
        <v>9.11E-2</v>
      </c>
      <c r="H12" s="5">
        <v>9.3100000000000002E-2</v>
      </c>
      <c r="I12" s="5">
        <v>9.0499999999999997E-2</v>
      </c>
      <c r="J12" s="5">
        <v>9.6100000000000005E-2</v>
      </c>
      <c r="K12" s="5">
        <v>9.3100000000000002E-2</v>
      </c>
    </row>
    <row r="13" spans="1:11" ht="19.5" customHeight="1">
      <c r="A13" s="6" t="s">
        <v>10</v>
      </c>
      <c r="B13" s="8" t="s">
        <v>6</v>
      </c>
      <c r="C13" s="8" t="s">
        <v>6</v>
      </c>
      <c r="D13" s="7">
        <v>6.1600000000000002E-2</v>
      </c>
      <c r="E13" s="7">
        <v>5.9400000000000001E-2</v>
      </c>
      <c r="F13" s="8" t="s">
        <v>6</v>
      </c>
      <c r="G13" s="7">
        <v>5.9299999999999999E-2</v>
      </c>
      <c r="H13" s="7">
        <v>5.9499999999999997E-2</v>
      </c>
      <c r="I13" s="8" t="s">
        <v>6</v>
      </c>
      <c r="J13" s="8" t="s">
        <v>6</v>
      </c>
      <c r="K13" s="7">
        <v>7.0900000000000005E-2</v>
      </c>
    </row>
    <row r="14" spans="1:11" ht="17.25">
      <c r="A14" s="6" t="s">
        <v>9</v>
      </c>
      <c r="B14" s="4" t="s">
        <v>6</v>
      </c>
      <c r="C14" s="4" t="s">
        <v>6</v>
      </c>
      <c r="D14" s="5">
        <v>6.9800000000000001E-2</v>
      </c>
      <c r="E14" s="4" t="s">
        <v>6</v>
      </c>
      <c r="F14" s="4" t="s">
        <v>6</v>
      </c>
      <c r="G14" s="5">
        <v>6.7799999999999999E-2</v>
      </c>
      <c r="H14" s="4" t="s">
        <v>6</v>
      </c>
      <c r="I14" s="4" t="s">
        <v>6</v>
      </c>
      <c r="J14" s="4" t="s">
        <v>6</v>
      </c>
      <c r="K14" s="4" t="s">
        <v>6</v>
      </c>
    </row>
    <row r="15" spans="1:11" ht="17.25">
      <c r="A15" s="6" t="s">
        <v>8</v>
      </c>
      <c r="B15" s="5">
        <v>9.2299999999999993E-2</v>
      </c>
      <c r="C15" s="5">
        <v>9.2999999999999999E-2</v>
      </c>
      <c r="D15" s="5">
        <v>9.4399999999999998E-2</v>
      </c>
      <c r="E15" s="5">
        <v>9.4E-2</v>
      </c>
      <c r="F15" s="5">
        <v>9.1899999999999996E-2</v>
      </c>
      <c r="G15" s="5">
        <v>9.3700000000000006E-2</v>
      </c>
      <c r="H15" s="5">
        <v>9.4399999999999998E-2</v>
      </c>
      <c r="I15" s="5">
        <v>9.2200000000000004E-2</v>
      </c>
      <c r="J15" s="5">
        <v>9.1200000000000003E-2</v>
      </c>
      <c r="K15" s="5">
        <v>9.3799999999999994E-2</v>
      </c>
    </row>
    <row r="16" spans="1:11">
      <c r="A16" s="6" t="s">
        <v>7</v>
      </c>
      <c r="B16" s="5">
        <v>0.1</v>
      </c>
      <c r="C16" s="4" t="s">
        <v>6</v>
      </c>
      <c r="D16" s="4" t="s">
        <v>6</v>
      </c>
      <c r="E16" s="5">
        <v>0.1</v>
      </c>
      <c r="F16" s="4" t="s">
        <v>6</v>
      </c>
      <c r="G16" s="5">
        <v>0.1</v>
      </c>
      <c r="H16" s="5">
        <v>0.1</v>
      </c>
      <c r="I16" s="4" t="s">
        <v>6</v>
      </c>
      <c r="J16" s="4" t="s">
        <v>6</v>
      </c>
      <c r="K16" s="4" t="s">
        <v>6</v>
      </c>
    </row>
    <row r="17" spans="1:11">
      <c r="A17" s="3" t="s">
        <v>5</v>
      </c>
      <c r="B17" s="2">
        <v>9.3200000000000005E-2</v>
      </c>
      <c r="C17" s="2">
        <v>9.1499999999999998E-2</v>
      </c>
      <c r="D17" s="2">
        <v>8.5500000000000007E-2</v>
      </c>
      <c r="E17" s="2">
        <v>8.8700000000000001E-2</v>
      </c>
      <c r="F17" s="2">
        <v>8.6999999999999994E-2</v>
      </c>
      <c r="G17" s="2">
        <v>8.6499999999999994E-2</v>
      </c>
      <c r="H17" s="2">
        <v>8.8499999999999995E-2</v>
      </c>
      <c r="I17" s="2">
        <v>8.6900000000000005E-2</v>
      </c>
      <c r="J17" s="2">
        <v>8.6999999999999994E-2</v>
      </c>
      <c r="K17" s="2">
        <v>8.8999999999999996E-2</v>
      </c>
    </row>
    <row r="19" spans="1:11" ht="18" customHeight="1">
      <c r="A19" s="52" t="s">
        <v>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</row>
    <row r="20" spans="1:11" ht="18" customHeight="1">
      <c r="A20" s="52" t="s">
        <v>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>
      <c r="A21" s="52" t="s">
        <v>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1">
      <c r="A22" s="1" t="s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 customHeight="1">
      <c r="A23" s="52" t="s">
        <v>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11" ht="17.2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1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</row>
  </sheetData>
  <mergeCells count="20">
    <mergeCell ref="A21:K21"/>
    <mergeCell ref="A23:K23"/>
    <mergeCell ref="A24:K24"/>
    <mergeCell ref="A25:K25"/>
    <mergeCell ref="H5:H6"/>
    <mergeCell ref="I5:I6"/>
    <mergeCell ref="J5:J6"/>
    <mergeCell ref="K5:K6"/>
    <mergeCell ref="A19:K19"/>
    <mergeCell ref="A20:K20"/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zoomScaleNormal="100" workbookViewId="0">
      <selection activeCell="I28" sqref="I28"/>
    </sheetView>
  </sheetViews>
  <sheetFormatPr baseColWidth="10" defaultRowHeight="15"/>
  <cols>
    <col min="1" max="1" width="43.42578125" customWidth="1"/>
    <col min="2" max="3" width="12" customWidth="1"/>
    <col min="4" max="5" width="11.28515625" customWidth="1"/>
    <col min="6" max="10" width="12" customWidth="1"/>
    <col min="11" max="11" width="13.42578125" customWidth="1"/>
    <col min="12" max="12" width="15.140625" customWidth="1"/>
  </cols>
  <sheetData>
    <row r="1" spans="1:1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>
      <c r="A3" s="50" t="s">
        <v>31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>
      <c r="A4" s="10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5" customHeight="1">
      <c r="A5" s="51" t="s">
        <v>28</v>
      </c>
      <c r="B5" s="51" t="s">
        <v>27</v>
      </c>
      <c r="C5" s="51" t="s">
        <v>26</v>
      </c>
      <c r="D5" s="51" t="s">
        <v>25</v>
      </c>
      <c r="E5" s="51" t="s">
        <v>24</v>
      </c>
      <c r="F5" s="51" t="s">
        <v>23</v>
      </c>
      <c r="G5" s="51" t="s">
        <v>22</v>
      </c>
      <c r="H5" s="51" t="s">
        <v>21</v>
      </c>
      <c r="I5" s="51" t="s">
        <v>20</v>
      </c>
      <c r="J5" s="51" t="s">
        <v>19</v>
      </c>
      <c r="K5" s="51" t="s">
        <v>18</v>
      </c>
    </row>
    <row r="6" spans="1:11" ht="35.25" customHeight="1">
      <c r="A6" s="51"/>
      <c r="B6" s="51"/>
      <c r="C6" s="51"/>
      <c r="D6" s="51" t="s">
        <v>17</v>
      </c>
      <c r="E6" s="51" t="s">
        <v>17</v>
      </c>
      <c r="F6" s="51" t="s">
        <v>17</v>
      </c>
      <c r="G6" s="51" t="s">
        <v>17</v>
      </c>
      <c r="H6" s="51" t="s">
        <v>17</v>
      </c>
      <c r="I6" s="51" t="s">
        <v>17</v>
      </c>
      <c r="J6" s="51" t="s">
        <v>17</v>
      </c>
      <c r="K6" s="51" t="s">
        <v>17</v>
      </c>
    </row>
    <row r="7" spans="1:11">
      <c r="A7" s="6" t="s">
        <v>16</v>
      </c>
      <c r="B7" s="5">
        <v>9.2799999999999994E-2</v>
      </c>
      <c r="C7" s="5">
        <v>9.3600000000000003E-2</v>
      </c>
      <c r="D7" s="5">
        <v>8.7499999999999994E-2</v>
      </c>
      <c r="E7" s="5">
        <v>8.9300000000000004E-2</v>
      </c>
      <c r="F7" s="5">
        <v>9.4500000000000001E-2</v>
      </c>
      <c r="G7" s="5">
        <v>9.1600000000000001E-2</v>
      </c>
      <c r="H7" s="5">
        <v>8.3400000000000002E-2</v>
      </c>
      <c r="I7" s="5">
        <v>9.4299999999999995E-2</v>
      </c>
      <c r="J7" s="5">
        <v>9.7900000000000001E-2</v>
      </c>
      <c r="K7" s="5">
        <v>8.9700000000000002E-2</v>
      </c>
    </row>
    <row r="8" spans="1:11" ht="17.25">
      <c r="A8" s="6" t="s">
        <v>15</v>
      </c>
      <c r="B8" s="5">
        <v>9.8500000000000004E-2</v>
      </c>
      <c r="C8" s="5">
        <v>0.1075</v>
      </c>
      <c r="D8" s="5">
        <v>8.8700000000000001E-2</v>
      </c>
      <c r="E8" s="5">
        <v>8.9800000000000005E-2</v>
      </c>
      <c r="F8" s="4" t="s">
        <v>6</v>
      </c>
      <c r="G8" s="5">
        <v>0.1013</v>
      </c>
      <c r="H8" s="5">
        <v>8.8700000000000001E-2</v>
      </c>
      <c r="I8" s="5">
        <v>7.9899999999999999E-2</v>
      </c>
      <c r="J8" s="4" t="s">
        <v>6</v>
      </c>
      <c r="K8" s="5">
        <v>9.0200000000000002E-2</v>
      </c>
    </row>
    <row r="9" spans="1:11">
      <c r="A9" s="6" t="s">
        <v>14</v>
      </c>
      <c r="B9" s="5">
        <v>0.10630000000000001</v>
      </c>
      <c r="C9" s="5">
        <v>0.1125</v>
      </c>
      <c r="D9" s="5">
        <v>7.6999999999999999E-2</v>
      </c>
      <c r="E9" s="5">
        <v>8.2000000000000003E-2</v>
      </c>
      <c r="F9" s="4" t="s">
        <v>6</v>
      </c>
      <c r="G9" s="5">
        <v>7.1400000000000005E-2</v>
      </c>
      <c r="H9" s="5">
        <v>8.3400000000000002E-2</v>
      </c>
      <c r="I9" s="5">
        <v>8.4199999999999997E-2</v>
      </c>
      <c r="J9" s="5">
        <v>0.1045</v>
      </c>
      <c r="K9" s="5">
        <v>7.3599999999999999E-2</v>
      </c>
    </row>
    <row r="10" spans="1:11">
      <c r="A10" s="6" t="s">
        <v>13</v>
      </c>
      <c r="B10" s="4" t="s">
        <v>6</v>
      </c>
      <c r="C10" s="4" t="s">
        <v>6</v>
      </c>
      <c r="D10" s="4" t="s">
        <v>6</v>
      </c>
      <c r="E10" s="5">
        <v>8.7499999999999994E-2</v>
      </c>
      <c r="F10" s="4" t="s">
        <v>6</v>
      </c>
      <c r="G10" s="4" t="s">
        <v>6</v>
      </c>
      <c r="H10" s="4" t="s">
        <v>6</v>
      </c>
      <c r="I10" s="5">
        <v>8.7499999999999994E-2</v>
      </c>
      <c r="J10" s="4" t="s">
        <v>6</v>
      </c>
      <c r="K10" s="5">
        <v>8.7499999999999994E-2</v>
      </c>
    </row>
    <row r="11" spans="1:11" ht="17.25">
      <c r="A11" s="6" t="s">
        <v>12</v>
      </c>
      <c r="B11" s="5">
        <v>6.5299999999999997E-2</v>
      </c>
      <c r="C11" s="5">
        <v>6.9699999999999998E-2</v>
      </c>
      <c r="D11" s="5">
        <v>6.13E-2</v>
      </c>
      <c r="E11" s="5">
        <v>5.7599999999999998E-2</v>
      </c>
      <c r="F11" s="5">
        <v>7.0400000000000004E-2</v>
      </c>
      <c r="G11" s="5">
        <v>6.4600000000000005E-2</v>
      </c>
      <c r="H11" s="5">
        <v>2.81E-2</v>
      </c>
      <c r="I11" s="5">
        <v>4.0500000000000001E-2</v>
      </c>
      <c r="J11" s="5">
        <v>6.7500000000000004E-2</v>
      </c>
      <c r="K11" s="5">
        <v>5.04E-2</v>
      </c>
    </row>
    <row r="12" spans="1:11" ht="17.25">
      <c r="A12" s="6" t="s">
        <v>11</v>
      </c>
      <c r="B12" s="5">
        <v>9.2899999999999996E-2</v>
      </c>
      <c r="C12" s="5">
        <v>8.9599999999999999E-2</v>
      </c>
      <c r="D12" s="5">
        <v>9.0800000000000006E-2</v>
      </c>
      <c r="E12" s="5">
        <v>9.2399999999999996E-2</v>
      </c>
      <c r="F12" s="5">
        <v>8.8700000000000001E-2</v>
      </c>
      <c r="G12" s="5">
        <v>8.8999999999999996E-2</v>
      </c>
      <c r="H12" s="5">
        <v>9.1600000000000001E-2</v>
      </c>
      <c r="I12" s="5">
        <v>9.0200000000000002E-2</v>
      </c>
      <c r="J12" s="5">
        <v>8.9800000000000005E-2</v>
      </c>
      <c r="K12" s="5">
        <v>9.1499999999999998E-2</v>
      </c>
    </row>
    <row r="13" spans="1:11" ht="19.5" customHeight="1">
      <c r="A13" s="6" t="s">
        <v>10</v>
      </c>
      <c r="B13" s="8" t="s">
        <v>6</v>
      </c>
      <c r="C13" s="8" t="s">
        <v>6</v>
      </c>
      <c r="D13" s="7">
        <v>7.4399999999999994E-2</v>
      </c>
      <c r="E13" s="7">
        <v>5.8599999999999999E-2</v>
      </c>
      <c r="F13" s="8" t="s">
        <v>6</v>
      </c>
      <c r="G13" s="7">
        <v>5.8999999999999997E-2</v>
      </c>
      <c r="H13" s="7">
        <v>6.7000000000000004E-2</v>
      </c>
      <c r="I13" s="8" t="s">
        <v>6</v>
      </c>
      <c r="J13" s="8" t="s">
        <v>6</v>
      </c>
      <c r="K13" s="7">
        <v>5.74E-2</v>
      </c>
    </row>
    <row r="14" spans="1:11" ht="17.25">
      <c r="A14" s="6" t="s">
        <v>9</v>
      </c>
      <c r="B14" s="4" t="s">
        <v>6</v>
      </c>
      <c r="C14" s="4" t="s">
        <v>6</v>
      </c>
      <c r="D14" s="5">
        <v>6.9800000000000001E-2</v>
      </c>
      <c r="E14" s="4" t="s">
        <v>6</v>
      </c>
      <c r="F14" s="4" t="s">
        <v>6</v>
      </c>
      <c r="G14" s="5">
        <v>6.7799999999999999E-2</v>
      </c>
      <c r="H14" s="4" t="s">
        <v>6</v>
      </c>
      <c r="I14" s="4" t="s">
        <v>6</v>
      </c>
      <c r="J14" s="4" t="s">
        <v>6</v>
      </c>
      <c r="K14" s="4" t="s">
        <v>6</v>
      </c>
    </row>
    <row r="15" spans="1:11" ht="17.25">
      <c r="A15" s="6" t="s">
        <v>8</v>
      </c>
      <c r="B15" s="5">
        <v>9.2499999999999999E-2</v>
      </c>
      <c r="C15" s="5">
        <v>9.2799999999999994E-2</v>
      </c>
      <c r="D15" s="5">
        <v>9.2600000000000002E-2</v>
      </c>
      <c r="E15" s="5">
        <v>9.2700000000000005E-2</v>
      </c>
      <c r="F15" s="5">
        <v>9.2200000000000004E-2</v>
      </c>
      <c r="G15" s="5">
        <v>9.1899999999999996E-2</v>
      </c>
      <c r="H15" s="5">
        <v>9.2399999999999996E-2</v>
      </c>
      <c r="I15" s="5">
        <v>9.0899999999999995E-2</v>
      </c>
      <c r="J15" s="5">
        <v>9.2600000000000002E-2</v>
      </c>
      <c r="K15" s="5">
        <v>9.1800000000000007E-2</v>
      </c>
    </row>
    <row r="16" spans="1:11">
      <c r="A16" s="6" t="s">
        <v>7</v>
      </c>
      <c r="B16" s="5">
        <v>0.1</v>
      </c>
      <c r="C16" s="4" t="s">
        <v>6</v>
      </c>
      <c r="D16" s="4" t="s">
        <v>6</v>
      </c>
      <c r="E16" s="5">
        <v>0.1</v>
      </c>
      <c r="F16" s="4" t="s">
        <v>6</v>
      </c>
      <c r="G16" s="5">
        <v>0.1</v>
      </c>
      <c r="H16" s="5">
        <v>0.1</v>
      </c>
      <c r="I16" s="4" t="s">
        <v>6</v>
      </c>
      <c r="J16" s="4" t="s">
        <v>6</v>
      </c>
      <c r="K16" s="4" t="s">
        <v>6</v>
      </c>
    </row>
    <row r="17" spans="1:11">
      <c r="A17" s="3" t="s">
        <v>5</v>
      </c>
      <c r="B17" s="2">
        <v>9.1999999999999998E-2</v>
      </c>
      <c r="C17" s="2">
        <v>8.8400000000000006E-2</v>
      </c>
      <c r="D17" s="2">
        <v>8.5500000000000007E-2</v>
      </c>
      <c r="E17" s="2">
        <v>8.7800000000000003E-2</v>
      </c>
      <c r="F17" s="2">
        <v>8.5500000000000007E-2</v>
      </c>
      <c r="G17" s="2">
        <v>8.5199999999999998E-2</v>
      </c>
      <c r="H17" s="2">
        <v>8.5099999999999995E-2</v>
      </c>
      <c r="I17" s="2">
        <v>8.5800000000000001E-2</v>
      </c>
      <c r="J17" s="2">
        <v>8.6599999999999996E-2</v>
      </c>
      <c r="K17" s="2">
        <v>8.6199999999999999E-2</v>
      </c>
    </row>
    <row r="19" spans="1:11" ht="18" customHeight="1">
      <c r="A19" s="52" t="s">
        <v>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</row>
    <row r="20" spans="1:11" ht="18" customHeight="1">
      <c r="A20" s="52" t="s">
        <v>3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>
      <c r="A21" s="52" t="s">
        <v>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1">
      <c r="A22" s="1" t="s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" customHeight="1">
      <c r="A23" s="52" t="s">
        <v>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11" ht="17.2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1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</row>
  </sheetData>
  <mergeCells count="20"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  <mergeCell ref="A21:K21"/>
    <mergeCell ref="A23:K23"/>
    <mergeCell ref="A24:K24"/>
    <mergeCell ref="A25:K25"/>
    <mergeCell ref="H5:H6"/>
    <mergeCell ref="I5:I6"/>
    <mergeCell ref="J5:J6"/>
    <mergeCell ref="K5:K6"/>
    <mergeCell ref="A19:K19"/>
    <mergeCell ref="A20:K20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showGridLines="0" zoomScaleNormal="100" workbookViewId="0">
      <selection activeCell="A25" sqref="A25:K25"/>
    </sheetView>
  </sheetViews>
  <sheetFormatPr baseColWidth="10" defaultRowHeight="15"/>
  <cols>
    <col min="1" max="1" width="43.42578125" customWidth="1"/>
    <col min="2" max="3" width="12" customWidth="1"/>
    <col min="4" max="5" width="11.28515625" customWidth="1"/>
    <col min="6" max="10" width="12" customWidth="1"/>
    <col min="11" max="11" width="13.42578125" customWidth="1"/>
    <col min="12" max="12" width="15.140625" customWidth="1"/>
  </cols>
  <sheetData>
    <row r="1" spans="1:1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>
      <c r="A3" s="50" t="s">
        <v>32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>
      <c r="A4" s="10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5" customHeight="1">
      <c r="A5" s="51" t="s">
        <v>28</v>
      </c>
      <c r="B5" s="51" t="s">
        <v>27</v>
      </c>
      <c r="C5" s="51" t="s">
        <v>26</v>
      </c>
      <c r="D5" s="51" t="s">
        <v>25</v>
      </c>
      <c r="E5" s="51" t="s">
        <v>24</v>
      </c>
      <c r="F5" s="51" t="s">
        <v>23</v>
      </c>
      <c r="G5" s="51" t="s">
        <v>22</v>
      </c>
      <c r="H5" s="51" t="s">
        <v>21</v>
      </c>
      <c r="I5" s="51" t="s">
        <v>20</v>
      </c>
      <c r="J5" s="51" t="s">
        <v>19</v>
      </c>
      <c r="K5" s="51" t="s">
        <v>18</v>
      </c>
    </row>
    <row r="6" spans="1:11" ht="35.25" customHeight="1">
      <c r="A6" s="51"/>
      <c r="B6" s="51"/>
      <c r="C6" s="51"/>
      <c r="D6" s="51" t="s">
        <v>17</v>
      </c>
      <c r="E6" s="51" t="s">
        <v>17</v>
      </c>
      <c r="F6" s="51" t="s">
        <v>17</v>
      </c>
      <c r="G6" s="51" t="s">
        <v>17</v>
      </c>
      <c r="H6" s="51" t="s">
        <v>17</v>
      </c>
      <c r="I6" s="51" t="s">
        <v>17</v>
      </c>
      <c r="J6" s="51" t="s">
        <v>17</v>
      </c>
      <c r="K6" s="51" t="s">
        <v>17</v>
      </c>
    </row>
    <row r="7" spans="1:11">
      <c r="A7" s="6" t="s">
        <v>16</v>
      </c>
      <c r="B7" s="5">
        <v>9.5699999999999993E-2</v>
      </c>
      <c r="C7" s="5">
        <v>9.5699999999999993E-2</v>
      </c>
      <c r="D7" s="5">
        <v>8.8999999999999996E-2</v>
      </c>
      <c r="E7" s="5">
        <v>9.1700000000000004E-2</v>
      </c>
      <c r="F7" s="5">
        <v>9.6199999999999994E-2</v>
      </c>
      <c r="G7" s="5">
        <v>9.2600000000000002E-2</v>
      </c>
      <c r="H7" s="5">
        <v>8.1900000000000001E-2</v>
      </c>
      <c r="I7" s="5">
        <v>9.6299999999999997E-2</v>
      </c>
      <c r="J7" s="5">
        <v>9.7900000000000001E-2</v>
      </c>
      <c r="K7" s="5">
        <v>9.0499999999999997E-2</v>
      </c>
    </row>
    <row r="8" spans="1:11" ht="17.25">
      <c r="A8" s="6" t="s">
        <v>15</v>
      </c>
      <c r="B8" s="5">
        <v>9.7699999999999995E-2</v>
      </c>
      <c r="C8" s="5">
        <v>0.1075</v>
      </c>
      <c r="D8" s="5">
        <v>8.6900000000000005E-2</v>
      </c>
      <c r="E8" s="5">
        <v>8.9399999999999993E-2</v>
      </c>
      <c r="F8" s="4" t="s">
        <v>6</v>
      </c>
      <c r="G8" s="5">
        <v>0.1003</v>
      </c>
      <c r="H8" s="5">
        <v>8.77E-2</v>
      </c>
      <c r="I8" s="5">
        <v>7.9799999999999996E-2</v>
      </c>
      <c r="J8" s="4" t="s">
        <v>6</v>
      </c>
      <c r="K8" s="5">
        <v>8.8999999999999996E-2</v>
      </c>
    </row>
    <row r="9" spans="1:11">
      <c r="A9" s="6" t="s">
        <v>14</v>
      </c>
      <c r="B9" s="5">
        <v>0.10630000000000001</v>
      </c>
      <c r="C9" s="5">
        <v>0.1125</v>
      </c>
      <c r="D9" s="5">
        <v>7.6999999999999999E-2</v>
      </c>
      <c r="E9" s="5">
        <v>8.1799999999999998E-2</v>
      </c>
      <c r="F9" s="4" t="s">
        <v>6</v>
      </c>
      <c r="G9" s="5">
        <v>7.1900000000000006E-2</v>
      </c>
      <c r="H9" s="5">
        <v>8.3900000000000002E-2</v>
      </c>
      <c r="I9" s="5">
        <v>8.4099999999999994E-2</v>
      </c>
      <c r="J9" s="5">
        <v>0.10440000000000001</v>
      </c>
      <c r="K9" s="5">
        <v>7.3899999999999993E-2</v>
      </c>
    </row>
    <row r="10" spans="1:11">
      <c r="A10" s="6" t="s">
        <v>13</v>
      </c>
      <c r="B10" s="4" t="s">
        <v>6</v>
      </c>
      <c r="C10" s="4" t="s">
        <v>6</v>
      </c>
      <c r="D10" s="4" t="s">
        <v>6</v>
      </c>
      <c r="E10" s="5">
        <v>8.7499999999999994E-2</v>
      </c>
      <c r="F10" s="4" t="s">
        <v>6</v>
      </c>
      <c r="G10" s="4" t="s">
        <v>6</v>
      </c>
      <c r="H10" s="4" t="s">
        <v>6</v>
      </c>
      <c r="I10" s="5">
        <v>8.7499999999999994E-2</v>
      </c>
      <c r="J10" s="4" t="s">
        <v>6</v>
      </c>
      <c r="K10" s="5">
        <v>8.7499999999999994E-2</v>
      </c>
    </row>
    <row r="11" spans="1:11" ht="17.25">
      <c r="A11" s="6" t="s">
        <v>12</v>
      </c>
      <c r="B11" s="5">
        <v>6.2799999999999995E-2</v>
      </c>
      <c r="C11" s="5">
        <v>6.9599999999999995E-2</v>
      </c>
      <c r="D11" s="5">
        <v>6.08E-2</v>
      </c>
      <c r="E11" s="5">
        <v>5.0299999999999997E-2</v>
      </c>
      <c r="F11" s="5">
        <v>6.9900000000000004E-2</v>
      </c>
      <c r="G11" s="5">
        <v>6.5100000000000005E-2</v>
      </c>
      <c r="H11" s="5">
        <v>4.8500000000000001E-2</v>
      </c>
      <c r="I11" s="5">
        <v>3.8399999999999997E-2</v>
      </c>
      <c r="J11" s="5">
        <v>6.7400000000000002E-2</v>
      </c>
      <c r="K11" s="5">
        <v>4.5699999999999998E-2</v>
      </c>
    </row>
    <row r="12" spans="1:11" ht="17.25">
      <c r="A12" s="6" t="s">
        <v>11</v>
      </c>
      <c r="B12" s="5">
        <v>9.3899999999999997E-2</v>
      </c>
      <c r="C12" s="5">
        <v>9.3200000000000005E-2</v>
      </c>
      <c r="D12" s="5">
        <v>9.1300000000000006E-2</v>
      </c>
      <c r="E12" s="5">
        <v>9.3399999999999997E-2</v>
      </c>
      <c r="F12" s="5">
        <v>8.8700000000000001E-2</v>
      </c>
      <c r="G12" s="5">
        <v>8.9899999999999994E-2</v>
      </c>
      <c r="H12" s="5">
        <v>9.3100000000000002E-2</v>
      </c>
      <c r="I12" s="5">
        <v>9.1700000000000004E-2</v>
      </c>
      <c r="J12" s="5">
        <v>8.9800000000000005E-2</v>
      </c>
      <c r="K12" s="5">
        <v>9.2799999999999994E-2</v>
      </c>
    </row>
    <row r="13" spans="1:11" ht="19.5" customHeight="1">
      <c r="A13" s="6" t="s">
        <v>10</v>
      </c>
      <c r="B13" s="8" t="s">
        <v>6</v>
      </c>
      <c r="C13" s="8" t="s">
        <v>6</v>
      </c>
      <c r="D13" s="7">
        <v>0.1084</v>
      </c>
      <c r="E13" s="7">
        <v>5.8799999999999998E-2</v>
      </c>
      <c r="F13" s="8" t="s">
        <v>6</v>
      </c>
      <c r="G13" s="7">
        <v>5.8599999999999999E-2</v>
      </c>
      <c r="H13" s="7">
        <v>8.3400000000000002E-2</v>
      </c>
      <c r="I13" s="8" t="s">
        <v>6</v>
      </c>
      <c r="J13" s="8" t="s">
        <v>6</v>
      </c>
      <c r="K13" s="7">
        <v>5.9499999999999997E-2</v>
      </c>
    </row>
    <row r="14" spans="1:11" ht="17.25">
      <c r="A14" s="6" t="s">
        <v>9</v>
      </c>
      <c r="B14" s="4" t="s">
        <v>6</v>
      </c>
      <c r="C14" s="4" t="s">
        <v>6</v>
      </c>
      <c r="D14" s="5">
        <v>7.0300000000000001E-2</v>
      </c>
      <c r="E14" s="4" t="s">
        <v>6</v>
      </c>
      <c r="F14" s="4" t="s">
        <v>6</v>
      </c>
      <c r="G14" s="5">
        <v>6.7799999999999999E-2</v>
      </c>
      <c r="H14" s="4" t="s">
        <v>6</v>
      </c>
      <c r="I14" s="4" t="s">
        <v>6</v>
      </c>
      <c r="J14" s="4" t="s">
        <v>6</v>
      </c>
      <c r="K14" s="4" t="s">
        <v>6</v>
      </c>
    </row>
    <row r="15" spans="1:11" ht="17.25">
      <c r="A15" s="6" t="s">
        <v>8</v>
      </c>
      <c r="B15" s="5">
        <v>9.2600000000000002E-2</v>
      </c>
      <c r="C15" s="5">
        <v>9.2700000000000005E-2</v>
      </c>
      <c r="D15" s="5">
        <v>9.3600000000000003E-2</v>
      </c>
      <c r="E15" s="5">
        <v>9.3299999999999994E-2</v>
      </c>
      <c r="F15" s="5">
        <v>9.3299999999999994E-2</v>
      </c>
      <c r="G15" s="5">
        <v>9.2100000000000001E-2</v>
      </c>
      <c r="H15" s="5">
        <v>9.2899999999999996E-2</v>
      </c>
      <c r="I15" s="5">
        <v>9.0899999999999995E-2</v>
      </c>
      <c r="J15" s="5">
        <v>9.3700000000000006E-2</v>
      </c>
      <c r="K15" s="5">
        <v>9.2299999999999993E-2</v>
      </c>
    </row>
    <row r="16" spans="1:11">
      <c r="A16" s="6" t="s">
        <v>7</v>
      </c>
      <c r="B16" s="5">
        <v>0.1</v>
      </c>
      <c r="C16" s="4" t="s">
        <v>6</v>
      </c>
      <c r="D16" s="4" t="s">
        <v>6</v>
      </c>
      <c r="E16" s="5">
        <v>0.1</v>
      </c>
      <c r="F16" s="4" t="s">
        <v>6</v>
      </c>
      <c r="G16" s="5">
        <v>0.1</v>
      </c>
      <c r="H16" s="5">
        <v>0.1</v>
      </c>
      <c r="I16" s="4" t="s">
        <v>6</v>
      </c>
      <c r="J16" s="4" t="s">
        <v>6</v>
      </c>
      <c r="K16" s="4" t="s">
        <v>6</v>
      </c>
    </row>
    <row r="17" spans="1:11" ht="33.75" customHeight="1">
      <c r="A17" s="6" t="s">
        <v>33</v>
      </c>
      <c r="B17" s="5" t="s">
        <v>6</v>
      </c>
      <c r="C17" s="4" t="s">
        <v>6</v>
      </c>
      <c r="D17" s="4" t="s">
        <v>6</v>
      </c>
      <c r="E17" s="5">
        <v>0.105</v>
      </c>
      <c r="F17" s="4" t="s">
        <v>6</v>
      </c>
      <c r="G17" s="5" t="s">
        <v>6</v>
      </c>
      <c r="H17" s="5" t="s">
        <v>6</v>
      </c>
      <c r="I17" s="5">
        <v>0.105</v>
      </c>
      <c r="J17" s="4" t="s">
        <v>6</v>
      </c>
      <c r="K17" s="5">
        <v>0.105</v>
      </c>
    </row>
    <row r="18" spans="1:11" ht="16.5" customHeight="1">
      <c r="A18" s="3" t="s">
        <v>5</v>
      </c>
      <c r="B18" s="2">
        <v>9.2684301156686397E-2</v>
      </c>
      <c r="C18" s="2">
        <v>8.8764842830332133E-2</v>
      </c>
      <c r="D18" s="2">
        <v>8.6655131198492025E-2</v>
      </c>
      <c r="E18" s="2">
        <v>8.8520764795811585E-2</v>
      </c>
      <c r="F18" s="2">
        <v>8.5867489312359463E-2</v>
      </c>
      <c r="G18" s="2">
        <v>8.5590943319437562E-2</v>
      </c>
      <c r="H18" s="2">
        <v>8.6737358603667811E-2</v>
      </c>
      <c r="I18" s="2">
        <v>8.8437323027061379E-2</v>
      </c>
      <c r="J18" s="2">
        <v>8.5427151804180285E-2</v>
      </c>
      <c r="K18" s="2">
        <v>8.8049532873596334E-2</v>
      </c>
    </row>
    <row r="20" spans="1:11" ht="18" customHeight="1">
      <c r="A20" s="52" t="s">
        <v>4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 ht="18" customHeight="1">
      <c r="A21" s="52" t="s">
        <v>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1">
      <c r="A22" s="52" t="s">
        <v>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11">
      <c r="A23" s="11" t="s">
        <v>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5" customHeight="1">
      <c r="A24" s="52" t="s">
        <v>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11" ht="17.2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spans="1:1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</row>
  </sheetData>
  <mergeCells count="20">
    <mergeCell ref="A22:K22"/>
    <mergeCell ref="A24:K24"/>
    <mergeCell ref="A25:K25"/>
    <mergeCell ref="A26:K26"/>
    <mergeCell ref="H5:H6"/>
    <mergeCell ref="I5:I6"/>
    <mergeCell ref="J5:J6"/>
    <mergeCell ref="K5:K6"/>
    <mergeCell ref="A20:K20"/>
    <mergeCell ref="A21:K21"/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showGridLines="0" zoomScaleNormal="100" workbookViewId="0">
      <selection activeCell="B37" sqref="B37"/>
    </sheetView>
  </sheetViews>
  <sheetFormatPr baseColWidth="10" defaultRowHeight="15"/>
  <cols>
    <col min="1" max="1" width="43.42578125" customWidth="1"/>
    <col min="2" max="3" width="12" customWidth="1"/>
    <col min="4" max="5" width="11.28515625" customWidth="1"/>
    <col min="6" max="10" width="12" customWidth="1"/>
    <col min="11" max="11" width="13.42578125" customWidth="1"/>
    <col min="12" max="12" width="15.140625" customWidth="1"/>
  </cols>
  <sheetData>
    <row r="1" spans="1:1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>
      <c r="A3" s="50" t="s">
        <v>35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11">
      <c r="A4" s="10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5" customHeight="1">
      <c r="A5" s="51" t="s">
        <v>28</v>
      </c>
      <c r="B5" s="51" t="s">
        <v>27</v>
      </c>
      <c r="C5" s="51" t="s">
        <v>26</v>
      </c>
      <c r="D5" s="51" t="s">
        <v>25</v>
      </c>
      <c r="E5" s="51" t="s">
        <v>24</v>
      </c>
      <c r="F5" s="51" t="s">
        <v>23</v>
      </c>
      <c r="G5" s="51" t="s">
        <v>22</v>
      </c>
      <c r="H5" s="51" t="s">
        <v>21</v>
      </c>
      <c r="I5" s="51" t="s">
        <v>20</v>
      </c>
      <c r="J5" s="51" t="s">
        <v>19</v>
      </c>
      <c r="K5" s="51" t="s">
        <v>18</v>
      </c>
    </row>
    <row r="6" spans="1:11" ht="35.25" customHeight="1">
      <c r="A6" s="51"/>
      <c r="B6" s="51"/>
      <c r="C6" s="51"/>
      <c r="D6" s="51" t="s">
        <v>17</v>
      </c>
      <c r="E6" s="51" t="s">
        <v>17</v>
      </c>
      <c r="F6" s="51" t="s">
        <v>17</v>
      </c>
      <c r="G6" s="51" t="s">
        <v>17</v>
      </c>
      <c r="H6" s="51" t="s">
        <v>17</v>
      </c>
      <c r="I6" s="51" t="s">
        <v>17</v>
      </c>
      <c r="J6" s="51" t="s">
        <v>17</v>
      </c>
      <c r="K6" s="51" t="s">
        <v>17</v>
      </c>
    </row>
    <row r="7" spans="1:11">
      <c r="A7" s="6" t="s">
        <v>16</v>
      </c>
      <c r="B7" s="5">
        <v>9.5200000000000007E-2</v>
      </c>
      <c r="C7" s="5">
        <v>9.5600000000000004E-2</v>
      </c>
      <c r="D7" s="5">
        <v>8.77E-2</v>
      </c>
      <c r="E7" s="5">
        <v>9.1499999999999998E-2</v>
      </c>
      <c r="F7" s="5">
        <v>9.6100000000000005E-2</v>
      </c>
      <c r="G7" s="5">
        <v>9.2299999999999993E-2</v>
      </c>
      <c r="H7" s="5">
        <v>8.09E-2</v>
      </c>
      <c r="I7" s="5">
        <v>9.5699999999999993E-2</v>
      </c>
      <c r="J7" s="5">
        <v>9.8000000000000004E-2</v>
      </c>
      <c r="K7" s="5">
        <v>9.06E-2</v>
      </c>
    </row>
    <row r="8" spans="1:11" ht="17.25">
      <c r="A8" s="6" t="s">
        <v>15</v>
      </c>
      <c r="B8" s="5">
        <v>9.7500000000000003E-2</v>
      </c>
      <c r="C8" s="5">
        <v>0.1075</v>
      </c>
      <c r="D8" s="5">
        <v>8.6900000000000005E-2</v>
      </c>
      <c r="E8" s="5">
        <v>8.9399999999999993E-2</v>
      </c>
      <c r="F8" s="4" t="s">
        <v>6</v>
      </c>
      <c r="G8" s="5">
        <v>0.1003</v>
      </c>
      <c r="H8" s="5">
        <v>8.77E-2</v>
      </c>
      <c r="I8" s="5">
        <v>8.0199999999999994E-2</v>
      </c>
      <c r="J8" s="4" t="s">
        <v>6</v>
      </c>
      <c r="K8" s="5">
        <v>8.9300000000000004E-2</v>
      </c>
    </row>
    <row r="9" spans="1:11">
      <c r="A9" s="6" t="s">
        <v>14</v>
      </c>
      <c r="B9" s="5">
        <v>0.10630000000000001</v>
      </c>
      <c r="C9" s="5">
        <v>0.1125</v>
      </c>
      <c r="D9" s="5">
        <v>7.7100000000000002E-2</v>
      </c>
      <c r="E9" s="5">
        <v>8.1900000000000001E-2</v>
      </c>
      <c r="F9" s="4" t="s">
        <v>6</v>
      </c>
      <c r="G9" s="5">
        <v>7.1999999999999995E-2</v>
      </c>
      <c r="H9" s="5">
        <v>8.4000000000000005E-2</v>
      </c>
      <c r="I9" s="5">
        <v>8.4599999999999995E-2</v>
      </c>
      <c r="J9" s="5">
        <v>0.10440000000000001</v>
      </c>
      <c r="K9" s="5">
        <v>7.4099999999999999E-2</v>
      </c>
    </row>
    <row r="10" spans="1:11">
      <c r="A10" s="6" t="s">
        <v>13</v>
      </c>
      <c r="B10" s="4" t="s">
        <v>6</v>
      </c>
      <c r="C10" s="4" t="s">
        <v>6</v>
      </c>
      <c r="D10" s="4" t="s">
        <v>6</v>
      </c>
      <c r="E10" s="5">
        <v>8.7499999999999994E-2</v>
      </c>
      <c r="F10" s="4" t="s">
        <v>6</v>
      </c>
      <c r="G10" s="4" t="s">
        <v>6</v>
      </c>
      <c r="H10" s="4" t="s">
        <v>6</v>
      </c>
      <c r="I10" s="5">
        <v>8.7499999999999994E-2</v>
      </c>
      <c r="J10" s="4" t="s">
        <v>6</v>
      </c>
      <c r="K10" s="5">
        <v>8.7499999999999994E-2</v>
      </c>
    </row>
    <row r="11" spans="1:11" ht="17.25">
      <c r="A11" s="6" t="s">
        <v>12</v>
      </c>
      <c r="B11" s="5">
        <v>6.6000000000000003E-2</v>
      </c>
      <c r="C11" s="5">
        <v>7.1499999999999994E-2</v>
      </c>
      <c r="D11" s="5">
        <v>6.3500000000000001E-2</v>
      </c>
      <c r="E11" s="5">
        <v>4.4200000000000003E-2</v>
      </c>
      <c r="F11" s="5">
        <v>6.9800000000000001E-2</v>
      </c>
      <c r="G11" s="5">
        <v>6.9099999999999995E-2</v>
      </c>
      <c r="H11" s="5">
        <v>3.9600000000000003E-2</v>
      </c>
      <c r="I11" s="5">
        <v>3.7199999999999997E-2</v>
      </c>
      <c r="J11" s="5">
        <v>7.0199999999999999E-2</v>
      </c>
      <c r="K11" s="5">
        <v>3.9600000000000003E-2</v>
      </c>
    </row>
    <row r="12" spans="1:11" ht="17.25">
      <c r="A12" s="6" t="s">
        <v>11</v>
      </c>
      <c r="B12" s="5">
        <v>9.5000000000000001E-2</v>
      </c>
      <c r="C12" s="5">
        <v>9.4E-2</v>
      </c>
      <c r="D12" s="5">
        <v>9.0999999999999998E-2</v>
      </c>
      <c r="E12" s="5">
        <v>9.3399999999999997E-2</v>
      </c>
      <c r="F12" s="5">
        <v>8.8800000000000004E-2</v>
      </c>
      <c r="G12" s="5">
        <v>8.9499999999999996E-2</v>
      </c>
      <c r="H12" s="5">
        <v>9.2899999999999996E-2</v>
      </c>
      <c r="I12" s="5">
        <v>9.1399999999999995E-2</v>
      </c>
      <c r="J12" s="5">
        <v>8.9800000000000005E-2</v>
      </c>
      <c r="K12" s="5">
        <v>9.2700000000000005E-2</v>
      </c>
    </row>
    <row r="13" spans="1:11" ht="19.5" customHeight="1">
      <c r="A13" s="6" t="s">
        <v>10</v>
      </c>
      <c r="B13" s="8" t="s">
        <v>6</v>
      </c>
      <c r="C13" s="8" t="s">
        <v>6</v>
      </c>
      <c r="D13" s="7">
        <v>0.1171</v>
      </c>
      <c r="E13" s="7">
        <v>5.8200000000000002E-2</v>
      </c>
      <c r="F13" s="8" t="s">
        <v>6</v>
      </c>
      <c r="G13" s="7">
        <v>5.7799999999999997E-2</v>
      </c>
      <c r="H13" s="7">
        <v>8.2500000000000004E-2</v>
      </c>
      <c r="I13" s="8" t="s">
        <v>6</v>
      </c>
      <c r="J13" s="8" t="s">
        <v>6</v>
      </c>
      <c r="K13" s="7">
        <v>5.9200000000000003E-2</v>
      </c>
    </row>
    <row r="14" spans="1:11" ht="17.25">
      <c r="A14" s="6" t="s">
        <v>9</v>
      </c>
      <c r="B14" s="4" t="s">
        <v>6</v>
      </c>
      <c r="C14" s="4" t="s">
        <v>6</v>
      </c>
      <c r="D14" s="5">
        <v>7.6100000000000001E-2</v>
      </c>
      <c r="E14" s="4" t="s">
        <v>6</v>
      </c>
      <c r="F14" s="4" t="s">
        <v>6</v>
      </c>
      <c r="G14" s="5">
        <v>7.0800000000000002E-2</v>
      </c>
      <c r="H14" s="4" t="s">
        <v>6</v>
      </c>
      <c r="I14" s="4" t="s">
        <v>6</v>
      </c>
      <c r="J14" s="4" t="s">
        <v>6</v>
      </c>
      <c r="K14" s="4" t="s">
        <v>6</v>
      </c>
    </row>
    <row r="15" spans="1:11" ht="17.25">
      <c r="A15" s="6" t="s">
        <v>8</v>
      </c>
      <c r="B15" s="5">
        <v>9.2499999999999999E-2</v>
      </c>
      <c r="C15" s="5">
        <v>9.3200000000000005E-2</v>
      </c>
      <c r="D15" s="5">
        <v>9.2999999999999999E-2</v>
      </c>
      <c r="E15" s="5">
        <v>9.2999999999999999E-2</v>
      </c>
      <c r="F15" s="5">
        <v>9.3100000000000002E-2</v>
      </c>
      <c r="G15" s="5">
        <v>9.2299999999999993E-2</v>
      </c>
      <c r="H15" s="5">
        <v>9.2700000000000005E-2</v>
      </c>
      <c r="I15" s="5">
        <v>9.1200000000000003E-2</v>
      </c>
      <c r="J15" s="5">
        <v>9.3100000000000002E-2</v>
      </c>
      <c r="K15" s="5">
        <v>9.2100000000000001E-2</v>
      </c>
    </row>
    <row r="16" spans="1:11">
      <c r="A16" s="6" t="s">
        <v>7</v>
      </c>
      <c r="B16" s="5">
        <v>0.1</v>
      </c>
      <c r="C16" s="4" t="s">
        <v>6</v>
      </c>
      <c r="D16" s="4" t="s">
        <v>6</v>
      </c>
      <c r="E16" s="5">
        <v>0.1</v>
      </c>
      <c r="F16" s="4" t="s">
        <v>6</v>
      </c>
      <c r="G16" s="5">
        <v>0.1</v>
      </c>
      <c r="H16" s="5">
        <v>0.1</v>
      </c>
      <c r="I16" s="4" t="s">
        <v>6</v>
      </c>
      <c r="J16" s="4" t="s">
        <v>6</v>
      </c>
      <c r="K16" s="4" t="s">
        <v>6</v>
      </c>
    </row>
    <row r="17" spans="1:11" ht="33.75" customHeight="1">
      <c r="A17" s="6" t="s">
        <v>33</v>
      </c>
      <c r="B17" s="5" t="s">
        <v>6</v>
      </c>
      <c r="C17" s="4" t="s">
        <v>6</v>
      </c>
      <c r="D17" s="4" t="s">
        <v>6</v>
      </c>
      <c r="E17" s="5">
        <v>0.105</v>
      </c>
      <c r="F17" s="4" t="s">
        <v>6</v>
      </c>
      <c r="G17" s="5" t="s">
        <v>6</v>
      </c>
      <c r="H17" s="5" t="s">
        <v>6</v>
      </c>
      <c r="I17" s="5" t="s">
        <v>6</v>
      </c>
      <c r="J17" s="4" t="s">
        <v>6</v>
      </c>
      <c r="K17" s="5">
        <v>0.105</v>
      </c>
    </row>
    <row r="18" spans="1:11" ht="16.5" customHeight="1">
      <c r="A18" s="3" t="s">
        <v>5</v>
      </c>
      <c r="B18" s="2">
        <v>9.318436353153732E-2</v>
      </c>
      <c r="C18" s="2">
        <v>8.9700456414917029E-2</v>
      </c>
      <c r="D18" s="2">
        <v>8.6089517178308858E-2</v>
      </c>
      <c r="E18" s="2">
        <v>8.8083490596730651E-2</v>
      </c>
      <c r="F18" s="2">
        <v>8.5629558127512023E-2</v>
      </c>
      <c r="G18" s="2">
        <v>8.5941714170348335E-2</v>
      </c>
      <c r="H18" s="2">
        <v>8.6017259780749505E-2</v>
      </c>
      <c r="I18" s="2">
        <v>8.8916822013623734E-2</v>
      </c>
      <c r="J18" s="2">
        <v>8.6151103926223965E-2</v>
      </c>
      <c r="K18" s="2">
        <v>8.7416195643415837E-2</v>
      </c>
    </row>
    <row r="20" spans="1:11" ht="18" customHeight="1">
      <c r="A20" s="52" t="s">
        <v>4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1" ht="18" customHeight="1">
      <c r="A21" s="52" t="s">
        <v>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1">
      <c r="A22" s="52" t="s">
        <v>2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1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5" customHeight="1">
      <c r="A24" s="52" t="s">
        <v>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11" ht="17.2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spans="1:1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</row>
  </sheetData>
  <mergeCells count="20">
    <mergeCell ref="A22:K22"/>
    <mergeCell ref="A24:K24"/>
    <mergeCell ref="A25:K25"/>
    <mergeCell ref="A26:K26"/>
    <mergeCell ref="H5:H6"/>
    <mergeCell ref="I5:I6"/>
    <mergeCell ref="J5:J6"/>
    <mergeCell ref="K5:K6"/>
    <mergeCell ref="A20:K20"/>
    <mergeCell ref="A21:K21"/>
    <mergeCell ref="A1:K1"/>
    <mergeCell ref="A2:K2"/>
    <mergeCell ref="A3:K3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showGridLines="0" zoomScaleNormal="100" workbookViewId="0">
      <selection activeCell="A28" sqref="A28:K28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140625" bestFit="1" customWidth="1"/>
    <col min="8" max="8" width="17.85546875" bestFit="1" customWidth="1"/>
    <col min="9" max="9" width="7.140625" bestFit="1" customWidth="1"/>
    <col min="10" max="10" width="16.85546875" bestFit="1" customWidth="1"/>
    <col min="11" max="11" width="6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6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6.140625" bestFit="1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38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15" t="s">
        <v>39</v>
      </c>
      <c r="C9" s="15" t="s">
        <v>17</v>
      </c>
      <c r="D9" s="15" t="s">
        <v>39</v>
      </c>
      <c r="E9" s="15" t="s">
        <v>17</v>
      </c>
      <c r="F9" s="15" t="s">
        <v>39</v>
      </c>
      <c r="G9" s="15" t="s">
        <v>17</v>
      </c>
      <c r="H9" s="15" t="s">
        <v>39</v>
      </c>
      <c r="I9" s="15" t="s">
        <v>17</v>
      </c>
      <c r="J9" s="15" t="s">
        <v>39</v>
      </c>
      <c r="K9" s="15" t="s">
        <v>17</v>
      </c>
      <c r="L9" s="15" t="s">
        <v>39</v>
      </c>
      <c r="M9" s="15" t="s">
        <v>17</v>
      </c>
      <c r="N9" s="15" t="s">
        <v>39</v>
      </c>
      <c r="O9" s="15" t="s">
        <v>17</v>
      </c>
      <c r="P9" s="15" t="s">
        <v>39</v>
      </c>
      <c r="Q9" s="15" t="s">
        <v>17</v>
      </c>
      <c r="R9" s="15" t="s">
        <v>39</v>
      </c>
      <c r="S9" s="15" t="s">
        <v>17</v>
      </c>
      <c r="T9" s="15" t="s">
        <v>39</v>
      </c>
      <c r="U9" s="15" t="s">
        <v>17</v>
      </c>
    </row>
    <row r="10" spans="1:35">
      <c r="A10" s="6" t="s">
        <v>16</v>
      </c>
      <c r="B10" s="21">
        <v>738873517.05999994</v>
      </c>
      <c r="C10" s="5">
        <v>9.5299999999999996E-2</v>
      </c>
      <c r="D10" s="21">
        <v>97900349.129999995</v>
      </c>
      <c r="E10" s="5">
        <v>9.5899999999999999E-2</v>
      </c>
      <c r="F10" s="21">
        <v>42598408416.910004</v>
      </c>
      <c r="G10" s="5">
        <v>8.7999999999999995E-2</v>
      </c>
      <c r="H10" s="21">
        <v>24228146793.869999</v>
      </c>
      <c r="I10" s="5">
        <v>9.1499999999999998E-2</v>
      </c>
      <c r="J10" s="21">
        <v>1036539889.16</v>
      </c>
      <c r="K10" s="5">
        <v>9.6799999999999997E-2</v>
      </c>
      <c r="L10" s="21">
        <v>30742549917.080002</v>
      </c>
      <c r="M10" s="5">
        <v>9.2700000000000005E-2</v>
      </c>
      <c r="N10" s="21">
        <v>32878258549.27</v>
      </c>
      <c r="O10" s="5">
        <v>8.0399999999999999E-2</v>
      </c>
      <c r="P10" s="21">
        <v>4617629504.4700003</v>
      </c>
      <c r="Q10" s="22">
        <v>9.4799999999999995E-2</v>
      </c>
      <c r="R10" s="21">
        <v>2148405077.5599999</v>
      </c>
      <c r="S10" s="22">
        <v>9.7900000000000001E-2</v>
      </c>
      <c r="T10" s="21">
        <v>9831844089.9200001</v>
      </c>
      <c r="U10" s="22">
        <v>9.0200000000000002E-2</v>
      </c>
    </row>
    <row r="11" spans="1:35" ht="17.25">
      <c r="A11" s="6" t="s">
        <v>15</v>
      </c>
      <c r="B11" s="21">
        <v>179174439.47</v>
      </c>
      <c r="C11" s="5">
        <v>9.7699999999999995E-2</v>
      </c>
      <c r="D11" s="21">
        <v>6045330.8700000001</v>
      </c>
      <c r="E11" s="5">
        <v>0.1075</v>
      </c>
      <c r="F11" s="21">
        <v>10925653866.33</v>
      </c>
      <c r="G11" s="5">
        <v>8.7099999999999997E-2</v>
      </c>
      <c r="H11" s="21">
        <v>3633839684.0799999</v>
      </c>
      <c r="I11" s="5">
        <v>8.9800000000000005E-2</v>
      </c>
      <c r="J11" s="21" t="s">
        <v>6</v>
      </c>
      <c r="K11" s="4" t="s">
        <v>6</v>
      </c>
      <c r="L11" s="21">
        <v>3130172416.8200002</v>
      </c>
      <c r="M11" s="5">
        <v>0.10050000000000001</v>
      </c>
      <c r="N11" s="21">
        <v>9851535011.25</v>
      </c>
      <c r="O11" s="5">
        <v>8.7800000000000003E-2</v>
      </c>
      <c r="P11" s="21">
        <v>660606866.38</v>
      </c>
      <c r="Q11" s="22">
        <v>8.0199999999999994E-2</v>
      </c>
      <c r="R11" s="21" t="s">
        <v>6</v>
      </c>
      <c r="S11" s="22" t="s">
        <v>6</v>
      </c>
      <c r="T11" s="21">
        <v>1769533967.5899999</v>
      </c>
      <c r="U11" s="22">
        <v>8.9300000000000004E-2</v>
      </c>
    </row>
    <row r="12" spans="1:35">
      <c r="A12" s="6" t="s">
        <v>14</v>
      </c>
      <c r="B12" s="21">
        <v>195547286.38</v>
      </c>
      <c r="C12" s="5">
        <v>0.1037</v>
      </c>
      <c r="D12" s="21">
        <v>14172917.77</v>
      </c>
      <c r="E12" s="5">
        <v>0.1125</v>
      </c>
      <c r="F12" s="21">
        <v>6671905554.4300003</v>
      </c>
      <c r="G12" s="5">
        <v>7.0400000000000004E-2</v>
      </c>
      <c r="H12" s="21">
        <v>5074027156.3400002</v>
      </c>
      <c r="I12" s="5">
        <v>8.0100000000000005E-2</v>
      </c>
      <c r="J12" s="21" t="s">
        <v>6</v>
      </c>
      <c r="K12" s="4" t="s">
        <v>6</v>
      </c>
      <c r="L12" s="21">
        <v>2627345895.8499999</v>
      </c>
      <c r="M12" s="5">
        <v>6.2799999999999995E-2</v>
      </c>
      <c r="N12" s="21">
        <v>3911910968.9499998</v>
      </c>
      <c r="O12" s="5">
        <v>8.0299999999999996E-2</v>
      </c>
      <c r="P12" s="21">
        <v>1044965619.5</v>
      </c>
      <c r="Q12" s="22">
        <v>7.9899999999999999E-2</v>
      </c>
      <c r="R12" s="21">
        <v>1821398858.04</v>
      </c>
      <c r="S12" s="22">
        <v>0.10440000000000001</v>
      </c>
      <c r="T12" s="21">
        <v>1510846524.3199999</v>
      </c>
      <c r="U12" s="22">
        <v>6.6299999999999998E-2</v>
      </c>
    </row>
    <row r="13" spans="1:35">
      <c r="A13" s="6" t="s">
        <v>13</v>
      </c>
      <c r="B13" s="21" t="s">
        <v>6</v>
      </c>
      <c r="C13" s="4" t="s">
        <v>6</v>
      </c>
      <c r="D13" s="21" t="s">
        <v>6</v>
      </c>
      <c r="E13" s="4" t="s">
        <v>6</v>
      </c>
      <c r="F13" s="21" t="s">
        <v>6</v>
      </c>
      <c r="G13" s="4" t="s">
        <v>6</v>
      </c>
      <c r="H13" s="21">
        <v>123739072.8</v>
      </c>
      <c r="I13" s="5">
        <v>8.7499999999999994E-2</v>
      </c>
      <c r="J13" s="21" t="s">
        <v>6</v>
      </c>
      <c r="K13" s="4" t="s">
        <v>6</v>
      </c>
      <c r="L13" s="21" t="s">
        <v>6</v>
      </c>
      <c r="M13" s="4" t="s">
        <v>6</v>
      </c>
      <c r="N13" s="21" t="s">
        <v>6</v>
      </c>
      <c r="O13" s="4" t="s">
        <v>6</v>
      </c>
      <c r="P13" s="21">
        <v>15467384.1</v>
      </c>
      <c r="Q13" s="22">
        <v>8.7499999999999994E-2</v>
      </c>
      <c r="R13" s="21" t="s">
        <v>6</v>
      </c>
      <c r="S13" s="22" t="s">
        <v>6</v>
      </c>
      <c r="T13" s="21">
        <v>46402152.299999997</v>
      </c>
      <c r="U13" s="22">
        <v>8.7499999999999994E-2</v>
      </c>
    </row>
    <row r="14" spans="1:35" ht="17.25">
      <c r="A14" s="6" t="s">
        <v>12</v>
      </c>
      <c r="B14" s="21">
        <v>268344323.22999999</v>
      </c>
      <c r="C14" s="5">
        <v>6.2799999999999995E-2</v>
      </c>
      <c r="D14" s="21">
        <v>94384586.939999998</v>
      </c>
      <c r="E14" s="5">
        <v>7.1599999999999997E-2</v>
      </c>
      <c r="F14" s="21">
        <v>22202990988.73</v>
      </c>
      <c r="G14" s="5">
        <v>6.7599999999999993E-2</v>
      </c>
      <c r="H14" s="21">
        <v>5582955856.4200001</v>
      </c>
      <c r="I14" s="5">
        <v>4.1300000000000003E-2</v>
      </c>
      <c r="J14" s="21">
        <v>1317450458.03</v>
      </c>
      <c r="K14" s="5">
        <v>7.1499999999999994E-2</v>
      </c>
      <c r="L14" s="21">
        <v>21596424478.82</v>
      </c>
      <c r="M14" s="5">
        <v>7.2099999999999997E-2</v>
      </c>
      <c r="N14" s="21">
        <v>1425489189.6199999</v>
      </c>
      <c r="O14" s="5">
        <v>5.5899999999999998E-2</v>
      </c>
      <c r="P14" s="21">
        <v>597941676.44000006</v>
      </c>
      <c r="Q14" s="22">
        <v>4.5900000000000003E-2</v>
      </c>
      <c r="R14" s="21">
        <v>6624666353.25</v>
      </c>
      <c r="S14" s="22">
        <v>7.3800000000000004E-2</v>
      </c>
      <c r="T14" s="21">
        <v>1776711071.6600001</v>
      </c>
      <c r="U14" s="22">
        <v>4.1799999999999997E-2</v>
      </c>
    </row>
    <row r="15" spans="1:35" ht="17.25">
      <c r="A15" s="6" t="s">
        <v>11</v>
      </c>
      <c r="B15" s="21">
        <v>416262582.26999998</v>
      </c>
      <c r="C15" s="5">
        <v>9.3399999999999997E-2</v>
      </c>
      <c r="D15" s="21">
        <v>67347194.840000004</v>
      </c>
      <c r="E15" s="5">
        <v>9.5100000000000004E-2</v>
      </c>
      <c r="F15" s="21">
        <v>30391596674.709999</v>
      </c>
      <c r="G15" s="5">
        <v>9.0999999999999998E-2</v>
      </c>
      <c r="H15" s="21">
        <v>14806958038.059999</v>
      </c>
      <c r="I15" s="5">
        <v>9.2200000000000004E-2</v>
      </c>
      <c r="J15" s="21">
        <v>1347276003.1500001</v>
      </c>
      <c r="K15" s="5">
        <v>8.7900000000000006E-2</v>
      </c>
      <c r="L15" s="21">
        <v>22823575286.150002</v>
      </c>
      <c r="M15" s="5">
        <v>8.8499999999999995E-2</v>
      </c>
      <c r="N15" s="21">
        <v>24740355542.040001</v>
      </c>
      <c r="O15" s="5">
        <v>9.2899999999999996E-2</v>
      </c>
      <c r="P15" s="21">
        <v>2242921078.2600002</v>
      </c>
      <c r="Q15" s="22">
        <v>9.0700000000000003E-2</v>
      </c>
      <c r="R15" s="21">
        <v>8276148632.1000004</v>
      </c>
      <c r="S15" s="22">
        <v>8.9599999999999999E-2</v>
      </c>
      <c r="T15" s="21">
        <v>6699873887.3699999</v>
      </c>
      <c r="U15" s="22">
        <v>9.1800000000000007E-2</v>
      </c>
    </row>
    <row r="16" spans="1:35" s="19" customFormat="1" ht="19.5" customHeight="1">
      <c r="A16" s="6" t="s">
        <v>10</v>
      </c>
      <c r="B16" s="23" t="s">
        <v>6</v>
      </c>
      <c r="C16" s="8" t="s">
        <v>6</v>
      </c>
      <c r="D16" s="23" t="s">
        <v>6</v>
      </c>
      <c r="E16" s="8" t="s">
        <v>6</v>
      </c>
      <c r="F16" s="23">
        <v>4279060380.4000001</v>
      </c>
      <c r="G16" s="7">
        <v>0.1157</v>
      </c>
      <c r="H16" s="23">
        <v>913236522.14999998</v>
      </c>
      <c r="I16" s="7">
        <v>5.8200000000000002E-2</v>
      </c>
      <c r="J16" s="23" t="s">
        <v>6</v>
      </c>
      <c r="K16" s="8" t="s">
        <v>6</v>
      </c>
      <c r="L16" s="23">
        <v>1139440011.3</v>
      </c>
      <c r="M16" s="7">
        <v>5.79E-2</v>
      </c>
      <c r="N16" s="23">
        <v>1415375198.05</v>
      </c>
      <c r="O16" s="7">
        <v>8.2000000000000003E-2</v>
      </c>
      <c r="P16" s="23" t="s">
        <v>6</v>
      </c>
      <c r="Q16" s="24" t="s">
        <v>6</v>
      </c>
      <c r="R16" s="23" t="s">
        <v>6</v>
      </c>
      <c r="S16" s="24" t="s">
        <v>6</v>
      </c>
      <c r="T16" s="23">
        <v>289698080.17000002</v>
      </c>
      <c r="U16" s="24">
        <v>0.06</v>
      </c>
    </row>
    <row r="17" spans="1:21" ht="17.25">
      <c r="A17" s="6" t="s">
        <v>9</v>
      </c>
      <c r="B17" s="21" t="s">
        <v>6</v>
      </c>
      <c r="C17" s="4" t="s">
        <v>6</v>
      </c>
      <c r="D17" s="21" t="s">
        <v>6</v>
      </c>
      <c r="E17" s="4" t="s">
        <v>6</v>
      </c>
      <c r="F17" s="21">
        <v>1530407887.9100001</v>
      </c>
      <c r="G17" s="5">
        <v>7.4999999999999997E-2</v>
      </c>
      <c r="H17" s="21" t="s">
        <v>6</v>
      </c>
      <c r="I17" s="4" t="s">
        <v>6</v>
      </c>
      <c r="J17" s="21" t="s">
        <v>6</v>
      </c>
      <c r="K17" s="4" t="s">
        <v>6</v>
      </c>
      <c r="L17" s="21">
        <v>922100982.5</v>
      </c>
      <c r="M17" s="5">
        <v>7.0800000000000002E-2</v>
      </c>
      <c r="N17" s="21" t="s">
        <v>6</v>
      </c>
      <c r="O17" s="4" t="s">
        <v>6</v>
      </c>
      <c r="P17" s="21" t="s">
        <v>6</v>
      </c>
      <c r="Q17" s="22" t="s">
        <v>6</v>
      </c>
      <c r="R17" s="21" t="s">
        <v>6</v>
      </c>
      <c r="S17" s="22" t="s">
        <v>6</v>
      </c>
      <c r="T17" s="21" t="s">
        <v>6</v>
      </c>
      <c r="U17" s="22" t="s">
        <v>6</v>
      </c>
    </row>
    <row r="18" spans="1:21" ht="17.25">
      <c r="A18" s="6" t="s">
        <v>8</v>
      </c>
      <c r="B18" s="21">
        <v>710454326.35000002</v>
      </c>
      <c r="C18" s="5">
        <v>9.3700000000000006E-2</v>
      </c>
      <c r="D18" s="21">
        <v>133326440.41</v>
      </c>
      <c r="E18" s="5">
        <v>9.4500000000000001E-2</v>
      </c>
      <c r="F18" s="21">
        <v>34726743215.32</v>
      </c>
      <c r="G18" s="5">
        <v>9.4700000000000006E-2</v>
      </c>
      <c r="H18" s="21">
        <v>20991728095.639999</v>
      </c>
      <c r="I18" s="5">
        <v>9.4100000000000003E-2</v>
      </c>
      <c r="J18" s="21">
        <v>822671175.55999994</v>
      </c>
      <c r="K18" s="5">
        <v>9.4399999999999998E-2</v>
      </c>
      <c r="L18" s="21">
        <v>21431662448.82</v>
      </c>
      <c r="M18" s="5">
        <v>9.3100000000000002E-2</v>
      </c>
      <c r="N18" s="21">
        <v>20325574460.509998</v>
      </c>
      <c r="O18" s="5">
        <v>9.3600000000000003E-2</v>
      </c>
      <c r="P18" s="21">
        <v>4063767253.52</v>
      </c>
      <c r="Q18" s="22">
        <v>9.1999999999999998E-2</v>
      </c>
      <c r="R18" s="21">
        <v>2122313768.7</v>
      </c>
      <c r="S18" s="22">
        <v>9.5299999999999996E-2</v>
      </c>
      <c r="T18" s="21">
        <v>7772744255.9300003</v>
      </c>
      <c r="U18" s="22">
        <v>9.3200000000000005E-2</v>
      </c>
    </row>
    <row r="19" spans="1:21">
      <c r="A19" s="6" t="s">
        <v>7</v>
      </c>
      <c r="B19" s="21">
        <v>10492134.949999999</v>
      </c>
      <c r="C19" s="5">
        <v>0.1</v>
      </c>
      <c r="D19" s="21" t="s">
        <v>6</v>
      </c>
      <c r="E19" s="4" t="s">
        <v>6</v>
      </c>
      <c r="F19" s="21" t="s">
        <v>6</v>
      </c>
      <c r="G19" s="4" t="s">
        <v>6</v>
      </c>
      <c r="H19" s="21">
        <v>70620139.099999994</v>
      </c>
      <c r="I19" s="5">
        <v>0.1</v>
      </c>
      <c r="J19" s="21" t="s">
        <v>6</v>
      </c>
      <c r="K19" s="4" t="s">
        <v>6</v>
      </c>
      <c r="L19" s="21">
        <v>70620139.099999994</v>
      </c>
      <c r="M19" s="5">
        <v>0.1</v>
      </c>
      <c r="N19" s="21">
        <v>34543336.609999999</v>
      </c>
      <c r="O19" s="5">
        <v>0.1</v>
      </c>
      <c r="P19" s="21" t="s">
        <v>6</v>
      </c>
      <c r="Q19" s="4" t="s">
        <v>6</v>
      </c>
      <c r="R19" s="21" t="s">
        <v>6</v>
      </c>
      <c r="S19" s="22" t="s">
        <v>6</v>
      </c>
      <c r="T19" s="21" t="s">
        <v>6</v>
      </c>
      <c r="U19" s="4" t="s">
        <v>6</v>
      </c>
    </row>
    <row r="20" spans="1:21" ht="33.75" customHeight="1">
      <c r="A20" s="6" t="s">
        <v>33</v>
      </c>
      <c r="B20" s="21" t="s">
        <v>6</v>
      </c>
      <c r="C20" s="5" t="s">
        <v>6</v>
      </c>
      <c r="D20" s="21" t="s">
        <v>6</v>
      </c>
      <c r="E20" s="5" t="s">
        <v>6</v>
      </c>
      <c r="F20" s="21" t="s">
        <v>6</v>
      </c>
      <c r="G20" s="5" t="s">
        <v>6</v>
      </c>
      <c r="H20" s="21">
        <v>423942148</v>
      </c>
      <c r="I20" s="5">
        <v>0.105</v>
      </c>
      <c r="J20" s="21" t="s">
        <v>6</v>
      </c>
      <c r="K20" s="4" t="s">
        <v>6</v>
      </c>
      <c r="L20" s="21" t="s">
        <v>6</v>
      </c>
      <c r="M20" s="5" t="s">
        <v>6</v>
      </c>
      <c r="N20" s="21" t="s">
        <v>6</v>
      </c>
      <c r="O20" s="5" t="s">
        <v>6</v>
      </c>
      <c r="P20" s="21" t="s">
        <v>6</v>
      </c>
      <c r="Q20" s="5" t="s">
        <v>6</v>
      </c>
      <c r="R20" s="21" t="s">
        <v>6</v>
      </c>
      <c r="S20" s="4" t="s">
        <v>6</v>
      </c>
      <c r="T20" s="21">
        <v>635913222</v>
      </c>
      <c r="U20" s="5" t="s">
        <v>6</v>
      </c>
    </row>
    <row r="21" spans="1:21" ht="16.5" customHeight="1">
      <c r="A21" s="3" t="s">
        <v>5</v>
      </c>
      <c r="B21" s="18">
        <f>SUM(B10:B20)</f>
        <v>2519148609.7099996</v>
      </c>
      <c r="C21" s="2">
        <v>9.1899999999999996E-2</v>
      </c>
      <c r="D21" s="18">
        <f>SUM(D10:D20)</f>
        <v>413176819.95999992</v>
      </c>
      <c r="E21" s="2">
        <v>9.0499999999999997E-2</v>
      </c>
      <c r="F21" s="18">
        <f>SUM(F10:F20)</f>
        <v>153326766984.74002</v>
      </c>
      <c r="G21" s="2">
        <v>8.6999999999999994E-2</v>
      </c>
      <c r="H21" s="18">
        <f>SUM(H10:H20)</f>
        <v>75849193506.459991</v>
      </c>
      <c r="I21" s="2">
        <v>8.7499999999999994E-2</v>
      </c>
      <c r="J21" s="18">
        <f>SUM(J10:J20)</f>
        <v>4523937525.8999996</v>
      </c>
      <c r="K21" s="2">
        <v>8.6300000000000002E-2</v>
      </c>
      <c r="L21" s="18">
        <f>SUM(L10:L20)</f>
        <v>104483891576.44</v>
      </c>
      <c r="M21" s="2">
        <v>8.6499999999999994E-2</v>
      </c>
      <c r="N21" s="18">
        <f>SUM(N10:N20)</f>
        <v>94583042256.300003</v>
      </c>
      <c r="O21" s="2">
        <v>8.6900000000000005E-2</v>
      </c>
      <c r="P21" s="18">
        <f>SUM(P10:P20)</f>
        <v>13243299382.670002</v>
      </c>
      <c r="Q21" s="2">
        <v>8.9099999999999999E-2</v>
      </c>
      <c r="R21" s="18">
        <f>SUM(R10:R20)</f>
        <v>20992932689.650002</v>
      </c>
      <c r="S21" s="2">
        <v>8.7300000000000003E-2</v>
      </c>
      <c r="T21" s="18">
        <f>SUM(T10:T20)</f>
        <v>30333567251.259998</v>
      </c>
      <c r="U21" s="2">
        <v>8.5099999999999995E-2</v>
      </c>
    </row>
    <row r="23" spans="1:21" ht="18" customHeight="1">
      <c r="A23" s="52" t="s">
        <v>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 ht="18" customHeight="1">
      <c r="A24" s="52" t="s">
        <v>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52" t="s">
        <v>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spans="1:21">
      <c r="A26" s="13" t="s">
        <v>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21" ht="16.5" customHeight="1">
      <c r="A27" s="52" t="s">
        <v>34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 ht="17.2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spans="1:2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</sheetData>
  <mergeCells count="22">
    <mergeCell ref="T7:U8"/>
    <mergeCell ref="J7:K8"/>
    <mergeCell ref="L7:M8"/>
    <mergeCell ref="N7:O8"/>
    <mergeCell ref="P7:Q8"/>
    <mergeCell ref="R7:S8"/>
    <mergeCell ref="A1:K1"/>
    <mergeCell ref="A25:K25"/>
    <mergeCell ref="A27:K27"/>
    <mergeCell ref="A28:K28"/>
    <mergeCell ref="A29:K29"/>
    <mergeCell ref="A23:K23"/>
    <mergeCell ref="A24:K24"/>
    <mergeCell ref="A2:U2"/>
    <mergeCell ref="A3:U3"/>
    <mergeCell ref="A4:U4"/>
    <mergeCell ref="A5:U5"/>
    <mergeCell ref="A7:A9"/>
    <mergeCell ref="B7:C8"/>
    <mergeCell ref="D7:E8"/>
    <mergeCell ref="F7:G8"/>
    <mergeCell ref="H7:I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showGridLines="0" zoomScaleNormal="100" workbookViewId="0">
      <selection activeCell="C33" sqref="C33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140625" bestFit="1" customWidth="1"/>
    <col min="8" max="8" width="17.85546875" bestFit="1" customWidth="1"/>
    <col min="9" max="9" width="7.140625" bestFit="1" customWidth="1"/>
    <col min="10" max="10" width="16.85546875" bestFit="1" customWidth="1"/>
    <col min="11" max="11" width="6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6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7.5703125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16" t="s">
        <v>39</v>
      </c>
      <c r="C9" s="16" t="s">
        <v>17</v>
      </c>
      <c r="D9" s="16" t="s">
        <v>39</v>
      </c>
      <c r="E9" s="16" t="s">
        <v>17</v>
      </c>
      <c r="F9" s="16" t="s">
        <v>39</v>
      </c>
      <c r="G9" s="16" t="s">
        <v>17</v>
      </c>
      <c r="H9" s="16" t="s">
        <v>39</v>
      </c>
      <c r="I9" s="16" t="s">
        <v>17</v>
      </c>
      <c r="J9" s="16" t="s">
        <v>39</v>
      </c>
      <c r="K9" s="16" t="s">
        <v>17</v>
      </c>
      <c r="L9" s="16" t="s">
        <v>39</v>
      </c>
      <c r="M9" s="16" t="s">
        <v>17</v>
      </c>
      <c r="N9" s="16" t="s">
        <v>39</v>
      </c>
      <c r="O9" s="16" t="s">
        <v>17</v>
      </c>
      <c r="P9" s="16" t="s">
        <v>39</v>
      </c>
      <c r="Q9" s="16" t="s">
        <v>17</v>
      </c>
      <c r="R9" s="16" t="s">
        <v>39</v>
      </c>
      <c r="S9" s="16" t="s">
        <v>17</v>
      </c>
      <c r="T9" s="16" t="s">
        <v>39</v>
      </c>
      <c r="U9" s="16" t="s">
        <v>17</v>
      </c>
    </row>
    <row r="10" spans="1:35">
      <c r="A10" s="6" t="s">
        <v>16</v>
      </c>
      <c r="B10" s="21">
        <v>809893871.51999998</v>
      </c>
      <c r="C10" s="5">
        <v>9.7500000000000003E-2</v>
      </c>
      <c r="D10" s="21">
        <v>138763994.06</v>
      </c>
      <c r="E10" s="5">
        <v>9.5899999999999999E-2</v>
      </c>
      <c r="F10" s="21">
        <v>43262901649.720001</v>
      </c>
      <c r="G10" s="5">
        <v>8.8599999999999998E-2</v>
      </c>
      <c r="H10" s="21">
        <v>24167511100.029999</v>
      </c>
      <c r="I10" s="5">
        <v>9.2700000000000005E-2</v>
      </c>
      <c r="J10" s="21">
        <v>1131583392.29</v>
      </c>
      <c r="K10" s="5">
        <v>9.8400000000000001E-2</v>
      </c>
      <c r="L10" s="21">
        <v>30973125927.5</v>
      </c>
      <c r="M10" s="5">
        <v>9.2999999999999999E-2</v>
      </c>
      <c r="N10" s="21">
        <v>32587219393.080002</v>
      </c>
      <c r="O10" s="5">
        <v>8.2199999999999995E-2</v>
      </c>
      <c r="P10" s="21">
        <v>4613316845.3599997</v>
      </c>
      <c r="Q10" s="22">
        <v>9.5699999999999993E-2</v>
      </c>
      <c r="R10" s="21">
        <v>3582956024.4299998</v>
      </c>
      <c r="S10" s="22">
        <v>9.9099999999999994E-2</v>
      </c>
      <c r="T10" s="21">
        <v>9817136455.5</v>
      </c>
      <c r="U10" s="22">
        <v>9.0899999999999995E-2</v>
      </c>
    </row>
    <row r="11" spans="1:35" ht="17.25">
      <c r="A11" s="6" t="s">
        <v>15</v>
      </c>
      <c r="B11" s="21">
        <v>179679040.55000001</v>
      </c>
      <c r="C11" s="5">
        <v>9.7799999999999998E-2</v>
      </c>
      <c r="D11" s="21">
        <v>6097524.6799999997</v>
      </c>
      <c r="E11" s="5">
        <v>0.1075</v>
      </c>
      <c r="F11" s="21">
        <v>10809208664.73</v>
      </c>
      <c r="G11" s="5">
        <v>8.8800000000000004E-2</v>
      </c>
      <c r="H11" s="21">
        <v>3604246113.77</v>
      </c>
      <c r="I11" s="5">
        <v>9.11E-2</v>
      </c>
      <c r="J11" s="21" t="s">
        <v>6</v>
      </c>
      <c r="K11" s="4" t="s">
        <v>6</v>
      </c>
      <c r="L11" s="21">
        <v>3132166966.2800002</v>
      </c>
      <c r="M11" s="5">
        <v>0.10050000000000001</v>
      </c>
      <c r="N11" s="21">
        <v>9733142913.1900005</v>
      </c>
      <c r="O11" s="5">
        <v>8.9700000000000002E-2</v>
      </c>
      <c r="P11" s="21">
        <v>649383242.29999995</v>
      </c>
      <c r="Q11" s="22">
        <v>8.2600000000000007E-2</v>
      </c>
      <c r="R11" s="21" t="s">
        <v>6</v>
      </c>
      <c r="S11" s="22" t="s">
        <v>6</v>
      </c>
      <c r="T11" s="21">
        <v>1748708414.3599999</v>
      </c>
      <c r="U11" s="22">
        <v>9.0999999999999998E-2</v>
      </c>
    </row>
    <row r="12" spans="1:35">
      <c r="A12" s="6" t="s">
        <v>14</v>
      </c>
      <c r="B12" s="21">
        <v>196115203.97999999</v>
      </c>
      <c r="C12" s="5">
        <v>0.1037</v>
      </c>
      <c r="D12" s="21">
        <v>16908588.539999999</v>
      </c>
      <c r="E12" s="5">
        <v>0.11210000000000001</v>
      </c>
      <c r="F12" s="21">
        <v>6683972711.79</v>
      </c>
      <c r="G12" s="5">
        <v>7.0400000000000004E-2</v>
      </c>
      <c r="H12" s="21">
        <v>5082122242.6300001</v>
      </c>
      <c r="I12" s="5">
        <v>8.0100000000000005E-2</v>
      </c>
      <c r="J12" s="21" t="s">
        <v>6</v>
      </c>
      <c r="K12" s="4" t="s">
        <v>6</v>
      </c>
      <c r="L12" s="21">
        <v>2627506860.3299999</v>
      </c>
      <c r="M12" s="5">
        <v>6.2700000000000006E-2</v>
      </c>
      <c r="N12" s="21">
        <v>3912766622.1900001</v>
      </c>
      <c r="O12" s="5">
        <v>8.0299999999999996E-2</v>
      </c>
      <c r="P12" s="21">
        <v>1047224781.75</v>
      </c>
      <c r="Q12" s="22">
        <v>7.9899999999999999E-2</v>
      </c>
      <c r="R12" s="21">
        <v>1877153548.6600001</v>
      </c>
      <c r="S12" s="22">
        <v>0.1046</v>
      </c>
      <c r="T12" s="21">
        <v>1513551714.8199999</v>
      </c>
      <c r="U12" s="22">
        <v>6.6299999999999998E-2</v>
      </c>
    </row>
    <row r="13" spans="1:35">
      <c r="A13" s="6" t="s">
        <v>13</v>
      </c>
      <c r="B13" s="21" t="s">
        <v>6</v>
      </c>
      <c r="C13" s="4" t="s">
        <v>6</v>
      </c>
      <c r="D13" s="21" t="s">
        <v>6</v>
      </c>
      <c r="E13" s="4" t="s">
        <v>6</v>
      </c>
      <c r="F13" s="21" t="s">
        <v>6</v>
      </c>
      <c r="G13" s="4" t="s">
        <v>6</v>
      </c>
      <c r="H13" s="21">
        <v>124625035.2</v>
      </c>
      <c r="I13" s="5">
        <v>8.7499999999999994E-2</v>
      </c>
      <c r="J13" s="21" t="s">
        <v>6</v>
      </c>
      <c r="K13" s="4" t="s">
        <v>6</v>
      </c>
      <c r="L13" s="21" t="s">
        <v>6</v>
      </c>
      <c r="M13" s="4" t="s">
        <v>6</v>
      </c>
      <c r="N13" s="21" t="s">
        <v>6</v>
      </c>
      <c r="O13" s="4" t="s">
        <v>6</v>
      </c>
      <c r="P13" s="21">
        <v>15578129.4</v>
      </c>
      <c r="Q13" s="22">
        <v>8.7499999999999994E-2</v>
      </c>
      <c r="R13" s="21" t="s">
        <v>6</v>
      </c>
      <c r="S13" s="22" t="s">
        <v>6</v>
      </c>
      <c r="T13" s="21">
        <v>46734388.200000003</v>
      </c>
      <c r="U13" s="22">
        <v>8.7499999999999994E-2</v>
      </c>
    </row>
    <row r="14" spans="1:35" ht="17.25">
      <c r="A14" s="6" t="s">
        <v>12</v>
      </c>
      <c r="B14" s="21">
        <v>185341543.71000001</v>
      </c>
      <c r="C14" s="5">
        <v>6.9699999999999998E-2</v>
      </c>
      <c r="D14" s="21">
        <v>119477355.70999999</v>
      </c>
      <c r="E14" s="5">
        <v>7.3400000000000007E-2</v>
      </c>
      <c r="F14" s="21">
        <v>24528538076.919998</v>
      </c>
      <c r="G14" s="5">
        <v>7.0599999999999996E-2</v>
      </c>
      <c r="H14" s="21">
        <v>4655811546.6700001</v>
      </c>
      <c r="I14" s="5">
        <v>4.1700000000000001E-2</v>
      </c>
      <c r="J14" s="21">
        <v>1159234280.78</v>
      </c>
      <c r="K14" s="5">
        <v>7.3499999999999996E-2</v>
      </c>
      <c r="L14" s="21">
        <v>21366087588.349998</v>
      </c>
      <c r="M14" s="5">
        <v>7.3999999999999996E-2</v>
      </c>
      <c r="N14" s="21">
        <v>2505897452.8200002</v>
      </c>
      <c r="O14" s="5">
        <v>4.4299999999999999E-2</v>
      </c>
      <c r="P14" s="21">
        <v>459662114.97000003</v>
      </c>
      <c r="Q14" s="22">
        <v>4.7500000000000001E-2</v>
      </c>
      <c r="R14" s="21">
        <v>5130839739.3400002</v>
      </c>
      <c r="S14" s="22">
        <v>6.7900000000000002E-2</v>
      </c>
      <c r="T14" s="21">
        <v>1223115811.6400001</v>
      </c>
      <c r="U14" s="22">
        <v>4.2599999999999999E-2</v>
      </c>
    </row>
    <row r="15" spans="1:35" ht="17.25">
      <c r="A15" s="6" t="s">
        <v>11</v>
      </c>
      <c r="B15" s="21">
        <v>606658081.17999995</v>
      </c>
      <c r="C15" s="5">
        <v>9.6500000000000002E-2</v>
      </c>
      <c r="D15" s="21">
        <v>93539955.739999995</v>
      </c>
      <c r="E15" s="5">
        <v>9.7699999999999995E-2</v>
      </c>
      <c r="F15" s="21">
        <v>33468112058.549999</v>
      </c>
      <c r="G15" s="5">
        <v>9.2499999999999999E-2</v>
      </c>
      <c r="H15" s="21">
        <v>19351918150.16</v>
      </c>
      <c r="I15" s="5">
        <v>9.4600000000000004E-2</v>
      </c>
      <c r="J15" s="21">
        <v>1422944969.49</v>
      </c>
      <c r="K15" s="5">
        <v>9.1300000000000006E-2</v>
      </c>
      <c r="L15" s="21">
        <v>25330518158.860001</v>
      </c>
      <c r="M15" s="5">
        <v>9.0300000000000005E-2</v>
      </c>
      <c r="N15" s="21">
        <v>28731021003.470001</v>
      </c>
      <c r="O15" s="5">
        <v>9.5000000000000001E-2</v>
      </c>
      <c r="P15" s="21">
        <v>2593530344.1500001</v>
      </c>
      <c r="Q15" s="22">
        <v>9.3100000000000002E-2</v>
      </c>
      <c r="R15" s="21">
        <v>8294419403.1700001</v>
      </c>
      <c r="S15" s="22">
        <v>9.0700000000000003E-2</v>
      </c>
      <c r="T15" s="21">
        <v>8326780868.3800001</v>
      </c>
      <c r="U15" s="22">
        <v>9.3899999999999997E-2</v>
      </c>
    </row>
    <row r="16" spans="1:35" s="19" customFormat="1" ht="19.5" customHeight="1">
      <c r="A16" s="6" t="s">
        <v>10</v>
      </c>
      <c r="B16" s="23" t="s">
        <v>6</v>
      </c>
      <c r="C16" s="8" t="s">
        <v>6</v>
      </c>
      <c r="D16" s="23" t="s">
        <v>6</v>
      </c>
      <c r="E16" s="8" t="s">
        <v>6</v>
      </c>
      <c r="F16" s="23">
        <v>4293981137.7399998</v>
      </c>
      <c r="G16" s="7">
        <v>0.05</v>
      </c>
      <c r="H16" s="23">
        <v>1218968844.79</v>
      </c>
      <c r="I16" s="7">
        <v>8.77E-2</v>
      </c>
      <c r="J16" s="23" t="s">
        <v>6</v>
      </c>
      <c r="K16" s="8" t="s">
        <v>6</v>
      </c>
      <c r="L16" s="23">
        <v>1145040075.4100001</v>
      </c>
      <c r="M16" s="7">
        <v>5.7599999999999998E-2</v>
      </c>
      <c r="N16" s="23">
        <v>1421939375.51</v>
      </c>
      <c r="O16" s="7">
        <v>8.1100000000000005E-2</v>
      </c>
      <c r="P16" s="23" t="s">
        <v>6</v>
      </c>
      <c r="Q16" s="24" t="s">
        <v>6</v>
      </c>
      <c r="R16" s="23" t="s">
        <v>6</v>
      </c>
      <c r="S16" s="24" t="s">
        <v>6</v>
      </c>
      <c r="T16" s="23">
        <v>491974028.33999997</v>
      </c>
      <c r="U16" s="24">
        <v>3.9600000000000003E-2</v>
      </c>
    </row>
    <row r="17" spans="1:21" ht="17.25">
      <c r="A17" s="6" t="s">
        <v>9</v>
      </c>
      <c r="B17" s="21" t="s">
        <v>6</v>
      </c>
      <c r="C17" s="4" t="s">
        <v>6</v>
      </c>
      <c r="D17" s="21" t="s">
        <v>6</v>
      </c>
      <c r="E17" s="4" t="s">
        <v>6</v>
      </c>
      <c r="F17" s="21">
        <v>1539406282.72</v>
      </c>
      <c r="G17" s="5">
        <v>7.5200000000000003E-2</v>
      </c>
      <c r="H17" s="21" t="s">
        <v>6</v>
      </c>
      <c r="I17" s="4" t="s">
        <v>6</v>
      </c>
      <c r="J17" s="21" t="s">
        <v>6</v>
      </c>
      <c r="K17" s="4" t="s">
        <v>6</v>
      </c>
      <c r="L17" s="21">
        <v>927302971</v>
      </c>
      <c r="M17" s="5">
        <v>7.0900000000000005E-2</v>
      </c>
      <c r="N17" s="21" t="s">
        <v>6</v>
      </c>
      <c r="O17" s="4" t="s">
        <v>6</v>
      </c>
      <c r="P17" s="21" t="s">
        <v>6</v>
      </c>
      <c r="Q17" s="22" t="s">
        <v>6</v>
      </c>
      <c r="R17" s="21" t="s">
        <v>6</v>
      </c>
      <c r="S17" s="22" t="s">
        <v>6</v>
      </c>
      <c r="T17" s="21" t="s">
        <v>6</v>
      </c>
      <c r="U17" s="22" t="s">
        <v>6</v>
      </c>
    </row>
    <row r="18" spans="1:21" ht="17.25">
      <c r="A18" s="6" t="s">
        <v>8</v>
      </c>
      <c r="B18" s="21">
        <v>661975899.32000005</v>
      </c>
      <c r="C18" s="5">
        <v>9.5899999999999999E-2</v>
      </c>
      <c r="D18" s="21">
        <v>119654020.68000001</v>
      </c>
      <c r="E18" s="5">
        <v>9.74E-2</v>
      </c>
      <c r="F18" s="21">
        <v>30075873068.419998</v>
      </c>
      <c r="G18" s="5">
        <v>9.6500000000000002E-2</v>
      </c>
      <c r="H18" s="21">
        <v>17867444363.509998</v>
      </c>
      <c r="I18" s="5">
        <v>9.5899999999999999E-2</v>
      </c>
      <c r="J18" s="21">
        <v>827795208.25</v>
      </c>
      <c r="K18" s="5">
        <v>9.4799999999999995E-2</v>
      </c>
      <c r="L18" s="21">
        <v>19627441741.299999</v>
      </c>
      <c r="M18" s="5">
        <v>9.4500000000000001E-2</v>
      </c>
      <c r="N18" s="21">
        <v>16017017619.120001</v>
      </c>
      <c r="O18" s="5">
        <v>9.7199999999999995E-2</v>
      </c>
      <c r="P18" s="21">
        <v>3915882768.4699998</v>
      </c>
      <c r="Q18" s="22">
        <v>9.2999999999999999E-2</v>
      </c>
      <c r="R18" s="21">
        <v>2136605144.0999999</v>
      </c>
      <c r="S18" s="22">
        <v>9.5600000000000004E-2</v>
      </c>
      <c r="T18" s="21">
        <v>6841837009.8000002</v>
      </c>
      <c r="U18" s="22">
        <v>9.4299999999999995E-2</v>
      </c>
    </row>
    <row r="19" spans="1:21">
      <c r="A19" s="6" t="s">
        <v>7</v>
      </c>
      <c r="B19" s="21">
        <v>10576621.539999999</v>
      </c>
      <c r="C19" s="5">
        <v>0.1</v>
      </c>
      <c r="D19" s="21" t="s">
        <v>6</v>
      </c>
      <c r="E19" s="4" t="s">
        <v>6</v>
      </c>
      <c r="F19" s="21" t="s">
        <v>6</v>
      </c>
      <c r="G19" s="4" t="s">
        <v>6</v>
      </c>
      <c r="H19" s="21">
        <v>71188798.799999997</v>
      </c>
      <c r="I19" s="5">
        <v>0.1</v>
      </c>
      <c r="J19" s="21" t="s">
        <v>6</v>
      </c>
      <c r="K19" s="4" t="s">
        <v>6</v>
      </c>
      <c r="L19" s="21">
        <v>71188798.799999997</v>
      </c>
      <c r="M19" s="5">
        <v>0.1</v>
      </c>
      <c r="N19" s="21">
        <v>34821492.439999998</v>
      </c>
      <c r="O19" s="5">
        <v>0.1</v>
      </c>
      <c r="P19" s="21" t="s">
        <v>6</v>
      </c>
      <c r="Q19" s="4" t="s">
        <v>6</v>
      </c>
      <c r="R19" s="21" t="s">
        <v>6</v>
      </c>
      <c r="S19" s="22" t="s">
        <v>6</v>
      </c>
      <c r="T19" s="21" t="s">
        <v>6</v>
      </c>
      <c r="U19" s="4" t="s">
        <v>6</v>
      </c>
    </row>
    <row r="20" spans="1:21" ht="33.75" customHeight="1">
      <c r="A20" s="6" t="s">
        <v>33</v>
      </c>
      <c r="B20" s="21" t="s">
        <v>6</v>
      </c>
      <c r="C20" s="5" t="s">
        <v>6</v>
      </c>
      <c r="D20" s="21" t="s">
        <v>6</v>
      </c>
      <c r="E20" s="5" t="s">
        <v>6</v>
      </c>
      <c r="F20" s="21" t="s">
        <v>6</v>
      </c>
      <c r="G20" s="5" t="s">
        <v>6</v>
      </c>
      <c r="H20" s="21">
        <v>406472344</v>
      </c>
      <c r="I20" s="5">
        <v>0.105</v>
      </c>
      <c r="J20" s="21" t="s">
        <v>6</v>
      </c>
      <c r="K20" s="4" t="s">
        <v>6</v>
      </c>
      <c r="L20" s="21" t="s">
        <v>6</v>
      </c>
      <c r="M20" s="5" t="s">
        <v>6</v>
      </c>
      <c r="N20" s="21" t="s">
        <v>6</v>
      </c>
      <c r="O20" s="5" t="s">
        <v>6</v>
      </c>
      <c r="P20" s="21" t="s">
        <v>6</v>
      </c>
      <c r="Q20" s="5" t="s">
        <v>6</v>
      </c>
      <c r="R20" s="21" t="s">
        <v>6</v>
      </c>
      <c r="S20" s="4" t="s">
        <v>6</v>
      </c>
      <c r="T20" s="21">
        <v>609708516</v>
      </c>
      <c r="U20" s="5">
        <v>0.105</v>
      </c>
    </row>
    <row r="21" spans="1:21" ht="16.5" customHeight="1">
      <c r="A21" s="3" t="s">
        <v>5</v>
      </c>
      <c r="B21" s="18">
        <f>SUM(B10:B20)</f>
        <v>2650240261.8000002</v>
      </c>
      <c r="C21" s="2">
        <v>9.5399999999999999E-2</v>
      </c>
      <c r="D21" s="18">
        <f>SUM(D10:D20)</f>
        <v>494441439.41000003</v>
      </c>
      <c r="E21" s="2">
        <v>9.1899999999999996E-2</v>
      </c>
      <c r="F21" s="18">
        <f>SUM(F10:F20)</f>
        <v>154661993650.59003</v>
      </c>
      <c r="G21" s="2">
        <v>8.6099999999999996E-2</v>
      </c>
      <c r="H21" s="18">
        <f>SUM(H10:H20)</f>
        <v>76550308539.560013</v>
      </c>
      <c r="I21" s="2">
        <v>8.9899999999999994E-2</v>
      </c>
      <c r="J21" s="18">
        <f>SUM(J10:J20)</f>
        <v>4541557850.8099995</v>
      </c>
      <c r="K21" s="2">
        <v>8.9200000000000002E-2</v>
      </c>
      <c r="L21" s="18">
        <f>SUM(L10:L20)</f>
        <v>105200379087.83002</v>
      </c>
      <c r="M21" s="2">
        <v>8.77E-2</v>
      </c>
      <c r="N21" s="18">
        <f>SUM(N10:N20)</f>
        <v>94943825871.819992</v>
      </c>
      <c r="O21" s="2">
        <v>8.8300000000000003E-2</v>
      </c>
      <c r="P21" s="18">
        <f>SUM(P10:P20)</f>
        <v>13294578226.4</v>
      </c>
      <c r="Q21" s="2">
        <v>9.0800000000000006E-2</v>
      </c>
      <c r="R21" s="18">
        <f>SUM(R10:R20)</f>
        <v>21021973859.699997</v>
      </c>
      <c r="S21" s="2">
        <v>8.8300000000000003E-2</v>
      </c>
      <c r="T21" s="18">
        <f>SUM(T10:T20)</f>
        <v>30619547207.040001</v>
      </c>
      <c r="U21" s="2">
        <v>8.8800000000000004E-2</v>
      </c>
    </row>
    <row r="23" spans="1:21" ht="18" customHeight="1">
      <c r="A23" s="52" t="s">
        <v>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 ht="18" customHeight="1">
      <c r="A24" s="52" t="s">
        <v>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52" t="s">
        <v>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spans="1:21">
      <c r="A26" s="14" t="s">
        <v>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21" ht="31.5" customHeight="1">
      <c r="A27" s="52" t="s">
        <v>43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 ht="17.2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spans="1:2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</sheetData>
  <mergeCells count="22"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  <mergeCell ref="A29:K29"/>
    <mergeCell ref="J7:K8"/>
    <mergeCell ref="L7:M8"/>
    <mergeCell ref="N7:O8"/>
    <mergeCell ref="P7:Q8"/>
    <mergeCell ref="A23:K23"/>
    <mergeCell ref="A24:K24"/>
    <mergeCell ref="A25:K25"/>
    <mergeCell ref="A27:K27"/>
    <mergeCell ref="A28:K2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showGridLines="0" zoomScaleNormal="100" workbookViewId="0">
      <selection activeCell="J35" sqref="J35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140625" bestFit="1" customWidth="1"/>
    <col min="8" max="8" width="17.85546875" bestFit="1" customWidth="1"/>
    <col min="9" max="9" width="7.140625" bestFit="1" customWidth="1"/>
    <col min="10" max="10" width="16.85546875" bestFit="1" customWidth="1"/>
    <col min="11" max="11" width="6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6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7.5703125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27" t="s">
        <v>39</v>
      </c>
      <c r="C9" s="27" t="s">
        <v>17</v>
      </c>
      <c r="D9" s="27" t="s">
        <v>39</v>
      </c>
      <c r="E9" s="27" t="s">
        <v>17</v>
      </c>
      <c r="F9" s="27" t="s">
        <v>39</v>
      </c>
      <c r="G9" s="27" t="s">
        <v>17</v>
      </c>
      <c r="H9" s="27" t="s">
        <v>39</v>
      </c>
      <c r="I9" s="27" t="s">
        <v>17</v>
      </c>
      <c r="J9" s="27" t="s">
        <v>39</v>
      </c>
      <c r="K9" s="27" t="s">
        <v>17</v>
      </c>
      <c r="L9" s="27" t="s">
        <v>39</v>
      </c>
      <c r="M9" s="27" t="s">
        <v>17</v>
      </c>
      <c r="N9" s="27" t="s">
        <v>39</v>
      </c>
      <c r="O9" s="27" t="s">
        <v>17</v>
      </c>
      <c r="P9" s="27" t="s">
        <v>39</v>
      </c>
      <c r="Q9" s="27" t="s">
        <v>17</v>
      </c>
      <c r="R9" s="27" t="s">
        <v>39</v>
      </c>
      <c r="S9" s="27" t="s">
        <v>17</v>
      </c>
      <c r="T9" s="27" t="s">
        <v>39</v>
      </c>
      <c r="U9" s="27" t="s">
        <v>17</v>
      </c>
    </row>
    <row r="10" spans="1:35">
      <c r="A10" s="6" t="s">
        <v>16</v>
      </c>
      <c r="B10" s="21">
        <v>808938254.82000005</v>
      </c>
      <c r="C10" s="22">
        <v>9.7900000000000001E-2</v>
      </c>
      <c r="D10" s="21">
        <v>138429189.62</v>
      </c>
      <c r="E10" s="22">
        <v>9.6199999999999994E-2</v>
      </c>
      <c r="F10" s="21">
        <v>42962500984.730003</v>
      </c>
      <c r="G10" s="22">
        <v>8.8300000000000003E-2</v>
      </c>
      <c r="H10" s="21">
        <v>24133186208.889999</v>
      </c>
      <c r="I10" s="22">
        <v>9.2399999999999996E-2</v>
      </c>
      <c r="J10" s="21">
        <v>1135098623.79</v>
      </c>
      <c r="K10" s="22">
        <v>9.9199999999999997E-2</v>
      </c>
      <c r="L10" s="21">
        <v>31982449675.790001</v>
      </c>
      <c r="M10" s="22">
        <v>9.1700000000000004E-2</v>
      </c>
      <c r="N10" s="21">
        <v>32406618634.82</v>
      </c>
      <c r="O10" s="22">
        <v>8.1799999999999998E-2</v>
      </c>
      <c r="P10" s="21">
        <v>4627796893.5100002</v>
      </c>
      <c r="Q10" s="22">
        <v>9.5699999999999993E-2</v>
      </c>
      <c r="R10" s="21">
        <v>4553569991.9200001</v>
      </c>
      <c r="S10" s="22">
        <v>9.8900000000000002E-2</v>
      </c>
      <c r="T10" s="21">
        <v>9693335540.4200001</v>
      </c>
      <c r="U10" s="22">
        <v>9.0700000000000003E-2</v>
      </c>
    </row>
    <row r="11" spans="1:35" ht="17.25">
      <c r="A11" s="6" t="s">
        <v>15</v>
      </c>
      <c r="B11" s="21">
        <v>201631737.18000001</v>
      </c>
      <c r="C11" s="22">
        <v>9.6100000000000005E-2</v>
      </c>
      <c r="D11" s="21">
        <v>6153694.8099999996</v>
      </c>
      <c r="E11" s="22">
        <v>0.1075</v>
      </c>
      <c r="F11" s="21">
        <v>10854401831.870001</v>
      </c>
      <c r="G11" s="22">
        <v>8.9700000000000002E-2</v>
      </c>
      <c r="H11" s="21">
        <v>3614702322.0700002</v>
      </c>
      <c r="I11" s="22">
        <v>9.2200000000000004E-2</v>
      </c>
      <c r="J11" s="21" t="s">
        <v>6</v>
      </c>
      <c r="K11" s="22" t="s">
        <v>6</v>
      </c>
      <c r="L11" s="21">
        <v>3135785770.3699999</v>
      </c>
      <c r="M11" s="22">
        <v>0.1011</v>
      </c>
      <c r="N11" s="21">
        <v>9774863697.6399994</v>
      </c>
      <c r="O11" s="22">
        <v>9.0200000000000002E-2</v>
      </c>
      <c r="P11" s="21">
        <v>652380757.63999999</v>
      </c>
      <c r="Q11" s="22">
        <v>8.3799999999999999E-2</v>
      </c>
      <c r="R11" s="21" t="s">
        <v>6</v>
      </c>
      <c r="S11" s="22" t="s">
        <v>6</v>
      </c>
      <c r="T11" s="21">
        <v>1753809084.75</v>
      </c>
      <c r="U11" s="22">
        <v>9.1800000000000007E-2</v>
      </c>
    </row>
    <row r="12" spans="1:35">
      <c r="A12" s="6" t="s">
        <v>14</v>
      </c>
      <c r="B12" s="21">
        <v>174736410.33000001</v>
      </c>
      <c r="C12" s="22">
        <v>0.10639999999999999</v>
      </c>
      <c r="D12" s="21">
        <v>37537561.840000004</v>
      </c>
      <c r="E12" s="22">
        <v>0.1164</v>
      </c>
      <c r="F12" s="21">
        <v>6701826079.9799995</v>
      </c>
      <c r="G12" s="22">
        <v>7.0400000000000004E-2</v>
      </c>
      <c r="H12" s="21">
        <v>5096504517.6599998</v>
      </c>
      <c r="I12" s="22">
        <v>8.0100000000000005E-2</v>
      </c>
      <c r="J12" s="21" t="s">
        <v>6</v>
      </c>
      <c r="K12" s="22" t="s">
        <v>6</v>
      </c>
      <c r="L12" s="21">
        <v>2641592823.71</v>
      </c>
      <c r="M12" s="22">
        <v>6.2799999999999995E-2</v>
      </c>
      <c r="N12" s="21">
        <v>3929237157.3099999</v>
      </c>
      <c r="O12" s="22">
        <v>8.0199999999999994E-2</v>
      </c>
      <c r="P12" s="21">
        <v>1052780400.54</v>
      </c>
      <c r="Q12" s="22">
        <v>7.9899999999999999E-2</v>
      </c>
      <c r="R12" s="21">
        <v>1880434887.3800001</v>
      </c>
      <c r="S12" s="22">
        <v>0.1045</v>
      </c>
      <c r="T12" s="21">
        <v>1520710982.4300001</v>
      </c>
      <c r="U12" s="22">
        <v>6.6299999999999998E-2</v>
      </c>
    </row>
    <row r="13" spans="1:35">
      <c r="A13" s="6" t="s">
        <v>13</v>
      </c>
      <c r="B13" s="21" t="s">
        <v>6</v>
      </c>
      <c r="C13" s="22" t="s">
        <v>6</v>
      </c>
      <c r="D13" s="21" t="s">
        <v>6</v>
      </c>
      <c r="E13" s="22" t="s">
        <v>6</v>
      </c>
      <c r="F13" s="21" t="s">
        <v>6</v>
      </c>
      <c r="G13" s="22" t="s">
        <v>6</v>
      </c>
      <c r="H13" s="21">
        <v>120285319.2</v>
      </c>
      <c r="I13" s="22">
        <v>8.7499999999999994E-2</v>
      </c>
      <c r="J13" s="21" t="s">
        <v>6</v>
      </c>
      <c r="K13" s="22" t="s">
        <v>6</v>
      </c>
      <c r="L13" s="21" t="s">
        <v>6</v>
      </c>
      <c r="M13" s="22" t="s">
        <v>6</v>
      </c>
      <c r="N13" s="21" t="s">
        <v>6</v>
      </c>
      <c r="O13" s="22" t="s">
        <v>6</v>
      </c>
      <c r="P13" s="21">
        <v>15035664.9</v>
      </c>
      <c r="Q13" s="22">
        <v>8.7499999999999994E-2</v>
      </c>
      <c r="R13" s="21" t="s">
        <v>6</v>
      </c>
      <c r="S13" s="22" t="s">
        <v>6</v>
      </c>
      <c r="T13" s="21">
        <v>45106994.700000003</v>
      </c>
      <c r="U13" s="22">
        <v>8.7499999999999994E-2</v>
      </c>
    </row>
    <row r="14" spans="1:35" ht="17.25">
      <c r="A14" s="6" t="s">
        <v>12</v>
      </c>
      <c r="B14" s="21">
        <v>192313726.93000001</v>
      </c>
      <c r="C14" s="22">
        <v>6.9599999999999995E-2</v>
      </c>
      <c r="D14" s="21">
        <v>145264558.69</v>
      </c>
      <c r="E14" s="22">
        <v>7.4499999999999997E-2</v>
      </c>
      <c r="F14" s="21">
        <v>21793320204.380001</v>
      </c>
      <c r="G14" s="22">
        <v>7.5499999999999998E-2</v>
      </c>
      <c r="H14" s="21">
        <v>4432162725.5299997</v>
      </c>
      <c r="I14" s="22">
        <v>4.3299999999999998E-2</v>
      </c>
      <c r="J14" s="21">
        <v>1262207676.0799999</v>
      </c>
      <c r="K14" s="22">
        <v>7.3800000000000004E-2</v>
      </c>
      <c r="L14" s="21">
        <v>21224995335.740002</v>
      </c>
      <c r="M14" s="22">
        <v>7.4700000000000003E-2</v>
      </c>
      <c r="N14" s="21">
        <v>2640447229.5700002</v>
      </c>
      <c r="O14" s="22">
        <v>4.7100000000000003E-2</v>
      </c>
      <c r="P14" s="21">
        <v>620816205.54999995</v>
      </c>
      <c r="Q14" s="22">
        <v>4.4499999999999998E-2</v>
      </c>
      <c r="R14" s="21">
        <v>4383888479.8500004</v>
      </c>
      <c r="S14" s="22">
        <v>7.9299999999999995E-2</v>
      </c>
      <c r="T14" s="21">
        <v>1446335125.74</v>
      </c>
      <c r="U14" s="22">
        <v>4.0500000000000001E-2</v>
      </c>
    </row>
    <row r="15" spans="1:35" ht="17.25">
      <c r="A15" s="6" t="s">
        <v>11</v>
      </c>
      <c r="B15" s="21">
        <v>658631640.75</v>
      </c>
      <c r="C15" s="22">
        <v>9.6799999999999997E-2</v>
      </c>
      <c r="D15" s="21">
        <v>124601625.55</v>
      </c>
      <c r="E15" s="22">
        <v>9.5500000000000002E-2</v>
      </c>
      <c r="F15" s="21">
        <v>32729433936.98</v>
      </c>
      <c r="G15" s="22">
        <v>9.2700000000000005E-2</v>
      </c>
      <c r="H15" s="21">
        <v>21095028997.549999</v>
      </c>
      <c r="I15" s="22">
        <v>9.5799999999999996E-2</v>
      </c>
      <c r="J15" s="21">
        <v>1366116080.9100001</v>
      </c>
      <c r="K15" s="22">
        <v>9.1200000000000003E-2</v>
      </c>
      <c r="L15" s="21">
        <v>23965342739.330002</v>
      </c>
      <c r="M15" s="22">
        <v>9.2100000000000001E-2</v>
      </c>
      <c r="N15" s="21">
        <v>28609760399.23</v>
      </c>
      <c r="O15" s="22">
        <v>9.5000000000000001E-2</v>
      </c>
      <c r="P15" s="21">
        <v>2404382016.1599998</v>
      </c>
      <c r="Q15" s="22">
        <v>9.4100000000000003E-2</v>
      </c>
      <c r="R15" s="21">
        <v>8091512659.8599997</v>
      </c>
      <c r="S15" s="22">
        <v>9.8100000000000007E-2</v>
      </c>
      <c r="T15" s="21">
        <v>8928906747.4500008</v>
      </c>
      <c r="U15" s="22">
        <v>9.5899999999999999E-2</v>
      </c>
    </row>
    <row r="16" spans="1:35" s="19" customFormat="1" ht="19.5" customHeight="1">
      <c r="A16" s="6" t="s">
        <v>10</v>
      </c>
      <c r="B16" s="23" t="s">
        <v>6</v>
      </c>
      <c r="C16" s="24" t="s">
        <v>6</v>
      </c>
      <c r="D16" s="23" t="s">
        <v>6</v>
      </c>
      <c r="E16" s="24" t="s">
        <v>6</v>
      </c>
      <c r="F16" s="23">
        <v>4319606346.2399998</v>
      </c>
      <c r="G16" s="24">
        <v>4.6800000000000001E-2</v>
      </c>
      <c r="H16" s="23">
        <v>1226471300.6500001</v>
      </c>
      <c r="I16" s="24">
        <v>4.5900000000000003E-2</v>
      </c>
      <c r="J16" s="23" t="s">
        <v>6</v>
      </c>
      <c r="K16" s="24" t="s">
        <v>6</v>
      </c>
      <c r="L16" s="23">
        <v>1155368331.02</v>
      </c>
      <c r="M16" s="24">
        <v>5.5E-2</v>
      </c>
      <c r="N16" s="23">
        <v>1931221171.73</v>
      </c>
      <c r="O16" s="24">
        <v>6.3600000000000004E-2</v>
      </c>
      <c r="P16" s="23" t="s">
        <v>6</v>
      </c>
      <c r="Q16" s="24" t="s">
        <v>6</v>
      </c>
      <c r="R16" s="23" t="s">
        <v>6</v>
      </c>
      <c r="S16" s="24" t="s">
        <v>6</v>
      </c>
      <c r="T16" s="23">
        <v>493225742.63</v>
      </c>
      <c r="U16" s="24">
        <v>4.0899999999999999E-2</v>
      </c>
    </row>
    <row r="17" spans="1:21" ht="17.25">
      <c r="A17" s="6" t="s">
        <v>9</v>
      </c>
      <c r="B17" s="21" t="s">
        <v>6</v>
      </c>
      <c r="C17" s="22" t="s">
        <v>6</v>
      </c>
      <c r="D17" s="21" t="s">
        <v>6</v>
      </c>
      <c r="E17" s="22" t="s">
        <v>6</v>
      </c>
      <c r="F17" s="21">
        <v>1548809610.3199999</v>
      </c>
      <c r="G17" s="24">
        <v>7.6200000000000004E-2</v>
      </c>
      <c r="H17" s="23" t="s">
        <v>6</v>
      </c>
      <c r="I17" s="24" t="s">
        <v>6</v>
      </c>
      <c r="J17" s="23" t="s">
        <v>6</v>
      </c>
      <c r="K17" s="24" t="s">
        <v>6</v>
      </c>
      <c r="L17" s="23">
        <v>932108264</v>
      </c>
      <c r="M17" s="24">
        <v>7.4099999999999999E-2</v>
      </c>
      <c r="N17" s="23" t="s">
        <v>6</v>
      </c>
      <c r="O17" s="24" t="s">
        <v>6</v>
      </c>
      <c r="P17" s="23" t="s">
        <v>6</v>
      </c>
      <c r="Q17" s="24" t="s">
        <v>6</v>
      </c>
      <c r="R17" s="23" t="s">
        <v>6</v>
      </c>
      <c r="S17" s="24" t="s">
        <v>6</v>
      </c>
      <c r="T17" s="23" t="s">
        <v>6</v>
      </c>
      <c r="U17" s="24" t="s">
        <v>6</v>
      </c>
    </row>
    <row r="18" spans="1:21" ht="17.25">
      <c r="A18" s="6" t="s">
        <v>8</v>
      </c>
      <c r="B18" s="21">
        <v>680378696.03999996</v>
      </c>
      <c r="C18" s="22">
        <v>9.7100000000000006E-2</v>
      </c>
      <c r="D18" s="21">
        <v>121539670.56</v>
      </c>
      <c r="E18" s="22">
        <v>9.6100000000000005E-2</v>
      </c>
      <c r="F18" s="21">
        <v>35748397506</v>
      </c>
      <c r="G18" s="22">
        <v>9.7100000000000006E-2</v>
      </c>
      <c r="H18" s="21">
        <v>17426153521.939999</v>
      </c>
      <c r="I18" s="22">
        <v>9.5399999999999999E-2</v>
      </c>
      <c r="J18" s="21">
        <v>821231418.29999995</v>
      </c>
      <c r="K18" s="22">
        <v>9.2799999999999994E-2</v>
      </c>
      <c r="L18" s="21">
        <v>21311347205.439999</v>
      </c>
      <c r="M18" s="22">
        <v>9.4799999999999995E-2</v>
      </c>
      <c r="N18" s="21">
        <v>17085789907.370001</v>
      </c>
      <c r="O18" s="22">
        <v>9.7500000000000003E-2</v>
      </c>
      <c r="P18" s="21">
        <v>4031135033.6199999</v>
      </c>
      <c r="Q18" s="22">
        <v>9.3700000000000006E-2</v>
      </c>
      <c r="R18" s="21">
        <v>2187854489.6500001</v>
      </c>
      <c r="S18" s="22">
        <v>9.5000000000000001E-2</v>
      </c>
      <c r="T18" s="21">
        <v>6528948499.4899998</v>
      </c>
      <c r="U18" s="22">
        <v>9.3100000000000002E-2</v>
      </c>
    </row>
    <row r="19" spans="1:21">
      <c r="A19" s="6" t="s">
        <v>7</v>
      </c>
      <c r="B19" s="21">
        <v>10667490.699999999</v>
      </c>
      <c r="C19" s="22">
        <v>0.1</v>
      </c>
      <c r="D19" s="21" t="s">
        <v>6</v>
      </c>
      <c r="E19" s="22" t="s">
        <v>6</v>
      </c>
      <c r="F19" s="21" t="s">
        <v>6</v>
      </c>
      <c r="G19" s="22" t="s">
        <v>6</v>
      </c>
      <c r="H19" s="21">
        <v>71800418.200000003</v>
      </c>
      <c r="I19" s="22">
        <v>0.1</v>
      </c>
      <c r="J19" s="21" t="s">
        <v>6</v>
      </c>
      <c r="K19" s="22" t="s">
        <v>6</v>
      </c>
      <c r="L19" s="21">
        <v>71800418.200000003</v>
      </c>
      <c r="M19" s="22">
        <v>0.1</v>
      </c>
      <c r="N19" s="21">
        <v>35120661.700000003</v>
      </c>
      <c r="O19" s="22">
        <v>0.1</v>
      </c>
      <c r="P19" s="21" t="s">
        <v>6</v>
      </c>
      <c r="Q19" s="22" t="s">
        <v>6</v>
      </c>
      <c r="R19" s="21" t="s">
        <v>6</v>
      </c>
      <c r="S19" s="22" t="s">
        <v>6</v>
      </c>
      <c r="T19" s="21" t="s">
        <v>6</v>
      </c>
      <c r="U19" s="22" t="s">
        <v>6</v>
      </c>
    </row>
    <row r="20" spans="1:21" ht="33.75" customHeight="1">
      <c r="A20" s="6" t="s">
        <v>33</v>
      </c>
      <c r="B20" s="21" t="s">
        <v>6</v>
      </c>
      <c r="C20" s="22" t="s">
        <v>6</v>
      </c>
      <c r="D20" s="21" t="s">
        <v>6</v>
      </c>
      <c r="E20" s="22" t="s">
        <v>6</v>
      </c>
      <c r="F20" s="21" t="s">
        <v>6</v>
      </c>
      <c r="G20" s="22" t="s">
        <v>6</v>
      </c>
      <c r="H20" s="21">
        <v>410030680</v>
      </c>
      <c r="I20" s="22">
        <v>0.105</v>
      </c>
      <c r="J20" s="21" t="s">
        <v>6</v>
      </c>
      <c r="K20" s="22" t="s">
        <v>6</v>
      </c>
      <c r="L20" s="21" t="s">
        <v>6</v>
      </c>
      <c r="M20" s="22" t="s">
        <v>6</v>
      </c>
      <c r="N20" s="21" t="s">
        <v>6</v>
      </c>
      <c r="O20" s="22" t="s">
        <v>6</v>
      </c>
      <c r="P20" s="21" t="s">
        <v>6</v>
      </c>
      <c r="Q20" s="22" t="s">
        <v>6</v>
      </c>
      <c r="R20" s="21" t="s">
        <v>6</v>
      </c>
      <c r="S20" s="22" t="s">
        <v>6</v>
      </c>
      <c r="T20" s="21">
        <v>615046020</v>
      </c>
      <c r="U20" s="22">
        <v>0.105</v>
      </c>
    </row>
    <row r="21" spans="1:21" ht="16.5" customHeight="1">
      <c r="A21" s="3" t="s">
        <v>5</v>
      </c>
      <c r="B21" s="18">
        <f>SUM(B10:B20)</f>
        <v>2727297956.75</v>
      </c>
      <c r="C21" s="2">
        <v>9.5799999999999996E-2</v>
      </c>
      <c r="D21" s="18">
        <f>SUM(D10:D20)</f>
        <v>573526301.07000005</v>
      </c>
      <c r="E21" s="2">
        <v>9.1999999999999998E-2</v>
      </c>
      <c r="F21" s="18">
        <f>SUM(F10:F20)</f>
        <v>156658296500.5</v>
      </c>
      <c r="G21" s="2">
        <v>8.7499999999999994E-2</v>
      </c>
      <c r="H21" s="18">
        <f>SUM(H10:H20)</f>
        <v>77626326011.689987</v>
      </c>
      <c r="I21" s="2">
        <v>8.9700000000000002E-2</v>
      </c>
      <c r="J21" s="18">
        <f>SUM(J10:J20)</f>
        <v>4584653799.0799999</v>
      </c>
      <c r="K21" s="2">
        <v>8.8730000000000003E-2</v>
      </c>
      <c r="L21" s="18">
        <f>SUM(L10:L20)</f>
        <v>106420790563.60001</v>
      </c>
      <c r="M21" s="2">
        <v>8.7999999999999995E-2</v>
      </c>
      <c r="N21" s="18">
        <f>SUM(N10:N20)</f>
        <v>96413058859.36998</v>
      </c>
      <c r="O21" s="2">
        <v>8.7999999999999995E-2</v>
      </c>
      <c r="P21" s="18">
        <f>SUM(P10:P20)</f>
        <v>13404326971.919998</v>
      </c>
      <c r="Q21" s="2">
        <v>9.06E-2</v>
      </c>
      <c r="R21" s="18">
        <f>SUM(R10:R20)</f>
        <v>21097260508.660004</v>
      </c>
      <c r="S21" s="2">
        <v>9.4600000000000004E-2</v>
      </c>
      <c r="T21" s="18">
        <f>SUM(T10:T20)</f>
        <v>31025424737.610001</v>
      </c>
      <c r="U21" s="2">
        <v>8.8700000000000001E-2</v>
      </c>
    </row>
    <row r="23" spans="1:21" ht="18" customHeight="1">
      <c r="A23" s="52" t="s">
        <v>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 ht="18" customHeight="1">
      <c r="A24" s="52" t="s">
        <v>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52" t="s">
        <v>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</row>
    <row r="26" spans="1:21">
      <c r="A26" s="25" t="s">
        <v>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21" ht="26.25" customHeight="1">
      <c r="A27" s="52" t="s">
        <v>43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 ht="17.2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spans="1:2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</sheetData>
  <mergeCells count="22"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  <mergeCell ref="A29:K29"/>
    <mergeCell ref="J7:K8"/>
    <mergeCell ref="L7:M8"/>
    <mergeCell ref="N7:O8"/>
    <mergeCell ref="P7:Q8"/>
    <mergeCell ref="A23:K23"/>
    <mergeCell ref="A24:K24"/>
    <mergeCell ref="A25:K25"/>
    <mergeCell ref="A27:K27"/>
    <mergeCell ref="A28:K2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M33" sqref="M33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85546875" customWidth="1"/>
    <col min="8" max="8" width="17.85546875" bestFit="1" customWidth="1"/>
    <col min="9" max="9" width="7.140625" bestFit="1" customWidth="1"/>
    <col min="10" max="10" width="16.85546875" bestFit="1" customWidth="1"/>
    <col min="11" max="11" width="6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6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7.5703125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30" t="s">
        <v>39</v>
      </c>
      <c r="C9" s="30" t="s">
        <v>17</v>
      </c>
      <c r="D9" s="30" t="s">
        <v>39</v>
      </c>
      <c r="E9" s="30" t="s">
        <v>17</v>
      </c>
      <c r="F9" s="30" t="s">
        <v>39</v>
      </c>
      <c r="G9" s="30" t="s">
        <v>17</v>
      </c>
      <c r="H9" s="30" t="s">
        <v>39</v>
      </c>
      <c r="I9" s="30" t="s">
        <v>17</v>
      </c>
      <c r="J9" s="30" t="s">
        <v>39</v>
      </c>
      <c r="K9" s="30" t="s">
        <v>17</v>
      </c>
      <c r="L9" s="30" t="s">
        <v>39</v>
      </c>
      <c r="M9" s="30" t="s">
        <v>17</v>
      </c>
      <c r="N9" s="30" t="s">
        <v>39</v>
      </c>
      <c r="O9" s="30" t="s">
        <v>17</v>
      </c>
      <c r="P9" s="30" t="s">
        <v>39</v>
      </c>
      <c r="Q9" s="30" t="s">
        <v>17</v>
      </c>
      <c r="R9" s="30" t="s">
        <v>39</v>
      </c>
      <c r="S9" s="30" t="s">
        <v>17</v>
      </c>
      <c r="T9" s="30" t="s">
        <v>39</v>
      </c>
      <c r="U9" s="30" t="s">
        <v>17</v>
      </c>
    </row>
    <row r="10" spans="1:35">
      <c r="A10" s="6" t="s">
        <v>16</v>
      </c>
      <c r="B10" s="21">
        <v>857343001.27999997</v>
      </c>
      <c r="C10" s="22">
        <v>9.8299999999999998E-2</v>
      </c>
      <c r="D10" s="21">
        <v>182471387.71000001</v>
      </c>
      <c r="E10" s="22">
        <v>9.5100000000000004E-2</v>
      </c>
      <c r="F10" s="21">
        <v>42740424224.830002</v>
      </c>
      <c r="G10" s="22">
        <v>8.8499999999999995E-2</v>
      </c>
      <c r="H10" s="21">
        <v>24374514256.759998</v>
      </c>
      <c r="I10" s="22">
        <v>9.1999999999999998E-2</v>
      </c>
      <c r="J10" s="21">
        <v>1139501099.72</v>
      </c>
      <c r="K10" s="22">
        <v>9.9900000000000003E-2</v>
      </c>
      <c r="L10" s="21">
        <v>31992393125.939999</v>
      </c>
      <c r="M10" s="22">
        <v>9.1600000000000001E-2</v>
      </c>
      <c r="N10" s="21">
        <v>32795298927.549999</v>
      </c>
      <c r="O10" s="22">
        <v>8.2299999999999998E-2</v>
      </c>
      <c r="P10" s="21">
        <v>4576264826.9300003</v>
      </c>
      <c r="Q10" s="22">
        <v>9.5600000000000004E-2</v>
      </c>
      <c r="R10" s="21">
        <v>4560081795.9300003</v>
      </c>
      <c r="S10" s="22">
        <v>9.8900000000000002E-2</v>
      </c>
      <c r="T10" s="21">
        <v>9740219809.8099995</v>
      </c>
      <c r="U10" s="22">
        <v>9.0200000000000002E-2</v>
      </c>
    </row>
    <row r="11" spans="1:35" ht="17.25">
      <c r="A11" s="6" t="s">
        <v>15</v>
      </c>
      <c r="B11" s="21">
        <v>232333648.59</v>
      </c>
      <c r="C11" s="22">
        <v>9.6799999999999997E-2</v>
      </c>
      <c r="D11" s="21">
        <v>6208603.04</v>
      </c>
      <c r="E11" s="22">
        <v>0.1075</v>
      </c>
      <c r="F11" s="21">
        <v>12145263633.309999</v>
      </c>
      <c r="G11" s="22">
        <v>9.1300000000000006E-2</v>
      </c>
      <c r="H11" s="21">
        <v>4328423868.2700005</v>
      </c>
      <c r="I11" s="22">
        <v>9.4299999999999995E-2</v>
      </c>
      <c r="J11" s="21" t="s">
        <v>6</v>
      </c>
      <c r="K11" s="22" t="s">
        <v>6</v>
      </c>
      <c r="L11" s="21">
        <v>4396069342.4799995</v>
      </c>
      <c r="M11" s="22">
        <v>0.1022</v>
      </c>
      <c r="N11" s="21">
        <v>11188226820</v>
      </c>
      <c r="O11" s="22">
        <v>9.2100000000000001E-2</v>
      </c>
      <c r="P11" s="21">
        <v>653183648.63999999</v>
      </c>
      <c r="Q11" s="22">
        <v>8.43E-2</v>
      </c>
      <c r="R11" s="21" t="s">
        <v>6</v>
      </c>
      <c r="S11" s="22" t="s">
        <v>6</v>
      </c>
      <c r="T11" s="21">
        <v>2059972533.1900001</v>
      </c>
      <c r="U11" s="22">
        <v>9.3700000000000006E-2</v>
      </c>
    </row>
    <row r="12" spans="1:35">
      <c r="A12" s="6" t="s">
        <v>14</v>
      </c>
      <c r="B12" s="21">
        <v>195003756.63</v>
      </c>
      <c r="C12" s="22">
        <v>0.1066</v>
      </c>
      <c r="D12" s="21">
        <v>40494334.850000001</v>
      </c>
      <c r="E12" s="22">
        <v>0.1167</v>
      </c>
      <c r="F12" s="21">
        <v>6826351190.8599997</v>
      </c>
      <c r="G12" s="22">
        <v>7.1199999999999999E-2</v>
      </c>
      <c r="H12" s="21">
        <v>5261741682.5699997</v>
      </c>
      <c r="I12" s="22">
        <v>8.1000000000000003E-2</v>
      </c>
      <c r="J12" s="21" t="s">
        <v>6</v>
      </c>
      <c r="K12" s="22" t="s">
        <v>6</v>
      </c>
      <c r="L12" s="21">
        <v>2715142434.98</v>
      </c>
      <c r="M12" s="22">
        <v>6.3700000000000007E-2</v>
      </c>
      <c r="N12" s="21">
        <v>3966128871.6100001</v>
      </c>
      <c r="O12" s="22">
        <v>8.0500000000000002E-2</v>
      </c>
      <c r="P12" s="21">
        <v>1055273409.08</v>
      </c>
      <c r="Q12" s="22">
        <v>0.08</v>
      </c>
      <c r="R12" s="21">
        <v>1880394483.29</v>
      </c>
      <c r="S12" s="22">
        <v>0.1045</v>
      </c>
      <c r="T12" s="21">
        <v>1520152065.4200001</v>
      </c>
      <c r="U12" s="22">
        <v>6.6299999999999998E-2</v>
      </c>
    </row>
    <row r="13" spans="1:35">
      <c r="A13" s="6" t="s">
        <v>13</v>
      </c>
      <c r="B13" s="21" t="s">
        <v>6</v>
      </c>
      <c r="C13" s="22" t="s">
        <v>6</v>
      </c>
      <c r="D13" s="21" t="s">
        <v>6</v>
      </c>
      <c r="E13" s="22" t="s">
        <v>6</v>
      </c>
      <c r="F13" s="21" t="s">
        <v>6</v>
      </c>
      <c r="G13" s="22" t="s">
        <v>6</v>
      </c>
      <c r="H13" s="21">
        <v>121175367.59999999</v>
      </c>
      <c r="I13" s="24">
        <v>8.7499999999999994E-2</v>
      </c>
      <c r="J13" s="21" t="s">
        <v>6</v>
      </c>
      <c r="K13" s="22" t="s">
        <v>6</v>
      </c>
      <c r="L13" s="21" t="s">
        <v>6</v>
      </c>
      <c r="M13" s="24" t="s">
        <v>6</v>
      </c>
      <c r="N13" s="21" t="s">
        <v>6</v>
      </c>
      <c r="O13" s="24" t="s">
        <v>6</v>
      </c>
      <c r="P13" s="21">
        <v>15146920.949999999</v>
      </c>
      <c r="Q13" s="22">
        <v>8.7499999999999994E-2</v>
      </c>
      <c r="R13" s="21" t="s">
        <v>6</v>
      </c>
      <c r="S13" s="22" t="s">
        <v>6</v>
      </c>
      <c r="T13" s="21">
        <v>45440762.850000001</v>
      </c>
      <c r="U13" s="22">
        <v>8.7499999999999994E-2</v>
      </c>
    </row>
    <row r="14" spans="1:35" ht="17.25">
      <c r="A14" s="6" t="s">
        <v>12</v>
      </c>
      <c r="B14" s="21">
        <v>180454221.43000001</v>
      </c>
      <c r="C14" s="22">
        <v>7.0499999999999993E-2</v>
      </c>
      <c r="D14" s="21">
        <v>199304325.38999999</v>
      </c>
      <c r="E14" s="22">
        <v>8.3599999999999994E-2</v>
      </c>
      <c r="F14" s="21">
        <v>21551066059.389999</v>
      </c>
      <c r="G14" s="22">
        <v>7.1800000000000003E-2</v>
      </c>
      <c r="H14" s="21">
        <v>4545095198.6800003</v>
      </c>
      <c r="I14" s="24">
        <v>5.8599999999999999E-2</v>
      </c>
      <c r="J14" s="21">
        <v>1312232594.53</v>
      </c>
      <c r="K14" s="22">
        <v>7.4999999999999997E-2</v>
      </c>
      <c r="L14" s="21">
        <v>21009342526.080002</v>
      </c>
      <c r="M14" s="24">
        <v>8.1500000000000003E-2</v>
      </c>
      <c r="N14" s="21">
        <v>1633937407.4300001</v>
      </c>
      <c r="O14" s="24">
        <v>4.6800000000000001E-2</v>
      </c>
      <c r="P14" s="21">
        <v>543185246.57000005</v>
      </c>
      <c r="Q14" s="22">
        <v>5.74E-2</v>
      </c>
      <c r="R14" s="21">
        <v>4455760169.6899996</v>
      </c>
      <c r="S14" s="22">
        <v>8.1100000000000005E-2</v>
      </c>
      <c r="T14" s="21">
        <v>1591697459.55</v>
      </c>
      <c r="U14" s="24">
        <v>5.8900000000000001E-2</v>
      </c>
    </row>
    <row r="15" spans="1:35" ht="17.25">
      <c r="A15" s="6" t="s">
        <v>11</v>
      </c>
      <c r="B15" s="21">
        <v>673021013.54999995</v>
      </c>
      <c r="C15" s="22">
        <v>9.74E-2</v>
      </c>
      <c r="D15" s="21">
        <v>158405896.24000001</v>
      </c>
      <c r="E15" s="22">
        <v>9.5699999999999993E-2</v>
      </c>
      <c r="F15" s="21">
        <v>32392223596.099998</v>
      </c>
      <c r="G15" s="22">
        <v>9.2799999999999994E-2</v>
      </c>
      <c r="H15" s="21">
        <v>21915265875.439999</v>
      </c>
      <c r="I15" s="24">
        <v>9.6000000000000002E-2</v>
      </c>
      <c r="J15" s="21">
        <v>1343619182.6800001</v>
      </c>
      <c r="K15" s="22">
        <v>9.1200000000000003E-2</v>
      </c>
      <c r="L15" s="21">
        <v>23818469137.41</v>
      </c>
      <c r="M15" s="24">
        <v>9.2200000000000004E-2</v>
      </c>
      <c r="N15" s="21">
        <v>28075121464.310001</v>
      </c>
      <c r="O15" s="24">
        <v>9.4899999999999998E-2</v>
      </c>
      <c r="P15" s="21">
        <v>2364228636.8800001</v>
      </c>
      <c r="Q15" s="22">
        <v>9.4E-2</v>
      </c>
      <c r="R15" s="21">
        <v>8091051370.6700001</v>
      </c>
      <c r="S15" s="22">
        <v>9.7900000000000001E-2</v>
      </c>
      <c r="T15" s="21">
        <v>9364905928.4799995</v>
      </c>
      <c r="U15" s="24">
        <v>9.6100000000000005E-2</v>
      </c>
    </row>
    <row r="16" spans="1:35" s="19" customFormat="1" ht="19.5" customHeight="1">
      <c r="A16" s="6" t="s">
        <v>10</v>
      </c>
      <c r="B16" s="23" t="s">
        <v>6</v>
      </c>
      <c r="C16" s="24" t="s">
        <v>6</v>
      </c>
      <c r="D16" s="23" t="s">
        <v>6</v>
      </c>
      <c r="E16" s="24" t="s">
        <v>6</v>
      </c>
      <c r="F16" s="23">
        <v>4336064601.2600002</v>
      </c>
      <c r="G16" s="22">
        <v>4.3900000000000002E-2</v>
      </c>
      <c r="H16" s="23">
        <v>1234569927.5599999</v>
      </c>
      <c r="I16" s="24">
        <v>4.8500000000000001E-2</v>
      </c>
      <c r="J16" s="23" t="s">
        <v>6</v>
      </c>
      <c r="K16" s="24" t="s">
        <v>6</v>
      </c>
      <c r="L16" s="23">
        <v>1164989449.1500001</v>
      </c>
      <c r="M16" s="24">
        <v>5.7599999999999998E-2</v>
      </c>
      <c r="N16" s="23">
        <v>1943242603.5599999</v>
      </c>
      <c r="O16" s="24">
        <v>6.6000000000000003E-2</v>
      </c>
      <c r="P16" s="23" t="s">
        <v>6</v>
      </c>
      <c r="Q16" s="24" t="s">
        <v>6</v>
      </c>
      <c r="R16" s="23" t="s">
        <v>6</v>
      </c>
      <c r="S16" s="24" t="s">
        <v>6</v>
      </c>
      <c r="T16" s="23">
        <v>495827419.85000002</v>
      </c>
      <c r="U16" s="24">
        <v>4.2999999999999997E-2</v>
      </c>
    </row>
    <row r="17" spans="1:21" ht="17.25">
      <c r="A17" s="6" t="s">
        <v>9</v>
      </c>
      <c r="B17" s="21" t="s">
        <v>6</v>
      </c>
      <c r="C17" s="22" t="s">
        <v>6</v>
      </c>
      <c r="D17" s="21" t="s">
        <v>6</v>
      </c>
      <c r="E17" s="22" t="s">
        <v>6</v>
      </c>
      <c r="F17" s="21">
        <v>1558418047.52</v>
      </c>
      <c r="G17" s="24">
        <v>7.6499999999999999E-2</v>
      </c>
      <c r="H17" s="23" t="s">
        <v>6</v>
      </c>
      <c r="I17" s="24" t="s">
        <v>6</v>
      </c>
      <c r="J17" s="23" t="s">
        <v>6</v>
      </c>
      <c r="K17" s="24" t="s">
        <v>6</v>
      </c>
      <c r="L17" s="23">
        <v>937633190</v>
      </c>
      <c r="M17" s="24">
        <v>7.4999999999999997E-2</v>
      </c>
      <c r="N17" s="23" t="s">
        <v>6</v>
      </c>
      <c r="O17" s="24" t="s">
        <v>6</v>
      </c>
      <c r="P17" s="23" t="s">
        <v>6</v>
      </c>
      <c r="Q17" s="24" t="s">
        <v>6</v>
      </c>
      <c r="R17" s="23" t="s">
        <v>6</v>
      </c>
      <c r="S17" s="24" t="s">
        <v>6</v>
      </c>
      <c r="T17" s="23" t="s">
        <v>6</v>
      </c>
      <c r="U17" s="24" t="s">
        <v>6</v>
      </c>
    </row>
    <row r="18" spans="1:21" ht="17.25">
      <c r="A18" s="6" t="s">
        <v>8</v>
      </c>
      <c r="B18" s="21">
        <v>709037494.42999995</v>
      </c>
      <c r="C18" s="22">
        <v>9.6799999999999997E-2</v>
      </c>
      <c r="D18" s="21">
        <v>127865063.81999999</v>
      </c>
      <c r="E18" s="22">
        <v>9.6100000000000005E-2</v>
      </c>
      <c r="F18" s="21">
        <v>36957432114.900002</v>
      </c>
      <c r="G18" s="22">
        <v>9.7299999999999998E-2</v>
      </c>
      <c r="H18" s="21">
        <v>16484608429.440001</v>
      </c>
      <c r="I18" s="24">
        <v>9.6500000000000002E-2</v>
      </c>
      <c r="J18" s="21">
        <v>827477321.16999996</v>
      </c>
      <c r="K18" s="22">
        <v>9.2700000000000005E-2</v>
      </c>
      <c r="L18" s="21">
        <v>21423848478.869999</v>
      </c>
      <c r="M18" s="24">
        <v>9.4799999999999995E-2</v>
      </c>
      <c r="N18" s="21">
        <v>17969082598.32</v>
      </c>
      <c r="O18" s="24">
        <v>9.7799999999999998E-2</v>
      </c>
      <c r="P18" s="21">
        <v>4315013796.9099998</v>
      </c>
      <c r="Q18" s="22">
        <v>9.4399999999999998E-2</v>
      </c>
      <c r="R18" s="21">
        <v>2204991473.0999999</v>
      </c>
      <c r="S18" s="22">
        <v>9.4899999999999998E-2</v>
      </c>
      <c r="T18" s="21">
        <v>6002265788.1999998</v>
      </c>
      <c r="U18" s="24">
        <v>9.4500000000000001E-2</v>
      </c>
    </row>
    <row r="19" spans="1:21" ht="33.75" customHeight="1">
      <c r="A19" s="6" t="s">
        <v>33</v>
      </c>
      <c r="B19" s="21" t="s">
        <v>6</v>
      </c>
      <c r="C19" s="22" t="s">
        <v>6</v>
      </c>
      <c r="D19" s="21" t="s">
        <v>6</v>
      </c>
      <c r="E19" s="22" t="s">
        <v>6</v>
      </c>
      <c r="F19" s="21" t="s">
        <v>6</v>
      </c>
      <c r="G19" s="22" t="s">
        <v>6</v>
      </c>
      <c r="H19" s="21">
        <v>413507520</v>
      </c>
      <c r="I19" s="22">
        <v>0.105</v>
      </c>
      <c r="J19" s="21" t="s">
        <v>6</v>
      </c>
      <c r="K19" s="22" t="s">
        <v>6</v>
      </c>
      <c r="L19" s="21" t="s">
        <v>6</v>
      </c>
      <c r="M19" s="22" t="s">
        <v>6</v>
      </c>
      <c r="N19" s="21" t="s">
        <v>6</v>
      </c>
      <c r="O19" s="22" t="s">
        <v>6</v>
      </c>
      <c r="P19" s="21" t="s">
        <v>6</v>
      </c>
      <c r="Q19" s="22" t="s">
        <v>6</v>
      </c>
      <c r="R19" s="21" t="s">
        <v>6</v>
      </c>
      <c r="S19" s="22" t="s">
        <v>6</v>
      </c>
      <c r="T19" s="21">
        <v>620261280</v>
      </c>
      <c r="U19" s="24">
        <v>0.105</v>
      </c>
    </row>
    <row r="20" spans="1:21" ht="16.5" customHeight="1">
      <c r="A20" s="3" t="s">
        <v>5</v>
      </c>
      <c r="B20" s="18">
        <f>SUM(B10:B19)</f>
        <v>2847193135.9099998</v>
      </c>
      <c r="C20" s="2">
        <v>9.64E-2</v>
      </c>
      <c r="D20" s="18">
        <f>SUM(D10:D19)</f>
        <v>714749611.04999995</v>
      </c>
      <c r="E20" s="2">
        <v>9.35E-2</v>
      </c>
      <c r="F20" s="18">
        <f>SUM(F10:F19)</f>
        <v>158507243468.16998</v>
      </c>
      <c r="G20" s="2">
        <v>8.7300000000000003E-2</v>
      </c>
      <c r="H20" s="18">
        <f>SUM(H10:H19)</f>
        <v>78678902126.319992</v>
      </c>
      <c r="I20" s="2">
        <v>9.0899999999999995E-2</v>
      </c>
      <c r="J20" s="18">
        <f>SUM(J10:J19)</f>
        <v>4622830198.1000004</v>
      </c>
      <c r="K20" s="2">
        <v>8.8999999999999996E-2</v>
      </c>
      <c r="L20" s="18">
        <f>SUM(L10:L19)</f>
        <v>107457887684.90999</v>
      </c>
      <c r="M20" s="2">
        <v>8.9599999999999999E-2</v>
      </c>
      <c r="N20" s="18">
        <f>SUM(N10:N19)</f>
        <v>97571038692.779999</v>
      </c>
      <c r="O20" s="2">
        <v>8.8900000000000007E-2</v>
      </c>
      <c r="P20" s="18">
        <f>SUM(P10:P19)</f>
        <v>13522296485.959999</v>
      </c>
      <c r="Q20" s="2">
        <v>9.1600000000000001E-2</v>
      </c>
      <c r="R20" s="18">
        <f>SUM(R10:R19)</f>
        <v>21192279292.68</v>
      </c>
      <c r="S20" s="2">
        <v>9.4899999999999998E-2</v>
      </c>
      <c r="T20" s="18">
        <f>SUM(T10:T19)</f>
        <v>31440743047.349998</v>
      </c>
      <c r="U20" s="2">
        <v>8.9800000000000005E-2</v>
      </c>
    </row>
    <row r="22" spans="1:21" ht="18" customHeight="1">
      <c r="A22" s="52" t="s">
        <v>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21" ht="18" customHeight="1">
      <c r="A23" s="52" t="s">
        <v>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28" t="s">
        <v>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21" ht="26.25" customHeight="1">
      <c r="A26" s="52" t="s">
        <v>45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21" ht="17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mergeCells count="22"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  <mergeCell ref="A28:K28"/>
    <mergeCell ref="J7:K8"/>
    <mergeCell ref="L7:M8"/>
    <mergeCell ref="N7:O8"/>
    <mergeCell ref="P7:Q8"/>
    <mergeCell ref="A22:K22"/>
    <mergeCell ref="A23:K23"/>
    <mergeCell ref="A24:K24"/>
    <mergeCell ref="A26:K26"/>
    <mergeCell ref="A27:K27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K30" sqref="K30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85546875" customWidth="1"/>
    <col min="8" max="8" width="17.85546875" bestFit="1" customWidth="1"/>
    <col min="9" max="9" width="7.140625" bestFit="1" customWidth="1"/>
    <col min="10" max="10" width="16.85546875" bestFit="1" customWidth="1"/>
    <col min="11" max="11" width="7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6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7.5703125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33" t="s">
        <v>39</v>
      </c>
      <c r="C9" s="33" t="s">
        <v>17</v>
      </c>
      <c r="D9" s="33" t="s">
        <v>39</v>
      </c>
      <c r="E9" s="33" t="s">
        <v>17</v>
      </c>
      <c r="F9" s="33" t="s">
        <v>39</v>
      </c>
      <c r="G9" s="33" t="s">
        <v>17</v>
      </c>
      <c r="H9" s="33" t="s">
        <v>39</v>
      </c>
      <c r="I9" s="33" t="s">
        <v>17</v>
      </c>
      <c r="J9" s="33" t="s">
        <v>39</v>
      </c>
      <c r="K9" s="33" t="s">
        <v>17</v>
      </c>
      <c r="L9" s="33" t="s">
        <v>39</v>
      </c>
      <c r="M9" s="33" t="s">
        <v>17</v>
      </c>
      <c r="N9" s="33" t="s">
        <v>39</v>
      </c>
      <c r="O9" s="33" t="s">
        <v>17</v>
      </c>
      <c r="P9" s="33" t="s">
        <v>39</v>
      </c>
      <c r="Q9" s="33" t="s">
        <v>17</v>
      </c>
      <c r="R9" s="33" t="s">
        <v>39</v>
      </c>
      <c r="S9" s="33" t="s">
        <v>17</v>
      </c>
      <c r="T9" s="33" t="s">
        <v>39</v>
      </c>
      <c r="U9" s="33" t="s">
        <v>17</v>
      </c>
    </row>
    <row r="10" spans="1:35">
      <c r="A10" s="6" t="s">
        <v>16</v>
      </c>
      <c r="B10" s="21">
        <v>923847558.59000003</v>
      </c>
      <c r="C10" s="22">
        <v>9.8500000000000004E-2</v>
      </c>
      <c r="D10" s="21">
        <v>189793496.03</v>
      </c>
      <c r="E10" s="22">
        <v>9.4299999999999995E-2</v>
      </c>
      <c r="F10" s="21">
        <v>42881311623.879997</v>
      </c>
      <c r="G10" s="22">
        <v>8.8200000000000001E-2</v>
      </c>
      <c r="H10" s="21">
        <v>26046709323.700001</v>
      </c>
      <c r="I10" s="22">
        <v>9.2999999999999999E-2</v>
      </c>
      <c r="J10" s="21">
        <v>1123241919.5599999</v>
      </c>
      <c r="K10" s="22">
        <v>0.1004</v>
      </c>
      <c r="L10" s="21">
        <v>31888613141.5</v>
      </c>
      <c r="M10" s="37">
        <v>9.1600000000000001E-2</v>
      </c>
      <c r="N10" s="21">
        <v>32856452136.220001</v>
      </c>
      <c r="O10" s="22">
        <v>8.2199999999999995E-2</v>
      </c>
      <c r="P10" s="38">
        <v>4554459807.1800003</v>
      </c>
      <c r="Q10" s="22">
        <v>9.5500000000000002E-2</v>
      </c>
      <c r="R10" s="21">
        <v>4580050368.3500004</v>
      </c>
      <c r="S10" s="22">
        <v>9.8900000000000002E-2</v>
      </c>
      <c r="T10" s="21">
        <v>10594710023.68</v>
      </c>
      <c r="U10" s="22">
        <v>9.1200000000000003E-2</v>
      </c>
    </row>
    <row r="11" spans="1:35" ht="17.25">
      <c r="A11" s="6" t="s">
        <v>15</v>
      </c>
      <c r="B11" s="21">
        <v>231139077.25999999</v>
      </c>
      <c r="C11" s="22">
        <v>9.6699999999999994E-2</v>
      </c>
      <c r="D11" s="21">
        <v>5937049.4000000004</v>
      </c>
      <c r="E11" s="22">
        <v>0.1075</v>
      </c>
      <c r="F11" s="21">
        <v>12129303504.200001</v>
      </c>
      <c r="G11" s="22">
        <v>9.1300000000000006E-2</v>
      </c>
      <c r="H11" s="21">
        <v>4332356981.8900003</v>
      </c>
      <c r="I11" s="22">
        <v>9.4200000000000006E-2</v>
      </c>
      <c r="J11" s="21" t="s">
        <v>6</v>
      </c>
      <c r="K11" s="22" t="s">
        <v>6</v>
      </c>
      <c r="L11" s="21">
        <v>4393973376.6000004</v>
      </c>
      <c r="M11" s="37">
        <v>0.1022</v>
      </c>
      <c r="N11" s="21">
        <v>11179667847.459999</v>
      </c>
      <c r="O11" s="22">
        <v>9.2100000000000001E-2</v>
      </c>
      <c r="P11" s="38">
        <v>656932055.01999998</v>
      </c>
      <c r="Q11" s="22">
        <v>8.43E-2</v>
      </c>
      <c r="R11" s="21" t="s">
        <v>6</v>
      </c>
      <c r="S11" s="22" t="s">
        <v>6</v>
      </c>
      <c r="T11" s="21">
        <v>2068083404.97</v>
      </c>
      <c r="U11" s="22">
        <v>9.3700000000000006E-2</v>
      </c>
    </row>
    <row r="12" spans="1:35">
      <c r="A12" s="6" t="s">
        <v>14</v>
      </c>
      <c r="B12" s="21">
        <v>239313735.36000001</v>
      </c>
      <c r="C12" s="22">
        <v>0.10970000000000001</v>
      </c>
      <c r="D12" s="21">
        <v>75842696.980000004</v>
      </c>
      <c r="E12" s="22">
        <v>0.1182</v>
      </c>
      <c r="F12" s="21">
        <v>7211924251.3999996</v>
      </c>
      <c r="G12" s="22">
        <v>7.3800000000000004E-2</v>
      </c>
      <c r="H12" s="21">
        <v>5480241760.1599998</v>
      </c>
      <c r="I12" s="22">
        <v>8.2500000000000004E-2</v>
      </c>
      <c r="J12" s="21" t="s">
        <v>6</v>
      </c>
      <c r="K12" s="22" t="s">
        <v>6</v>
      </c>
      <c r="L12" s="21">
        <v>2780045077.7600002</v>
      </c>
      <c r="M12" s="37">
        <v>6.3600000000000004E-2</v>
      </c>
      <c r="N12" s="21">
        <v>4082198083.98</v>
      </c>
      <c r="O12" s="22">
        <v>8.1600000000000006E-2</v>
      </c>
      <c r="P12" s="38">
        <v>1029819670.8200001</v>
      </c>
      <c r="Q12" s="22">
        <v>7.9600000000000004E-2</v>
      </c>
      <c r="R12" s="21">
        <v>1880288185.3299999</v>
      </c>
      <c r="S12" s="22">
        <v>0.1045</v>
      </c>
      <c r="T12" s="21">
        <v>1523644754.6600001</v>
      </c>
      <c r="U12" s="22">
        <v>6.6299999999999998E-2</v>
      </c>
    </row>
    <row r="13" spans="1:35">
      <c r="A13" s="6" t="s">
        <v>13</v>
      </c>
      <c r="B13" s="21" t="s">
        <v>6</v>
      </c>
      <c r="C13" s="22" t="s">
        <v>6</v>
      </c>
      <c r="D13" s="21" t="s">
        <v>6</v>
      </c>
      <c r="E13" s="22" t="s">
        <v>6</v>
      </c>
      <c r="F13" s="21" t="s">
        <v>6</v>
      </c>
      <c r="G13" s="22" t="s">
        <v>6</v>
      </c>
      <c r="H13" s="21">
        <v>121984940.40000001</v>
      </c>
      <c r="I13" s="24">
        <v>8.7499999999999994E-2</v>
      </c>
      <c r="J13" s="21" t="s">
        <v>6</v>
      </c>
      <c r="K13" s="22" t="s">
        <v>6</v>
      </c>
      <c r="L13" s="21" t="s">
        <v>6</v>
      </c>
      <c r="M13" s="37" t="s">
        <v>6</v>
      </c>
      <c r="N13" s="21" t="s">
        <v>6</v>
      </c>
      <c r="O13" s="24" t="s">
        <v>6</v>
      </c>
      <c r="P13" s="38">
        <v>15248117.550000001</v>
      </c>
      <c r="Q13" s="22">
        <v>8.7499999999999994E-2</v>
      </c>
      <c r="R13" s="21" t="s">
        <v>6</v>
      </c>
      <c r="S13" s="22" t="s">
        <v>6</v>
      </c>
      <c r="T13" s="21">
        <v>45744352.649999999</v>
      </c>
      <c r="U13" s="22">
        <v>8.7499999999999994E-2</v>
      </c>
    </row>
    <row r="14" spans="1:35" ht="17.25">
      <c r="A14" s="6" t="s">
        <v>12</v>
      </c>
      <c r="B14" s="21">
        <v>119881051.06</v>
      </c>
      <c r="C14" s="22">
        <v>7.0800000000000002E-2</v>
      </c>
      <c r="D14" s="21">
        <v>192466220.47</v>
      </c>
      <c r="E14" s="22">
        <v>9.1899999999999996E-2</v>
      </c>
      <c r="F14" s="21">
        <v>21270980674.049999</v>
      </c>
      <c r="G14" s="22">
        <v>7.6499999999999999E-2</v>
      </c>
      <c r="H14" s="21">
        <v>3709762294.6300001</v>
      </c>
      <c r="I14" s="24">
        <v>6.6600000000000006E-2</v>
      </c>
      <c r="J14" s="21">
        <v>1387073038.05</v>
      </c>
      <c r="K14" s="22">
        <v>7.7799999999999994E-2</v>
      </c>
      <c r="L14" s="21">
        <v>21243697822.330002</v>
      </c>
      <c r="M14" s="37">
        <v>9.11E-2</v>
      </c>
      <c r="N14" s="21">
        <v>1828028638.02</v>
      </c>
      <c r="O14" s="24">
        <v>5.4899999999999997E-2</v>
      </c>
      <c r="P14" s="38">
        <v>764027048.09000003</v>
      </c>
      <c r="Q14" s="22">
        <v>6.9099999999999995E-2</v>
      </c>
      <c r="R14" s="21">
        <v>4494936500.9899998</v>
      </c>
      <c r="S14" s="22">
        <v>9.4100000000000003E-2</v>
      </c>
      <c r="T14" s="21">
        <v>1061468897.49</v>
      </c>
      <c r="U14" s="24">
        <v>6.6799999999999998E-2</v>
      </c>
    </row>
    <row r="15" spans="1:35" ht="17.25">
      <c r="A15" s="6" t="s">
        <v>11</v>
      </c>
      <c r="B15" s="21">
        <v>681729395.72000003</v>
      </c>
      <c r="C15" s="22">
        <v>9.7199999999999995E-2</v>
      </c>
      <c r="D15" s="21">
        <v>175661628.81999999</v>
      </c>
      <c r="E15" s="22">
        <v>9.6199999999999994E-2</v>
      </c>
      <c r="F15" s="21">
        <v>33722506730.540001</v>
      </c>
      <c r="G15" s="22">
        <v>9.3100000000000002E-2</v>
      </c>
      <c r="H15" s="21">
        <v>21874539881.709999</v>
      </c>
      <c r="I15" s="24">
        <v>9.6799999999999997E-2</v>
      </c>
      <c r="J15" s="21">
        <v>1327545681.9000001</v>
      </c>
      <c r="K15" s="22">
        <v>9.1800000000000007E-2</v>
      </c>
      <c r="L15" s="21">
        <v>24775778424.07</v>
      </c>
      <c r="M15" s="37">
        <v>9.2499999999999999E-2</v>
      </c>
      <c r="N15" s="21">
        <v>28617944292.130001</v>
      </c>
      <c r="O15" s="24">
        <v>9.6299999999999997E-2</v>
      </c>
      <c r="P15" s="38">
        <v>2341523892.29</v>
      </c>
      <c r="Q15" s="22">
        <v>9.4899999999999998E-2</v>
      </c>
      <c r="R15" s="21">
        <v>8106326722.1499996</v>
      </c>
      <c r="S15" s="22">
        <v>9.8799999999999999E-2</v>
      </c>
      <c r="T15" s="21">
        <v>9437889707.0200005</v>
      </c>
      <c r="U15" s="24">
        <v>9.6799999999999997E-2</v>
      </c>
    </row>
    <row r="16" spans="1:35" s="19" customFormat="1" ht="19.5" customHeight="1">
      <c r="A16" s="6" t="s">
        <v>10</v>
      </c>
      <c r="B16" s="23" t="s">
        <v>6</v>
      </c>
      <c r="C16" s="24" t="s">
        <v>6</v>
      </c>
      <c r="D16" s="23" t="s">
        <v>6</v>
      </c>
      <c r="E16" s="24" t="s">
        <v>6</v>
      </c>
      <c r="F16" s="23">
        <v>4645155067.0100002</v>
      </c>
      <c r="G16" s="24">
        <v>4.2700000000000002E-2</v>
      </c>
      <c r="H16" s="23">
        <v>1238985429.5</v>
      </c>
      <c r="I16" s="24">
        <v>4.6800000000000001E-2</v>
      </c>
      <c r="J16" s="23" t="s">
        <v>6</v>
      </c>
      <c r="K16" s="24" t="s">
        <v>6</v>
      </c>
      <c r="L16" s="23">
        <v>1169423334.3</v>
      </c>
      <c r="M16" s="39">
        <v>5.57E-2</v>
      </c>
      <c r="N16" s="23">
        <v>1949900651.96</v>
      </c>
      <c r="O16" s="24">
        <v>6.4299999999999996E-2</v>
      </c>
      <c r="P16" s="38" t="s">
        <v>6</v>
      </c>
      <c r="Q16" s="24" t="s">
        <v>6</v>
      </c>
      <c r="R16" s="23" t="s">
        <v>6</v>
      </c>
      <c r="S16" s="24" t="s">
        <v>6</v>
      </c>
      <c r="T16" s="23">
        <v>497707110.98000002</v>
      </c>
      <c r="U16" s="24">
        <v>4.1700000000000001E-2</v>
      </c>
    </row>
    <row r="17" spans="1:21" ht="17.25">
      <c r="A17" s="6" t="s">
        <v>9</v>
      </c>
      <c r="B17" s="21" t="s">
        <v>6</v>
      </c>
      <c r="C17" s="22" t="s">
        <v>6</v>
      </c>
      <c r="D17" s="21" t="s">
        <v>6</v>
      </c>
      <c r="E17" s="22" t="s">
        <v>6</v>
      </c>
      <c r="F17" s="21">
        <v>1567015404.6300001</v>
      </c>
      <c r="G17" s="24">
        <v>7.7899999999999997E-2</v>
      </c>
      <c r="H17" s="23" t="s">
        <v>6</v>
      </c>
      <c r="I17" s="24" t="s">
        <v>6</v>
      </c>
      <c r="J17" s="23" t="s">
        <v>6</v>
      </c>
      <c r="K17" s="24" t="s">
        <v>6</v>
      </c>
      <c r="L17" s="23">
        <v>942398842.5</v>
      </c>
      <c r="M17" s="37">
        <v>7.9399999999999998E-2</v>
      </c>
      <c r="N17" s="23" t="s">
        <v>6</v>
      </c>
      <c r="O17" s="24" t="s">
        <v>6</v>
      </c>
      <c r="P17" s="38" t="s">
        <v>6</v>
      </c>
      <c r="Q17" s="24" t="s">
        <v>6</v>
      </c>
      <c r="R17" s="23" t="s">
        <v>6</v>
      </c>
      <c r="S17" s="24" t="s">
        <v>6</v>
      </c>
      <c r="T17" s="23" t="s">
        <v>6</v>
      </c>
      <c r="U17" s="24" t="s">
        <v>6</v>
      </c>
    </row>
    <row r="18" spans="1:21" ht="17.25">
      <c r="A18" s="6" t="s">
        <v>8</v>
      </c>
      <c r="B18" s="21">
        <v>707846716.47000003</v>
      </c>
      <c r="C18" s="22">
        <v>9.8799999999999999E-2</v>
      </c>
      <c r="D18" s="21">
        <v>160883013.74000001</v>
      </c>
      <c r="E18" s="22">
        <v>9.74E-2</v>
      </c>
      <c r="F18" s="21">
        <v>36691683116.120003</v>
      </c>
      <c r="G18" s="22">
        <v>9.9299999999999999E-2</v>
      </c>
      <c r="H18" s="21">
        <v>16267336250.459999</v>
      </c>
      <c r="I18" s="24">
        <v>9.8299999999999998E-2</v>
      </c>
      <c r="J18" s="21">
        <v>821269060.79999995</v>
      </c>
      <c r="K18" s="22">
        <v>9.4600000000000004E-2</v>
      </c>
      <c r="L18" s="21">
        <v>21247201501.02</v>
      </c>
      <c r="M18" s="37">
        <v>9.6199999999999994E-2</v>
      </c>
      <c r="N18" s="21">
        <v>17972824121.689999</v>
      </c>
      <c r="O18" s="24">
        <v>9.9199999999999997E-2</v>
      </c>
      <c r="P18" s="38">
        <v>4228513461.5999999</v>
      </c>
      <c r="Q18" s="22">
        <v>9.64E-2</v>
      </c>
      <c r="R18" s="21">
        <v>2163618606.1999998</v>
      </c>
      <c r="S18" s="22">
        <v>9.7799999999999998E-2</v>
      </c>
      <c r="T18" s="21">
        <v>5875678620.8699999</v>
      </c>
      <c r="U18" s="24">
        <v>9.6500000000000002E-2</v>
      </c>
    </row>
    <row r="19" spans="1:21" ht="33.75" customHeight="1">
      <c r="A19" s="6" t="s">
        <v>33</v>
      </c>
      <c r="B19" s="21" t="s">
        <v>6</v>
      </c>
      <c r="C19" s="22" t="s">
        <v>6</v>
      </c>
      <c r="D19" s="21" t="s">
        <v>6</v>
      </c>
      <c r="E19" s="22" t="s">
        <v>6</v>
      </c>
      <c r="F19" s="21" t="s">
        <v>6</v>
      </c>
      <c r="G19" s="22" t="s">
        <v>6</v>
      </c>
      <c r="H19" s="21">
        <v>416673224</v>
      </c>
      <c r="I19" s="22">
        <v>0.105</v>
      </c>
      <c r="J19" s="21" t="s">
        <v>6</v>
      </c>
      <c r="K19" s="22" t="s">
        <v>6</v>
      </c>
      <c r="L19" s="21" t="s">
        <v>6</v>
      </c>
      <c r="M19" s="37" t="s">
        <v>6</v>
      </c>
      <c r="N19" s="21" t="s">
        <v>6</v>
      </c>
      <c r="O19" s="22" t="s">
        <v>6</v>
      </c>
      <c r="P19" s="38" t="s">
        <v>6</v>
      </c>
      <c r="Q19" s="22" t="s">
        <v>6</v>
      </c>
      <c r="R19" s="21" t="s">
        <v>6</v>
      </c>
      <c r="S19" s="22" t="s">
        <v>6</v>
      </c>
      <c r="T19" s="21">
        <v>625009836</v>
      </c>
      <c r="U19" s="24">
        <v>0.105</v>
      </c>
    </row>
    <row r="20" spans="1:21" ht="16.5" customHeight="1">
      <c r="A20" s="3" t="s">
        <v>5</v>
      </c>
      <c r="B20" s="18">
        <f>SUM(B10:B19)</f>
        <v>2903757534.46</v>
      </c>
      <c r="C20" s="2">
        <v>9.7900000000000001E-2</v>
      </c>
      <c r="D20" s="18">
        <f>SUM(D10:D19)</f>
        <v>800584105.44000006</v>
      </c>
      <c r="E20" s="2">
        <v>9.7100000000000006E-2</v>
      </c>
      <c r="F20" s="18">
        <f>SUM(F10:F19)</f>
        <v>160119880371.83002</v>
      </c>
      <c r="G20" s="2">
        <v>8.8400000000000006E-2</v>
      </c>
      <c r="H20" s="18">
        <f>SUM(H10:H19)</f>
        <v>79488590086.449997</v>
      </c>
      <c r="I20" s="2">
        <v>9.2600000000000002E-2</v>
      </c>
      <c r="J20" s="18">
        <f>SUM(J10:J19)</f>
        <v>4659129700.3099995</v>
      </c>
      <c r="K20" s="2">
        <v>9.0200000000000002E-2</v>
      </c>
      <c r="L20" s="18">
        <f>SUM(L10:L19)</f>
        <v>108441131520.08002</v>
      </c>
      <c r="M20" s="2">
        <v>9.1800000000000007E-2</v>
      </c>
      <c r="N20" s="18">
        <f>SUM(N10:N19)</f>
        <v>98487015771.460007</v>
      </c>
      <c r="O20" s="2">
        <v>8.9599999999999999E-2</v>
      </c>
      <c r="P20" s="18">
        <f>SUM(P10:P19)</f>
        <v>13590524052.550001</v>
      </c>
      <c r="Q20" s="2">
        <v>9.2399999999999996E-2</v>
      </c>
      <c r="R20" s="18">
        <f>SUM(R10:R19)</f>
        <v>21225220383.02</v>
      </c>
      <c r="S20" s="2">
        <v>9.8199999999999996E-2</v>
      </c>
      <c r="T20" s="18">
        <f>SUM(T10:T19)</f>
        <v>31729936708.32</v>
      </c>
      <c r="U20" s="2">
        <v>9.1499999999999998E-2</v>
      </c>
    </row>
    <row r="22" spans="1:21" ht="18" customHeight="1">
      <c r="A22" s="52" t="s">
        <v>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21" ht="18" customHeight="1">
      <c r="A23" s="52" t="s">
        <v>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31" t="s">
        <v>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21" ht="26.25" customHeight="1">
      <c r="A26" s="52" t="s">
        <v>45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21" ht="17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mergeCells count="22">
    <mergeCell ref="A28:K28"/>
    <mergeCell ref="J7:K8"/>
    <mergeCell ref="L7:M8"/>
    <mergeCell ref="N7:O8"/>
    <mergeCell ref="P7:Q8"/>
    <mergeCell ref="A22:K22"/>
    <mergeCell ref="A23:K23"/>
    <mergeCell ref="A24:K24"/>
    <mergeCell ref="A26:K26"/>
    <mergeCell ref="A27:K27"/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G30" sqref="G30"/>
    </sheetView>
  </sheetViews>
  <sheetFormatPr baseColWidth="10" defaultRowHeight="15"/>
  <cols>
    <col min="1" max="1" width="43.42578125" customWidth="1"/>
    <col min="2" max="2" width="16.85546875" customWidth="1"/>
    <col min="3" max="3" width="7.140625" bestFit="1" customWidth="1"/>
    <col min="4" max="4" width="15.140625" bestFit="1" customWidth="1"/>
    <col min="5" max="5" width="7.140625" bestFit="1" customWidth="1"/>
    <col min="6" max="6" width="18.85546875" bestFit="1" customWidth="1"/>
    <col min="7" max="7" width="7.85546875" customWidth="1"/>
    <col min="8" max="8" width="17.85546875" bestFit="1" customWidth="1"/>
    <col min="9" max="9" width="7.140625" bestFit="1" customWidth="1"/>
    <col min="10" max="10" width="16.85546875" bestFit="1" customWidth="1"/>
    <col min="11" max="11" width="7.140625" bestFit="1" customWidth="1"/>
    <col min="12" max="12" width="18.85546875" bestFit="1" customWidth="1"/>
    <col min="13" max="13" width="7.140625" bestFit="1" customWidth="1"/>
    <col min="14" max="14" width="17.85546875" bestFit="1" customWidth="1"/>
    <col min="15" max="15" width="7.140625" bestFit="1" customWidth="1"/>
    <col min="16" max="16" width="17.85546875" bestFit="1" customWidth="1"/>
    <col min="17" max="17" width="7.140625" bestFit="1" customWidth="1"/>
    <col min="18" max="18" width="17.85546875" bestFit="1" customWidth="1"/>
    <col min="19" max="19" width="7.140625" bestFit="1" customWidth="1"/>
    <col min="20" max="20" width="17.85546875" bestFit="1" customWidth="1"/>
    <col min="21" max="21" width="7.5703125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47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36" t="s">
        <v>39</v>
      </c>
      <c r="C9" s="36" t="s">
        <v>17</v>
      </c>
      <c r="D9" s="36" t="s">
        <v>39</v>
      </c>
      <c r="E9" s="36" t="s">
        <v>17</v>
      </c>
      <c r="F9" s="36" t="s">
        <v>39</v>
      </c>
      <c r="G9" s="36" t="s">
        <v>17</v>
      </c>
      <c r="H9" s="36" t="s">
        <v>39</v>
      </c>
      <c r="I9" s="36" t="s">
        <v>17</v>
      </c>
      <c r="J9" s="36" t="s">
        <v>39</v>
      </c>
      <c r="K9" s="36" t="s">
        <v>17</v>
      </c>
      <c r="L9" s="36" t="s">
        <v>39</v>
      </c>
      <c r="M9" s="36" t="s">
        <v>17</v>
      </c>
      <c r="N9" s="36" t="s">
        <v>39</v>
      </c>
      <c r="O9" s="36" t="s">
        <v>17</v>
      </c>
      <c r="P9" s="36" t="s">
        <v>39</v>
      </c>
      <c r="Q9" s="36" t="s">
        <v>17</v>
      </c>
      <c r="R9" s="36" t="s">
        <v>39</v>
      </c>
      <c r="S9" s="36" t="s">
        <v>17</v>
      </c>
      <c r="T9" s="36" t="s">
        <v>39</v>
      </c>
      <c r="U9" s="36" t="s">
        <v>17</v>
      </c>
    </row>
    <row r="10" spans="1:35">
      <c r="A10" s="6" t="s">
        <v>16</v>
      </c>
      <c r="B10" s="21">
        <v>921739367.23000002</v>
      </c>
      <c r="C10" s="22">
        <v>9.7699999999999995E-2</v>
      </c>
      <c r="D10" s="21">
        <v>202550906.15000001</v>
      </c>
      <c r="E10" s="22">
        <v>9.4500000000000001E-2</v>
      </c>
      <c r="F10" s="21">
        <v>44650876251.650002</v>
      </c>
      <c r="G10" s="22">
        <v>8.7300000000000003E-2</v>
      </c>
      <c r="H10" s="21">
        <v>26185579048.57</v>
      </c>
      <c r="I10" s="22">
        <v>9.4E-2</v>
      </c>
      <c r="J10" s="21">
        <v>1133000944.1700001</v>
      </c>
      <c r="K10" s="22">
        <v>0.1004</v>
      </c>
      <c r="L10" s="21">
        <v>32004392149.48</v>
      </c>
      <c r="M10" s="37">
        <v>9.2200000000000004E-2</v>
      </c>
      <c r="N10" s="21">
        <v>33279756631.23</v>
      </c>
      <c r="O10" s="22">
        <v>8.2400000000000001E-2</v>
      </c>
      <c r="P10" s="38">
        <v>4575711741.1099997</v>
      </c>
      <c r="Q10" s="22">
        <v>9.6100000000000005E-2</v>
      </c>
      <c r="R10" s="21">
        <v>4601867379.1199999</v>
      </c>
      <c r="S10" s="22">
        <v>9.8900000000000002E-2</v>
      </c>
      <c r="T10" s="21">
        <v>10698428757.52</v>
      </c>
      <c r="U10" s="22">
        <v>9.1499999999999998E-2</v>
      </c>
    </row>
    <row r="11" spans="1:35" ht="17.25">
      <c r="A11" s="6" t="s">
        <v>15</v>
      </c>
      <c r="B11" s="21">
        <v>231260121.78</v>
      </c>
      <c r="C11" s="22">
        <v>9.98E-2</v>
      </c>
      <c r="D11" s="21">
        <v>5993458.4800000004</v>
      </c>
      <c r="E11" s="22">
        <v>0.1075</v>
      </c>
      <c r="F11" s="21">
        <v>12175253323.120001</v>
      </c>
      <c r="G11" s="22">
        <v>9.4100000000000003E-2</v>
      </c>
      <c r="H11" s="21">
        <v>4343737270.8000002</v>
      </c>
      <c r="I11" s="22">
        <v>9.8100000000000007E-2</v>
      </c>
      <c r="J11" s="21" t="s">
        <v>6</v>
      </c>
      <c r="K11" s="22" t="s">
        <v>6</v>
      </c>
      <c r="L11" s="21">
        <v>4407371947.0500002</v>
      </c>
      <c r="M11" s="37">
        <v>0.104</v>
      </c>
      <c r="N11" s="21">
        <v>10973988725.709999</v>
      </c>
      <c r="O11" s="22">
        <v>9.3399999999999997E-2</v>
      </c>
      <c r="P11" s="38">
        <v>658812955.84000003</v>
      </c>
      <c r="Q11" s="22">
        <v>8.8499999999999995E-2</v>
      </c>
      <c r="R11" s="21" t="s">
        <v>6</v>
      </c>
      <c r="S11" s="22" t="s">
        <v>6</v>
      </c>
      <c r="T11" s="21">
        <v>2329750535.1100001</v>
      </c>
      <c r="U11" s="22">
        <v>9.7299999999999998E-2</v>
      </c>
    </row>
    <row r="12" spans="1:35">
      <c r="A12" s="6" t="s">
        <v>14</v>
      </c>
      <c r="B12" s="21">
        <v>282057290.89999998</v>
      </c>
      <c r="C12" s="22">
        <v>0.11119999999999999</v>
      </c>
      <c r="D12" s="21">
        <v>76719396.049999997</v>
      </c>
      <c r="E12" s="22">
        <v>0.1183</v>
      </c>
      <c r="F12" s="21">
        <v>7519646819.0699997</v>
      </c>
      <c r="G12" s="22">
        <v>7.9899999999999999E-2</v>
      </c>
      <c r="H12" s="21">
        <v>5444943089.75</v>
      </c>
      <c r="I12" s="22">
        <v>8.4400000000000003E-2</v>
      </c>
      <c r="J12" s="21" t="s">
        <v>6</v>
      </c>
      <c r="K12" s="22" t="s">
        <v>6</v>
      </c>
      <c r="L12" s="21">
        <v>2964931835.5999999</v>
      </c>
      <c r="M12" s="37">
        <v>7.17E-2</v>
      </c>
      <c r="N12" s="21">
        <v>4160692495.79</v>
      </c>
      <c r="O12" s="22">
        <v>8.1900000000000001E-2</v>
      </c>
      <c r="P12" s="38">
        <v>1035419083.1900001</v>
      </c>
      <c r="Q12" s="22">
        <v>7.9500000000000001E-2</v>
      </c>
      <c r="R12" s="21">
        <v>1884299960.9000001</v>
      </c>
      <c r="S12" s="22">
        <v>0.10440000000000001</v>
      </c>
      <c r="T12" s="21">
        <v>1529100668.3099999</v>
      </c>
      <c r="U12" s="22">
        <v>7.1400000000000005E-2</v>
      </c>
    </row>
    <row r="13" spans="1:35">
      <c r="A13" s="6" t="s">
        <v>13</v>
      </c>
      <c r="B13" s="21" t="s">
        <v>6</v>
      </c>
      <c r="C13" s="22" t="s">
        <v>6</v>
      </c>
      <c r="D13" s="21" t="s">
        <v>6</v>
      </c>
      <c r="E13" s="22" t="s">
        <v>6</v>
      </c>
      <c r="F13" s="21" t="s">
        <v>6</v>
      </c>
      <c r="G13" s="22" t="s">
        <v>6</v>
      </c>
      <c r="H13" s="21">
        <v>122946027.59999999</v>
      </c>
      <c r="I13" s="24">
        <v>8.7499999999999994E-2</v>
      </c>
      <c r="J13" s="21" t="s">
        <v>6</v>
      </c>
      <c r="K13" s="22" t="s">
        <v>6</v>
      </c>
      <c r="L13" s="21" t="s">
        <v>6</v>
      </c>
      <c r="M13" s="37" t="s">
        <v>6</v>
      </c>
      <c r="N13" s="21" t="s">
        <v>6</v>
      </c>
      <c r="O13" s="24" t="s">
        <v>6</v>
      </c>
      <c r="P13" s="38">
        <v>15368253.449999999</v>
      </c>
      <c r="Q13" s="22">
        <v>8.7499999999999994E-2</v>
      </c>
      <c r="R13" s="21" t="s">
        <v>6</v>
      </c>
      <c r="S13" s="22" t="s">
        <v>6</v>
      </c>
      <c r="T13" s="21">
        <v>46104760.350000001</v>
      </c>
      <c r="U13" s="22">
        <v>8.7499999999999994E-2</v>
      </c>
    </row>
    <row r="14" spans="1:35" ht="17.25">
      <c r="A14" s="6" t="s">
        <v>12</v>
      </c>
      <c r="B14" s="21">
        <v>123168188.28</v>
      </c>
      <c r="C14" s="22">
        <v>7.2900000000000006E-2</v>
      </c>
      <c r="D14" s="21">
        <v>158700398.56999999</v>
      </c>
      <c r="E14" s="22">
        <v>9.8299999999999998E-2</v>
      </c>
      <c r="F14" s="21">
        <v>16460078285.68</v>
      </c>
      <c r="G14" s="22">
        <v>8.72E-2</v>
      </c>
      <c r="H14" s="21">
        <v>4594978207.1400003</v>
      </c>
      <c r="I14" s="24">
        <v>6.5199999999999994E-2</v>
      </c>
      <c r="J14" s="21">
        <v>1352533547.3399999</v>
      </c>
      <c r="K14" s="22">
        <v>7.8799999999999995E-2</v>
      </c>
      <c r="L14" s="21">
        <v>22322437008.720001</v>
      </c>
      <c r="M14" s="37">
        <v>9.7100000000000006E-2</v>
      </c>
      <c r="N14" s="21">
        <v>2680585941.1300001</v>
      </c>
      <c r="O14" s="24">
        <v>6.1699999999999998E-2</v>
      </c>
      <c r="P14" s="38">
        <v>676779164.39999998</v>
      </c>
      <c r="Q14" s="22">
        <v>7.1499999999999994E-2</v>
      </c>
      <c r="R14" s="21">
        <v>4629626991.6899996</v>
      </c>
      <c r="S14" s="22">
        <v>9.7799999999999998E-2</v>
      </c>
      <c r="T14" s="21">
        <v>1069567077.5700001</v>
      </c>
      <c r="U14" s="24">
        <v>5.6899999999999999E-2</v>
      </c>
    </row>
    <row r="15" spans="1:35" ht="17.25">
      <c r="A15" s="6" t="s">
        <v>11</v>
      </c>
      <c r="B15" s="21">
        <v>747284672.92999995</v>
      </c>
      <c r="C15" s="22">
        <v>9.5500000000000002E-2</v>
      </c>
      <c r="D15" s="21">
        <v>192481640.63999999</v>
      </c>
      <c r="E15" s="22">
        <v>9.4200000000000006E-2</v>
      </c>
      <c r="F15" s="21">
        <v>32477499784.580002</v>
      </c>
      <c r="G15" s="22">
        <v>9.3700000000000006E-2</v>
      </c>
      <c r="H15" s="21">
        <v>21879169315.509998</v>
      </c>
      <c r="I15" s="24">
        <v>9.6500000000000002E-2</v>
      </c>
      <c r="J15" s="21">
        <v>1423877443.04</v>
      </c>
      <c r="K15" s="22">
        <v>9.5000000000000001E-2</v>
      </c>
      <c r="L15" s="21">
        <v>23865052160.610001</v>
      </c>
      <c r="M15" s="37">
        <v>9.2799999999999994E-2</v>
      </c>
      <c r="N15" s="21">
        <v>28556652440.599998</v>
      </c>
      <c r="O15" s="24">
        <v>9.5399999999999999E-2</v>
      </c>
      <c r="P15" s="38">
        <v>2368085662.5900002</v>
      </c>
      <c r="Q15" s="22">
        <v>9.4100000000000003E-2</v>
      </c>
      <c r="R15" s="21">
        <v>8062366397.1800003</v>
      </c>
      <c r="S15" s="22">
        <v>0.10059999999999999</v>
      </c>
      <c r="T15" s="21">
        <v>9453025907.5300007</v>
      </c>
      <c r="U15" s="24">
        <v>9.6600000000000005E-2</v>
      </c>
    </row>
    <row r="16" spans="1:35" s="19" customFormat="1" ht="19.5" customHeight="1">
      <c r="A16" s="6" t="s">
        <v>10</v>
      </c>
      <c r="B16" s="23" t="s">
        <v>6</v>
      </c>
      <c r="C16" s="24" t="s">
        <v>6</v>
      </c>
      <c r="D16" s="23" t="s">
        <v>6</v>
      </c>
      <c r="E16" s="24" t="s">
        <v>6</v>
      </c>
      <c r="F16" s="23">
        <v>8406235858.79</v>
      </c>
      <c r="G16" s="24">
        <v>5.2900000000000003E-2</v>
      </c>
      <c r="H16" s="23">
        <v>1246181030.96</v>
      </c>
      <c r="I16" s="24">
        <v>4.5699999999999998E-2</v>
      </c>
      <c r="J16" s="23" t="s">
        <v>6</v>
      </c>
      <c r="K16" s="24" t="s">
        <v>6</v>
      </c>
      <c r="L16" s="23">
        <v>1178644494.7</v>
      </c>
      <c r="M16" s="39">
        <v>5.2200000000000003E-2</v>
      </c>
      <c r="N16" s="23">
        <v>1960277551.52</v>
      </c>
      <c r="O16" s="24">
        <v>6.4600000000000005E-2</v>
      </c>
      <c r="P16" s="43" t="s">
        <v>6</v>
      </c>
      <c r="Q16" s="24" t="s">
        <v>6</v>
      </c>
      <c r="R16" s="23" t="s">
        <v>6</v>
      </c>
      <c r="S16" s="24" t="s">
        <v>6</v>
      </c>
      <c r="T16" s="23">
        <v>499161919.72000003</v>
      </c>
      <c r="U16" s="24">
        <v>4.2599999999999999E-2</v>
      </c>
    </row>
    <row r="17" spans="1:21" ht="17.25">
      <c r="A17" s="6" t="s">
        <v>9</v>
      </c>
      <c r="B17" s="21" t="s">
        <v>6</v>
      </c>
      <c r="C17" s="22" t="s">
        <v>6</v>
      </c>
      <c r="D17" s="21" t="s">
        <v>6</v>
      </c>
      <c r="E17" s="22" t="s">
        <v>6</v>
      </c>
      <c r="F17" s="21">
        <v>576642867.76999998</v>
      </c>
      <c r="G17" s="24">
        <v>7.7399999999999997E-2</v>
      </c>
      <c r="H17" s="23" t="s">
        <v>6</v>
      </c>
      <c r="I17" s="24" t="s">
        <v>6</v>
      </c>
      <c r="J17" s="23" t="s">
        <v>6</v>
      </c>
      <c r="K17" s="24" t="s">
        <v>6</v>
      </c>
      <c r="L17" s="23">
        <v>698674739</v>
      </c>
      <c r="M17" s="37">
        <v>7.9899999999999999E-2</v>
      </c>
      <c r="N17" s="23" t="s">
        <v>6</v>
      </c>
      <c r="O17" s="24" t="s">
        <v>6</v>
      </c>
      <c r="P17" s="38" t="s">
        <v>6</v>
      </c>
      <c r="Q17" s="24" t="s">
        <v>6</v>
      </c>
      <c r="R17" s="23" t="s">
        <v>6</v>
      </c>
      <c r="S17" s="24" t="s">
        <v>6</v>
      </c>
      <c r="T17" s="23" t="s">
        <v>6</v>
      </c>
      <c r="U17" s="24" t="s">
        <v>6</v>
      </c>
    </row>
    <row r="18" spans="1:21" ht="17.25">
      <c r="A18" s="6" t="s">
        <v>8</v>
      </c>
      <c r="B18" s="21">
        <v>646346853.39999998</v>
      </c>
      <c r="C18" s="22">
        <v>9.8799999999999999E-2</v>
      </c>
      <c r="D18" s="21">
        <v>214790825.43000001</v>
      </c>
      <c r="E18" s="22">
        <v>0.1003</v>
      </c>
      <c r="F18" s="21">
        <v>39861738403.75</v>
      </c>
      <c r="G18" s="22">
        <v>0.1019</v>
      </c>
      <c r="H18" s="21">
        <v>16152195598.32</v>
      </c>
      <c r="I18" s="24">
        <v>0.1018</v>
      </c>
      <c r="J18" s="21">
        <v>806484920.20000005</v>
      </c>
      <c r="K18" s="22">
        <v>9.6100000000000005E-2</v>
      </c>
      <c r="L18" s="21">
        <v>22035986181</v>
      </c>
      <c r="M18" s="37">
        <v>9.9500000000000005E-2</v>
      </c>
      <c r="N18" s="21">
        <v>18185255261.48</v>
      </c>
      <c r="O18" s="24">
        <v>0.1014</v>
      </c>
      <c r="P18" s="38">
        <v>4352197840.1000004</v>
      </c>
      <c r="Q18" s="22">
        <v>0.1003</v>
      </c>
      <c r="R18" s="21">
        <v>2130042920</v>
      </c>
      <c r="S18" s="22">
        <v>0.1012</v>
      </c>
      <c r="T18" s="21">
        <v>5873255762.0500002</v>
      </c>
      <c r="U18" s="24">
        <v>9.8500000000000004E-2</v>
      </c>
    </row>
    <row r="19" spans="1:21" ht="33.75" customHeight="1">
      <c r="A19" s="6" t="s">
        <v>33</v>
      </c>
      <c r="B19" s="21" t="s">
        <v>6</v>
      </c>
      <c r="C19" s="22" t="s">
        <v>6</v>
      </c>
      <c r="D19" s="21" t="s">
        <v>6</v>
      </c>
      <c r="E19" s="22" t="s">
        <v>6</v>
      </c>
      <c r="F19" s="21" t="s">
        <v>6</v>
      </c>
      <c r="G19" s="22" t="s">
        <v>6</v>
      </c>
      <c r="H19" s="21">
        <v>420435360</v>
      </c>
      <c r="I19" s="22">
        <v>0.105</v>
      </c>
      <c r="J19" s="21" t="s">
        <v>6</v>
      </c>
      <c r="K19" s="22" t="s">
        <v>6</v>
      </c>
      <c r="L19" s="21" t="s">
        <v>6</v>
      </c>
      <c r="M19" s="37" t="s">
        <v>6</v>
      </c>
      <c r="N19" s="21" t="s">
        <v>6</v>
      </c>
      <c r="O19" s="22" t="s">
        <v>6</v>
      </c>
      <c r="P19" s="38" t="s">
        <v>6</v>
      </c>
      <c r="Q19" s="22" t="s">
        <v>6</v>
      </c>
      <c r="R19" s="21" t="s">
        <v>6</v>
      </c>
      <c r="S19" s="22" t="s">
        <v>6</v>
      </c>
      <c r="T19" s="21">
        <v>630653040</v>
      </c>
      <c r="U19" s="24">
        <v>0.105</v>
      </c>
    </row>
    <row r="20" spans="1:21" ht="16.5" customHeight="1">
      <c r="A20" s="3" t="s">
        <v>5</v>
      </c>
      <c r="B20" s="18">
        <f>SUM(B10:B19)</f>
        <v>2951856494.52</v>
      </c>
      <c r="C20" s="2">
        <v>9.7799999999999998E-2</v>
      </c>
      <c r="D20" s="18">
        <f>SUM(D10:D19)</f>
        <v>851236625.31999993</v>
      </c>
      <c r="E20" s="2">
        <v>9.8799999999999999E-2</v>
      </c>
      <c r="F20" s="18">
        <f>SUM(F10:F19)</f>
        <v>162127971594.41</v>
      </c>
      <c r="G20" s="2">
        <v>9.0499999999999997E-2</v>
      </c>
      <c r="H20" s="18">
        <f>SUM(H10:H19)</f>
        <v>80390164948.649994</v>
      </c>
      <c r="I20" s="2">
        <v>9.35E-2</v>
      </c>
      <c r="J20" s="18">
        <f>SUM(J10:J19)</f>
        <v>4715896854.75</v>
      </c>
      <c r="K20" s="2">
        <v>9.1899999999999996E-2</v>
      </c>
      <c r="L20" s="18">
        <f>SUM(L10:L19)</f>
        <v>109477490516.15999</v>
      </c>
      <c r="M20" s="2">
        <v>9.4200000000000006E-2</v>
      </c>
      <c r="N20" s="18">
        <f>SUM(N10:N19)</f>
        <v>99797209047.459991</v>
      </c>
      <c r="O20" s="2">
        <v>8.9899999999999994E-2</v>
      </c>
      <c r="P20" s="18">
        <f>SUM(P10:P19)</f>
        <v>13682374700.679998</v>
      </c>
      <c r="Q20" s="2">
        <v>9.4200000000000006E-2</v>
      </c>
      <c r="R20" s="18">
        <f>SUM(R10:R19)</f>
        <v>21308203648.889999</v>
      </c>
      <c r="S20" s="2">
        <v>0.1</v>
      </c>
      <c r="T20" s="18">
        <f>SUM(T10:T19)</f>
        <v>32129048428.16</v>
      </c>
      <c r="U20" s="2">
        <v>9.2100000000000001E-2</v>
      </c>
    </row>
    <row r="22" spans="1:21" ht="18" customHeight="1">
      <c r="A22" s="52" t="s">
        <v>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21" ht="18" customHeight="1">
      <c r="A23" s="52" t="s">
        <v>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34" t="s">
        <v>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21" ht="40.5" customHeight="1">
      <c r="A26" s="52" t="s">
        <v>48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21" ht="17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mergeCells count="22"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  <mergeCell ref="A28:K28"/>
    <mergeCell ref="J7:K8"/>
    <mergeCell ref="L7:M8"/>
    <mergeCell ref="N7:O8"/>
    <mergeCell ref="P7:Q8"/>
    <mergeCell ref="A22:K22"/>
    <mergeCell ref="A23:K23"/>
    <mergeCell ref="A24:K24"/>
    <mergeCell ref="A26:K26"/>
    <mergeCell ref="A27:K27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29" sqref="E29"/>
    </sheetView>
  </sheetViews>
  <sheetFormatPr baseColWidth="10" defaultRowHeight="15"/>
  <cols>
    <col min="1" max="1" width="58.5703125" customWidth="1"/>
    <col min="2" max="2" width="16.85546875" customWidth="1"/>
    <col min="3" max="3" width="7.140625" bestFit="1" customWidth="1"/>
    <col min="4" max="4" width="15.140625" bestFit="1" customWidth="1"/>
    <col min="5" max="5" width="9.42578125" bestFit="1" customWidth="1"/>
    <col min="6" max="6" width="18.85546875" bestFit="1" customWidth="1"/>
    <col min="7" max="7" width="9.42578125" bestFit="1" customWidth="1"/>
    <col min="8" max="8" width="17.85546875" bestFit="1" customWidth="1"/>
    <col min="9" max="9" width="9.42578125" bestFit="1" customWidth="1"/>
    <col min="10" max="10" width="16.85546875" bestFit="1" customWidth="1"/>
    <col min="11" max="11" width="9.42578125" bestFit="1" customWidth="1"/>
    <col min="12" max="12" width="18.85546875" bestFit="1" customWidth="1"/>
    <col min="13" max="13" width="7.140625" bestFit="1" customWidth="1"/>
    <col min="14" max="14" width="18.85546875" bestFit="1" customWidth="1"/>
    <col min="15" max="15" width="7.140625" bestFit="1" customWidth="1"/>
    <col min="16" max="16" width="17.85546875" bestFit="1" customWidth="1"/>
    <col min="17" max="17" width="7.140625" bestFit="1" customWidth="1"/>
    <col min="18" max="18" width="17.85546875" bestFit="1" customWidth="1"/>
    <col min="19" max="19" width="9.42578125" bestFit="1" customWidth="1"/>
    <col min="20" max="20" width="17.85546875" bestFit="1" customWidth="1"/>
    <col min="21" max="21" width="8.140625" bestFit="1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49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42" t="s">
        <v>39</v>
      </c>
      <c r="C9" s="42" t="s">
        <v>17</v>
      </c>
      <c r="D9" s="42" t="s">
        <v>39</v>
      </c>
      <c r="E9" s="42" t="s">
        <v>17</v>
      </c>
      <c r="F9" s="42" t="s">
        <v>39</v>
      </c>
      <c r="G9" s="42" t="s">
        <v>17</v>
      </c>
      <c r="H9" s="42" t="s">
        <v>39</v>
      </c>
      <c r="I9" s="42" t="s">
        <v>17</v>
      </c>
      <c r="J9" s="42" t="s">
        <v>39</v>
      </c>
      <c r="K9" s="42" t="s">
        <v>17</v>
      </c>
      <c r="L9" s="42" t="s">
        <v>39</v>
      </c>
      <c r="M9" s="42" t="s">
        <v>17</v>
      </c>
      <c r="N9" s="42" t="s">
        <v>39</v>
      </c>
      <c r="O9" s="42" t="s">
        <v>17</v>
      </c>
      <c r="P9" s="42" t="s">
        <v>39</v>
      </c>
      <c r="Q9" s="42" t="s">
        <v>17</v>
      </c>
      <c r="R9" s="42" t="s">
        <v>39</v>
      </c>
      <c r="S9" s="42" t="s">
        <v>17</v>
      </c>
      <c r="T9" s="42" t="s">
        <v>39</v>
      </c>
      <c r="U9" s="42" t="s">
        <v>17</v>
      </c>
    </row>
    <row r="10" spans="1:35">
      <c r="A10" s="6" t="s">
        <v>16</v>
      </c>
      <c r="B10" s="44">
        <v>1042405888.38</v>
      </c>
      <c r="C10" s="48">
        <v>9.6699999999999994E-2</v>
      </c>
      <c r="D10" s="21">
        <v>228286452.97999999</v>
      </c>
      <c r="E10" s="22">
        <v>9.6100000000000005E-2</v>
      </c>
      <c r="F10" s="21">
        <v>44542963779.010002</v>
      </c>
      <c r="G10" s="22">
        <v>8.8400000000000006E-2</v>
      </c>
      <c r="H10" s="21">
        <v>26279720905.990002</v>
      </c>
      <c r="I10" s="22">
        <v>9.4600000000000004E-2</v>
      </c>
      <c r="J10" s="21">
        <v>1107241639.0799999</v>
      </c>
      <c r="K10" s="22">
        <v>0.1008</v>
      </c>
      <c r="L10" s="21">
        <v>32399516235.799999</v>
      </c>
      <c r="M10" s="37">
        <v>9.2600000000000002E-2</v>
      </c>
      <c r="N10" s="21">
        <v>34767316975.029999</v>
      </c>
      <c r="O10" s="22">
        <v>8.3500000000000005E-2</v>
      </c>
      <c r="P10" s="38">
        <v>4559861280.4099998</v>
      </c>
      <c r="Q10" s="22">
        <v>9.6500000000000002E-2</v>
      </c>
      <c r="R10" s="21">
        <v>4540869687.3999996</v>
      </c>
      <c r="S10" s="22">
        <v>9.9900000000000003E-2</v>
      </c>
      <c r="T10" s="21">
        <v>10786721407.42</v>
      </c>
      <c r="U10" s="22">
        <v>9.1600000000000001E-2</v>
      </c>
    </row>
    <row r="11" spans="1:35" ht="17.25">
      <c r="A11" s="6" t="s">
        <v>15</v>
      </c>
      <c r="B11" s="44">
        <v>231982302.12</v>
      </c>
      <c r="C11" s="48">
        <v>9.98E-2</v>
      </c>
      <c r="D11" s="21">
        <v>6045204.4299999997</v>
      </c>
      <c r="E11" s="22">
        <v>0.1075</v>
      </c>
      <c r="F11" s="21">
        <v>12225654497.01</v>
      </c>
      <c r="G11" s="22">
        <v>9.4E-2</v>
      </c>
      <c r="H11" s="21">
        <v>4358797700.54</v>
      </c>
      <c r="I11" s="22">
        <v>9.8100000000000007E-2</v>
      </c>
      <c r="J11" s="44">
        <v>0</v>
      </c>
      <c r="K11" s="44">
        <v>0</v>
      </c>
      <c r="L11" s="21">
        <v>4420674921.6899996</v>
      </c>
      <c r="M11" s="37">
        <v>0.104</v>
      </c>
      <c r="N11" s="21">
        <v>11021431329.809999</v>
      </c>
      <c r="O11" s="22">
        <v>9.3399999999999997E-2</v>
      </c>
      <c r="P11" s="38">
        <v>661536172.12</v>
      </c>
      <c r="Q11" s="22">
        <v>8.8499999999999995E-2</v>
      </c>
      <c r="R11" s="44">
        <v>0</v>
      </c>
      <c r="S11" s="44">
        <v>0</v>
      </c>
      <c r="T11" s="21">
        <v>2338742461.1399999</v>
      </c>
      <c r="U11" s="22">
        <v>9.7199999999999995E-2</v>
      </c>
    </row>
    <row r="12" spans="1:35">
      <c r="A12" s="6" t="s">
        <v>14</v>
      </c>
      <c r="B12" s="44">
        <v>332424400.42000002</v>
      </c>
      <c r="C12" s="48">
        <v>0.11260000000000001</v>
      </c>
      <c r="D12" s="21">
        <v>75928052.400000006</v>
      </c>
      <c r="E12" s="22">
        <v>0.1182</v>
      </c>
      <c r="F12" s="21">
        <v>7916830239.1599998</v>
      </c>
      <c r="G12" s="22">
        <v>8.1900000000000001E-2</v>
      </c>
      <c r="H12" s="21">
        <v>5443547523.1400003</v>
      </c>
      <c r="I12" s="22">
        <v>8.4400000000000003E-2</v>
      </c>
      <c r="J12" s="44">
        <v>0</v>
      </c>
      <c r="K12" s="44">
        <v>0</v>
      </c>
      <c r="L12" s="21">
        <v>3369131429.1599998</v>
      </c>
      <c r="M12" s="37">
        <v>7.7399999999999997E-2</v>
      </c>
      <c r="N12" s="21">
        <v>4161170463.8000002</v>
      </c>
      <c r="O12" s="22">
        <v>8.1900000000000001E-2</v>
      </c>
      <c r="P12" s="38">
        <v>1027360211.11</v>
      </c>
      <c r="Q12" s="22">
        <v>7.9399999999999998E-2</v>
      </c>
      <c r="R12" s="21">
        <v>1881529296.47</v>
      </c>
      <c r="S12" s="22">
        <v>0.10440000000000001</v>
      </c>
      <c r="T12" s="21">
        <v>1526881023.75</v>
      </c>
      <c r="U12" s="22">
        <v>7.1400000000000005E-2</v>
      </c>
    </row>
    <row r="13" spans="1:35">
      <c r="A13" s="6" t="s">
        <v>13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21">
        <v>123826311.59999999</v>
      </c>
      <c r="I13" s="24">
        <v>8.7499999999999994E-2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38">
        <v>15478288.949999999</v>
      </c>
      <c r="Q13" s="22">
        <v>8.7499999999999994E-2</v>
      </c>
      <c r="R13" s="44">
        <v>0</v>
      </c>
      <c r="S13" s="44">
        <v>0</v>
      </c>
      <c r="T13" s="21">
        <v>46434866.850000001</v>
      </c>
      <c r="U13" s="22">
        <v>8.7499999999999994E-2</v>
      </c>
    </row>
    <row r="14" spans="1:35" ht="17.25">
      <c r="A14" s="6" t="s">
        <v>12</v>
      </c>
      <c r="B14" s="44">
        <v>128172409.14</v>
      </c>
      <c r="C14" s="48">
        <v>7.8399999999999997E-2</v>
      </c>
      <c r="D14" s="21">
        <v>221003143.53</v>
      </c>
      <c r="E14" s="22">
        <v>0.10100000000000001</v>
      </c>
      <c r="F14" s="21">
        <v>17724627956.240002</v>
      </c>
      <c r="G14" s="22">
        <v>9.4200000000000006E-2</v>
      </c>
      <c r="H14" s="21">
        <v>5456902239.1800003</v>
      </c>
      <c r="I14" s="24">
        <v>9.1899999999999996E-2</v>
      </c>
      <c r="J14" s="21">
        <v>1412704035.5</v>
      </c>
      <c r="K14" s="22">
        <v>8.2799999999999999E-2</v>
      </c>
      <c r="L14" s="21">
        <v>23347489965.470001</v>
      </c>
      <c r="M14" s="37">
        <v>0.1018</v>
      </c>
      <c r="N14" s="21">
        <v>2121165629.6400001</v>
      </c>
      <c r="O14" s="24">
        <v>6.9900000000000004E-2</v>
      </c>
      <c r="P14" s="38">
        <v>691737421.98000002</v>
      </c>
      <c r="Q14" s="22">
        <v>9.2499999999999999E-2</v>
      </c>
      <c r="R14" s="21">
        <v>4709187422.4399996</v>
      </c>
      <c r="S14" s="22">
        <v>0.1024</v>
      </c>
      <c r="T14" s="21">
        <v>1350281096.1700001</v>
      </c>
      <c r="U14" s="24">
        <v>8.9399999999999993E-2</v>
      </c>
    </row>
    <row r="15" spans="1:35" ht="17.25">
      <c r="A15" s="6" t="s">
        <v>11</v>
      </c>
      <c r="B15" s="44">
        <v>699258869.92999995</v>
      </c>
      <c r="C15" s="48">
        <v>9.4899999999999998E-2</v>
      </c>
      <c r="D15" s="21">
        <v>207463837.09999999</v>
      </c>
      <c r="E15" s="22">
        <v>9.4899999999999998E-2</v>
      </c>
      <c r="F15" s="21">
        <v>32698391851.099998</v>
      </c>
      <c r="G15" s="22">
        <v>9.3700000000000006E-2</v>
      </c>
      <c r="H15" s="21">
        <v>21858348212.34</v>
      </c>
      <c r="I15" s="24">
        <v>9.69E-2</v>
      </c>
      <c r="J15" s="21">
        <v>1429504596.3599999</v>
      </c>
      <c r="K15" s="22">
        <v>9.6000000000000002E-2</v>
      </c>
      <c r="L15" s="21">
        <v>23577399487.880001</v>
      </c>
      <c r="M15" s="37">
        <v>9.3200000000000005E-2</v>
      </c>
      <c r="N15" s="21">
        <v>28633276849.450001</v>
      </c>
      <c r="O15" s="24">
        <v>9.64E-2</v>
      </c>
      <c r="P15" s="38">
        <v>2376142446.4499998</v>
      </c>
      <c r="Q15" s="22">
        <v>9.5100000000000004E-2</v>
      </c>
      <c r="R15" s="21">
        <v>8076843995.0200005</v>
      </c>
      <c r="S15" s="22">
        <v>0.10100000000000001</v>
      </c>
      <c r="T15" s="21">
        <v>9441007290.4899998</v>
      </c>
      <c r="U15" s="24">
        <v>9.7000000000000003E-2</v>
      </c>
    </row>
    <row r="16" spans="1:35" s="19" customFormat="1" ht="19.5" customHeight="1">
      <c r="A16" s="6" t="s">
        <v>10</v>
      </c>
      <c r="B16" s="44">
        <v>0</v>
      </c>
      <c r="C16" s="44">
        <v>0</v>
      </c>
      <c r="D16" s="44">
        <v>0</v>
      </c>
      <c r="E16" s="44">
        <v>0</v>
      </c>
      <c r="F16" s="23">
        <v>8471532902.25</v>
      </c>
      <c r="G16" s="24">
        <v>5.1974016522553478E-2</v>
      </c>
      <c r="H16" s="23">
        <v>1254434218.1900001</v>
      </c>
      <c r="I16" s="24">
        <v>4.8039553035014136E-2</v>
      </c>
      <c r="J16" s="44">
        <v>0</v>
      </c>
      <c r="K16" s="44">
        <v>0</v>
      </c>
      <c r="L16" s="23">
        <v>1188095353.5699999</v>
      </c>
      <c r="M16" s="39">
        <v>5.45E-2</v>
      </c>
      <c r="N16" s="23">
        <v>1972814221.77</v>
      </c>
      <c r="O16" s="24">
        <v>6.5091483389534299E-2</v>
      </c>
      <c r="P16" s="44">
        <v>0</v>
      </c>
      <c r="Q16" s="44">
        <v>0</v>
      </c>
      <c r="R16" s="44">
        <v>0</v>
      </c>
      <c r="S16" s="44">
        <v>0</v>
      </c>
      <c r="T16" s="23">
        <v>501933279.49000001</v>
      </c>
      <c r="U16" s="24">
        <v>4.4486770585909843E-2</v>
      </c>
    </row>
    <row r="17" spans="1:21" ht="17.25">
      <c r="A17" s="6" t="s">
        <v>9</v>
      </c>
      <c r="B17" s="44">
        <v>0</v>
      </c>
      <c r="C17" s="44">
        <v>0</v>
      </c>
      <c r="D17" s="44">
        <v>0</v>
      </c>
      <c r="E17" s="44">
        <v>0</v>
      </c>
      <c r="F17" s="21">
        <v>211562284.08000001</v>
      </c>
      <c r="G17" s="24">
        <v>7.3200000000000001E-2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</row>
    <row r="18" spans="1:21" ht="17.25">
      <c r="A18" s="6" t="s">
        <v>8</v>
      </c>
      <c r="B18" s="44">
        <v>590746636.70000005</v>
      </c>
      <c r="C18" s="48">
        <v>9.98E-2</v>
      </c>
      <c r="D18" s="21">
        <v>242869727.75999999</v>
      </c>
      <c r="E18" s="22">
        <v>0.1027</v>
      </c>
      <c r="F18" s="21">
        <v>39896962237.849998</v>
      </c>
      <c r="G18" s="22">
        <v>0.1037</v>
      </c>
      <c r="H18" s="21">
        <v>16149522145.73</v>
      </c>
      <c r="I18" s="24">
        <v>0.10349999999999999</v>
      </c>
      <c r="J18" s="21">
        <v>795959091.58000004</v>
      </c>
      <c r="K18" s="22">
        <v>0.10050000000000001</v>
      </c>
      <c r="L18" s="21">
        <v>22040062296.049999</v>
      </c>
      <c r="M18" s="37">
        <v>0.1016</v>
      </c>
      <c r="N18" s="21">
        <v>18252110852.959999</v>
      </c>
      <c r="O18" s="24">
        <v>0.1028</v>
      </c>
      <c r="P18" s="38">
        <v>4382658851.54</v>
      </c>
      <c r="Q18" s="22">
        <v>0.10059999999999999</v>
      </c>
      <c r="R18" s="21">
        <v>2124304700.1500001</v>
      </c>
      <c r="S18" s="22">
        <v>0.1041</v>
      </c>
      <c r="T18" s="21">
        <v>5870441951.29</v>
      </c>
      <c r="U18" s="24">
        <v>9.9400000000000002E-2</v>
      </c>
    </row>
    <row r="19" spans="1:21" ht="30">
      <c r="A19" s="6" t="s">
        <v>33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21">
        <v>423884956</v>
      </c>
      <c r="I19" s="22">
        <v>0.105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21">
        <v>635827434</v>
      </c>
      <c r="U19" s="24">
        <v>0.105</v>
      </c>
    </row>
    <row r="20" spans="1:21" ht="16.5" customHeight="1">
      <c r="A20" s="3" t="s">
        <v>5</v>
      </c>
      <c r="B20" s="18">
        <f>SUM(B10:B19)</f>
        <v>3024990506.6900005</v>
      </c>
      <c r="C20" s="2">
        <f>+SUMPRODUCT(B10:B19,C10:C19/B20)</f>
        <v>9.809894211718187E-2</v>
      </c>
      <c r="D20" s="18">
        <f t="shared" ref="D20" si="0">SUM(D10:D19)</f>
        <v>981596418.20000005</v>
      </c>
      <c r="E20" s="2">
        <f t="shared" ref="E20" si="1">+SUMPRODUCT(D10:D19,E10:E19/D20)</f>
        <v>0.10036226523748637</v>
      </c>
      <c r="F20" s="18">
        <f t="shared" ref="F20" si="2">SUM(F10:F19)</f>
        <v>163688525746.70001</v>
      </c>
      <c r="G20" s="2">
        <f t="shared" ref="G20" si="3">+SUMPRODUCT(F10:F19,G10:G19/F20)</f>
        <v>9.2014990378106898E-2</v>
      </c>
      <c r="H20" s="18">
        <f t="shared" ref="H20" si="4">SUM(H10:H19)</f>
        <v>81348984212.710007</v>
      </c>
      <c r="I20" s="2">
        <f t="shared" ref="I20" si="5">+SUMPRODUCT(H10:H19,I10:I19/H20)</f>
        <v>9.5634126471431116E-2</v>
      </c>
      <c r="J20" s="18">
        <f t="shared" ref="J20" si="6">SUM(J10:J19)</f>
        <v>4745409362.5199995</v>
      </c>
      <c r="K20" s="2">
        <f t="shared" ref="K20" si="7">+SUMPRODUCT(J10:J19,K10:K19/J20)</f>
        <v>9.3945147247796609E-2</v>
      </c>
      <c r="L20" s="18">
        <f t="shared" ref="L20" si="8">SUM(L10:L19)</f>
        <v>110342369689.62001</v>
      </c>
      <c r="M20" s="2">
        <f t="shared" ref="M20" si="9">+SUMPRODUCT(L10:L19,M10:M19/L20)</f>
        <v>9.605490469821204E-2</v>
      </c>
      <c r="N20" s="18">
        <f t="shared" ref="N20" si="10">SUM(N10:N19)</f>
        <v>100929286322.45999</v>
      </c>
      <c r="O20" s="2">
        <f t="shared" ref="O20" si="11">+SUMPRODUCT(N10:N19,O10:O19/N20)</f>
        <v>9.1019372225465425E-2</v>
      </c>
      <c r="P20" s="18">
        <f t="shared" ref="P20" si="12">SUM(P10:P19)</f>
        <v>13714774672.560001</v>
      </c>
      <c r="Q20" s="2">
        <f t="shared" ref="Q20" si="13">+SUMPRODUCT(P10:P19,Q10:Q19/P20)</f>
        <v>9.5688896524025013E-2</v>
      </c>
      <c r="R20" s="18">
        <f t="shared" ref="R20" si="14">SUM(R10:R19)</f>
        <v>21332735101.480003</v>
      </c>
      <c r="S20" s="2">
        <f t="shared" ref="S20" si="15">+SUMPRODUCT(R10:R19,S10:S19/R20)</f>
        <v>0.10168347775587049</v>
      </c>
      <c r="T20" s="18">
        <f t="shared" ref="T20" si="16">SUM(T10:T19)</f>
        <v>32498270810.600002</v>
      </c>
      <c r="U20" s="2">
        <f t="shared" ref="U20" si="17">+SUMPRODUCT(T10:T19,U10:U19/T20)</f>
        <v>9.3468906704238949E-2</v>
      </c>
    </row>
    <row r="22" spans="1:21" ht="18" customHeight="1">
      <c r="A22" s="52" t="s">
        <v>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21" ht="18" customHeight="1">
      <c r="A23" s="52" t="s">
        <v>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40" t="s">
        <v>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</row>
    <row r="26" spans="1:21" ht="40.5" customHeight="1">
      <c r="A26" s="52" t="s">
        <v>50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21" ht="17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mergeCells count="22"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  <mergeCell ref="A28:K28"/>
    <mergeCell ref="J7:K8"/>
    <mergeCell ref="L7:M8"/>
    <mergeCell ref="N7:O8"/>
    <mergeCell ref="P7:Q8"/>
    <mergeCell ref="A22:K22"/>
    <mergeCell ref="A23:K23"/>
    <mergeCell ref="A24:K24"/>
    <mergeCell ref="A26:K26"/>
    <mergeCell ref="A27:K27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  <ignoredErrors>
    <ignoredError sqref="C20 D20:T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showGridLines="0" tabSelected="1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2" sqref="A22:K22"/>
    </sheetView>
  </sheetViews>
  <sheetFormatPr baseColWidth="10" defaultRowHeight="15"/>
  <cols>
    <col min="1" max="1" width="58.5703125" customWidth="1"/>
    <col min="2" max="2" width="16.85546875" customWidth="1"/>
    <col min="3" max="3" width="7.140625" bestFit="1" customWidth="1"/>
    <col min="4" max="4" width="16.85546875" customWidth="1"/>
    <col min="5" max="5" width="9.42578125" bestFit="1" customWidth="1"/>
    <col min="6" max="6" width="18.85546875" bestFit="1" customWidth="1"/>
    <col min="7" max="7" width="9.42578125" bestFit="1" customWidth="1"/>
    <col min="8" max="8" width="17.85546875" bestFit="1" customWidth="1"/>
    <col min="9" max="9" width="9.42578125" bestFit="1" customWidth="1"/>
    <col min="10" max="10" width="16.85546875" bestFit="1" customWidth="1"/>
    <col min="11" max="11" width="9.42578125" bestFit="1" customWidth="1"/>
    <col min="12" max="12" width="18.85546875" bestFit="1" customWidth="1"/>
    <col min="13" max="13" width="7.140625" bestFit="1" customWidth="1"/>
    <col min="14" max="14" width="18.85546875" bestFit="1" customWidth="1"/>
    <col min="15" max="15" width="7.140625" bestFit="1" customWidth="1"/>
    <col min="16" max="16" width="17.85546875" bestFit="1" customWidth="1"/>
    <col min="17" max="17" width="7.140625" bestFit="1" customWidth="1"/>
    <col min="18" max="18" width="17.85546875" bestFit="1" customWidth="1"/>
    <col min="19" max="19" width="9.42578125" bestFit="1" customWidth="1"/>
    <col min="20" max="20" width="17.85546875" bestFit="1" customWidth="1"/>
    <col min="21" max="21" width="8.140625" bestFit="1" customWidth="1"/>
  </cols>
  <sheetData>
    <row r="1" spans="1:3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5">
      <c r="A2" s="53" t="s">
        <v>36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5">
      <c r="A3" s="53" t="s">
        <v>37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</row>
    <row r="4" spans="1:35">
      <c r="A4" s="53" t="s">
        <v>51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</row>
    <row r="5" spans="1:35">
      <c r="A5" s="54" t="s">
        <v>40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</row>
    <row r="6" spans="1:35">
      <c r="A6" s="10"/>
      <c r="B6" s="9"/>
      <c r="C6" s="9"/>
      <c r="D6" s="9"/>
      <c r="E6" s="9"/>
      <c r="F6" s="9"/>
      <c r="G6" s="9"/>
      <c r="H6" s="9"/>
      <c r="I6" s="9"/>
      <c r="J6" s="9"/>
      <c r="K6" s="9"/>
    </row>
    <row r="7" spans="1:35" ht="9" customHeight="1">
      <c r="A7" s="55" t="s">
        <v>28</v>
      </c>
      <c r="B7" s="58" t="s">
        <v>27</v>
      </c>
      <c r="C7" s="59"/>
      <c r="D7" s="58" t="s">
        <v>26</v>
      </c>
      <c r="E7" s="59"/>
      <c r="F7" s="58" t="s">
        <v>25</v>
      </c>
      <c r="G7" s="59"/>
      <c r="H7" s="62" t="s">
        <v>24</v>
      </c>
      <c r="I7" s="63"/>
      <c r="J7" s="58" t="s">
        <v>23</v>
      </c>
      <c r="K7" s="59"/>
      <c r="L7" s="58" t="s">
        <v>22</v>
      </c>
      <c r="M7" s="59"/>
      <c r="N7" s="58" t="s">
        <v>21</v>
      </c>
      <c r="O7" s="59"/>
      <c r="P7" s="58" t="s">
        <v>20</v>
      </c>
      <c r="Q7" s="59"/>
      <c r="R7" s="58" t="s">
        <v>19</v>
      </c>
      <c r="S7" s="59"/>
      <c r="T7" s="58" t="s">
        <v>18</v>
      </c>
      <c r="U7" s="59"/>
    </row>
    <row r="8" spans="1:35" ht="24" customHeight="1">
      <c r="A8" s="56"/>
      <c r="B8" s="60"/>
      <c r="C8" s="61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  <c r="P8" s="60"/>
      <c r="Q8" s="61"/>
      <c r="R8" s="60"/>
      <c r="S8" s="61"/>
      <c r="T8" s="60"/>
      <c r="U8" s="61"/>
    </row>
    <row r="9" spans="1:35" ht="17.25" customHeight="1">
      <c r="A9" s="57"/>
      <c r="B9" s="47" t="s">
        <v>39</v>
      </c>
      <c r="C9" s="47" t="s">
        <v>17</v>
      </c>
      <c r="D9" s="47" t="s">
        <v>39</v>
      </c>
      <c r="E9" s="47" t="s">
        <v>17</v>
      </c>
      <c r="F9" s="47" t="s">
        <v>39</v>
      </c>
      <c r="G9" s="47" t="s">
        <v>17</v>
      </c>
      <c r="H9" s="47" t="s">
        <v>39</v>
      </c>
      <c r="I9" s="47" t="s">
        <v>17</v>
      </c>
      <c r="J9" s="47" t="s">
        <v>39</v>
      </c>
      <c r="K9" s="47" t="s">
        <v>17</v>
      </c>
      <c r="L9" s="47" t="s">
        <v>39</v>
      </c>
      <c r="M9" s="47" t="s">
        <v>17</v>
      </c>
      <c r="N9" s="47" t="s">
        <v>39</v>
      </c>
      <c r="O9" s="47" t="s">
        <v>17</v>
      </c>
      <c r="P9" s="47" t="s">
        <v>39</v>
      </c>
      <c r="Q9" s="47" t="s">
        <v>17</v>
      </c>
      <c r="R9" s="47" t="s">
        <v>39</v>
      </c>
      <c r="S9" s="47" t="s">
        <v>17</v>
      </c>
      <c r="T9" s="47" t="s">
        <v>39</v>
      </c>
      <c r="U9" s="47" t="s">
        <v>17</v>
      </c>
    </row>
    <row r="10" spans="1:35">
      <c r="A10" s="6" t="s">
        <v>16</v>
      </c>
      <c r="B10" s="44">
        <v>1122827908.5699999</v>
      </c>
      <c r="C10" s="48">
        <v>9.9000000000000005E-2</v>
      </c>
      <c r="D10" s="21">
        <v>260322816.25</v>
      </c>
      <c r="E10" s="22">
        <v>0.1003</v>
      </c>
      <c r="F10" s="21">
        <v>45212843665.32</v>
      </c>
      <c r="G10" s="22">
        <v>8.8800000000000004E-2</v>
      </c>
      <c r="H10" s="21">
        <v>26340557007.599998</v>
      </c>
      <c r="I10" s="22">
        <v>9.5100000000000004E-2</v>
      </c>
      <c r="J10" s="21">
        <v>1111390846.04</v>
      </c>
      <c r="K10" s="22">
        <v>0.1008</v>
      </c>
      <c r="L10" s="21">
        <v>33132522284.029999</v>
      </c>
      <c r="M10" s="37">
        <v>9.4500000000000001E-2</v>
      </c>
      <c r="N10" s="21">
        <v>35014246716.599998</v>
      </c>
      <c r="O10" s="22">
        <v>8.4199999999999997E-2</v>
      </c>
      <c r="P10" s="38">
        <v>4566844041.4099998</v>
      </c>
      <c r="Q10" s="22">
        <v>9.69E-2</v>
      </c>
      <c r="R10" s="21">
        <v>4518104327.0799999</v>
      </c>
      <c r="S10" s="22">
        <v>0.10050000000000001</v>
      </c>
      <c r="T10" s="21">
        <v>11036055867.110001</v>
      </c>
      <c r="U10" s="22">
        <v>9.1800000000000007E-2</v>
      </c>
    </row>
    <row r="11" spans="1:35" ht="17.25">
      <c r="A11" s="6" t="s">
        <v>15</v>
      </c>
      <c r="B11" s="44">
        <v>232803727.33000001</v>
      </c>
      <c r="C11" s="48">
        <v>9.98E-2</v>
      </c>
      <c r="D11" s="21">
        <v>6099144.5899999999</v>
      </c>
      <c r="E11" s="22">
        <v>0.1075</v>
      </c>
      <c r="F11" s="21">
        <v>12116549734.23</v>
      </c>
      <c r="G11" s="22">
        <v>9.4200000000000006E-2</v>
      </c>
      <c r="H11" s="21">
        <v>4335108279.6199999</v>
      </c>
      <c r="I11" s="22">
        <v>9.8299999999999998E-2</v>
      </c>
      <c r="J11" s="44">
        <v>0</v>
      </c>
      <c r="K11" s="44">
        <v>0</v>
      </c>
      <c r="L11" s="21">
        <v>4435653132.6400003</v>
      </c>
      <c r="M11" s="37">
        <v>0.104</v>
      </c>
      <c r="N11" s="21">
        <v>10908840287.190001</v>
      </c>
      <c r="O11" s="22">
        <v>9.3600000000000003E-2</v>
      </c>
      <c r="P11" s="38">
        <v>649832477.27999997</v>
      </c>
      <c r="Q11" s="22">
        <v>8.8599999999999998E-2</v>
      </c>
      <c r="R11" s="44">
        <v>0</v>
      </c>
      <c r="S11" s="44">
        <v>0</v>
      </c>
      <c r="T11" s="21">
        <v>2322333962.0900002</v>
      </c>
      <c r="U11" s="22">
        <v>9.74E-2</v>
      </c>
    </row>
    <row r="12" spans="1:35">
      <c r="A12" s="6" t="s">
        <v>14</v>
      </c>
      <c r="B12" s="44">
        <v>393377790.06</v>
      </c>
      <c r="C12" s="48">
        <v>0.1138</v>
      </c>
      <c r="D12" s="21">
        <v>76313304.269999996</v>
      </c>
      <c r="E12" s="22">
        <v>0.1183</v>
      </c>
      <c r="F12" s="21">
        <v>7918124475.6899996</v>
      </c>
      <c r="G12" s="22">
        <v>8.1900000000000001E-2</v>
      </c>
      <c r="H12" s="21">
        <v>5441223358.29</v>
      </c>
      <c r="I12" s="22">
        <v>8.4400000000000003E-2</v>
      </c>
      <c r="J12" s="44">
        <v>0</v>
      </c>
      <c r="K12" s="44">
        <v>0</v>
      </c>
      <c r="L12" s="21">
        <v>3370220578.8299999</v>
      </c>
      <c r="M12" s="37">
        <v>7.7499999999999999E-2</v>
      </c>
      <c r="N12" s="21">
        <v>4163574118.8600001</v>
      </c>
      <c r="O12" s="22">
        <v>8.1799999999999998E-2</v>
      </c>
      <c r="P12" s="38">
        <v>1030757853.79</v>
      </c>
      <c r="Q12" s="22">
        <v>7.9399999999999998E-2</v>
      </c>
      <c r="R12" s="21">
        <v>1883411821.1400001</v>
      </c>
      <c r="S12" s="22">
        <v>0.10440000000000001</v>
      </c>
      <c r="T12" s="21">
        <v>1529808309.5599999</v>
      </c>
      <c r="U12" s="22">
        <v>7.1400000000000005E-2</v>
      </c>
    </row>
    <row r="13" spans="1:35">
      <c r="A13" s="6" t="s">
        <v>13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21">
        <v>124742560.8</v>
      </c>
      <c r="I13" s="24">
        <v>8.7499999999999994E-2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38">
        <v>15592820.1</v>
      </c>
      <c r="Q13" s="22">
        <v>8.7499999999999994E-2</v>
      </c>
      <c r="R13" s="44">
        <v>0</v>
      </c>
      <c r="S13" s="44">
        <v>0</v>
      </c>
      <c r="T13" s="21">
        <v>46778460.299999997</v>
      </c>
      <c r="U13" s="22">
        <v>8.7499999999999994E-2</v>
      </c>
    </row>
    <row r="14" spans="1:35" ht="17.25">
      <c r="A14" s="6" t="s">
        <v>12</v>
      </c>
      <c r="B14" s="44">
        <v>99560000.200000003</v>
      </c>
      <c r="C14" s="48">
        <v>8.6900000000000005E-2</v>
      </c>
      <c r="D14" s="21">
        <v>197805769.08000001</v>
      </c>
      <c r="E14" s="22">
        <v>0.1038</v>
      </c>
      <c r="F14" s="21">
        <v>18856895666.580002</v>
      </c>
      <c r="G14" s="22">
        <v>0.10199999999999999</v>
      </c>
      <c r="H14" s="21">
        <v>6389656794.8699999</v>
      </c>
      <c r="I14" s="24">
        <v>0.104</v>
      </c>
      <c r="J14" s="21">
        <v>1442730488.5799999</v>
      </c>
      <c r="K14" s="22">
        <v>8.3599999999999994E-2</v>
      </c>
      <c r="L14" s="21">
        <v>23530057960.419998</v>
      </c>
      <c r="M14" s="37">
        <v>0.1037</v>
      </c>
      <c r="N14" s="21">
        <v>2992522303.4899998</v>
      </c>
      <c r="O14" s="24">
        <v>6.5500000000000003E-2</v>
      </c>
      <c r="P14" s="38">
        <v>772567623.55999994</v>
      </c>
      <c r="Q14" s="22">
        <v>9.9000000000000005E-2</v>
      </c>
      <c r="R14" s="21">
        <v>4675207519.6499996</v>
      </c>
      <c r="S14" s="22">
        <v>0.104</v>
      </c>
      <c r="T14" s="21">
        <v>1620736480.9400001</v>
      </c>
      <c r="U14" s="24">
        <v>9.0700000000000003E-2</v>
      </c>
    </row>
    <row r="15" spans="1:35" ht="17.25">
      <c r="A15" s="6" t="s">
        <v>11</v>
      </c>
      <c r="B15" s="44">
        <v>740275408.39999998</v>
      </c>
      <c r="C15" s="48">
        <v>9.4700000000000006E-2</v>
      </c>
      <c r="D15" s="21">
        <v>222544784.18000001</v>
      </c>
      <c r="E15" s="22">
        <v>9.5699999999999993E-2</v>
      </c>
      <c r="F15" s="21">
        <v>32718882258.049999</v>
      </c>
      <c r="G15" s="22">
        <v>9.3700000000000006E-2</v>
      </c>
      <c r="H15" s="21">
        <v>21885088988.720001</v>
      </c>
      <c r="I15" s="24">
        <v>9.6799999999999997E-2</v>
      </c>
      <c r="J15" s="21">
        <v>1441833900.73</v>
      </c>
      <c r="K15" s="22">
        <v>9.5799999999999996E-2</v>
      </c>
      <c r="L15" s="21">
        <v>23642782760.32</v>
      </c>
      <c r="M15" s="37">
        <v>9.3100000000000002E-2</v>
      </c>
      <c r="N15" s="21">
        <v>28675799768.279999</v>
      </c>
      <c r="O15" s="24">
        <v>9.6199999999999994E-2</v>
      </c>
      <c r="P15" s="38">
        <v>2378578410.8899999</v>
      </c>
      <c r="Q15" s="22">
        <v>9.4899999999999998E-2</v>
      </c>
      <c r="R15" s="21">
        <v>8119186747.8999996</v>
      </c>
      <c r="S15" s="22">
        <v>0.1008</v>
      </c>
      <c r="T15" s="21">
        <v>9409432526.1200008</v>
      </c>
      <c r="U15" s="24">
        <v>9.6799999999999997E-2</v>
      </c>
    </row>
    <row r="16" spans="1:35" s="19" customFormat="1" ht="19.5" customHeight="1">
      <c r="A16" s="6" t="s">
        <v>10</v>
      </c>
      <c r="B16" s="44">
        <v>0</v>
      </c>
      <c r="C16" s="44">
        <v>0</v>
      </c>
      <c r="D16" s="44">
        <v>0</v>
      </c>
      <c r="E16" s="44">
        <v>0</v>
      </c>
      <c r="F16" s="23">
        <v>8587696678.1400003</v>
      </c>
      <c r="G16" s="24">
        <v>5.7200000000000001E-2</v>
      </c>
      <c r="H16" s="23">
        <v>1264922264.03</v>
      </c>
      <c r="I16" s="24">
        <v>4.9500000000000002E-2</v>
      </c>
      <c r="J16" s="49">
        <v>0</v>
      </c>
      <c r="K16" s="49">
        <v>0</v>
      </c>
      <c r="L16" s="23">
        <v>1200554513.4000001</v>
      </c>
      <c r="M16" s="39">
        <v>5.5500000000000001E-2</v>
      </c>
      <c r="N16" s="23">
        <v>1988084645.5699999</v>
      </c>
      <c r="O16" s="24">
        <v>6.6799999999999998E-2</v>
      </c>
      <c r="P16" s="49">
        <v>0</v>
      </c>
      <c r="Q16" s="49">
        <v>0</v>
      </c>
      <c r="R16" s="49">
        <v>0</v>
      </c>
      <c r="S16" s="49">
        <v>0</v>
      </c>
      <c r="T16" s="23">
        <v>505338752.22000003</v>
      </c>
      <c r="U16" s="24">
        <v>4.6399999999999997E-2</v>
      </c>
    </row>
    <row r="17" spans="1:21" ht="17.25">
      <c r="A17" s="6" t="s">
        <v>9</v>
      </c>
      <c r="B17" s="44">
        <v>0</v>
      </c>
      <c r="C17" s="44">
        <v>0</v>
      </c>
      <c r="D17" s="44">
        <v>0</v>
      </c>
      <c r="E17" s="44">
        <v>0</v>
      </c>
      <c r="F17" s="21">
        <v>212835195.50999999</v>
      </c>
      <c r="G17" s="24">
        <v>7.3200000000000001E-2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</row>
    <row r="18" spans="1:21" ht="17.25">
      <c r="A18" s="6" t="s">
        <v>8</v>
      </c>
      <c r="B18" s="44">
        <v>527688771.56</v>
      </c>
      <c r="C18" s="48">
        <v>9.8400000000000001E-2</v>
      </c>
      <c r="D18" s="21">
        <v>255378345.28999999</v>
      </c>
      <c r="E18" s="22">
        <v>0.10299999999999999</v>
      </c>
      <c r="F18" s="21">
        <v>40342206308.760002</v>
      </c>
      <c r="G18" s="22">
        <v>0.1027</v>
      </c>
      <c r="H18" s="21">
        <v>16310451997.059999</v>
      </c>
      <c r="I18" s="24">
        <v>0.1031</v>
      </c>
      <c r="J18" s="21">
        <v>804131806.5</v>
      </c>
      <c r="K18" s="22">
        <v>9.9900000000000003E-2</v>
      </c>
      <c r="L18" s="21">
        <v>22349384688.939999</v>
      </c>
      <c r="M18" s="37">
        <v>0.1013</v>
      </c>
      <c r="N18" s="21">
        <v>18435738298.040001</v>
      </c>
      <c r="O18" s="24">
        <v>0.1023</v>
      </c>
      <c r="P18" s="38">
        <v>4426197232.71</v>
      </c>
      <c r="Q18" s="22">
        <v>0.1</v>
      </c>
      <c r="R18" s="21">
        <v>2147537729.1999998</v>
      </c>
      <c r="S18" s="22">
        <v>0.10340000000000001</v>
      </c>
      <c r="T18" s="21">
        <v>5862836582.2600002</v>
      </c>
      <c r="U18" s="24">
        <v>9.8900000000000002E-2</v>
      </c>
    </row>
    <row r="19" spans="1:21" ht="30">
      <c r="A19" s="6" t="s">
        <v>33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21">
        <v>406404524</v>
      </c>
      <c r="I19" s="22">
        <v>0.105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21">
        <v>609606786</v>
      </c>
      <c r="U19" s="24">
        <v>0.105</v>
      </c>
    </row>
    <row r="20" spans="1:21" ht="16.5" customHeight="1">
      <c r="A20" s="3" t="s">
        <v>5</v>
      </c>
      <c r="B20" s="18">
        <f>SUM(B10:B19)</f>
        <v>3116533606.1199999</v>
      </c>
      <c r="C20" s="2">
        <f>+SUMPRODUCT(B10:B19,C10:C19/B20)</f>
        <v>9.9418336818417691E-2</v>
      </c>
      <c r="D20" s="18">
        <f t="shared" ref="D20" si="0">SUM(D10:D19)</f>
        <v>1018464163.6600001</v>
      </c>
      <c r="E20" s="2">
        <f>+SUMPRODUCT(D10:D19,E10:E19/D20)</f>
        <v>0.10204349682404316</v>
      </c>
      <c r="F20" s="18">
        <f t="shared" ref="F20" si="1">SUM(F10:F19)</f>
        <v>165966033982.28</v>
      </c>
      <c r="G20" s="2">
        <f t="shared" ref="G20" si="2">+SUMPRODUCT(F10:F19,G10:G19/F20)</f>
        <v>9.3054443287075572E-2</v>
      </c>
      <c r="H20" s="18">
        <f t="shared" ref="H20" si="3">SUM(H10:H19)</f>
        <v>82498155774.990005</v>
      </c>
      <c r="I20" s="2">
        <f t="shared" ref="I20" si="4">+SUMPRODUCT(H10:H19,I10:I19/H20)</f>
        <v>9.6622487068935878E-2</v>
      </c>
      <c r="J20" s="18">
        <f t="shared" ref="J20" si="5">SUM(J10:J19)</f>
        <v>4800087041.8500004</v>
      </c>
      <c r="K20" s="2">
        <f t="shared" ref="K20" si="6">+SUMPRODUCT(J10:J19,K10:K19/J20)</f>
        <v>9.3977654436771488E-2</v>
      </c>
      <c r="L20" s="18">
        <f t="shared" ref="L20" si="7">SUM(L10:L19)</f>
        <v>111661175918.57999</v>
      </c>
      <c r="M20" s="2">
        <f t="shared" ref="M20" si="8">+SUMPRODUCT(L10:L19,M10:M19/L20)</f>
        <v>9.694826171589771E-2</v>
      </c>
      <c r="N20" s="18">
        <f t="shared" ref="N20" si="9">SUM(N10:N19)</f>
        <v>102178806138.03</v>
      </c>
      <c r="O20" s="2">
        <f t="shared" ref="O20" si="10">+SUMPRODUCT(N10:N19,O10:O19/N20)</f>
        <v>9.0852985751288903E-2</v>
      </c>
      <c r="P20" s="18">
        <f t="shared" ref="P20" si="11">SUM(P10:P19)</f>
        <v>13840370459.739998</v>
      </c>
      <c r="Q20" s="2">
        <f>+SUMPRODUCT(P10:P19,Q10:Q19/P20)</f>
        <v>9.5961296954414327E-2</v>
      </c>
      <c r="R20" s="18">
        <f t="shared" ref="R20" si="12">SUM(R10:R19)</f>
        <v>21343448144.969997</v>
      </c>
      <c r="S20" s="2">
        <f t="shared" ref="S20" si="13">+SUMPRODUCT(R10:R19,S10:S19/R20)</f>
        <v>0.10201672530325895</v>
      </c>
      <c r="T20" s="18">
        <f t="shared" ref="T20" si="14">SUM(T10:T19)</f>
        <v>32942927726.600006</v>
      </c>
      <c r="U20" s="2">
        <f t="shared" ref="U20" si="15">+SUMPRODUCT(T10:T19,U10:U19/T20)</f>
        <v>9.3426775743740031E-2</v>
      </c>
    </row>
    <row r="22" spans="1:21" ht="18" customHeight="1">
      <c r="A22" s="52" t="s">
        <v>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21" ht="18" customHeight="1">
      <c r="A23" s="52" t="s">
        <v>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</row>
    <row r="24" spans="1:21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</row>
    <row r="25" spans="1:21">
      <c r="A25" s="45" t="s">
        <v>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21" ht="40.5" customHeight="1">
      <c r="A26" s="52" t="s">
        <v>52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21" ht="17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</row>
    <row r="28" spans="1:2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</row>
  </sheetData>
  <mergeCells count="22">
    <mergeCell ref="A28:K28"/>
    <mergeCell ref="J7:K8"/>
    <mergeCell ref="L7:M8"/>
    <mergeCell ref="N7:O8"/>
    <mergeCell ref="P7:Q8"/>
    <mergeCell ref="A22:K22"/>
    <mergeCell ref="A23:K23"/>
    <mergeCell ref="A24:K24"/>
    <mergeCell ref="A26:K26"/>
    <mergeCell ref="A27:K27"/>
    <mergeCell ref="R7:S8"/>
    <mergeCell ref="T7:U8"/>
    <mergeCell ref="A1:K1"/>
    <mergeCell ref="A2:U2"/>
    <mergeCell ref="A3:U3"/>
    <mergeCell ref="A4:U4"/>
    <mergeCell ref="A5:U5"/>
    <mergeCell ref="A7:A9"/>
    <mergeCell ref="B7:C8"/>
    <mergeCell ref="D7:E8"/>
    <mergeCell ref="F7:G8"/>
    <mergeCell ref="H7:I8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Ene.2018</vt:lpstr>
      <vt:lpstr>Feb.2018</vt:lpstr>
      <vt:lpstr>Mar.2018</vt:lpstr>
      <vt:lpstr>Abr.2018</vt:lpstr>
      <vt:lpstr>May.2018</vt:lpstr>
      <vt:lpstr>Jun.2018</vt:lpstr>
      <vt:lpstr>Jul.2018</vt:lpstr>
      <vt:lpstr>Ago.2018</vt:lpstr>
      <vt:lpstr>Sep.2018</vt:lpstr>
      <vt:lpstr>Oct.2018</vt:lpstr>
      <vt:lpstr>Nov.2018</vt:lpstr>
      <vt:lpstr>Dic.2018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nurena</dc:creator>
  <cp:lastModifiedBy>Arianny Perez</cp:lastModifiedBy>
  <dcterms:created xsi:type="dcterms:W3CDTF">2018-02-13T20:54:40Z</dcterms:created>
  <dcterms:modified xsi:type="dcterms:W3CDTF">2019-01-09T21:11:56Z</dcterms:modified>
</cp:coreProperties>
</file>