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.sharepoint.com/Financiero/Datos WEB/2021/"/>
    </mc:Choice>
  </mc:AlternateContent>
  <xr:revisionPtr revIDLastSave="6" documentId="11_38EEBC4CBAF9D0739F23BB6388D0661E326F0AFF" xr6:coauthVersionLast="47" xr6:coauthVersionMax="47" xr10:uidLastSave="{5F2EDF77-EC91-476D-A2DF-E2775A7A0328}"/>
  <bookViews>
    <workbookView xWindow="-120" yWindow="-120" windowWidth="20730" windowHeight="11160" firstSheet="3" activeTab="11" xr2:uid="{00000000-000D-0000-FFFF-FFFF00000000}"/>
  </bookViews>
  <sheets>
    <sheet name="Enero" sheetId="49" r:id="rId1"/>
    <sheet name="Febrero" sheetId="50" r:id="rId2"/>
    <sheet name="Marzo" sheetId="51" r:id="rId3"/>
    <sheet name="Abril" sheetId="52" r:id="rId4"/>
    <sheet name="Mayo" sheetId="53" r:id="rId5"/>
    <sheet name="Junio" sheetId="54" r:id="rId6"/>
    <sheet name="Julio" sheetId="55" r:id="rId7"/>
    <sheet name="Agosto" sheetId="56" r:id="rId8"/>
    <sheet name="Septiembre" sheetId="57" r:id="rId9"/>
    <sheet name="Octubre" sheetId="58" r:id="rId10"/>
    <sheet name="Noviembre" sheetId="59" r:id="rId11"/>
    <sheet name="Diciembre" sheetId="60" r:id="rId12"/>
  </sheets>
  <externalReferences>
    <externalReference r:id="rId13"/>
  </externalReferences>
  <definedNames>
    <definedName name="_xlnm.Print_Area" localSheetId="3">Abril!$B$1:$N$60</definedName>
    <definedName name="_xlnm.Print_Area" localSheetId="7">Agosto!$B$1:$N$62</definedName>
    <definedName name="_xlnm.Print_Area" localSheetId="11">Diciembre!$B$1:$N$64</definedName>
    <definedName name="_xlnm.Print_Area" localSheetId="0">Enero!$B$1:$N$56</definedName>
    <definedName name="_xlnm.Print_Area" localSheetId="1">Febrero!$B$1:$N$58</definedName>
    <definedName name="_xlnm.Print_Area" localSheetId="6">Julio!$B$1:$N$62</definedName>
    <definedName name="_xlnm.Print_Area" localSheetId="5">Junio!$B$1:$N$62</definedName>
    <definedName name="_xlnm.Print_Area" localSheetId="2">Marzo!$B$1:$N$58</definedName>
    <definedName name="_xlnm.Print_Area" localSheetId="4">Mayo!$B$1:$N$62</definedName>
    <definedName name="_xlnm.Print_Area" localSheetId="10">Noviembre!$B$1:$N$64</definedName>
    <definedName name="_xlnm.Print_Area" localSheetId="9">Octubre!$B$1:$N$64</definedName>
    <definedName name="_xlnm.Print_Area" localSheetId="8">Septiembre!$B$1:$N$64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60" l="1"/>
  <c r="M26" i="60"/>
  <c r="M9" i="60"/>
  <c r="M40" i="60"/>
  <c r="M33" i="60"/>
  <c r="M37" i="60"/>
  <c r="D8" i="60" l="1"/>
  <c r="D7" i="60" s="1"/>
  <c r="E8" i="60"/>
  <c r="E7" i="60" s="1"/>
  <c r="F8" i="60"/>
  <c r="F7" i="60" s="1"/>
  <c r="G8" i="60"/>
  <c r="G7" i="60" s="1"/>
  <c r="H8" i="60"/>
  <c r="H7" i="60" s="1"/>
  <c r="I8" i="60"/>
  <c r="I7" i="60" s="1"/>
  <c r="J8" i="60"/>
  <c r="J7" i="60" s="1"/>
  <c r="K8" i="60"/>
  <c r="K7" i="60" s="1"/>
  <c r="L8" i="60"/>
  <c r="L7" i="60" s="1"/>
  <c r="M8" i="60"/>
  <c r="M7" i="60" s="1"/>
  <c r="M58" i="60"/>
  <c r="F57" i="60"/>
  <c r="M57" i="60" s="1"/>
  <c r="M56" i="60"/>
  <c r="F55" i="60"/>
  <c r="M55" i="60" s="1"/>
  <c r="M54" i="60"/>
  <c r="F53" i="60"/>
  <c r="D53" i="60"/>
  <c r="M52" i="60"/>
  <c r="M51" i="60" s="1"/>
  <c r="L51" i="60"/>
  <c r="K51" i="60"/>
  <c r="J51" i="60"/>
  <c r="I51" i="60"/>
  <c r="H51" i="60"/>
  <c r="G51" i="60"/>
  <c r="F51" i="60"/>
  <c r="E51" i="60"/>
  <c r="D51" i="60"/>
  <c r="M50" i="60"/>
  <c r="M49" i="60" s="1"/>
  <c r="L49" i="60"/>
  <c r="K49" i="60"/>
  <c r="J49" i="60"/>
  <c r="I49" i="60"/>
  <c r="H49" i="60"/>
  <c r="G49" i="60"/>
  <c r="F49" i="60"/>
  <c r="E49" i="60"/>
  <c r="D49" i="60"/>
  <c r="M48" i="60"/>
  <c r="M47" i="60" s="1"/>
  <c r="L47" i="60"/>
  <c r="K47" i="60"/>
  <c r="J47" i="60"/>
  <c r="I47" i="60"/>
  <c r="H47" i="60"/>
  <c r="G47" i="60"/>
  <c r="F47" i="60"/>
  <c r="E47" i="60"/>
  <c r="D47" i="60"/>
  <c r="M46" i="60"/>
  <c r="M45" i="60" s="1"/>
  <c r="L45" i="60"/>
  <c r="K45" i="60"/>
  <c r="J45" i="60"/>
  <c r="I45" i="60"/>
  <c r="H45" i="60"/>
  <c r="G45" i="60"/>
  <c r="F45" i="60"/>
  <c r="E45" i="60"/>
  <c r="D45" i="60"/>
  <c r="M44" i="60"/>
  <c r="M43" i="60" s="1"/>
  <c r="L43" i="60"/>
  <c r="K43" i="60"/>
  <c r="J43" i="60"/>
  <c r="I43" i="60"/>
  <c r="H43" i="60"/>
  <c r="G43" i="60"/>
  <c r="F43" i="60"/>
  <c r="E43" i="60"/>
  <c r="D43" i="60"/>
  <c r="M42" i="60"/>
  <c r="M41" i="60" s="1"/>
  <c r="L41" i="60"/>
  <c r="K41" i="60"/>
  <c r="J41" i="60"/>
  <c r="I41" i="60"/>
  <c r="H41" i="60"/>
  <c r="G41" i="60"/>
  <c r="F41" i="60"/>
  <c r="E41" i="60"/>
  <c r="D41" i="60"/>
  <c r="M39" i="60"/>
  <c r="L39" i="60"/>
  <c r="K39" i="60"/>
  <c r="K38" i="60" s="1"/>
  <c r="J39" i="60"/>
  <c r="J38" i="60" s="1"/>
  <c r="I39" i="60"/>
  <c r="H39" i="60"/>
  <c r="G39" i="60"/>
  <c r="G38" i="60" s="1"/>
  <c r="F39" i="60"/>
  <c r="E39" i="60"/>
  <c r="D39" i="60"/>
  <c r="M36" i="60"/>
  <c r="L36" i="60"/>
  <c r="K36" i="60"/>
  <c r="J36" i="60"/>
  <c r="I36" i="60"/>
  <c r="H36" i="60"/>
  <c r="G36" i="60"/>
  <c r="F36" i="60"/>
  <c r="E36" i="60"/>
  <c r="D36" i="60"/>
  <c r="M35" i="60"/>
  <c r="M34" i="60" s="1"/>
  <c r="L34" i="60"/>
  <c r="K34" i="60"/>
  <c r="J34" i="60"/>
  <c r="I34" i="60"/>
  <c r="H34" i="60"/>
  <c r="G34" i="60"/>
  <c r="F34" i="60"/>
  <c r="E34" i="60"/>
  <c r="D34" i="60"/>
  <c r="M32" i="60"/>
  <c r="L32" i="60"/>
  <c r="K32" i="60"/>
  <c r="J32" i="60"/>
  <c r="I32" i="60"/>
  <c r="H32" i="60"/>
  <c r="H31" i="60" s="1"/>
  <c r="G32" i="60"/>
  <c r="F32" i="60"/>
  <c r="E32" i="60"/>
  <c r="D32" i="60"/>
  <c r="D31" i="60"/>
  <c r="M30" i="60"/>
  <c r="M29" i="60" s="1"/>
  <c r="L29" i="60"/>
  <c r="K29" i="60"/>
  <c r="J29" i="60"/>
  <c r="I29" i="60"/>
  <c r="H29" i="60"/>
  <c r="G29" i="60"/>
  <c r="F29" i="60"/>
  <c r="E29" i="60"/>
  <c r="D29" i="60"/>
  <c r="M28" i="60"/>
  <c r="M27" i="60" s="1"/>
  <c r="L27" i="60"/>
  <c r="K27" i="60"/>
  <c r="J27" i="60"/>
  <c r="I27" i="60"/>
  <c r="G27" i="60"/>
  <c r="F27" i="60"/>
  <c r="E27" i="60"/>
  <c r="D27" i="60"/>
  <c r="M25" i="60"/>
  <c r="L25" i="60"/>
  <c r="K25" i="60"/>
  <c r="J25" i="60"/>
  <c r="I25" i="60"/>
  <c r="H25" i="60"/>
  <c r="G25" i="60"/>
  <c r="F25" i="60"/>
  <c r="E25" i="60"/>
  <c r="D25" i="60"/>
  <c r="M23" i="60"/>
  <c r="L23" i="60"/>
  <c r="K23" i="60"/>
  <c r="J23" i="60"/>
  <c r="I23" i="60"/>
  <c r="H23" i="60"/>
  <c r="G23" i="60"/>
  <c r="F23" i="60"/>
  <c r="E23" i="60"/>
  <c r="D23" i="60"/>
  <c r="M22" i="60"/>
  <c r="M21" i="60" s="1"/>
  <c r="L21" i="60"/>
  <c r="K21" i="60"/>
  <c r="J21" i="60"/>
  <c r="F21" i="60"/>
  <c r="E21" i="60"/>
  <c r="M20" i="60"/>
  <c r="M19" i="60" s="1"/>
  <c r="L19" i="60"/>
  <c r="K19" i="60"/>
  <c r="J19" i="60"/>
  <c r="I19" i="60"/>
  <c r="H19" i="60"/>
  <c r="G19" i="60"/>
  <c r="F19" i="60"/>
  <c r="E19" i="60"/>
  <c r="D19" i="60"/>
  <c r="M18" i="60"/>
  <c r="M17" i="60" s="1"/>
  <c r="L17" i="60"/>
  <c r="K17" i="60"/>
  <c r="J17" i="60"/>
  <c r="I17" i="60"/>
  <c r="H17" i="60"/>
  <c r="G17" i="60"/>
  <c r="F17" i="60"/>
  <c r="E17" i="60"/>
  <c r="D17" i="60"/>
  <c r="M16" i="60"/>
  <c r="M15" i="60" s="1"/>
  <c r="L15" i="60"/>
  <c r="K15" i="60"/>
  <c r="J15" i="60"/>
  <c r="I15" i="60"/>
  <c r="H15" i="60"/>
  <c r="G15" i="60"/>
  <c r="F15" i="60"/>
  <c r="E15" i="60"/>
  <c r="D15" i="60"/>
  <c r="M14" i="60"/>
  <c r="M13" i="60" s="1"/>
  <c r="L13" i="60"/>
  <c r="K13" i="60"/>
  <c r="J13" i="60"/>
  <c r="I13" i="60"/>
  <c r="H13" i="60"/>
  <c r="G13" i="60"/>
  <c r="F13" i="60"/>
  <c r="E13" i="60"/>
  <c r="D13" i="60"/>
  <c r="M12" i="60"/>
  <c r="M11" i="60" s="1"/>
  <c r="L11" i="60"/>
  <c r="K11" i="60"/>
  <c r="J11" i="60"/>
  <c r="J10" i="60" s="1"/>
  <c r="I11" i="60"/>
  <c r="H11" i="60"/>
  <c r="G11" i="60"/>
  <c r="F11" i="60"/>
  <c r="F10" i="60" s="1"/>
  <c r="E11" i="60"/>
  <c r="D11" i="60"/>
  <c r="M58" i="59"/>
  <c r="F57" i="59"/>
  <c r="M57" i="59" s="1"/>
  <c r="M56" i="59"/>
  <c r="F55" i="59"/>
  <c r="M55" i="59" s="1"/>
  <c r="M54" i="59"/>
  <c r="F53" i="59"/>
  <c r="D53" i="59"/>
  <c r="M52" i="59"/>
  <c r="M51" i="59" s="1"/>
  <c r="L51" i="59"/>
  <c r="K51" i="59"/>
  <c r="J51" i="59"/>
  <c r="I51" i="59"/>
  <c r="H51" i="59"/>
  <c r="G51" i="59"/>
  <c r="F51" i="59"/>
  <c r="E51" i="59"/>
  <c r="D51" i="59"/>
  <c r="M50" i="59"/>
  <c r="M49" i="59" s="1"/>
  <c r="L49" i="59"/>
  <c r="K49" i="59"/>
  <c r="J49" i="59"/>
  <c r="I49" i="59"/>
  <c r="H49" i="59"/>
  <c r="G49" i="59"/>
  <c r="F49" i="59"/>
  <c r="E49" i="59"/>
  <c r="D49" i="59"/>
  <c r="M48" i="59"/>
  <c r="M47" i="59" s="1"/>
  <c r="L47" i="59"/>
  <c r="K47" i="59"/>
  <c r="J47" i="59"/>
  <c r="I47" i="59"/>
  <c r="H47" i="59"/>
  <c r="G47" i="59"/>
  <c r="F47" i="59"/>
  <c r="E47" i="59"/>
  <c r="D47" i="59"/>
  <c r="M46" i="59"/>
  <c r="M45" i="59" s="1"/>
  <c r="L45" i="59"/>
  <c r="K45" i="59"/>
  <c r="J45" i="59"/>
  <c r="I45" i="59"/>
  <c r="H45" i="59"/>
  <c r="G45" i="59"/>
  <c r="F45" i="59"/>
  <c r="E45" i="59"/>
  <c r="D45" i="59"/>
  <c r="M44" i="59"/>
  <c r="M43" i="59" s="1"/>
  <c r="L43" i="59"/>
  <c r="K43" i="59"/>
  <c r="J43" i="59"/>
  <c r="I43" i="59"/>
  <c r="H43" i="59"/>
  <c r="G43" i="59"/>
  <c r="F43" i="59"/>
  <c r="E43" i="59"/>
  <c r="D43" i="59"/>
  <c r="M42" i="59"/>
  <c r="M41" i="59" s="1"/>
  <c r="L41" i="59"/>
  <c r="K41" i="59"/>
  <c r="J41" i="59"/>
  <c r="I41" i="59"/>
  <c r="H41" i="59"/>
  <c r="G41" i="59"/>
  <c r="F41" i="59"/>
  <c r="E41" i="59"/>
  <c r="D41" i="59"/>
  <c r="M40" i="59"/>
  <c r="M39" i="59" s="1"/>
  <c r="L39" i="59"/>
  <c r="K39" i="59"/>
  <c r="K38" i="59" s="1"/>
  <c r="J39" i="59"/>
  <c r="I39" i="59"/>
  <c r="H39" i="59"/>
  <c r="G39" i="59"/>
  <c r="F39" i="59"/>
  <c r="E39" i="59"/>
  <c r="D39" i="59"/>
  <c r="D38" i="59"/>
  <c r="M37" i="59"/>
  <c r="M36" i="59" s="1"/>
  <c r="L36" i="59"/>
  <c r="K36" i="59"/>
  <c r="J36" i="59"/>
  <c r="I36" i="59"/>
  <c r="H36" i="59"/>
  <c r="G36" i="59"/>
  <c r="F36" i="59"/>
  <c r="E36" i="59"/>
  <c r="D36" i="59"/>
  <c r="M35" i="59"/>
  <c r="M34" i="59" s="1"/>
  <c r="L34" i="59"/>
  <c r="K34" i="59"/>
  <c r="J34" i="59"/>
  <c r="I34" i="59"/>
  <c r="H34" i="59"/>
  <c r="G34" i="59"/>
  <c r="F34" i="59"/>
  <c r="E34" i="59"/>
  <c r="D34" i="59"/>
  <c r="D31" i="59" s="1"/>
  <c r="M33" i="59"/>
  <c r="M32" i="59" s="1"/>
  <c r="L32" i="59"/>
  <c r="K32" i="59"/>
  <c r="J32" i="59"/>
  <c r="I32" i="59"/>
  <c r="H32" i="59"/>
  <c r="G32" i="59"/>
  <c r="F32" i="59"/>
  <c r="E32" i="59"/>
  <c r="D32" i="59"/>
  <c r="M30" i="59"/>
  <c r="M29" i="59" s="1"/>
  <c r="L29" i="59"/>
  <c r="K29" i="59"/>
  <c r="J29" i="59"/>
  <c r="I29" i="59"/>
  <c r="H29" i="59"/>
  <c r="G29" i="59"/>
  <c r="F29" i="59"/>
  <c r="E29" i="59"/>
  <c r="D29" i="59"/>
  <c r="M28" i="59"/>
  <c r="M27" i="59" s="1"/>
  <c r="L27" i="59"/>
  <c r="K27" i="59"/>
  <c r="J27" i="59"/>
  <c r="I27" i="59"/>
  <c r="G27" i="59"/>
  <c r="F27" i="59"/>
  <c r="E27" i="59"/>
  <c r="D27" i="59"/>
  <c r="M26" i="59"/>
  <c r="M25" i="59" s="1"/>
  <c r="L25" i="59"/>
  <c r="K25" i="59"/>
  <c r="J25" i="59"/>
  <c r="I25" i="59"/>
  <c r="H25" i="59"/>
  <c r="G25" i="59"/>
  <c r="F25" i="59"/>
  <c r="E25" i="59"/>
  <c r="D25" i="59"/>
  <c r="M24" i="59"/>
  <c r="M23" i="59" s="1"/>
  <c r="L23" i="59"/>
  <c r="K23" i="59"/>
  <c r="J23" i="59"/>
  <c r="I23" i="59"/>
  <c r="H23" i="59"/>
  <c r="G23" i="59"/>
  <c r="F23" i="59"/>
  <c r="E23" i="59"/>
  <c r="D23" i="59"/>
  <c r="M22" i="59"/>
  <c r="M21" i="59" s="1"/>
  <c r="L21" i="59"/>
  <c r="K21" i="59"/>
  <c r="J21" i="59"/>
  <c r="F21" i="59"/>
  <c r="E21" i="59"/>
  <c r="M20" i="59"/>
  <c r="M19" i="59" s="1"/>
  <c r="L19" i="59"/>
  <c r="K19" i="59"/>
  <c r="J19" i="59"/>
  <c r="I19" i="59"/>
  <c r="H19" i="59"/>
  <c r="G19" i="59"/>
  <c r="F19" i="59"/>
  <c r="E19" i="59"/>
  <c r="D19" i="59"/>
  <c r="M18" i="59"/>
  <c r="M17" i="59" s="1"/>
  <c r="L17" i="59"/>
  <c r="K17" i="59"/>
  <c r="J17" i="59"/>
  <c r="I17" i="59"/>
  <c r="H17" i="59"/>
  <c r="G17" i="59"/>
  <c r="F17" i="59"/>
  <c r="E17" i="59"/>
  <c r="D17" i="59"/>
  <c r="M16" i="59"/>
  <c r="M15" i="59" s="1"/>
  <c r="L15" i="59"/>
  <c r="K15" i="59"/>
  <c r="J15" i="59"/>
  <c r="I15" i="59"/>
  <c r="H15" i="59"/>
  <c r="G15" i="59"/>
  <c r="F15" i="59"/>
  <c r="E15" i="59"/>
  <c r="D15" i="59"/>
  <c r="M14" i="59"/>
  <c r="M13" i="59" s="1"/>
  <c r="L13" i="59"/>
  <c r="K13" i="59"/>
  <c r="J13" i="59"/>
  <c r="I13" i="59"/>
  <c r="H13" i="59"/>
  <c r="G13" i="59"/>
  <c r="F13" i="59"/>
  <c r="E13" i="59"/>
  <c r="D13" i="59"/>
  <c r="M12" i="59"/>
  <c r="M11" i="59" s="1"/>
  <c r="L11" i="59"/>
  <c r="K11" i="59"/>
  <c r="J11" i="59"/>
  <c r="I11" i="59"/>
  <c r="H11" i="59"/>
  <c r="G11" i="59"/>
  <c r="F11" i="59"/>
  <c r="E11" i="59"/>
  <c r="D11" i="59"/>
  <c r="M9" i="59"/>
  <c r="M8" i="59" s="1"/>
  <c r="M7" i="59" s="1"/>
  <c r="L8" i="59"/>
  <c r="L7" i="59" s="1"/>
  <c r="K8" i="59"/>
  <c r="K7" i="59" s="1"/>
  <c r="J8" i="59"/>
  <c r="J7" i="59" s="1"/>
  <c r="I8" i="59"/>
  <c r="I7" i="59" s="1"/>
  <c r="H8" i="59"/>
  <c r="H7" i="59" s="1"/>
  <c r="G8" i="59"/>
  <c r="G7" i="59" s="1"/>
  <c r="F8" i="59"/>
  <c r="F7" i="59" s="1"/>
  <c r="E8" i="59"/>
  <c r="E7" i="59" s="1"/>
  <c r="D8" i="59"/>
  <c r="D7" i="59" s="1"/>
  <c r="G10" i="60" l="1"/>
  <c r="K10" i="60"/>
  <c r="F31" i="60"/>
  <c r="D38" i="60"/>
  <c r="H38" i="60"/>
  <c r="D10" i="60"/>
  <c r="H10" i="60"/>
  <c r="L10" i="60"/>
  <c r="G31" i="60"/>
  <c r="K31" i="60"/>
  <c r="E38" i="60"/>
  <c r="E10" i="60"/>
  <c r="I10" i="60"/>
  <c r="M10" i="60"/>
  <c r="F38" i="60"/>
  <c r="M53" i="60"/>
  <c r="L38" i="60"/>
  <c r="L31" i="60"/>
  <c r="I38" i="60"/>
  <c r="I31" i="60"/>
  <c r="M31" i="60"/>
  <c r="J31" i="60"/>
  <c r="M38" i="60"/>
  <c r="D59" i="60"/>
  <c r="F59" i="60"/>
  <c r="F61" i="60" s="1"/>
  <c r="K59" i="60"/>
  <c r="K61" i="60" s="1"/>
  <c r="E31" i="60"/>
  <c r="L38" i="59"/>
  <c r="L59" i="59" s="1"/>
  <c r="L61" i="59" s="1"/>
  <c r="J38" i="59"/>
  <c r="F31" i="59"/>
  <c r="F38" i="59"/>
  <c r="I38" i="59"/>
  <c r="H38" i="59"/>
  <c r="L31" i="59"/>
  <c r="H31" i="59"/>
  <c r="E31" i="59"/>
  <c r="J31" i="59"/>
  <c r="D10" i="59"/>
  <c r="F10" i="59"/>
  <c r="F59" i="59" s="1"/>
  <c r="F61" i="59" s="1"/>
  <c r="J10" i="59"/>
  <c r="H10" i="59"/>
  <c r="L10" i="59"/>
  <c r="E10" i="59"/>
  <c r="I10" i="59"/>
  <c r="K10" i="59"/>
  <c r="G10" i="59"/>
  <c r="M53" i="59"/>
  <c r="M38" i="59" s="1"/>
  <c r="G38" i="59"/>
  <c r="E38" i="59"/>
  <c r="I31" i="59"/>
  <c r="K31" i="59"/>
  <c r="G31" i="59"/>
  <c r="M31" i="59"/>
  <c r="D59" i="59"/>
  <c r="D61" i="59" s="1"/>
  <c r="M10" i="59"/>
  <c r="M58" i="58"/>
  <c r="F57" i="58"/>
  <c r="M57" i="58" s="1"/>
  <c r="M56" i="58"/>
  <c r="F55" i="58"/>
  <c r="M55" i="58" s="1"/>
  <c r="M54" i="58"/>
  <c r="F53" i="58"/>
  <c r="D53" i="58"/>
  <c r="M52" i="58"/>
  <c r="M51" i="58" s="1"/>
  <c r="L51" i="58"/>
  <c r="K51" i="58"/>
  <c r="J51" i="58"/>
  <c r="I51" i="58"/>
  <c r="H51" i="58"/>
  <c r="G51" i="58"/>
  <c r="F51" i="58"/>
  <c r="E51" i="58"/>
  <c r="D51" i="58"/>
  <c r="M50" i="58"/>
  <c r="M49" i="58" s="1"/>
  <c r="L49" i="58"/>
  <c r="K49" i="58"/>
  <c r="J49" i="58"/>
  <c r="I49" i="58"/>
  <c r="H49" i="58"/>
  <c r="G49" i="58"/>
  <c r="F49" i="58"/>
  <c r="E49" i="58"/>
  <c r="D49" i="58"/>
  <c r="M48" i="58"/>
  <c r="M47" i="58" s="1"/>
  <c r="L47" i="58"/>
  <c r="K47" i="58"/>
  <c r="J47" i="58"/>
  <c r="I47" i="58"/>
  <c r="H47" i="58"/>
  <c r="G47" i="58"/>
  <c r="F47" i="58"/>
  <c r="E47" i="58"/>
  <c r="D47" i="58"/>
  <c r="M46" i="58"/>
  <c r="M45" i="58" s="1"/>
  <c r="L45" i="58"/>
  <c r="K45" i="58"/>
  <c r="J45" i="58"/>
  <c r="I45" i="58"/>
  <c r="H45" i="58"/>
  <c r="G45" i="58"/>
  <c r="F45" i="58"/>
  <c r="E45" i="58"/>
  <c r="D45" i="58"/>
  <c r="M44" i="58"/>
  <c r="M43" i="58" s="1"/>
  <c r="L43" i="58"/>
  <c r="K43" i="58"/>
  <c r="J43" i="58"/>
  <c r="I43" i="58"/>
  <c r="H43" i="58"/>
  <c r="G43" i="58"/>
  <c r="F43" i="58"/>
  <c r="E43" i="58"/>
  <c r="D43" i="58"/>
  <c r="M42" i="58"/>
  <c r="M41" i="58" s="1"/>
  <c r="L41" i="58"/>
  <c r="K41" i="58"/>
  <c r="J41" i="58"/>
  <c r="I41" i="58"/>
  <c r="H41" i="58"/>
  <c r="G41" i="58"/>
  <c r="F41" i="58"/>
  <c r="E41" i="58"/>
  <c r="D41" i="58"/>
  <c r="M40" i="58"/>
  <c r="M39" i="58" s="1"/>
  <c r="L39" i="58"/>
  <c r="K39" i="58"/>
  <c r="J39" i="58"/>
  <c r="I39" i="58"/>
  <c r="H39" i="58"/>
  <c r="G39" i="58"/>
  <c r="F39" i="58"/>
  <c r="E39" i="58"/>
  <c r="D39" i="58"/>
  <c r="M37" i="58"/>
  <c r="M36" i="58" s="1"/>
  <c r="L36" i="58"/>
  <c r="K36" i="58"/>
  <c r="J36" i="58"/>
  <c r="I36" i="58"/>
  <c r="H36" i="58"/>
  <c r="G36" i="58"/>
  <c r="F36" i="58"/>
  <c r="E36" i="58"/>
  <c r="D36" i="58"/>
  <c r="M35" i="58"/>
  <c r="M34" i="58" s="1"/>
  <c r="L34" i="58"/>
  <c r="K34" i="58"/>
  <c r="J34" i="58"/>
  <c r="I34" i="58"/>
  <c r="H34" i="58"/>
  <c r="G34" i="58"/>
  <c r="F34" i="58"/>
  <c r="E34" i="58"/>
  <c r="D34" i="58"/>
  <c r="M33" i="58"/>
  <c r="M32" i="58" s="1"/>
  <c r="L32" i="58"/>
  <c r="K32" i="58"/>
  <c r="J32" i="58"/>
  <c r="I32" i="58"/>
  <c r="H32" i="58"/>
  <c r="G32" i="58"/>
  <c r="F32" i="58"/>
  <c r="F31" i="58" s="1"/>
  <c r="E32" i="58"/>
  <c r="D32" i="58"/>
  <c r="M30" i="58"/>
  <c r="M29" i="58" s="1"/>
  <c r="L29" i="58"/>
  <c r="K29" i="58"/>
  <c r="J29" i="58"/>
  <c r="I29" i="58"/>
  <c r="H29" i="58"/>
  <c r="G29" i="58"/>
  <c r="F29" i="58"/>
  <c r="E29" i="58"/>
  <c r="D29" i="58"/>
  <c r="M28" i="58"/>
  <c r="M27" i="58" s="1"/>
  <c r="L27" i="58"/>
  <c r="K27" i="58"/>
  <c r="J27" i="58"/>
  <c r="I27" i="58"/>
  <c r="G27" i="58"/>
  <c r="F27" i="58"/>
  <c r="E27" i="58"/>
  <c r="D27" i="58"/>
  <c r="M26" i="58"/>
  <c r="M25" i="58" s="1"/>
  <c r="L25" i="58"/>
  <c r="K25" i="58"/>
  <c r="J25" i="58"/>
  <c r="I25" i="58"/>
  <c r="H25" i="58"/>
  <c r="G25" i="58"/>
  <c r="F25" i="58"/>
  <c r="E25" i="58"/>
  <c r="D25" i="58"/>
  <c r="M24" i="58"/>
  <c r="M23" i="58" s="1"/>
  <c r="L23" i="58"/>
  <c r="K23" i="58"/>
  <c r="J23" i="58"/>
  <c r="I23" i="58"/>
  <c r="H23" i="58"/>
  <c r="G23" i="58"/>
  <c r="F23" i="58"/>
  <c r="E23" i="58"/>
  <c r="D23" i="58"/>
  <c r="M22" i="58"/>
  <c r="M21" i="58" s="1"/>
  <c r="L21" i="58"/>
  <c r="K21" i="58"/>
  <c r="J21" i="58"/>
  <c r="F21" i="58"/>
  <c r="E21" i="58"/>
  <c r="M20" i="58"/>
  <c r="M19" i="58" s="1"/>
  <c r="L19" i="58"/>
  <c r="K19" i="58"/>
  <c r="J19" i="58"/>
  <c r="I19" i="58"/>
  <c r="H19" i="58"/>
  <c r="G19" i="58"/>
  <c r="F19" i="58"/>
  <c r="E19" i="58"/>
  <c r="D19" i="58"/>
  <c r="M18" i="58"/>
  <c r="M17" i="58"/>
  <c r="L17" i="58"/>
  <c r="K17" i="58"/>
  <c r="J17" i="58"/>
  <c r="I17" i="58"/>
  <c r="H17" i="58"/>
  <c r="G17" i="58"/>
  <c r="F17" i="58"/>
  <c r="E17" i="58"/>
  <c r="D17" i="58"/>
  <c r="L15" i="58"/>
  <c r="K15" i="58"/>
  <c r="J15" i="58"/>
  <c r="I15" i="58"/>
  <c r="H15" i="58"/>
  <c r="F15" i="58"/>
  <c r="E15" i="58"/>
  <c r="D15" i="58"/>
  <c r="M14" i="58"/>
  <c r="M13" i="58" s="1"/>
  <c r="L13" i="58"/>
  <c r="K13" i="58"/>
  <c r="J13" i="58"/>
  <c r="I13" i="58"/>
  <c r="H13" i="58"/>
  <c r="G13" i="58"/>
  <c r="F13" i="58"/>
  <c r="E13" i="58"/>
  <c r="D13" i="58"/>
  <c r="M12" i="58"/>
  <c r="M11" i="58" s="1"/>
  <c r="L11" i="58"/>
  <c r="K11" i="58"/>
  <c r="J11" i="58"/>
  <c r="I11" i="58"/>
  <c r="H11" i="58"/>
  <c r="G11" i="58"/>
  <c r="F11" i="58"/>
  <c r="E11" i="58"/>
  <c r="D11" i="58"/>
  <c r="M9" i="58"/>
  <c r="M8" i="58" s="1"/>
  <c r="M7" i="58" s="1"/>
  <c r="L8" i="58"/>
  <c r="L7" i="58" s="1"/>
  <c r="K8" i="58"/>
  <c r="K7" i="58" s="1"/>
  <c r="J8" i="58"/>
  <c r="J7" i="58" s="1"/>
  <c r="I8" i="58"/>
  <c r="I7" i="58" s="1"/>
  <c r="H8" i="58"/>
  <c r="H7" i="58" s="1"/>
  <c r="G8" i="58"/>
  <c r="G7" i="58" s="1"/>
  <c r="F8" i="58"/>
  <c r="F7" i="58" s="1"/>
  <c r="E8" i="58"/>
  <c r="E7" i="58" s="1"/>
  <c r="D8" i="58"/>
  <c r="D7" i="58" s="1"/>
  <c r="D66" i="60"/>
  <c r="I10" i="58" l="1"/>
  <c r="M53" i="58"/>
  <c r="D61" i="60"/>
  <c r="M59" i="60"/>
  <c r="I59" i="60"/>
  <c r="J59" i="60"/>
  <c r="J61" i="60" s="1"/>
  <c r="L59" i="60"/>
  <c r="H59" i="60"/>
  <c r="H61" i="60" s="1"/>
  <c r="E59" i="60"/>
  <c r="G59" i="60"/>
  <c r="G61" i="60" s="1"/>
  <c r="E10" i="58"/>
  <c r="D31" i="58"/>
  <c r="J38" i="58"/>
  <c r="H10" i="58"/>
  <c r="L10" i="58"/>
  <c r="K38" i="58"/>
  <c r="J59" i="59"/>
  <c r="J61" i="59" s="1"/>
  <c r="H59" i="59"/>
  <c r="H61" i="59" s="1"/>
  <c r="K59" i="59"/>
  <c r="K61" i="59" s="1"/>
  <c r="I59" i="59"/>
  <c r="I61" i="59" s="1"/>
  <c r="G59" i="59"/>
  <c r="G61" i="59" s="1"/>
  <c r="E59" i="59"/>
  <c r="E61" i="59" s="1"/>
  <c r="M59" i="59"/>
  <c r="N38" i="59" s="1"/>
  <c r="I38" i="58"/>
  <c r="I31" i="58"/>
  <c r="K31" i="58"/>
  <c r="G31" i="58"/>
  <c r="E31" i="58"/>
  <c r="M31" i="58"/>
  <c r="D38" i="58"/>
  <c r="L38" i="58"/>
  <c r="F38" i="58"/>
  <c r="E38" i="58"/>
  <c r="G38" i="58"/>
  <c r="H38" i="58"/>
  <c r="J31" i="58"/>
  <c r="H31" i="58"/>
  <c r="L31" i="58"/>
  <c r="F10" i="58"/>
  <c r="D10" i="58"/>
  <c r="J10" i="58"/>
  <c r="K10" i="58"/>
  <c r="M38" i="58"/>
  <c r="M30" i="57"/>
  <c r="M20" i="57"/>
  <c r="M16" i="57"/>
  <c r="M46" i="57"/>
  <c r="M9" i="57"/>
  <c r="M37" i="57"/>
  <c r="M35" i="57"/>
  <c r="M33" i="57"/>
  <c r="M40" i="57"/>
  <c r="M58" i="57"/>
  <c r="F57" i="57"/>
  <c r="I59" i="58" l="1"/>
  <c r="I61" i="58" s="1"/>
  <c r="L61" i="60"/>
  <c r="I61" i="60"/>
  <c r="E61" i="60"/>
  <c r="N59" i="60"/>
  <c r="N7" i="60"/>
  <c r="N31" i="60"/>
  <c r="N10" i="60"/>
  <c r="N38" i="60"/>
  <c r="K59" i="58"/>
  <c r="K61" i="58" s="1"/>
  <c r="E59" i="58"/>
  <c r="E61" i="58" s="1"/>
  <c r="N10" i="59"/>
  <c r="N59" i="59"/>
  <c r="N31" i="59"/>
  <c r="N7" i="59"/>
  <c r="D59" i="58"/>
  <c r="D61" i="58" s="1"/>
  <c r="J59" i="58"/>
  <c r="J61" i="58" s="1"/>
  <c r="L59" i="58"/>
  <c r="L61" i="58" s="1"/>
  <c r="F59" i="58"/>
  <c r="F61" i="58" s="1"/>
  <c r="H59" i="58"/>
  <c r="H61" i="58" s="1"/>
  <c r="M57" i="57"/>
  <c r="M56" i="57"/>
  <c r="F55" i="57"/>
  <c r="M54" i="57"/>
  <c r="F53" i="57"/>
  <c r="D53" i="57"/>
  <c r="M52" i="57"/>
  <c r="M51" i="57" s="1"/>
  <c r="L51" i="57"/>
  <c r="K51" i="57"/>
  <c r="J51" i="57"/>
  <c r="I51" i="57"/>
  <c r="H51" i="57"/>
  <c r="G51" i="57"/>
  <c r="F51" i="57"/>
  <c r="E51" i="57"/>
  <c r="D51" i="57"/>
  <c r="M50" i="57"/>
  <c r="M49" i="57" s="1"/>
  <c r="L49" i="57"/>
  <c r="K49" i="57"/>
  <c r="J49" i="57"/>
  <c r="I49" i="57"/>
  <c r="H49" i="57"/>
  <c r="G49" i="57"/>
  <c r="F49" i="57"/>
  <c r="E49" i="57"/>
  <c r="D49" i="57"/>
  <c r="M48" i="57"/>
  <c r="M47" i="57" s="1"/>
  <c r="L47" i="57"/>
  <c r="K47" i="57"/>
  <c r="J47" i="57"/>
  <c r="I47" i="57"/>
  <c r="H47" i="57"/>
  <c r="G47" i="57"/>
  <c r="F47" i="57"/>
  <c r="E47" i="57"/>
  <c r="D47" i="57"/>
  <c r="M45" i="57"/>
  <c r="L45" i="57"/>
  <c r="K45" i="57"/>
  <c r="J45" i="57"/>
  <c r="I45" i="57"/>
  <c r="H45" i="57"/>
  <c r="G45" i="57"/>
  <c r="F45" i="57"/>
  <c r="E45" i="57"/>
  <c r="D45" i="57"/>
  <c r="M44" i="57"/>
  <c r="M43" i="57" s="1"/>
  <c r="L43" i="57"/>
  <c r="K43" i="57"/>
  <c r="J43" i="57"/>
  <c r="I43" i="57"/>
  <c r="H43" i="57"/>
  <c r="G43" i="57"/>
  <c r="F43" i="57"/>
  <c r="E43" i="57"/>
  <c r="D43" i="57"/>
  <c r="M42" i="57"/>
  <c r="M41" i="57" s="1"/>
  <c r="L41" i="57"/>
  <c r="K41" i="57"/>
  <c r="J41" i="57"/>
  <c r="I41" i="57"/>
  <c r="H41" i="57"/>
  <c r="G41" i="57"/>
  <c r="F41" i="57"/>
  <c r="E41" i="57"/>
  <c r="D41" i="57"/>
  <c r="M39" i="57"/>
  <c r="L39" i="57"/>
  <c r="K39" i="57"/>
  <c r="J39" i="57"/>
  <c r="I39" i="57"/>
  <c r="H39" i="57"/>
  <c r="G39" i="57"/>
  <c r="F39" i="57"/>
  <c r="E39" i="57"/>
  <c r="D39" i="57"/>
  <c r="M36" i="57"/>
  <c r="L36" i="57"/>
  <c r="K36" i="57"/>
  <c r="J36" i="57"/>
  <c r="I36" i="57"/>
  <c r="H36" i="57"/>
  <c r="G36" i="57"/>
  <c r="F36" i="57"/>
  <c r="E36" i="57"/>
  <c r="D36" i="57"/>
  <c r="M34" i="57"/>
  <c r="L34" i="57"/>
  <c r="K34" i="57"/>
  <c r="J34" i="57"/>
  <c r="I34" i="57"/>
  <c r="H34" i="57"/>
  <c r="G34" i="57"/>
  <c r="F34" i="57"/>
  <c r="E34" i="57"/>
  <c r="D34" i="57"/>
  <c r="M32" i="57"/>
  <c r="L32" i="57"/>
  <c r="K32" i="57"/>
  <c r="J32" i="57"/>
  <c r="I32" i="57"/>
  <c r="H32" i="57"/>
  <c r="G32" i="57"/>
  <c r="F32" i="57"/>
  <c r="E32" i="57"/>
  <c r="D32" i="57"/>
  <c r="M29" i="57"/>
  <c r="L29" i="57"/>
  <c r="K29" i="57"/>
  <c r="J29" i="57"/>
  <c r="I29" i="57"/>
  <c r="H29" i="57"/>
  <c r="G29" i="57"/>
  <c r="F29" i="57"/>
  <c r="E29" i="57"/>
  <c r="D29" i="57"/>
  <c r="M28" i="57"/>
  <c r="M27" i="57" s="1"/>
  <c r="L27" i="57"/>
  <c r="K27" i="57"/>
  <c r="J27" i="57"/>
  <c r="I27" i="57"/>
  <c r="G27" i="57"/>
  <c r="F27" i="57"/>
  <c r="E27" i="57"/>
  <c r="D27" i="57"/>
  <c r="M26" i="57"/>
  <c r="M25" i="57" s="1"/>
  <c r="L25" i="57"/>
  <c r="K25" i="57"/>
  <c r="J25" i="57"/>
  <c r="I25" i="57"/>
  <c r="H25" i="57"/>
  <c r="G25" i="57"/>
  <c r="F25" i="57"/>
  <c r="E25" i="57"/>
  <c r="D25" i="57"/>
  <c r="M24" i="57"/>
  <c r="M23" i="57" s="1"/>
  <c r="L23" i="57"/>
  <c r="K23" i="57"/>
  <c r="J23" i="57"/>
  <c r="I23" i="57"/>
  <c r="H23" i="57"/>
  <c r="G23" i="57"/>
  <c r="F23" i="57"/>
  <c r="E23" i="57"/>
  <c r="D23" i="57"/>
  <c r="M22" i="57"/>
  <c r="M21" i="57" s="1"/>
  <c r="L21" i="57"/>
  <c r="K21" i="57"/>
  <c r="J21" i="57"/>
  <c r="F21" i="57"/>
  <c r="E21" i="57"/>
  <c r="M19" i="57"/>
  <c r="L19" i="57"/>
  <c r="K19" i="57"/>
  <c r="J19" i="57"/>
  <c r="I19" i="57"/>
  <c r="H19" i="57"/>
  <c r="G19" i="57"/>
  <c r="F19" i="57"/>
  <c r="E19" i="57"/>
  <c r="D19" i="57"/>
  <c r="M18" i="57"/>
  <c r="M17" i="57" s="1"/>
  <c r="L17" i="57"/>
  <c r="K17" i="57"/>
  <c r="J17" i="57"/>
  <c r="I17" i="57"/>
  <c r="H17" i="57"/>
  <c r="G17" i="57"/>
  <c r="F17" i="57"/>
  <c r="E17" i="57"/>
  <c r="D17" i="57"/>
  <c r="M15" i="57"/>
  <c r="L15" i="57"/>
  <c r="K15" i="57"/>
  <c r="J15" i="57"/>
  <c r="I15" i="57"/>
  <c r="H15" i="57"/>
  <c r="G15" i="57"/>
  <c r="F15" i="57"/>
  <c r="E15" i="57"/>
  <c r="D15" i="57"/>
  <c r="M14" i="57"/>
  <c r="M13" i="57" s="1"/>
  <c r="L13" i="57"/>
  <c r="K13" i="57"/>
  <c r="J13" i="57"/>
  <c r="I13" i="57"/>
  <c r="H13" i="57"/>
  <c r="G13" i="57"/>
  <c r="F13" i="57"/>
  <c r="E13" i="57"/>
  <c r="D13" i="57"/>
  <c r="M12" i="57"/>
  <c r="M11" i="57" s="1"/>
  <c r="L11" i="57"/>
  <c r="K11" i="57"/>
  <c r="J11" i="57"/>
  <c r="I11" i="57"/>
  <c r="H11" i="57"/>
  <c r="G11" i="57"/>
  <c r="F11" i="57"/>
  <c r="E11" i="57"/>
  <c r="D11" i="57"/>
  <c r="M8" i="57"/>
  <c r="M7" i="57" s="1"/>
  <c r="L8" i="57"/>
  <c r="L7" i="57" s="1"/>
  <c r="K8" i="57"/>
  <c r="K7" i="57" s="1"/>
  <c r="J8" i="57"/>
  <c r="J7" i="57" s="1"/>
  <c r="I8" i="57"/>
  <c r="I7" i="57" s="1"/>
  <c r="H8" i="57"/>
  <c r="H7" i="57" s="1"/>
  <c r="G8" i="57"/>
  <c r="G7" i="57" s="1"/>
  <c r="F8" i="57"/>
  <c r="F7" i="57" s="1"/>
  <c r="E8" i="57"/>
  <c r="E7" i="57" s="1"/>
  <c r="D8" i="57"/>
  <c r="D7" i="57" s="1"/>
  <c r="D10" i="57" l="1"/>
  <c r="F38" i="57"/>
  <c r="F31" i="57"/>
  <c r="K31" i="57"/>
  <c r="H10" i="57"/>
  <c r="G31" i="57"/>
  <c r="D31" i="57"/>
  <c r="M55" i="57"/>
  <c r="L38" i="57"/>
  <c r="J38" i="57"/>
  <c r="K38" i="57"/>
  <c r="L10" i="57"/>
  <c r="E10" i="57"/>
  <c r="I10" i="57"/>
  <c r="F10" i="57"/>
  <c r="M53" i="57"/>
  <c r="M38" i="57" s="1"/>
  <c r="D38" i="57"/>
  <c r="D59" i="57" s="1"/>
  <c r="D61" i="57" s="1"/>
  <c r="J31" i="57"/>
  <c r="J10" i="57"/>
  <c r="L31" i="57"/>
  <c r="E38" i="57"/>
  <c r="H38" i="57"/>
  <c r="I38" i="57"/>
  <c r="G38" i="57"/>
  <c r="H31" i="57"/>
  <c r="I31" i="57"/>
  <c r="E31" i="57"/>
  <c r="M31" i="57"/>
  <c r="K10" i="57"/>
  <c r="G10" i="57"/>
  <c r="M10" i="57"/>
  <c r="M56" i="56"/>
  <c r="F55" i="56"/>
  <c r="M55" i="56" s="1"/>
  <c r="D55" i="56"/>
  <c r="M54" i="56"/>
  <c r="F53" i="56"/>
  <c r="D53" i="56"/>
  <c r="M52" i="56"/>
  <c r="M51" i="56" s="1"/>
  <c r="L51" i="56"/>
  <c r="K51" i="56"/>
  <c r="J51" i="56"/>
  <c r="I51" i="56"/>
  <c r="H51" i="56"/>
  <c r="G51" i="56"/>
  <c r="F51" i="56"/>
  <c r="E51" i="56"/>
  <c r="D51" i="56"/>
  <c r="M50" i="56"/>
  <c r="M49" i="56" s="1"/>
  <c r="L49" i="56"/>
  <c r="K49" i="56"/>
  <c r="J49" i="56"/>
  <c r="I49" i="56"/>
  <c r="H49" i="56"/>
  <c r="G49" i="56"/>
  <c r="F49" i="56"/>
  <c r="E49" i="56"/>
  <c r="D49" i="56"/>
  <c r="M48" i="56"/>
  <c r="M47" i="56" s="1"/>
  <c r="L47" i="56"/>
  <c r="K47" i="56"/>
  <c r="J47" i="56"/>
  <c r="I47" i="56"/>
  <c r="H47" i="56"/>
  <c r="G47" i="56"/>
  <c r="F47" i="56"/>
  <c r="E47" i="56"/>
  <c r="D47" i="56"/>
  <c r="M46" i="56"/>
  <c r="M45" i="56" s="1"/>
  <c r="L45" i="56"/>
  <c r="K45" i="56"/>
  <c r="J45" i="56"/>
  <c r="I45" i="56"/>
  <c r="H45" i="56"/>
  <c r="G45" i="56"/>
  <c r="F45" i="56"/>
  <c r="E45" i="56"/>
  <c r="D45" i="56"/>
  <c r="M44" i="56"/>
  <c r="M43" i="56" s="1"/>
  <c r="L43" i="56"/>
  <c r="K43" i="56"/>
  <c r="J43" i="56"/>
  <c r="I43" i="56"/>
  <c r="H43" i="56"/>
  <c r="G43" i="56"/>
  <c r="F43" i="56"/>
  <c r="E43" i="56"/>
  <c r="D43" i="56"/>
  <c r="M42" i="56"/>
  <c r="M41" i="56" s="1"/>
  <c r="L41" i="56"/>
  <c r="K41" i="56"/>
  <c r="J41" i="56"/>
  <c r="I41" i="56"/>
  <c r="H41" i="56"/>
  <c r="G41" i="56"/>
  <c r="F41" i="56"/>
  <c r="E41" i="56"/>
  <c r="D41" i="56"/>
  <c r="M40" i="56"/>
  <c r="M39" i="56" s="1"/>
  <c r="L39" i="56"/>
  <c r="K39" i="56"/>
  <c r="J39" i="56"/>
  <c r="I39" i="56"/>
  <c r="H39" i="56"/>
  <c r="G39" i="56"/>
  <c r="F39" i="56"/>
  <c r="E39" i="56"/>
  <c r="D39" i="56"/>
  <c r="J38" i="56"/>
  <c r="M37" i="56"/>
  <c r="M36" i="56" s="1"/>
  <c r="L36" i="56"/>
  <c r="K36" i="56"/>
  <c r="J36" i="56"/>
  <c r="I36" i="56"/>
  <c r="H36" i="56"/>
  <c r="G36" i="56"/>
  <c r="F36" i="56"/>
  <c r="E36" i="56"/>
  <c r="D36" i="56"/>
  <c r="M35" i="56"/>
  <c r="M34" i="56" s="1"/>
  <c r="L34" i="56"/>
  <c r="K34" i="56"/>
  <c r="J34" i="56"/>
  <c r="I34" i="56"/>
  <c r="H34" i="56"/>
  <c r="G34" i="56"/>
  <c r="F34" i="56"/>
  <c r="E34" i="56"/>
  <c r="D34" i="56"/>
  <c r="M33" i="56"/>
  <c r="M32" i="56" s="1"/>
  <c r="L32" i="56"/>
  <c r="K32" i="56"/>
  <c r="J32" i="56"/>
  <c r="I32" i="56"/>
  <c r="H32" i="56"/>
  <c r="G32" i="56"/>
  <c r="G31" i="56" s="1"/>
  <c r="F32" i="56"/>
  <c r="F31" i="56" s="1"/>
  <c r="E32" i="56"/>
  <c r="D32" i="56"/>
  <c r="K31" i="56"/>
  <c r="M29" i="56"/>
  <c r="L29" i="56"/>
  <c r="K29" i="56"/>
  <c r="J29" i="56"/>
  <c r="I29" i="56"/>
  <c r="H29" i="56"/>
  <c r="G29" i="56"/>
  <c r="F29" i="56"/>
  <c r="E29" i="56"/>
  <c r="D29" i="56"/>
  <c r="M28" i="56"/>
  <c r="M27" i="56" s="1"/>
  <c r="L27" i="56"/>
  <c r="K27" i="56"/>
  <c r="J27" i="56"/>
  <c r="I27" i="56"/>
  <c r="G27" i="56"/>
  <c r="F27" i="56"/>
  <c r="E27" i="56"/>
  <c r="D27" i="56"/>
  <c r="M26" i="56"/>
  <c r="M25" i="56" s="1"/>
  <c r="L25" i="56"/>
  <c r="K25" i="56"/>
  <c r="J25" i="56"/>
  <c r="I25" i="56"/>
  <c r="H25" i="56"/>
  <c r="G25" i="56"/>
  <c r="F25" i="56"/>
  <c r="E25" i="56"/>
  <c r="D25" i="56"/>
  <c r="M24" i="56"/>
  <c r="M23" i="56" s="1"/>
  <c r="L23" i="56"/>
  <c r="K23" i="56"/>
  <c r="J23" i="56"/>
  <c r="I23" i="56"/>
  <c r="H23" i="56"/>
  <c r="G23" i="56"/>
  <c r="F23" i="56"/>
  <c r="E23" i="56"/>
  <c r="D23" i="56"/>
  <c r="M22" i="56"/>
  <c r="M21" i="56" s="1"/>
  <c r="L21" i="56"/>
  <c r="K21" i="56"/>
  <c r="J21" i="56"/>
  <c r="F21" i="56"/>
  <c r="E21" i="56"/>
  <c r="M20" i="56"/>
  <c r="M19" i="56" s="1"/>
  <c r="L19" i="56"/>
  <c r="K19" i="56"/>
  <c r="J19" i="56"/>
  <c r="I19" i="56"/>
  <c r="H19" i="56"/>
  <c r="G19" i="56"/>
  <c r="F19" i="56"/>
  <c r="E19" i="56"/>
  <c r="D19" i="56"/>
  <c r="M18" i="56"/>
  <c r="M17" i="56" s="1"/>
  <c r="L17" i="56"/>
  <c r="K17" i="56"/>
  <c r="J17" i="56"/>
  <c r="I17" i="56"/>
  <c r="H17" i="56"/>
  <c r="G17" i="56"/>
  <c r="F17" i="56"/>
  <c r="E17" i="56"/>
  <c r="D17" i="56"/>
  <c r="M16" i="56"/>
  <c r="M15" i="56" s="1"/>
  <c r="L15" i="56"/>
  <c r="K15" i="56"/>
  <c r="J15" i="56"/>
  <c r="I15" i="56"/>
  <c r="H15" i="56"/>
  <c r="G15" i="56"/>
  <c r="F15" i="56"/>
  <c r="E15" i="56"/>
  <c r="D15" i="56"/>
  <c r="M14" i="56"/>
  <c r="M13" i="56" s="1"/>
  <c r="L13" i="56"/>
  <c r="K13" i="56"/>
  <c r="J13" i="56"/>
  <c r="I13" i="56"/>
  <c r="H13" i="56"/>
  <c r="G13" i="56"/>
  <c r="F13" i="56"/>
  <c r="E13" i="56"/>
  <c r="D13" i="56"/>
  <c r="M12" i="56"/>
  <c r="M11" i="56" s="1"/>
  <c r="L11" i="56"/>
  <c r="K11" i="56"/>
  <c r="J11" i="56"/>
  <c r="I11" i="56"/>
  <c r="H11" i="56"/>
  <c r="G11" i="56"/>
  <c r="F11" i="56"/>
  <c r="E11" i="56"/>
  <c r="D11" i="56"/>
  <c r="M9" i="56"/>
  <c r="M8" i="56" s="1"/>
  <c r="M7" i="56" s="1"/>
  <c r="L8" i="56"/>
  <c r="L7" i="56" s="1"/>
  <c r="K8" i="56"/>
  <c r="K7" i="56" s="1"/>
  <c r="J8" i="56"/>
  <c r="J7" i="56" s="1"/>
  <c r="I8" i="56"/>
  <c r="I7" i="56" s="1"/>
  <c r="H8" i="56"/>
  <c r="H7" i="56" s="1"/>
  <c r="G8" i="56"/>
  <c r="G7" i="56" s="1"/>
  <c r="F8" i="56"/>
  <c r="F7" i="56" s="1"/>
  <c r="E8" i="56"/>
  <c r="E7" i="56" s="1"/>
  <c r="D8" i="56"/>
  <c r="D7" i="56" s="1"/>
  <c r="K38" i="56" l="1"/>
  <c r="E38" i="56"/>
  <c r="D31" i="56"/>
  <c r="D38" i="56"/>
  <c r="E10" i="56"/>
  <c r="I10" i="56"/>
  <c r="K59" i="57"/>
  <c r="K61" i="57" s="1"/>
  <c r="J59" i="57"/>
  <c r="J61" i="57" s="1"/>
  <c r="L59" i="57"/>
  <c r="L61" i="57" s="1"/>
  <c r="H59" i="57"/>
  <c r="H61" i="57" s="1"/>
  <c r="I59" i="57"/>
  <c r="I61" i="57" s="1"/>
  <c r="E59" i="57"/>
  <c r="E61" i="57" s="1"/>
  <c r="F59" i="57"/>
  <c r="F61" i="57" s="1"/>
  <c r="G59" i="57"/>
  <c r="G61" i="57" s="1"/>
  <c r="M59" i="57"/>
  <c r="N59" i="57" s="1"/>
  <c r="J31" i="56"/>
  <c r="I38" i="56"/>
  <c r="L38" i="56"/>
  <c r="K10" i="56"/>
  <c r="K57" i="56" s="1"/>
  <c r="K59" i="56" s="1"/>
  <c r="H10" i="56"/>
  <c r="F10" i="56"/>
  <c r="M53" i="56"/>
  <c r="D10" i="56"/>
  <c r="D57" i="56" s="1"/>
  <c r="D59" i="56" s="1"/>
  <c r="L10" i="56"/>
  <c r="L31" i="56"/>
  <c r="G38" i="56"/>
  <c r="F38" i="56"/>
  <c r="F57" i="56" s="1"/>
  <c r="F59" i="56" s="1"/>
  <c r="H38" i="56"/>
  <c r="E31" i="56"/>
  <c r="E57" i="56" s="1"/>
  <c r="E59" i="56" s="1"/>
  <c r="H31" i="56"/>
  <c r="M31" i="56"/>
  <c r="I31" i="56"/>
  <c r="J10" i="56"/>
  <c r="G10" i="56"/>
  <c r="M38" i="56"/>
  <c r="M10" i="56"/>
  <c r="M46" i="55"/>
  <c r="J57" i="56" l="1"/>
  <c r="J59" i="56" s="1"/>
  <c r="L57" i="56"/>
  <c r="L59" i="56" s="1"/>
  <c r="N38" i="57"/>
  <c r="N7" i="57"/>
  <c r="N10" i="57"/>
  <c r="N31" i="57"/>
  <c r="I57" i="56"/>
  <c r="I59" i="56" s="1"/>
  <c r="H57" i="56"/>
  <c r="H59" i="56" s="1"/>
  <c r="G57" i="56"/>
  <c r="G59" i="56" s="1"/>
  <c r="M57" i="56"/>
  <c r="N10" i="56" s="1"/>
  <c r="M56" i="55"/>
  <c r="F55" i="55"/>
  <c r="D55" i="55"/>
  <c r="M55" i="55" s="1"/>
  <c r="M54" i="55"/>
  <c r="F53" i="55"/>
  <c r="D53" i="55"/>
  <c r="M52" i="55"/>
  <c r="M51" i="55" s="1"/>
  <c r="L51" i="55"/>
  <c r="K51" i="55"/>
  <c r="J51" i="55"/>
  <c r="I51" i="55"/>
  <c r="H51" i="55"/>
  <c r="G51" i="55"/>
  <c r="F51" i="55"/>
  <c r="E51" i="55"/>
  <c r="D51" i="55"/>
  <c r="M50" i="55"/>
  <c r="M49" i="55" s="1"/>
  <c r="L49" i="55"/>
  <c r="K49" i="55"/>
  <c r="J49" i="55"/>
  <c r="I49" i="55"/>
  <c r="H49" i="55"/>
  <c r="G49" i="55"/>
  <c r="F49" i="55"/>
  <c r="E49" i="55"/>
  <c r="D49" i="55"/>
  <c r="M48" i="55"/>
  <c r="M47" i="55" s="1"/>
  <c r="L47" i="55"/>
  <c r="K47" i="55"/>
  <c r="J47" i="55"/>
  <c r="I47" i="55"/>
  <c r="H47" i="55"/>
  <c r="G47" i="55"/>
  <c r="F47" i="55"/>
  <c r="E47" i="55"/>
  <c r="D47" i="55"/>
  <c r="M45" i="55"/>
  <c r="L45" i="55"/>
  <c r="K45" i="55"/>
  <c r="J45" i="55"/>
  <c r="I45" i="55"/>
  <c r="H45" i="55"/>
  <c r="G45" i="55"/>
  <c r="F45" i="55"/>
  <c r="E45" i="55"/>
  <c r="D45" i="55"/>
  <c r="M44" i="55"/>
  <c r="M43" i="55" s="1"/>
  <c r="L43" i="55"/>
  <c r="K43" i="55"/>
  <c r="J43" i="55"/>
  <c r="I43" i="55"/>
  <c r="H43" i="55"/>
  <c r="G43" i="55"/>
  <c r="F43" i="55"/>
  <c r="E43" i="55"/>
  <c r="D43" i="55"/>
  <c r="M42" i="55"/>
  <c r="M41" i="55" s="1"/>
  <c r="L41" i="55"/>
  <c r="K41" i="55"/>
  <c r="J41" i="55"/>
  <c r="I41" i="55"/>
  <c r="H41" i="55"/>
  <c r="G41" i="55"/>
  <c r="F41" i="55"/>
  <c r="E41" i="55"/>
  <c r="D41" i="55"/>
  <c r="L39" i="55"/>
  <c r="K39" i="55"/>
  <c r="J39" i="55"/>
  <c r="H39" i="55"/>
  <c r="G39" i="55"/>
  <c r="F39" i="55"/>
  <c r="E39" i="55"/>
  <c r="D39" i="55"/>
  <c r="D38" i="55" s="1"/>
  <c r="J38" i="55"/>
  <c r="M37" i="55"/>
  <c r="M36" i="55" s="1"/>
  <c r="L36" i="55"/>
  <c r="K36" i="55"/>
  <c r="J36" i="55"/>
  <c r="I36" i="55"/>
  <c r="H36" i="55"/>
  <c r="G36" i="55"/>
  <c r="F36" i="55"/>
  <c r="E36" i="55"/>
  <c r="D36" i="55"/>
  <c r="M35" i="55"/>
  <c r="M34" i="55" s="1"/>
  <c r="L34" i="55"/>
  <c r="K34" i="55"/>
  <c r="J34" i="55"/>
  <c r="I34" i="55"/>
  <c r="H34" i="55"/>
  <c r="G34" i="55"/>
  <c r="F34" i="55"/>
  <c r="E34" i="55"/>
  <c r="D34" i="55"/>
  <c r="M33" i="55"/>
  <c r="M32" i="55" s="1"/>
  <c r="L32" i="55"/>
  <c r="K32" i="55"/>
  <c r="K31" i="55" s="1"/>
  <c r="J32" i="55"/>
  <c r="I32" i="55"/>
  <c r="H32" i="55"/>
  <c r="G32" i="55"/>
  <c r="F32" i="55"/>
  <c r="F31" i="55" s="1"/>
  <c r="E32" i="55"/>
  <c r="D32" i="55"/>
  <c r="M29" i="55"/>
  <c r="L29" i="55"/>
  <c r="K29" i="55"/>
  <c r="J29" i="55"/>
  <c r="I29" i="55"/>
  <c r="H29" i="55"/>
  <c r="G29" i="55"/>
  <c r="F29" i="55"/>
  <c r="E29" i="55"/>
  <c r="D29" i="55"/>
  <c r="M28" i="55"/>
  <c r="M27" i="55" s="1"/>
  <c r="L27" i="55"/>
  <c r="K27" i="55"/>
  <c r="J27" i="55"/>
  <c r="I27" i="55"/>
  <c r="G27" i="55"/>
  <c r="F27" i="55"/>
  <c r="E27" i="55"/>
  <c r="D27" i="55"/>
  <c r="M26" i="55"/>
  <c r="M25" i="55" s="1"/>
  <c r="L25" i="55"/>
  <c r="K25" i="55"/>
  <c r="J25" i="55"/>
  <c r="I25" i="55"/>
  <c r="H25" i="55"/>
  <c r="G25" i="55"/>
  <c r="F25" i="55"/>
  <c r="E25" i="55"/>
  <c r="D25" i="55"/>
  <c r="M24" i="55"/>
  <c r="M23" i="55" s="1"/>
  <c r="L23" i="55"/>
  <c r="K23" i="55"/>
  <c r="J23" i="55"/>
  <c r="I23" i="55"/>
  <c r="H23" i="55"/>
  <c r="G23" i="55"/>
  <c r="F23" i="55"/>
  <c r="E23" i="55"/>
  <c r="D23" i="55"/>
  <c r="M22" i="55"/>
  <c r="M21" i="55" s="1"/>
  <c r="L21" i="55"/>
  <c r="K21" i="55"/>
  <c r="J21" i="55"/>
  <c r="F21" i="55"/>
  <c r="E21" i="55"/>
  <c r="M20" i="55"/>
  <c r="M19" i="55" s="1"/>
  <c r="L19" i="55"/>
  <c r="K19" i="55"/>
  <c r="J19" i="55"/>
  <c r="I19" i="55"/>
  <c r="H19" i="55"/>
  <c r="G19" i="55"/>
  <c r="F19" i="55"/>
  <c r="E19" i="55"/>
  <c r="D19" i="55"/>
  <c r="M18" i="55"/>
  <c r="M17" i="55" s="1"/>
  <c r="L17" i="55"/>
  <c r="K17" i="55"/>
  <c r="J17" i="55"/>
  <c r="I17" i="55"/>
  <c r="H17" i="55"/>
  <c r="G17" i="55"/>
  <c r="F17" i="55"/>
  <c r="E17" i="55"/>
  <c r="D17" i="55"/>
  <c r="M16" i="55"/>
  <c r="M15" i="55" s="1"/>
  <c r="L15" i="55"/>
  <c r="K15" i="55"/>
  <c r="J15" i="55"/>
  <c r="I15" i="55"/>
  <c r="H15" i="55"/>
  <c r="G15" i="55"/>
  <c r="F15" i="55"/>
  <c r="E15" i="55"/>
  <c r="D15" i="55"/>
  <c r="M14" i="55"/>
  <c r="M13" i="55" s="1"/>
  <c r="L13" i="55"/>
  <c r="K13" i="55"/>
  <c r="J13" i="55"/>
  <c r="I13" i="55"/>
  <c r="H13" i="55"/>
  <c r="G13" i="55"/>
  <c r="F13" i="55"/>
  <c r="E13" i="55"/>
  <c r="D13" i="55"/>
  <c r="M12" i="55"/>
  <c r="M11" i="55" s="1"/>
  <c r="L11" i="55"/>
  <c r="K11" i="55"/>
  <c r="J11" i="55"/>
  <c r="I11" i="55"/>
  <c r="H11" i="55"/>
  <c r="G11" i="55"/>
  <c r="F11" i="55"/>
  <c r="E11" i="55"/>
  <c r="D11" i="55"/>
  <c r="M9" i="55"/>
  <c r="M8" i="55" s="1"/>
  <c r="M7" i="55" s="1"/>
  <c r="L8" i="55"/>
  <c r="L7" i="55" s="1"/>
  <c r="K8" i="55"/>
  <c r="K7" i="55" s="1"/>
  <c r="J8" i="55"/>
  <c r="J7" i="55" s="1"/>
  <c r="I8" i="55"/>
  <c r="I7" i="55" s="1"/>
  <c r="H8" i="55"/>
  <c r="H7" i="55" s="1"/>
  <c r="G8" i="55"/>
  <c r="G7" i="55" s="1"/>
  <c r="F8" i="55"/>
  <c r="F7" i="55" s="1"/>
  <c r="E8" i="55"/>
  <c r="E7" i="55" s="1"/>
  <c r="D8" i="55"/>
  <c r="D7" i="55" s="1"/>
  <c r="M53" i="55" l="1"/>
  <c r="J10" i="55"/>
  <c r="H31" i="55"/>
  <c r="F38" i="55"/>
  <c r="I10" i="55"/>
  <c r="D31" i="55"/>
  <c r="K38" i="55"/>
  <c r="E10" i="55"/>
  <c r="N57" i="56"/>
  <c r="N31" i="56"/>
  <c r="N7" i="56"/>
  <c r="N38" i="56"/>
  <c r="L31" i="55"/>
  <c r="L10" i="55"/>
  <c r="G38" i="55"/>
  <c r="G10" i="55"/>
  <c r="F10" i="55"/>
  <c r="E31" i="55"/>
  <c r="L38" i="55"/>
  <c r="L57" i="55" s="1"/>
  <c r="L59" i="55" s="1"/>
  <c r="H38" i="55"/>
  <c r="E38" i="55"/>
  <c r="J31" i="55"/>
  <c r="J57" i="55" s="1"/>
  <c r="J59" i="55" s="1"/>
  <c r="I31" i="55"/>
  <c r="G31" i="55"/>
  <c r="M31" i="55"/>
  <c r="K10" i="55"/>
  <c r="H10" i="55"/>
  <c r="M10" i="55"/>
  <c r="D10" i="55"/>
  <c r="F57" i="55"/>
  <c r="F59" i="55" s="1"/>
  <c r="E57" i="55"/>
  <c r="E59" i="55" s="1"/>
  <c r="L11" i="54"/>
  <c r="K11" i="54"/>
  <c r="J11" i="54"/>
  <c r="I11" i="54"/>
  <c r="H11" i="54"/>
  <c r="G11" i="54"/>
  <c r="F11" i="54"/>
  <c r="E11" i="54"/>
  <c r="D11" i="54"/>
  <c r="L13" i="54"/>
  <c r="K13" i="54"/>
  <c r="J13" i="54"/>
  <c r="I13" i="54"/>
  <c r="H13" i="54"/>
  <c r="G13" i="54"/>
  <c r="F13" i="54"/>
  <c r="E13" i="54"/>
  <c r="D13" i="54"/>
  <c r="M12" i="54"/>
  <c r="M11" i="54" s="1"/>
  <c r="M14" i="54"/>
  <c r="M13" i="54" s="1"/>
  <c r="D57" i="55" l="1"/>
  <c r="D59" i="55" s="1"/>
  <c r="K57" i="55"/>
  <c r="K59" i="55" s="1"/>
  <c r="G57" i="55"/>
  <c r="G59" i="55" s="1"/>
  <c r="H57" i="55"/>
  <c r="H59" i="55" s="1"/>
  <c r="M56" i="54"/>
  <c r="F55" i="54"/>
  <c r="D55" i="54"/>
  <c r="M54" i="54"/>
  <c r="F53" i="54"/>
  <c r="D53" i="54"/>
  <c r="M52" i="54"/>
  <c r="M51" i="54" s="1"/>
  <c r="L51" i="54"/>
  <c r="K51" i="54"/>
  <c r="J51" i="54"/>
  <c r="I51" i="54"/>
  <c r="H51" i="54"/>
  <c r="G51" i="54"/>
  <c r="F51" i="54"/>
  <c r="E51" i="54"/>
  <c r="D51" i="54"/>
  <c r="M50" i="54"/>
  <c r="M49" i="54" s="1"/>
  <c r="L49" i="54"/>
  <c r="K49" i="54"/>
  <c r="J49" i="54"/>
  <c r="I49" i="54"/>
  <c r="H49" i="54"/>
  <c r="G49" i="54"/>
  <c r="F49" i="54"/>
  <c r="E49" i="54"/>
  <c r="D49" i="54"/>
  <c r="M48" i="54"/>
  <c r="M47" i="54" s="1"/>
  <c r="L47" i="54"/>
  <c r="K47" i="54"/>
  <c r="J47" i="54"/>
  <c r="I47" i="54"/>
  <c r="H47" i="54"/>
  <c r="G47" i="54"/>
  <c r="F47" i="54"/>
  <c r="E47" i="54"/>
  <c r="D47" i="54"/>
  <c r="M46" i="54"/>
  <c r="M45" i="54" s="1"/>
  <c r="L45" i="54"/>
  <c r="K45" i="54"/>
  <c r="J45" i="54"/>
  <c r="I45" i="54"/>
  <c r="H45" i="54"/>
  <c r="G45" i="54"/>
  <c r="F45" i="54"/>
  <c r="E45" i="54"/>
  <c r="D45" i="54"/>
  <c r="M44" i="54"/>
  <c r="M43" i="54" s="1"/>
  <c r="L43" i="54"/>
  <c r="K43" i="54"/>
  <c r="J43" i="54"/>
  <c r="I43" i="54"/>
  <c r="H43" i="54"/>
  <c r="G43" i="54"/>
  <c r="F43" i="54"/>
  <c r="E43" i="54"/>
  <c r="D43" i="54"/>
  <c r="M42" i="54"/>
  <c r="M41" i="54" s="1"/>
  <c r="L41" i="54"/>
  <c r="K41" i="54"/>
  <c r="J41" i="54"/>
  <c r="I41" i="54"/>
  <c r="H41" i="54"/>
  <c r="G41" i="54"/>
  <c r="F41" i="54"/>
  <c r="E41" i="54"/>
  <c r="D41" i="54"/>
  <c r="M40" i="54"/>
  <c r="M39" i="54" s="1"/>
  <c r="L39" i="54"/>
  <c r="K39" i="54"/>
  <c r="J39" i="54"/>
  <c r="I39" i="54"/>
  <c r="H39" i="54"/>
  <c r="G39" i="54"/>
  <c r="F39" i="54"/>
  <c r="E39" i="54"/>
  <c r="D39" i="54"/>
  <c r="M37" i="54"/>
  <c r="M36" i="54" s="1"/>
  <c r="L36" i="54"/>
  <c r="K36" i="54"/>
  <c r="J36" i="54"/>
  <c r="I36" i="54"/>
  <c r="H36" i="54"/>
  <c r="G36" i="54"/>
  <c r="F36" i="54"/>
  <c r="E36" i="54"/>
  <c r="D36" i="54"/>
  <c r="M35" i="54"/>
  <c r="M34" i="54" s="1"/>
  <c r="L34" i="54"/>
  <c r="K34" i="54"/>
  <c r="J34" i="54"/>
  <c r="I34" i="54"/>
  <c r="H34" i="54"/>
  <c r="G34" i="54"/>
  <c r="F34" i="54"/>
  <c r="E34" i="54"/>
  <c r="D34" i="54"/>
  <c r="M33" i="54"/>
  <c r="M32" i="54" s="1"/>
  <c r="L32" i="54"/>
  <c r="K32" i="54"/>
  <c r="J32" i="54"/>
  <c r="I32" i="54"/>
  <c r="H32" i="54"/>
  <c r="G32" i="54"/>
  <c r="F32" i="54"/>
  <c r="E32" i="54"/>
  <c r="D32" i="54"/>
  <c r="M29" i="54"/>
  <c r="L29" i="54"/>
  <c r="K29" i="54"/>
  <c r="J29" i="54"/>
  <c r="I29" i="54"/>
  <c r="H29" i="54"/>
  <c r="G29" i="54"/>
  <c r="F29" i="54"/>
  <c r="E29" i="54"/>
  <c r="D29" i="54"/>
  <c r="M28" i="54"/>
  <c r="M27" i="54" s="1"/>
  <c r="L27" i="54"/>
  <c r="K27" i="54"/>
  <c r="J27" i="54"/>
  <c r="I27" i="54"/>
  <c r="G27" i="54"/>
  <c r="F27" i="54"/>
  <c r="E27" i="54"/>
  <c r="D27" i="54"/>
  <c r="M26" i="54"/>
  <c r="M25" i="54" s="1"/>
  <c r="L25" i="54"/>
  <c r="K25" i="54"/>
  <c r="J25" i="54"/>
  <c r="I25" i="54"/>
  <c r="H25" i="54"/>
  <c r="G25" i="54"/>
  <c r="F25" i="54"/>
  <c r="E25" i="54"/>
  <c r="D25" i="54"/>
  <c r="M24" i="54"/>
  <c r="M23" i="54" s="1"/>
  <c r="L23" i="54"/>
  <c r="K23" i="54"/>
  <c r="J23" i="54"/>
  <c r="I23" i="54"/>
  <c r="H23" i="54"/>
  <c r="G23" i="54"/>
  <c r="F23" i="54"/>
  <c r="E23" i="54"/>
  <c r="D23" i="54"/>
  <c r="M22" i="54"/>
  <c r="M21" i="54" s="1"/>
  <c r="L21" i="54"/>
  <c r="K21" i="54"/>
  <c r="J21" i="54"/>
  <c r="F21" i="54"/>
  <c r="E21" i="54"/>
  <c r="M20" i="54"/>
  <c r="M19" i="54" s="1"/>
  <c r="L19" i="54"/>
  <c r="K19" i="54"/>
  <c r="J19" i="54"/>
  <c r="I19" i="54"/>
  <c r="H19" i="54"/>
  <c r="G19" i="54"/>
  <c r="F19" i="54"/>
  <c r="E19" i="54"/>
  <c r="D19" i="54"/>
  <c r="M18" i="54"/>
  <c r="M17" i="54" s="1"/>
  <c r="L17" i="54"/>
  <c r="K17" i="54"/>
  <c r="J17" i="54"/>
  <c r="I17" i="54"/>
  <c r="H17" i="54"/>
  <c r="G17" i="54"/>
  <c r="F17" i="54"/>
  <c r="E17" i="54"/>
  <c r="D17" i="54"/>
  <c r="M16" i="54"/>
  <c r="M15" i="54" s="1"/>
  <c r="L15" i="54"/>
  <c r="K15" i="54"/>
  <c r="J15" i="54"/>
  <c r="I15" i="54"/>
  <c r="H15" i="54"/>
  <c r="G15" i="54"/>
  <c r="F15" i="54"/>
  <c r="E15" i="54"/>
  <c r="D15" i="54"/>
  <c r="M9" i="54"/>
  <c r="M8" i="54" s="1"/>
  <c r="M7" i="54" s="1"/>
  <c r="L8" i="54"/>
  <c r="L7" i="54" s="1"/>
  <c r="K8" i="54"/>
  <c r="K7" i="54" s="1"/>
  <c r="J8" i="54"/>
  <c r="J7" i="54" s="1"/>
  <c r="I8" i="54"/>
  <c r="I7" i="54" s="1"/>
  <c r="H8" i="54"/>
  <c r="H7" i="54" s="1"/>
  <c r="G8" i="54"/>
  <c r="G7" i="54" s="1"/>
  <c r="F8" i="54"/>
  <c r="F7" i="54" s="1"/>
  <c r="E8" i="54"/>
  <c r="E7" i="54" s="1"/>
  <c r="D8" i="54"/>
  <c r="D7" i="54" s="1"/>
  <c r="D10" i="54" l="1"/>
  <c r="H10" i="54"/>
  <c r="I38" i="54"/>
  <c r="F31" i="54"/>
  <c r="E10" i="54"/>
  <c r="K38" i="54"/>
  <c r="D38" i="54"/>
  <c r="L38" i="54"/>
  <c r="E38" i="54"/>
  <c r="F10" i="54"/>
  <c r="J10" i="54"/>
  <c r="I10" i="54"/>
  <c r="D31" i="54"/>
  <c r="H31" i="54"/>
  <c r="L31" i="54"/>
  <c r="M55" i="54"/>
  <c r="I31" i="54"/>
  <c r="J38" i="54"/>
  <c r="L10" i="54"/>
  <c r="F38" i="54"/>
  <c r="M53" i="54"/>
  <c r="M38" i="54" s="1"/>
  <c r="G38" i="54"/>
  <c r="H38" i="54"/>
  <c r="E31" i="54"/>
  <c r="M31" i="54"/>
  <c r="J31" i="54"/>
  <c r="G31" i="54"/>
  <c r="K31" i="54"/>
  <c r="K10" i="54"/>
  <c r="G10" i="54"/>
  <c r="M10" i="54"/>
  <c r="M56" i="53"/>
  <c r="F55" i="53"/>
  <c r="D55" i="53"/>
  <c r="M55" i="53" s="1"/>
  <c r="I29" i="53"/>
  <c r="J29" i="53"/>
  <c r="K29" i="53"/>
  <c r="L29" i="53"/>
  <c r="J27" i="53"/>
  <c r="K27" i="53"/>
  <c r="L27" i="53"/>
  <c r="I27" i="53"/>
  <c r="H29" i="53"/>
  <c r="H27" i="53"/>
  <c r="G29" i="53"/>
  <c r="F29" i="53"/>
  <c r="F27" i="53"/>
  <c r="E29" i="53"/>
  <c r="E27" i="53"/>
  <c r="D29" i="53"/>
  <c r="D27" i="53"/>
  <c r="L57" i="54" l="1"/>
  <c r="L59" i="54" s="1"/>
  <c r="F57" i="54"/>
  <c r="F59" i="54" s="1"/>
  <c r="E57" i="54"/>
  <c r="E59" i="54" s="1"/>
  <c r="H57" i="54"/>
  <c r="H59" i="54" s="1"/>
  <c r="J57" i="54"/>
  <c r="J59" i="54" s="1"/>
  <c r="G57" i="54"/>
  <c r="G59" i="54" s="1"/>
  <c r="K57" i="54"/>
  <c r="K59" i="54" s="1"/>
  <c r="D57" i="54"/>
  <c r="D59" i="54" s="1"/>
  <c r="I57" i="54"/>
  <c r="I59" i="54" s="1"/>
  <c r="M57" i="54"/>
  <c r="N10" i="54" s="1"/>
  <c r="M29" i="53"/>
  <c r="M28" i="53"/>
  <c r="M27" i="53" s="1"/>
  <c r="G27" i="53"/>
  <c r="E36" i="53"/>
  <c r="E34" i="53"/>
  <c r="M54" i="53"/>
  <c r="F53" i="53"/>
  <c r="D53" i="53"/>
  <c r="M52" i="53"/>
  <c r="M51" i="53" s="1"/>
  <c r="L51" i="53"/>
  <c r="K51" i="53"/>
  <c r="J51" i="53"/>
  <c r="I51" i="53"/>
  <c r="H51" i="53"/>
  <c r="G51" i="53"/>
  <c r="F51" i="53"/>
  <c r="E51" i="53"/>
  <c r="D51" i="53"/>
  <c r="M50" i="53"/>
  <c r="M49" i="53" s="1"/>
  <c r="L49" i="53"/>
  <c r="K49" i="53"/>
  <c r="J49" i="53"/>
  <c r="I49" i="53"/>
  <c r="H49" i="53"/>
  <c r="G49" i="53"/>
  <c r="F49" i="53"/>
  <c r="E49" i="53"/>
  <c r="D49" i="53"/>
  <c r="M48" i="53"/>
  <c r="M47" i="53" s="1"/>
  <c r="L47" i="53"/>
  <c r="K47" i="53"/>
  <c r="J47" i="53"/>
  <c r="I47" i="53"/>
  <c r="H47" i="53"/>
  <c r="G47" i="53"/>
  <c r="F47" i="53"/>
  <c r="E47" i="53"/>
  <c r="D47" i="53"/>
  <c r="M46" i="53"/>
  <c r="M45" i="53" s="1"/>
  <c r="L45" i="53"/>
  <c r="K45" i="53"/>
  <c r="J45" i="53"/>
  <c r="I45" i="53"/>
  <c r="H45" i="53"/>
  <c r="G45" i="53"/>
  <c r="F45" i="53"/>
  <c r="E45" i="53"/>
  <c r="D45" i="53"/>
  <c r="M44" i="53"/>
  <c r="M43" i="53" s="1"/>
  <c r="L43" i="53"/>
  <c r="K43" i="53"/>
  <c r="J43" i="53"/>
  <c r="I43" i="53"/>
  <c r="H43" i="53"/>
  <c r="G43" i="53"/>
  <c r="F43" i="53"/>
  <c r="E43" i="53"/>
  <c r="D43" i="53"/>
  <c r="M42" i="53"/>
  <c r="M41" i="53" s="1"/>
  <c r="L41" i="53"/>
  <c r="K41" i="53"/>
  <c r="J41" i="53"/>
  <c r="I41" i="53"/>
  <c r="H41" i="53"/>
  <c r="G41" i="53"/>
  <c r="F41" i="53"/>
  <c r="E41" i="53"/>
  <c r="D41" i="53"/>
  <c r="M40" i="53"/>
  <c r="M39" i="53" s="1"/>
  <c r="L39" i="53"/>
  <c r="K39" i="53"/>
  <c r="J39" i="53"/>
  <c r="I39" i="53"/>
  <c r="H39" i="53"/>
  <c r="G39" i="53"/>
  <c r="F39" i="53"/>
  <c r="E39" i="53"/>
  <c r="D39" i="53"/>
  <c r="M37" i="53"/>
  <c r="M36" i="53" s="1"/>
  <c r="L36" i="53"/>
  <c r="K36" i="53"/>
  <c r="J36" i="53"/>
  <c r="I36" i="53"/>
  <c r="H36" i="53"/>
  <c r="G36" i="53"/>
  <c r="F36" i="53"/>
  <c r="D36" i="53"/>
  <c r="M35" i="53"/>
  <c r="M34" i="53" s="1"/>
  <c r="L34" i="53"/>
  <c r="K34" i="53"/>
  <c r="J34" i="53"/>
  <c r="I34" i="53"/>
  <c r="H34" i="53"/>
  <c r="G34" i="53"/>
  <c r="F34" i="53"/>
  <c r="D34" i="53"/>
  <c r="M33" i="53"/>
  <c r="M32" i="53" s="1"/>
  <c r="L32" i="53"/>
  <c r="K32" i="53"/>
  <c r="J32" i="53"/>
  <c r="I32" i="53"/>
  <c r="H32" i="53"/>
  <c r="G32" i="53"/>
  <c r="F32" i="53"/>
  <c r="E32" i="53"/>
  <c r="D32" i="53"/>
  <c r="M26" i="53"/>
  <c r="M25" i="53" s="1"/>
  <c r="L25" i="53"/>
  <c r="K25" i="53"/>
  <c r="J25" i="53"/>
  <c r="I25" i="53"/>
  <c r="H25" i="53"/>
  <c r="G25" i="53"/>
  <c r="F25" i="53"/>
  <c r="E25" i="53"/>
  <c r="D25" i="53"/>
  <c r="M24" i="53"/>
  <c r="M23" i="53" s="1"/>
  <c r="L23" i="53"/>
  <c r="K23" i="53"/>
  <c r="J23" i="53"/>
  <c r="I23" i="53"/>
  <c r="H23" i="53"/>
  <c r="G23" i="53"/>
  <c r="F23" i="53"/>
  <c r="E23" i="53"/>
  <c r="D23" i="53"/>
  <c r="M22" i="53"/>
  <c r="M21" i="53" s="1"/>
  <c r="L21" i="53"/>
  <c r="K21" i="53"/>
  <c r="J21" i="53"/>
  <c r="F21" i="53"/>
  <c r="E21" i="53"/>
  <c r="M20" i="53"/>
  <c r="M19" i="53" s="1"/>
  <c r="L19" i="53"/>
  <c r="K19" i="53"/>
  <c r="J19" i="53"/>
  <c r="I19" i="53"/>
  <c r="H19" i="53"/>
  <c r="G19" i="53"/>
  <c r="F19" i="53"/>
  <c r="E19" i="53"/>
  <c r="D19" i="53"/>
  <c r="M18" i="53"/>
  <c r="M17" i="53" s="1"/>
  <c r="L17" i="53"/>
  <c r="K17" i="53"/>
  <c r="J17" i="53"/>
  <c r="I17" i="53"/>
  <c r="H17" i="53"/>
  <c r="G17" i="53"/>
  <c r="F17" i="53"/>
  <c r="E17" i="53"/>
  <c r="D17" i="53"/>
  <c r="M16" i="53"/>
  <c r="M15" i="53" s="1"/>
  <c r="L15" i="53"/>
  <c r="K15" i="53"/>
  <c r="J15" i="53"/>
  <c r="I15" i="53"/>
  <c r="H15" i="53"/>
  <c r="G15" i="53"/>
  <c r="F15" i="53"/>
  <c r="E15" i="53"/>
  <c r="D15" i="53"/>
  <c r="M14" i="53"/>
  <c r="M13" i="53" s="1"/>
  <c r="L13" i="53"/>
  <c r="K13" i="53"/>
  <c r="J13" i="53"/>
  <c r="I13" i="53"/>
  <c r="H13" i="53"/>
  <c r="G13" i="53"/>
  <c r="F13" i="53"/>
  <c r="E13" i="53"/>
  <c r="D13" i="53"/>
  <c r="M12" i="53"/>
  <c r="M11" i="53" s="1"/>
  <c r="L11" i="53"/>
  <c r="K11" i="53"/>
  <c r="J11" i="53"/>
  <c r="I11" i="53"/>
  <c r="H11" i="53"/>
  <c r="G11" i="53"/>
  <c r="F11" i="53"/>
  <c r="E11" i="53"/>
  <c r="D11" i="53"/>
  <c r="M9" i="53"/>
  <c r="M8" i="53" s="1"/>
  <c r="M7" i="53" s="1"/>
  <c r="L8" i="53"/>
  <c r="L7" i="53" s="1"/>
  <c r="K8" i="53"/>
  <c r="J8" i="53"/>
  <c r="I8" i="53"/>
  <c r="I7" i="53" s="1"/>
  <c r="H8" i="53"/>
  <c r="H7" i="53" s="1"/>
  <c r="G8" i="53"/>
  <c r="G7" i="53" s="1"/>
  <c r="F8" i="53"/>
  <c r="F7" i="53" s="1"/>
  <c r="E8" i="53"/>
  <c r="E7" i="53" s="1"/>
  <c r="D8" i="53"/>
  <c r="D7" i="53" s="1"/>
  <c r="K7" i="53"/>
  <c r="J7" i="53"/>
  <c r="F31" i="53" l="1"/>
  <c r="F38" i="53"/>
  <c r="H31" i="53"/>
  <c r="N57" i="54"/>
  <c r="N7" i="54"/>
  <c r="N31" i="54"/>
  <c r="N38" i="54"/>
  <c r="D10" i="53"/>
  <c r="E10" i="53"/>
  <c r="G10" i="53"/>
  <c r="H10" i="53"/>
  <c r="I10" i="53"/>
  <c r="F10" i="53"/>
  <c r="M53" i="53"/>
  <c r="M38" i="53" s="1"/>
  <c r="I38" i="53"/>
  <c r="D31" i="53"/>
  <c r="J38" i="53"/>
  <c r="M10" i="53"/>
  <c r="K38" i="53"/>
  <c r="J10" i="53"/>
  <c r="D38" i="53"/>
  <c r="L38" i="53"/>
  <c r="K10" i="53"/>
  <c r="L10" i="53"/>
  <c r="K31" i="53"/>
  <c r="J31" i="53"/>
  <c r="E38" i="53"/>
  <c r="G31" i="53"/>
  <c r="E31" i="53"/>
  <c r="G38" i="53"/>
  <c r="H38" i="53"/>
  <c r="I31" i="53"/>
  <c r="L31" i="53"/>
  <c r="M31" i="53"/>
  <c r="M24" i="52"/>
  <c r="M23" i="52" s="1"/>
  <c r="E23" i="52"/>
  <c r="F23" i="52"/>
  <c r="G23" i="52"/>
  <c r="H23" i="52"/>
  <c r="I23" i="52"/>
  <c r="J23" i="52"/>
  <c r="K23" i="52"/>
  <c r="L23" i="52"/>
  <c r="D23" i="52"/>
  <c r="D53" i="52"/>
  <c r="M54" i="52"/>
  <c r="F53" i="52"/>
  <c r="M52" i="52"/>
  <c r="M51" i="52" s="1"/>
  <c r="L51" i="52"/>
  <c r="K51" i="52"/>
  <c r="J51" i="52"/>
  <c r="I51" i="52"/>
  <c r="H51" i="52"/>
  <c r="G51" i="52"/>
  <c r="F51" i="52"/>
  <c r="E51" i="52"/>
  <c r="D51" i="52"/>
  <c r="M50" i="52"/>
  <c r="M49" i="52" s="1"/>
  <c r="L49" i="52"/>
  <c r="K49" i="52"/>
  <c r="J49" i="52"/>
  <c r="I49" i="52"/>
  <c r="H49" i="52"/>
  <c r="G49" i="52"/>
  <c r="F49" i="52"/>
  <c r="E49" i="52"/>
  <c r="D49" i="52"/>
  <c r="M48" i="52"/>
  <c r="M47" i="52" s="1"/>
  <c r="L47" i="52"/>
  <c r="K47" i="52"/>
  <c r="J47" i="52"/>
  <c r="I47" i="52"/>
  <c r="H47" i="52"/>
  <c r="G47" i="52"/>
  <c r="F47" i="52"/>
  <c r="E47" i="52"/>
  <c r="D47" i="52"/>
  <c r="M46" i="52"/>
  <c r="M45" i="52" s="1"/>
  <c r="L45" i="52"/>
  <c r="K45" i="52"/>
  <c r="J45" i="52"/>
  <c r="I45" i="52"/>
  <c r="H45" i="52"/>
  <c r="G45" i="52"/>
  <c r="F45" i="52"/>
  <c r="E45" i="52"/>
  <c r="D45" i="52"/>
  <c r="M44" i="52"/>
  <c r="M43" i="52" s="1"/>
  <c r="L43" i="52"/>
  <c r="K43" i="52"/>
  <c r="J43" i="52"/>
  <c r="I43" i="52"/>
  <c r="H43" i="52"/>
  <c r="G43" i="52"/>
  <c r="F43" i="52"/>
  <c r="E43" i="52"/>
  <c r="D43" i="52"/>
  <c r="M42" i="52"/>
  <c r="M41" i="52" s="1"/>
  <c r="L41" i="52"/>
  <c r="K41" i="52"/>
  <c r="J41" i="52"/>
  <c r="I41" i="52"/>
  <c r="H41" i="52"/>
  <c r="G41" i="52"/>
  <c r="F41" i="52"/>
  <c r="E41" i="52"/>
  <c r="D41" i="52"/>
  <c r="M40" i="52"/>
  <c r="M39" i="52" s="1"/>
  <c r="L39" i="52"/>
  <c r="L38" i="52" s="1"/>
  <c r="K39" i="52"/>
  <c r="K38" i="52" s="1"/>
  <c r="J39" i="52"/>
  <c r="I39" i="52"/>
  <c r="H39" i="52"/>
  <c r="H38" i="52" s="1"/>
  <c r="G39" i="52"/>
  <c r="G38" i="52" s="1"/>
  <c r="F39" i="52"/>
  <c r="E39" i="52"/>
  <c r="D39" i="52"/>
  <c r="D38" i="52" s="1"/>
  <c r="M37" i="52"/>
  <c r="M36" i="52" s="1"/>
  <c r="L36" i="52"/>
  <c r="K36" i="52"/>
  <c r="J36" i="52"/>
  <c r="I36" i="52"/>
  <c r="H36" i="52"/>
  <c r="G36" i="52"/>
  <c r="F36" i="52"/>
  <c r="E36" i="52"/>
  <c r="D36" i="52"/>
  <c r="M35" i="52"/>
  <c r="M34" i="52" s="1"/>
  <c r="L34" i="52"/>
  <c r="K34" i="52"/>
  <c r="J34" i="52"/>
  <c r="I34" i="52"/>
  <c r="H34" i="52"/>
  <c r="G34" i="52"/>
  <c r="F34" i="52"/>
  <c r="E34" i="52"/>
  <c r="D34" i="52"/>
  <c r="M33" i="52"/>
  <c r="M32" i="52" s="1"/>
  <c r="L32" i="52"/>
  <c r="K32" i="52"/>
  <c r="J32" i="52"/>
  <c r="I32" i="52"/>
  <c r="H32" i="52"/>
  <c r="G32" i="52"/>
  <c r="F32" i="52"/>
  <c r="E32" i="52"/>
  <c r="D32" i="52"/>
  <c r="M29" i="52"/>
  <c r="M27" i="52"/>
  <c r="M26" i="52"/>
  <c r="M25" i="52" s="1"/>
  <c r="L25" i="52"/>
  <c r="K25" i="52"/>
  <c r="J25" i="52"/>
  <c r="I25" i="52"/>
  <c r="H25" i="52"/>
  <c r="G25" i="52"/>
  <c r="F25" i="52"/>
  <c r="E25" i="52"/>
  <c r="D25" i="52"/>
  <c r="M22" i="52"/>
  <c r="M21" i="52" s="1"/>
  <c r="L21" i="52"/>
  <c r="K21" i="52"/>
  <c r="J21" i="52"/>
  <c r="F21" i="52"/>
  <c r="E21" i="52"/>
  <c r="M20" i="52"/>
  <c r="M19" i="52" s="1"/>
  <c r="L19" i="52"/>
  <c r="K19" i="52"/>
  <c r="J19" i="52"/>
  <c r="I19" i="52"/>
  <c r="H19" i="52"/>
  <c r="G19" i="52"/>
  <c r="F19" i="52"/>
  <c r="E19" i="52"/>
  <c r="D19" i="52"/>
  <c r="M18" i="52"/>
  <c r="M17" i="52" s="1"/>
  <c r="L17" i="52"/>
  <c r="K17" i="52"/>
  <c r="J17" i="52"/>
  <c r="I17" i="52"/>
  <c r="H17" i="52"/>
  <c r="G17" i="52"/>
  <c r="F17" i="52"/>
  <c r="E17" i="52"/>
  <c r="D17" i="52"/>
  <c r="M16" i="52"/>
  <c r="M15" i="52" s="1"/>
  <c r="L15" i="52"/>
  <c r="K15" i="52"/>
  <c r="J15" i="52"/>
  <c r="I15" i="52"/>
  <c r="H15" i="52"/>
  <c r="G15" i="52"/>
  <c r="F15" i="52"/>
  <c r="E15" i="52"/>
  <c r="D15" i="52"/>
  <c r="M14" i="52"/>
  <c r="M13" i="52" s="1"/>
  <c r="L13" i="52"/>
  <c r="K13" i="52"/>
  <c r="J13" i="52"/>
  <c r="I13" i="52"/>
  <c r="H13" i="52"/>
  <c r="G13" i="52"/>
  <c r="F13" i="52"/>
  <c r="E13" i="52"/>
  <c r="D13" i="52"/>
  <c r="M12" i="52"/>
  <c r="M11" i="52" s="1"/>
  <c r="L11" i="52"/>
  <c r="K11" i="52"/>
  <c r="J11" i="52"/>
  <c r="J10" i="52" s="1"/>
  <c r="I11" i="52"/>
  <c r="H11" i="52"/>
  <c r="G11" i="52"/>
  <c r="F11" i="52"/>
  <c r="E11" i="52"/>
  <c r="D11" i="52"/>
  <c r="M9" i="52"/>
  <c r="M8" i="52" s="1"/>
  <c r="M7" i="52" s="1"/>
  <c r="L8" i="52"/>
  <c r="L7" i="52" s="1"/>
  <c r="K8" i="52"/>
  <c r="K7" i="52" s="1"/>
  <c r="J8" i="52"/>
  <c r="J7" i="52" s="1"/>
  <c r="I8" i="52"/>
  <c r="I7" i="52" s="1"/>
  <c r="H8" i="52"/>
  <c r="H7" i="52" s="1"/>
  <c r="G8" i="52"/>
  <c r="G7" i="52" s="1"/>
  <c r="F8" i="52"/>
  <c r="F7" i="52" s="1"/>
  <c r="E8" i="52"/>
  <c r="E7" i="52" s="1"/>
  <c r="D8" i="52"/>
  <c r="D7" i="52" s="1"/>
  <c r="M10" i="52" l="1"/>
  <c r="G10" i="52"/>
  <c r="K10" i="52"/>
  <c r="F10" i="52"/>
  <c r="H10" i="52"/>
  <c r="L10" i="52"/>
  <c r="E38" i="52"/>
  <c r="I38" i="52"/>
  <c r="E10" i="52"/>
  <c r="I10" i="52"/>
  <c r="D10" i="52"/>
  <c r="F38" i="52"/>
  <c r="J38" i="52"/>
  <c r="F57" i="53"/>
  <c r="F59" i="53" s="1"/>
  <c r="D57" i="53"/>
  <c r="D59" i="53" s="1"/>
  <c r="J57" i="53"/>
  <c r="J59" i="53" s="1"/>
  <c r="L57" i="53"/>
  <c r="L59" i="53" s="1"/>
  <c r="K57" i="53"/>
  <c r="K59" i="53" s="1"/>
  <c r="H57" i="53"/>
  <c r="I57" i="53"/>
  <c r="I59" i="53" s="1"/>
  <c r="G57" i="53"/>
  <c r="E57" i="53"/>
  <c r="E59" i="53" s="1"/>
  <c r="M57" i="53"/>
  <c r="I31" i="52"/>
  <c r="H31" i="52"/>
  <c r="J31" i="52"/>
  <c r="K31" i="52"/>
  <c r="F31" i="52"/>
  <c r="D31" i="52"/>
  <c r="M53" i="52"/>
  <c r="M38" i="52" s="1"/>
  <c r="L31" i="52"/>
  <c r="G31" i="52"/>
  <c r="E31" i="52"/>
  <c r="M31" i="52"/>
  <c r="M48" i="51"/>
  <c r="M47" i="51" s="1"/>
  <c r="M49" i="51"/>
  <c r="M50" i="51"/>
  <c r="H59" i="53" l="1"/>
  <c r="G59" i="53"/>
  <c r="N57" i="53"/>
  <c r="N10" i="53"/>
  <c r="N38" i="53"/>
  <c r="N7" i="53"/>
  <c r="N31" i="53"/>
  <c r="I55" i="52"/>
  <c r="I57" i="52" s="1"/>
  <c r="H55" i="52"/>
  <c r="H57" i="52" s="1"/>
  <c r="L55" i="52"/>
  <c r="L57" i="52" s="1"/>
  <c r="J55" i="52"/>
  <c r="J57" i="52" s="1"/>
  <c r="D55" i="52"/>
  <c r="D57" i="52" s="1"/>
  <c r="K55" i="52"/>
  <c r="K57" i="52" s="1"/>
  <c r="F55" i="52"/>
  <c r="F57" i="52" s="1"/>
  <c r="E55" i="52"/>
  <c r="E57" i="52" s="1"/>
  <c r="G55" i="52"/>
  <c r="G57" i="52" s="1"/>
  <c r="M55" i="52"/>
  <c r="N55" i="52" s="1"/>
  <c r="M31" i="51"/>
  <c r="M30" i="51" s="1"/>
  <c r="M52" i="51"/>
  <c r="F51" i="51"/>
  <c r="M51" i="51" s="1"/>
  <c r="L49" i="51"/>
  <c r="K49" i="51"/>
  <c r="J49" i="51"/>
  <c r="I49" i="51"/>
  <c r="H49" i="51"/>
  <c r="G49" i="51"/>
  <c r="F49" i="51"/>
  <c r="E49" i="51"/>
  <c r="D49" i="51"/>
  <c r="L47" i="51"/>
  <c r="K47" i="51"/>
  <c r="J47" i="51"/>
  <c r="I47" i="51"/>
  <c r="H47" i="51"/>
  <c r="G47" i="51"/>
  <c r="F47" i="51"/>
  <c r="E47" i="51"/>
  <c r="D47" i="51"/>
  <c r="M46" i="51"/>
  <c r="M45" i="51" s="1"/>
  <c r="L45" i="51"/>
  <c r="K45" i="51"/>
  <c r="J45" i="51"/>
  <c r="I45" i="51"/>
  <c r="H45" i="51"/>
  <c r="G45" i="51"/>
  <c r="F45" i="51"/>
  <c r="E45" i="51"/>
  <c r="D45" i="51"/>
  <c r="M44" i="51"/>
  <c r="M43" i="51" s="1"/>
  <c r="L43" i="51"/>
  <c r="K43" i="51"/>
  <c r="J43" i="51"/>
  <c r="I43" i="51"/>
  <c r="H43" i="51"/>
  <c r="G43" i="51"/>
  <c r="F43" i="51"/>
  <c r="E43" i="51"/>
  <c r="D43" i="51"/>
  <c r="M42" i="51"/>
  <c r="M41" i="51" s="1"/>
  <c r="L41" i="51"/>
  <c r="K41" i="51"/>
  <c r="J41" i="51"/>
  <c r="I41" i="51"/>
  <c r="H41" i="51"/>
  <c r="G41" i="51"/>
  <c r="F41" i="51"/>
  <c r="E41" i="51"/>
  <c r="D41" i="51"/>
  <c r="M40" i="51"/>
  <c r="M39" i="51" s="1"/>
  <c r="L39" i="51"/>
  <c r="K39" i="51"/>
  <c r="J39" i="51"/>
  <c r="I39" i="51"/>
  <c r="H39" i="51"/>
  <c r="G39" i="51"/>
  <c r="F39" i="51"/>
  <c r="E39" i="51"/>
  <c r="D39" i="51"/>
  <c r="M38" i="51"/>
  <c r="M37" i="51" s="1"/>
  <c r="L37" i="51"/>
  <c r="K37" i="51"/>
  <c r="J37" i="51"/>
  <c r="I37" i="51"/>
  <c r="H37" i="51"/>
  <c r="G37" i="51"/>
  <c r="F37" i="51"/>
  <c r="E37" i="51"/>
  <c r="D37" i="51"/>
  <c r="M35" i="51"/>
  <c r="M34" i="51" s="1"/>
  <c r="L34" i="51"/>
  <c r="K34" i="51"/>
  <c r="J34" i="51"/>
  <c r="I34" i="51"/>
  <c r="H34" i="51"/>
  <c r="G34" i="51"/>
  <c r="F34" i="51"/>
  <c r="E34" i="51"/>
  <c r="D34" i="51"/>
  <c r="M33" i="51"/>
  <c r="M32" i="51" s="1"/>
  <c r="L32" i="51"/>
  <c r="K32" i="51"/>
  <c r="J32" i="51"/>
  <c r="I32" i="51"/>
  <c r="H32" i="51"/>
  <c r="G32" i="51"/>
  <c r="F32" i="51"/>
  <c r="E32" i="51"/>
  <c r="D32" i="51"/>
  <c r="L30" i="51"/>
  <c r="K30" i="51"/>
  <c r="J30" i="51"/>
  <c r="I30" i="51"/>
  <c r="H30" i="51"/>
  <c r="G30" i="51"/>
  <c r="F30" i="51"/>
  <c r="E30" i="51"/>
  <c r="D30" i="51"/>
  <c r="M27" i="51"/>
  <c r="M25" i="51"/>
  <c r="M24" i="51"/>
  <c r="M23" i="51" s="1"/>
  <c r="L23" i="51"/>
  <c r="K23" i="51"/>
  <c r="J23" i="51"/>
  <c r="I23" i="51"/>
  <c r="H23" i="51"/>
  <c r="G23" i="51"/>
  <c r="F23" i="51"/>
  <c r="E23" i="51"/>
  <c r="D23" i="51"/>
  <c r="M22" i="51"/>
  <c r="M21" i="51" s="1"/>
  <c r="L21" i="51"/>
  <c r="K21" i="51"/>
  <c r="J21" i="51"/>
  <c r="F21" i="51"/>
  <c r="E21" i="51"/>
  <c r="M20" i="51"/>
  <c r="M19" i="51" s="1"/>
  <c r="L19" i="51"/>
  <c r="K19" i="51"/>
  <c r="J19" i="51"/>
  <c r="I19" i="51"/>
  <c r="H19" i="51"/>
  <c r="G19" i="51"/>
  <c r="F19" i="51"/>
  <c r="E19" i="51"/>
  <c r="D19" i="51"/>
  <c r="M18" i="51"/>
  <c r="M17" i="51" s="1"/>
  <c r="L17" i="51"/>
  <c r="K17" i="51"/>
  <c r="J17" i="51"/>
  <c r="I17" i="51"/>
  <c r="H17" i="51"/>
  <c r="G17" i="51"/>
  <c r="F17" i="51"/>
  <c r="E17" i="51"/>
  <c r="D17" i="51"/>
  <c r="M16" i="51"/>
  <c r="M15" i="51" s="1"/>
  <c r="L15" i="51"/>
  <c r="K15" i="51"/>
  <c r="J15" i="51"/>
  <c r="I15" i="51"/>
  <c r="H15" i="51"/>
  <c r="G15" i="51"/>
  <c r="F15" i="51"/>
  <c r="E15" i="51"/>
  <c r="D15" i="51"/>
  <c r="M14" i="51"/>
  <c r="M13" i="51" s="1"/>
  <c r="L13" i="51"/>
  <c r="K13" i="51"/>
  <c r="J13" i="51"/>
  <c r="I13" i="51"/>
  <c r="H13" i="51"/>
  <c r="G13" i="51"/>
  <c r="F13" i="51"/>
  <c r="E13" i="51"/>
  <c r="D13" i="51"/>
  <c r="M12" i="51"/>
  <c r="M11" i="51" s="1"/>
  <c r="L11" i="51"/>
  <c r="K11" i="51"/>
  <c r="J11" i="51"/>
  <c r="I11" i="51"/>
  <c r="H11" i="51"/>
  <c r="G11" i="51"/>
  <c r="F11" i="51"/>
  <c r="E11" i="51"/>
  <c r="D11" i="51"/>
  <c r="M9" i="51"/>
  <c r="M8" i="51" s="1"/>
  <c r="M7" i="51" s="1"/>
  <c r="L8" i="51"/>
  <c r="L7" i="51" s="1"/>
  <c r="K8" i="51"/>
  <c r="K7" i="51" s="1"/>
  <c r="J8" i="51"/>
  <c r="J7" i="51" s="1"/>
  <c r="I8" i="51"/>
  <c r="I7" i="51" s="1"/>
  <c r="H8" i="51"/>
  <c r="H7" i="51" s="1"/>
  <c r="G8" i="51"/>
  <c r="G7" i="51" s="1"/>
  <c r="F8" i="51"/>
  <c r="F7" i="51" s="1"/>
  <c r="E8" i="51"/>
  <c r="E7" i="51" s="1"/>
  <c r="D8" i="51"/>
  <c r="D7" i="51" s="1"/>
  <c r="J36" i="51" l="1"/>
  <c r="D10" i="51"/>
  <c r="F36" i="51"/>
  <c r="L36" i="51"/>
  <c r="M10" i="51"/>
  <c r="F29" i="51"/>
  <c r="I29" i="51"/>
  <c r="E36" i="51"/>
  <c r="I36" i="51"/>
  <c r="M36" i="51"/>
  <c r="K36" i="51"/>
  <c r="N31" i="52"/>
  <c r="N10" i="52"/>
  <c r="N38" i="52"/>
  <c r="N7" i="52"/>
  <c r="D36" i="51"/>
  <c r="G10" i="51"/>
  <c r="K10" i="51"/>
  <c r="E10" i="51"/>
  <c r="E53" i="51" s="1"/>
  <c r="J10" i="51"/>
  <c r="I10" i="51"/>
  <c r="L10" i="51"/>
  <c r="H36" i="51"/>
  <c r="H10" i="51"/>
  <c r="E29" i="51"/>
  <c r="G36" i="51"/>
  <c r="J29" i="51"/>
  <c r="K29" i="51"/>
  <c r="L29" i="51"/>
  <c r="D29" i="51"/>
  <c r="H29" i="51"/>
  <c r="G29" i="51"/>
  <c r="F10" i="51"/>
  <c r="M29" i="51"/>
  <c r="M53" i="51" s="1"/>
  <c r="M9" i="50"/>
  <c r="M8" i="50" s="1"/>
  <c r="M7" i="50" s="1"/>
  <c r="M12" i="50"/>
  <c r="M11" i="50" s="1"/>
  <c r="M16" i="50"/>
  <c r="M20" i="50"/>
  <c r="M24" i="50"/>
  <c r="M23" i="50" s="1"/>
  <c r="M22" i="50"/>
  <c r="M21" i="50" s="1"/>
  <c r="M31" i="50"/>
  <c r="M30" i="50" s="1"/>
  <c r="L41" i="50"/>
  <c r="K41" i="50"/>
  <c r="J41" i="50"/>
  <c r="I41" i="50"/>
  <c r="H41" i="50"/>
  <c r="G41" i="50"/>
  <c r="K21" i="50"/>
  <c r="L21" i="50"/>
  <c r="M42" i="50"/>
  <c r="M41" i="50" s="1"/>
  <c r="F41" i="50"/>
  <c r="E41" i="50"/>
  <c r="D41" i="50"/>
  <c r="E23" i="50"/>
  <c r="F23" i="50"/>
  <c r="G23" i="50"/>
  <c r="H23" i="50"/>
  <c r="I23" i="50"/>
  <c r="J23" i="50"/>
  <c r="K23" i="50"/>
  <c r="L23" i="50"/>
  <c r="D23" i="50"/>
  <c r="M52" i="50"/>
  <c r="F51" i="50"/>
  <c r="M51" i="50" s="1"/>
  <c r="M50" i="50"/>
  <c r="M49" i="50" s="1"/>
  <c r="L49" i="50"/>
  <c r="K49" i="50"/>
  <c r="J49" i="50"/>
  <c r="I49" i="50"/>
  <c r="H49" i="50"/>
  <c r="G49" i="50"/>
  <c r="F49" i="50"/>
  <c r="E49" i="50"/>
  <c r="D49" i="50"/>
  <c r="M48" i="50"/>
  <c r="M47" i="50" s="1"/>
  <c r="L47" i="50"/>
  <c r="K47" i="50"/>
  <c r="J47" i="50"/>
  <c r="I47" i="50"/>
  <c r="H47" i="50"/>
  <c r="G47" i="50"/>
  <c r="F47" i="50"/>
  <c r="E47" i="50"/>
  <c r="D47" i="50"/>
  <c r="M46" i="50"/>
  <c r="M45" i="50" s="1"/>
  <c r="L45" i="50"/>
  <c r="K45" i="50"/>
  <c r="J45" i="50"/>
  <c r="I45" i="50"/>
  <c r="H45" i="50"/>
  <c r="G45" i="50"/>
  <c r="F45" i="50"/>
  <c r="E45" i="50"/>
  <c r="D45" i="50"/>
  <c r="M44" i="50"/>
  <c r="M43" i="50" s="1"/>
  <c r="L43" i="50"/>
  <c r="K43" i="50"/>
  <c r="J43" i="50"/>
  <c r="I43" i="50"/>
  <c r="H43" i="50"/>
  <c r="G43" i="50"/>
  <c r="F43" i="50"/>
  <c r="E43" i="50"/>
  <c r="D43" i="50"/>
  <c r="M40" i="50"/>
  <c r="M39" i="50" s="1"/>
  <c r="L39" i="50"/>
  <c r="K39" i="50"/>
  <c r="J39" i="50"/>
  <c r="I39" i="50"/>
  <c r="H39" i="50"/>
  <c r="G39" i="50"/>
  <c r="F39" i="50"/>
  <c r="E39" i="50"/>
  <c r="D39" i="50"/>
  <c r="M38" i="50"/>
  <c r="M37" i="50" s="1"/>
  <c r="L37" i="50"/>
  <c r="K37" i="50"/>
  <c r="J37" i="50"/>
  <c r="I37" i="50"/>
  <c r="H37" i="50"/>
  <c r="G37" i="50"/>
  <c r="F37" i="50"/>
  <c r="E37" i="50"/>
  <c r="D37" i="50"/>
  <c r="M35" i="50"/>
  <c r="M34" i="50" s="1"/>
  <c r="L34" i="50"/>
  <c r="K34" i="50"/>
  <c r="J34" i="50"/>
  <c r="I34" i="50"/>
  <c r="H34" i="50"/>
  <c r="G34" i="50"/>
  <c r="F34" i="50"/>
  <c r="E34" i="50"/>
  <c r="D34" i="50"/>
  <c r="M33" i="50"/>
  <c r="M32" i="50" s="1"/>
  <c r="L32" i="50"/>
  <c r="K32" i="50"/>
  <c r="J32" i="50"/>
  <c r="I32" i="50"/>
  <c r="H32" i="50"/>
  <c r="G32" i="50"/>
  <c r="F32" i="50"/>
  <c r="E32" i="50"/>
  <c r="D32" i="50"/>
  <c r="L30" i="50"/>
  <c r="K30" i="50"/>
  <c r="J30" i="50"/>
  <c r="I30" i="50"/>
  <c r="H30" i="50"/>
  <c r="G30" i="50"/>
  <c r="F30" i="50"/>
  <c r="E30" i="50"/>
  <c r="D30" i="50"/>
  <c r="M27" i="50"/>
  <c r="M25" i="50"/>
  <c r="J21" i="50"/>
  <c r="F21" i="50"/>
  <c r="E21" i="50"/>
  <c r="M19" i="50"/>
  <c r="L19" i="50"/>
  <c r="K19" i="50"/>
  <c r="J19" i="50"/>
  <c r="I19" i="50"/>
  <c r="H19" i="50"/>
  <c r="G19" i="50"/>
  <c r="F19" i="50"/>
  <c r="E19" i="50"/>
  <c r="D19" i="50"/>
  <c r="M18" i="50"/>
  <c r="M17" i="50" s="1"/>
  <c r="L17" i="50"/>
  <c r="K17" i="50"/>
  <c r="J17" i="50"/>
  <c r="I17" i="50"/>
  <c r="H17" i="50"/>
  <c r="G17" i="50"/>
  <c r="F17" i="50"/>
  <c r="E17" i="50"/>
  <c r="D17" i="50"/>
  <c r="M15" i="50"/>
  <c r="L15" i="50"/>
  <c r="K15" i="50"/>
  <c r="J15" i="50"/>
  <c r="I15" i="50"/>
  <c r="H15" i="50"/>
  <c r="G15" i="50"/>
  <c r="F15" i="50"/>
  <c r="E15" i="50"/>
  <c r="D15" i="50"/>
  <c r="M14" i="50"/>
  <c r="M13" i="50" s="1"/>
  <c r="L13" i="50"/>
  <c r="K13" i="50"/>
  <c r="J13" i="50"/>
  <c r="I13" i="50"/>
  <c r="H13" i="50"/>
  <c r="G13" i="50"/>
  <c r="F13" i="50"/>
  <c r="E13" i="50"/>
  <c r="D13" i="50"/>
  <c r="L11" i="50"/>
  <c r="K11" i="50"/>
  <c r="J11" i="50"/>
  <c r="I11" i="50"/>
  <c r="H11" i="50"/>
  <c r="G11" i="50"/>
  <c r="F11" i="50"/>
  <c r="E11" i="50"/>
  <c r="D11" i="50"/>
  <c r="L8" i="50"/>
  <c r="L7" i="50" s="1"/>
  <c r="K8" i="50"/>
  <c r="K7" i="50" s="1"/>
  <c r="J8" i="50"/>
  <c r="J7" i="50" s="1"/>
  <c r="I8" i="50"/>
  <c r="I7" i="50" s="1"/>
  <c r="H8" i="50"/>
  <c r="H7" i="50" s="1"/>
  <c r="G8" i="50"/>
  <c r="F8" i="50"/>
  <c r="F7" i="50" s="1"/>
  <c r="E8" i="50"/>
  <c r="E7" i="50" s="1"/>
  <c r="D8" i="50"/>
  <c r="D7" i="50" s="1"/>
  <c r="G7" i="50"/>
  <c r="K21" i="49"/>
  <c r="M38" i="49"/>
  <c r="M37" i="49" s="1"/>
  <c r="M35" i="49"/>
  <c r="M33" i="49"/>
  <c r="M31" i="49"/>
  <c r="M30" i="49" s="1"/>
  <c r="M22" i="49"/>
  <c r="M21" i="49" s="1"/>
  <c r="M20" i="49"/>
  <c r="M19" i="49" s="1"/>
  <c r="M18" i="49"/>
  <c r="M16" i="49"/>
  <c r="M15" i="49" s="1"/>
  <c r="M14" i="49"/>
  <c r="M13" i="49" s="1"/>
  <c r="M12" i="49"/>
  <c r="M11" i="49" s="1"/>
  <c r="M9" i="49"/>
  <c r="M8" i="49" s="1"/>
  <c r="M7" i="49" s="1"/>
  <c r="L8" i="49"/>
  <c r="L7" i="49" s="1"/>
  <c r="K8" i="49"/>
  <c r="K7" i="49" s="1"/>
  <c r="J8" i="49"/>
  <c r="J7" i="49" s="1"/>
  <c r="I8" i="49"/>
  <c r="I7" i="49" s="1"/>
  <c r="H8" i="49"/>
  <c r="H7" i="49" s="1"/>
  <c r="G8" i="49"/>
  <c r="G7" i="49" s="1"/>
  <c r="F8" i="49"/>
  <c r="F7" i="49" s="1"/>
  <c r="E8" i="49"/>
  <c r="E7" i="49" s="1"/>
  <c r="D8" i="49"/>
  <c r="D7" i="49" s="1"/>
  <c r="E21" i="49"/>
  <c r="M50" i="49"/>
  <c r="F49" i="49"/>
  <c r="M49" i="49" s="1"/>
  <c r="M48" i="49"/>
  <c r="M47" i="49" s="1"/>
  <c r="L47" i="49"/>
  <c r="K47" i="49"/>
  <c r="J47" i="49"/>
  <c r="I47" i="49"/>
  <c r="H47" i="49"/>
  <c r="G47" i="49"/>
  <c r="F47" i="49"/>
  <c r="E47" i="49"/>
  <c r="D47" i="49"/>
  <c r="M46" i="49"/>
  <c r="M45" i="49" s="1"/>
  <c r="L45" i="49"/>
  <c r="K45" i="49"/>
  <c r="J45" i="49"/>
  <c r="I45" i="49"/>
  <c r="H45" i="49"/>
  <c r="G45" i="49"/>
  <c r="F45" i="49"/>
  <c r="E45" i="49"/>
  <c r="D45" i="49"/>
  <c r="M44" i="49"/>
  <c r="M43" i="49" s="1"/>
  <c r="L43" i="49"/>
  <c r="K43" i="49"/>
  <c r="J43" i="49"/>
  <c r="I43" i="49"/>
  <c r="H43" i="49"/>
  <c r="G43" i="49"/>
  <c r="F43" i="49"/>
  <c r="E43" i="49"/>
  <c r="D43" i="49"/>
  <c r="M42" i="49"/>
  <c r="M41" i="49" s="1"/>
  <c r="L41" i="49"/>
  <c r="K41" i="49"/>
  <c r="J41" i="49"/>
  <c r="I41" i="49"/>
  <c r="H41" i="49"/>
  <c r="G41" i="49"/>
  <c r="F41" i="49"/>
  <c r="E41" i="49"/>
  <c r="D41" i="49"/>
  <c r="M40" i="49"/>
  <c r="M39" i="49" s="1"/>
  <c r="L39" i="49"/>
  <c r="K39" i="49"/>
  <c r="J39" i="49"/>
  <c r="I39" i="49"/>
  <c r="H39" i="49"/>
  <c r="G39" i="49"/>
  <c r="F39" i="49"/>
  <c r="E39" i="49"/>
  <c r="D39" i="49"/>
  <c r="L37" i="49"/>
  <c r="K37" i="49"/>
  <c r="J37" i="49"/>
  <c r="I37" i="49"/>
  <c r="H37" i="49"/>
  <c r="G37" i="49"/>
  <c r="F37" i="49"/>
  <c r="E37" i="49"/>
  <c r="D37" i="49"/>
  <c r="M34" i="49"/>
  <c r="L34" i="49"/>
  <c r="K34" i="49"/>
  <c r="J34" i="49"/>
  <c r="I34" i="49"/>
  <c r="H34" i="49"/>
  <c r="G34" i="49"/>
  <c r="F34" i="49"/>
  <c r="E34" i="49"/>
  <c r="D34" i="49"/>
  <c r="M32" i="49"/>
  <c r="L32" i="49"/>
  <c r="K32" i="49"/>
  <c r="J32" i="49"/>
  <c r="I32" i="49"/>
  <c r="H32" i="49"/>
  <c r="G32" i="49"/>
  <c r="F32" i="49"/>
  <c r="E32" i="49"/>
  <c r="D32" i="49"/>
  <c r="L30" i="49"/>
  <c r="K30" i="49"/>
  <c r="J30" i="49"/>
  <c r="I30" i="49"/>
  <c r="H30" i="49"/>
  <c r="G30" i="49"/>
  <c r="F30" i="49"/>
  <c r="E30" i="49"/>
  <c r="D30" i="49"/>
  <c r="M27" i="49"/>
  <c r="M25" i="49"/>
  <c r="M23" i="49"/>
  <c r="J21" i="49"/>
  <c r="F21" i="49"/>
  <c r="L19" i="49"/>
  <c r="K19" i="49"/>
  <c r="J19" i="49"/>
  <c r="I19" i="49"/>
  <c r="H19" i="49"/>
  <c r="G19" i="49"/>
  <c r="F19" i="49"/>
  <c r="E19" i="49"/>
  <c r="D19" i="49"/>
  <c r="M17" i="49"/>
  <c r="L17" i="49"/>
  <c r="K17" i="49"/>
  <c r="J17" i="49"/>
  <c r="I17" i="49"/>
  <c r="H17" i="49"/>
  <c r="G17" i="49"/>
  <c r="F17" i="49"/>
  <c r="E17" i="49"/>
  <c r="D17" i="49"/>
  <c r="L15" i="49"/>
  <c r="K15" i="49"/>
  <c r="J15" i="49"/>
  <c r="I15" i="49"/>
  <c r="H15" i="49"/>
  <c r="G15" i="49"/>
  <c r="F15" i="49"/>
  <c r="E15" i="49"/>
  <c r="D15" i="49"/>
  <c r="L13" i="49"/>
  <c r="K13" i="49"/>
  <c r="J13" i="49"/>
  <c r="I13" i="49"/>
  <c r="H13" i="49"/>
  <c r="G13" i="49"/>
  <c r="F13" i="49"/>
  <c r="E13" i="49"/>
  <c r="D13" i="49"/>
  <c r="L11" i="49"/>
  <c r="K11" i="49"/>
  <c r="J11" i="49"/>
  <c r="I11" i="49"/>
  <c r="H11" i="49"/>
  <c r="G11" i="49"/>
  <c r="F11" i="49"/>
  <c r="E11" i="49"/>
  <c r="D11" i="49"/>
  <c r="F53" i="51" l="1"/>
  <c r="F55" i="51" s="1"/>
  <c r="H10" i="50"/>
  <c r="F29" i="50"/>
  <c r="K36" i="50"/>
  <c r="I53" i="51"/>
  <c r="I55" i="51" s="1"/>
  <c r="H53" i="51"/>
  <c r="H55" i="51" s="1"/>
  <c r="D53" i="51"/>
  <c r="D55" i="51" s="1"/>
  <c r="K53" i="51"/>
  <c r="K55" i="51" s="1"/>
  <c r="J53" i="51"/>
  <c r="J55" i="51" s="1"/>
  <c r="L53" i="51"/>
  <c r="L55" i="51" s="1"/>
  <c r="G53" i="51"/>
  <c r="G55" i="51" s="1"/>
  <c r="E55" i="51"/>
  <c r="G36" i="50"/>
  <c r="H36" i="50"/>
  <c r="I36" i="50"/>
  <c r="K10" i="50"/>
  <c r="J36" i="50"/>
  <c r="L10" i="50"/>
  <c r="D29" i="50"/>
  <c r="D36" i="50"/>
  <c r="L36" i="50"/>
  <c r="F10" i="50"/>
  <c r="D10" i="50"/>
  <c r="L29" i="50"/>
  <c r="K29" i="50"/>
  <c r="E36" i="50"/>
  <c r="F36" i="50"/>
  <c r="M36" i="50"/>
  <c r="J29" i="50"/>
  <c r="J10" i="50"/>
  <c r="I29" i="50"/>
  <c r="H29" i="50"/>
  <c r="G29" i="50"/>
  <c r="E29" i="50"/>
  <c r="M29" i="50"/>
  <c r="I10" i="50"/>
  <c r="M10" i="50"/>
  <c r="G10" i="50"/>
  <c r="E10" i="50"/>
  <c r="D29" i="49"/>
  <c r="L29" i="49"/>
  <c r="J29" i="49"/>
  <c r="G36" i="49"/>
  <c r="H29" i="49"/>
  <c r="F29" i="49"/>
  <c r="H10" i="49"/>
  <c r="G29" i="49"/>
  <c r="F36" i="49"/>
  <c r="D36" i="49"/>
  <c r="L36" i="49"/>
  <c r="J36" i="49"/>
  <c r="J10" i="49"/>
  <c r="K10" i="49"/>
  <c r="I10" i="49"/>
  <c r="G10" i="49"/>
  <c r="I36" i="49"/>
  <c r="D10" i="49"/>
  <c r="H36" i="49"/>
  <c r="L10" i="49"/>
  <c r="F10" i="49"/>
  <c r="K29" i="49"/>
  <c r="I29" i="49"/>
  <c r="K36" i="49"/>
  <c r="E36" i="49"/>
  <c r="M36" i="49"/>
  <c r="E29" i="49"/>
  <c r="M29" i="49"/>
  <c r="M10" i="49"/>
  <c r="E10" i="49"/>
  <c r="N53" i="51" l="1"/>
  <c r="N7" i="51"/>
  <c r="N10" i="51"/>
  <c r="N29" i="51"/>
  <c r="N36" i="51"/>
  <c r="K53" i="50"/>
  <c r="K55" i="50" s="1"/>
  <c r="H53" i="50"/>
  <c r="H55" i="50" s="1"/>
  <c r="F53" i="50"/>
  <c r="F55" i="50" s="1"/>
  <c r="L53" i="50"/>
  <c r="L55" i="50" s="1"/>
  <c r="D53" i="50"/>
  <c r="D55" i="50" s="1"/>
  <c r="J53" i="50"/>
  <c r="J55" i="50" s="1"/>
  <c r="I53" i="50"/>
  <c r="I55" i="50" s="1"/>
  <c r="G53" i="50"/>
  <c r="G55" i="50" s="1"/>
  <c r="E53" i="50"/>
  <c r="E55" i="50" s="1"/>
  <c r="M53" i="50"/>
  <c r="N53" i="50" s="1"/>
  <c r="M51" i="49"/>
  <c r="N36" i="49" s="1"/>
  <c r="D51" i="49"/>
  <c r="D53" i="49" s="1"/>
  <c r="H51" i="49"/>
  <c r="H53" i="49" s="1"/>
  <c r="G51" i="49"/>
  <c r="G53" i="49" s="1"/>
  <c r="L51" i="49"/>
  <c r="L53" i="49" s="1"/>
  <c r="I51" i="49"/>
  <c r="I53" i="49" s="1"/>
  <c r="K51" i="49"/>
  <c r="K53" i="49" s="1"/>
  <c r="F51" i="49"/>
  <c r="F53" i="49" s="1"/>
  <c r="J51" i="49"/>
  <c r="J53" i="49" s="1"/>
  <c r="E51" i="49"/>
  <c r="E53" i="49" s="1"/>
  <c r="N29" i="50" l="1"/>
  <c r="N36" i="50"/>
  <c r="N7" i="50"/>
  <c r="N10" i="50"/>
  <c r="N51" i="49"/>
  <c r="N7" i="49"/>
  <c r="N29" i="49"/>
  <c r="N10" i="49"/>
  <c r="I39" i="55" l="1"/>
  <c r="I38" i="55" s="1"/>
  <c r="I57" i="55" s="1"/>
  <c r="I59" i="55" s="1"/>
  <c r="M40" i="55"/>
  <c r="M39" i="55" s="1"/>
  <c r="M38" i="55" s="1"/>
  <c r="M57" i="55" l="1"/>
  <c r="N7" i="55" l="1"/>
  <c r="N57" i="55"/>
  <c r="N31" i="55"/>
  <c r="N10" i="55"/>
  <c r="N38" i="55"/>
  <c r="M16" i="58"/>
  <c r="M15" i="58" s="1"/>
  <c r="M10" i="58" s="1"/>
  <c r="G15" i="58"/>
  <c r="G10" i="58" s="1"/>
  <c r="G59" i="58" s="1"/>
  <c r="G61" i="58" s="1"/>
  <c r="M59" i="58" l="1"/>
  <c r="N10" i="58" s="1"/>
  <c r="N31" i="58" l="1"/>
  <c r="N7" i="58"/>
  <c r="N59" i="58"/>
  <c r="N38" i="58"/>
</calcChain>
</file>

<file path=xl/sharedStrings.xml><?xml version="1.0" encoding="utf-8"?>
<sst xmlns="http://schemas.openxmlformats.org/spreadsheetml/2006/main" count="1415" uniqueCount="101">
  <si>
    <t>Inversiones de los Fondos de Pensiones en USD$</t>
  </si>
  <si>
    <t>Al 31 de Enero 2021</t>
  </si>
  <si>
    <t xml:space="preserve"> RD$</t>
  </si>
  <si>
    <t>Sub-Sector Económico / Emisor</t>
  </si>
  <si>
    <t>Clasificación de Riesgo</t>
  </si>
  <si>
    <t>Atlántico</t>
  </si>
  <si>
    <t>Crecer</t>
  </si>
  <si>
    <t>JMMB-BDI</t>
  </si>
  <si>
    <t>Popular</t>
  </si>
  <si>
    <t>Reservas</t>
  </si>
  <si>
    <t>Siembra</t>
  </si>
  <si>
    <t>Banco Central-Reparto Individualizado</t>
  </si>
  <si>
    <t>Reservas-Reparto Individualizado</t>
  </si>
  <si>
    <t>Fondo de Solidaridad Social</t>
  </si>
  <si>
    <t xml:space="preserve">Total </t>
  </si>
  <si>
    <t>Valor de Mercado</t>
  </si>
  <si>
    <t>Participación</t>
  </si>
  <si>
    <t>Sector Gobierno Central</t>
  </si>
  <si>
    <t/>
  </si>
  <si>
    <t xml:space="preserve">  Ministerio de Hacienda</t>
  </si>
  <si>
    <t xml:space="preserve">    Bonos de Hacienda</t>
  </si>
  <si>
    <t>AAA</t>
  </si>
  <si>
    <t>Bancos Comerciales y de Servicios Múltiples</t>
  </si>
  <si>
    <t xml:space="preserve">  Banco BHD-León</t>
  </si>
  <si>
    <t xml:space="preserve">    Certificados de Depósito</t>
  </si>
  <si>
    <t>C-1</t>
  </si>
  <si>
    <t xml:space="preserve">  Banco Santa Cruz</t>
  </si>
  <si>
    <t>C-2</t>
  </si>
  <si>
    <t xml:space="preserve">  Banco de Reservas</t>
  </si>
  <si>
    <t xml:space="preserve">  Scotiabank</t>
  </si>
  <si>
    <t xml:space="preserve">  Banco Popular</t>
  </si>
  <si>
    <t xml:space="preserve">  Banesco</t>
  </si>
  <si>
    <t>Citibank</t>
  </si>
  <si>
    <t>Banco Santa Cruz</t>
  </si>
  <si>
    <t>Empresas Privadas</t>
  </si>
  <si>
    <t xml:space="preserve">  Consorcio Energético Punta Cana-Macao</t>
  </si>
  <si>
    <t xml:space="preserve">    Bonos Empresas</t>
  </si>
  <si>
    <t xml:space="preserve">AA </t>
  </si>
  <si>
    <t xml:space="preserve">  Dominican Power Partners</t>
  </si>
  <si>
    <t>AA</t>
  </si>
  <si>
    <t xml:space="preserve">  Empresa Generadora de Electricidad Haina, S.A.</t>
  </si>
  <si>
    <t xml:space="preserve">A  </t>
  </si>
  <si>
    <t>Fondos de Inversión</t>
  </si>
  <si>
    <t xml:space="preserve">  Fondo Cerrado de Desarrollo de Sociedades GAM Energía</t>
  </si>
  <si>
    <t xml:space="preserve">   Cuotas de fondos cerrados de inversión</t>
  </si>
  <si>
    <t>BBB</t>
  </si>
  <si>
    <t xml:space="preserve">  Fondo Cerrado de Desarrollo de Sociedades GAM II</t>
  </si>
  <si>
    <t xml:space="preserve">  Fondo de Inversión Cerrado Inmobiliario Excel I</t>
  </si>
  <si>
    <t xml:space="preserve">    Cuotas de fondos cerrados de inversión</t>
  </si>
  <si>
    <t xml:space="preserve">  Fondo de Inversión Cerrado Inmobiliario Excel II</t>
  </si>
  <si>
    <t xml:space="preserve">  Fondo de Inversión Cerrado Renta Inmobiliaria Dólares Popular</t>
  </si>
  <si>
    <t xml:space="preserve">  Fondo de Inversión Cerrado Inmobiliario Universal I</t>
  </si>
  <si>
    <t xml:space="preserve">  JMMB Fondo de Inversión Cerrado Inmobiliario</t>
  </si>
  <si>
    <t>TOTAL INVERSIONES</t>
  </si>
  <si>
    <t>CARTERA DE INVERSIONES</t>
  </si>
  <si>
    <t>PARTICIPACIÓN</t>
  </si>
  <si>
    <t>TOTAL CARTERA INVERSIONES</t>
  </si>
  <si>
    <t>1 Tasa de Cambio de referencia: RD$57.9982.</t>
  </si>
  <si>
    <t>2 Tasa de cambio publicada por el BC correspondiente al promedio ponderado del mercado spot,  para ser utilizada como referencia para las operaciones del día 31 de Enero de 2021.</t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</si>
  <si>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No incluye inversiones de los fondos complementarios ni del fondo del INABIMA.</t>
    </r>
  </si>
  <si>
    <t>Al 28 de Febrero 2021</t>
  </si>
  <si>
    <t>Banco BDI</t>
  </si>
  <si>
    <t xml:space="preserve">  Fondo Cerrado Inmobiliario GAM I</t>
  </si>
  <si>
    <t>1 Tasa de Cambio de referencia: RD$57.8471.</t>
  </si>
  <si>
    <t>2 Tasa de cambio publicada por el BC correspondiente al promedio ponderado del mercado spot,  para ser utilizada como referencia para las operaciones del día 28 de Febrero de 2021.</t>
  </si>
  <si>
    <t>Al 31 de Marzo 2021</t>
  </si>
  <si>
    <t>1 Tasa de Cambio de referencia: RD$56.7373.</t>
  </si>
  <si>
    <t>2 Tasa de cambio publicada por el BC correspondiente al promedio ponderado del mercado spot,  para ser utilizada como referencia para las operaciones del día 31 de Marzo de 2021.</t>
  </si>
  <si>
    <t>Al 30 de Abril 2021</t>
  </si>
  <si>
    <t>Banco LAFISE</t>
  </si>
  <si>
    <t>1 Tasa de Cambio de referencia: RD$56.7359.</t>
  </si>
  <si>
    <t>2 Tasa de cambio publicada por el BC correspondiente al promedio ponderado del mercado spot,  para ser utilizada como referencia para las operaciones del día 30 de Abril de 2021.</t>
  </si>
  <si>
    <t>1 Tasa de Cambio de referencia: RD$56.8275.</t>
  </si>
  <si>
    <t>2 Tasa de cambio publicada por el BC correspondiente al promedio ponderado del mercado spot,  para ser utilizada como referencia para las operaciones del día 31 de Mayo de 2021.</t>
  </si>
  <si>
    <t>Al 31 de Mayo 2021</t>
  </si>
  <si>
    <t xml:space="preserve">  JMMB Fondo de Inversión Cerrado Inmobiliario I</t>
  </si>
  <si>
    <t xml:space="preserve">  JMMB Fondo de Inversión Cerrado Inmobiliario II</t>
  </si>
  <si>
    <t>Al 30 de Junio 2021</t>
  </si>
  <si>
    <t>1 Tasa de Cambio de referencia: RD$56.8893.</t>
  </si>
  <si>
    <t>2 Tasa de cambio publicada por el BC correspondiente al promedio ponderado del mercado spot,  para ser utilizada como referencia para las operaciones del día 30 de Junio de 2021.</t>
  </si>
  <si>
    <t>Al 31 de Julio 2021</t>
  </si>
  <si>
    <t>2 Tasa de cambio publicada por el BC correspondiente al promedio ponderado del mercado spot,  para ser utilizada como referencia para las operaciones del día 30 de Julio de 2021.</t>
  </si>
  <si>
    <t>1 Tasa de Cambio de referencia: RD$56.9716.</t>
  </si>
  <si>
    <t>Al 31 de Agosto 2021</t>
  </si>
  <si>
    <t>1 Tasa de Cambio de referencia: RD$56.7999.</t>
  </si>
  <si>
    <t>2 Tasa de cambio publicada por el BC correspondiente al promedio ponderado del mercado spot,  para ser utilizada como referencia para las operaciones del día 31 de Agosto de 2021.</t>
  </si>
  <si>
    <t>Al 30 de Septiembre de 2021</t>
  </si>
  <si>
    <t>Banco Promérica</t>
  </si>
  <si>
    <t xml:space="preserve">  JMMB Fondo de Inversión Cerrado de Desarrollo de Sociedades de Energía Sostenible</t>
  </si>
  <si>
    <t>1 Tasa de Cambio de referencia: RD$56.2541.</t>
  </si>
  <si>
    <t>2 Tasa de cambio publicada por el BC correspondiente al promedio ponderado del mercado spot,  para ser utilizada como referencia para las operaciones del día 30 de Septiembre de 2021.</t>
  </si>
  <si>
    <t>Al 31 de Octubre de 2021</t>
  </si>
  <si>
    <t>1 Tasa de Cambio de referencia: RD$56.2883.</t>
  </si>
  <si>
    <t>2 Tasa de cambio publicada por el BC correspondiente al promedio ponderado del mercado spot,  para ser utilizada como referencia para las operaciones del día 29 de Octubre de 2021.</t>
  </si>
  <si>
    <t>Al 30 de Noviembre de 2021</t>
  </si>
  <si>
    <t>1 Tasa de Cambio de referencia: RD$56.3593.</t>
  </si>
  <si>
    <t>2 Tasa de cambio publicada por el BC correspondiente al promedio ponderado del mercado spot,  para ser utilizada como referencia para las operaciones del día 30 de Noviembre de 2021.</t>
  </si>
  <si>
    <t>Al 31 de Diciembre de 2021</t>
  </si>
  <si>
    <t>2 Tasa de cambio publicada por el BC correspondiente al promedio ponderado del mercado spot,  para ser utilizada como referencia para las operaciones del día 31 de Diciembre de 2021.</t>
  </si>
  <si>
    <t xml:space="preserve">  Empresa Generadora de Electricidad ITABO, S.A.</t>
  </si>
  <si>
    <t>1 Tasa de Cambio de referencia: RD$57.1413.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</si>
</sst>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RD$&quot;* #,##0.00_);_(&quot;RD$&quot;* \(#,##0.00\);_(&quot;RD$&quot;* &quot;-&quot;??_);_(@_)"/>
    <numFmt numFmtId="166" formatCode="_(* #,##0.00_);_(* \(#,##0.00\);_(* &quot;-&quot;_);_(@_)"/>
    <numFmt numFmtId="167" formatCode="_([$€-2]* #,##0.00_);_([$€-2]* \(#,##0.00\);_([$€-2]* &quot;-&quot;??_)"/>
    <numFmt numFmtId="168" formatCode="#,##0.0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905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6" fillId="0" borderId="0" xfId="1" applyFont="1" applyFill="1"/>
    <xf numFmtId="0" fontId="9" fillId="4" borderId="2" xfId="1" applyFont="1" applyFill="1" applyBorder="1" applyAlignment="1">
      <alignment vertical="center" wrapText="1"/>
    </xf>
    <xf numFmtId="10" fontId="6" fillId="4" borderId="5" xfId="3" applyNumberFormat="1" applyFont="1" applyFill="1" applyBorder="1" applyAlignment="1">
      <alignment horizontal="center" vertical="center" wrapText="1"/>
    </xf>
    <xf numFmtId="10" fontId="9" fillId="4" borderId="4" xfId="3" applyNumberFormat="1" applyFont="1" applyFill="1" applyBorder="1" applyAlignment="1">
      <alignment horizontal="center" vertical="center" wrapText="1"/>
    </xf>
    <xf numFmtId="10" fontId="9" fillId="4" borderId="5" xfId="3" applyNumberFormat="1" applyFont="1" applyFill="1" applyBorder="1" applyAlignment="1">
      <alignment horizontal="center" vertical="center" wrapText="1"/>
    </xf>
    <xf numFmtId="0" fontId="6" fillId="0" borderId="0" xfId="0" applyFont="1"/>
    <xf numFmtId="43" fontId="6" fillId="0" borderId="0" xfId="903" applyFont="1"/>
    <xf numFmtId="4" fontId="6" fillId="0" borderId="0" xfId="0" applyNumberFormat="1" applyFont="1"/>
    <xf numFmtId="0" fontId="9" fillId="4" borderId="7" xfId="1" applyFont="1" applyFill="1" applyBorder="1" applyAlignment="1">
      <alignment vertical="center" wrapText="1"/>
    </xf>
    <xf numFmtId="0" fontId="6" fillId="0" borderId="8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horizontal="left" vertical="center" wrapText="1" indent="1"/>
    </xf>
    <xf numFmtId="166" fontId="6" fillId="0" borderId="0" xfId="0" applyNumberFormat="1" applyFont="1"/>
    <xf numFmtId="10" fontId="6" fillId="4" borderId="9" xfId="3" applyNumberFormat="1" applyFont="1" applyFill="1" applyBorder="1" applyAlignment="1">
      <alignment horizontal="center" vertical="center" wrapText="1"/>
    </xf>
    <xf numFmtId="10" fontId="6" fillId="4" borderId="8" xfId="3" applyNumberFormat="1" applyFont="1" applyFill="1" applyBorder="1" applyAlignment="1">
      <alignment horizontal="center" vertical="center" wrapText="1"/>
    </xf>
    <xf numFmtId="10" fontId="6" fillId="4" borderId="2" xfId="3" applyNumberFormat="1" applyFont="1" applyFill="1" applyBorder="1" applyAlignment="1">
      <alignment horizontal="center" vertical="center" wrapText="1"/>
    </xf>
    <xf numFmtId="166" fontId="9" fillId="4" borderId="10" xfId="4" applyNumberFormat="1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43" fontId="6" fillId="0" borderId="5" xfId="903" applyFont="1" applyFill="1" applyBorder="1" applyAlignment="1">
      <alignment horizontal="center" vertical="center" wrapText="1"/>
    </xf>
    <xf numFmtId="43" fontId="6" fillId="0" borderId="0" xfId="903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5" xfId="0" applyNumberFormat="1" applyBorder="1"/>
    <xf numFmtId="43" fontId="9" fillId="4" borderId="4" xfId="903" applyFont="1" applyFill="1" applyBorder="1" applyAlignment="1">
      <alignment horizontal="center" vertical="center" wrapText="1"/>
    </xf>
    <xf numFmtId="43" fontId="9" fillId="4" borderId="1" xfId="903" applyFont="1" applyFill="1" applyBorder="1" applyAlignment="1">
      <alignment horizontal="center" vertical="center" wrapText="1"/>
    </xf>
    <xf numFmtId="43" fontId="9" fillId="4" borderId="3" xfId="903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vertical="center" wrapText="1"/>
    </xf>
    <xf numFmtId="10" fontId="9" fillId="4" borderId="8" xfId="3" applyNumberFormat="1" applyFont="1" applyFill="1" applyBorder="1" applyAlignment="1">
      <alignment horizontal="center" vertical="center" wrapText="1"/>
    </xf>
    <xf numFmtId="43" fontId="9" fillId="0" borderId="9" xfId="903" applyFont="1" applyFill="1" applyBorder="1" applyAlignment="1">
      <alignment horizontal="center" vertical="center" wrapText="1"/>
    </xf>
    <xf numFmtId="43" fontId="9" fillId="0" borderId="11" xfId="903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vertical="center" wrapText="1"/>
    </xf>
    <xf numFmtId="43" fontId="9" fillId="0" borderId="5" xfId="903" applyFont="1" applyFill="1" applyBorder="1" applyAlignment="1">
      <alignment horizontal="center" vertical="center" wrapText="1"/>
    </xf>
    <xf numFmtId="43" fontId="9" fillId="0" borderId="0" xfId="903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justify" vertical="justify" wrapText="1"/>
    </xf>
    <xf numFmtId="0" fontId="11" fillId="0" borderId="0" xfId="0" applyFont="1"/>
    <xf numFmtId="0" fontId="13" fillId="0" borderId="0" xfId="0" applyFont="1"/>
    <xf numFmtId="166" fontId="13" fillId="0" borderId="0" xfId="0" applyNumberFormat="1" applyFont="1"/>
    <xf numFmtId="10" fontId="6" fillId="4" borderId="6" xfId="3" applyNumberFormat="1" applyFont="1" applyFill="1" applyBorder="1" applyAlignment="1">
      <alignment horizontal="center" vertical="center" wrapText="1"/>
    </xf>
    <xf numFmtId="164" fontId="0" fillId="0" borderId="6" xfId="0" applyNumberFormat="1" applyBorder="1"/>
    <xf numFmtId="43" fontId="6" fillId="0" borderId="6" xfId="903" applyFont="1" applyFill="1" applyBorder="1" applyAlignment="1">
      <alignment horizontal="center" vertical="center" wrapText="1"/>
    </xf>
    <xf numFmtId="166" fontId="9" fillId="2" borderId="9" xfId="4" applyNumberFormat="1" applyFont="1" applyFill="1" applyBorder="1" applyAlignment="1">
      <alignment horizontal="center" vertical="center" wrapText="1"/>
    </xf>
    <xf numFmtId="43" fontId="6" fillId="0" borderId="0" xfId="0" applyNumberFormat="1" applyFont="1"/>
    <xf numFmtId="0" fontId="9" fillId="0" borderId="0" xfId="0" applyFont="1"/>
    <xf numFmtId="43" fontId="9" fillId="0" borderId="0" xfId="903" applyFont="1"/>
    <xf numFmtId="43" fontId="6" fillId="0" borderId="14" xfId="903" applyFont="1" applyFill="1" applyBorder="1" applyAlignment="1">
      <alignment horizontal="center" vertical="center" wrapText="1"/>
    </xf>
    <xf numFmtId="43" fontId="9" fillId="0" borderId="14" xfId="903" applyFont="1" applyFill="1" applyBorder="1" applyAlignment="1">
      <alignment horizontal="center" vertical="center" wrapText="1"/>
    </xf>
    <xf numFmtId="164" fontId="0" fillId="0" borderId="12" xfId="0" applyNumberFormat="1" applyBorder="1"/>
    <xf numFmtId="43" fontId="13" fillId="0" borderId="0" xfId="0" applyNumberFormat="1" applyFont="1"/>
    <xf numFmtId="10" fontId="9" fillId="4" borderId="15" xfId="3" applyNumberFormat="1" applyFont="1" applyFill="1" applyBorder="1" applyAlignment="1">
      <alignment horizontal="center" vertical="center" wrapText="1"/>
    </xf>
    <xf numFmtId="10" fontId="6" fillId="4" borderId="7" xfId="3" applyNumberFormat="1" applyFont="1" applyFill="1" applyBorder="1" applyAlignment="1">
      <alignment horizontal="center" vertical="center" wrapText="1"/>
    </xf>
    <xf numFmtId="4" fontId="0" fillId="0" borderId="14" xfId="0" applyNumberFormat="1" applyFont="1" applyBorder="1"/>
    <xf numFmtId="166" fontId="9" fillId="2" borderId="14" xfId="4" applyNumberFormat="1" applyFont="1" applyFill="1" applyBorder="1" applyAlignment="1">
      <alignment horizontal="center" vertical="center" wrapText="1"/>
    </xf>
    <xf numFmtId="166" fontId="6" fillId="2" borderId="14" xfId="4" applyNumberFormat="1" applyFont="1" applyFill="1" applyBorder="1" applyAlignment="1">
      <alignment horizontal="center" vertical="center" wrapText="1"/>
    </xf>
    <xf numFmtId="4" fontId="0" fillId="0" borderId="14" xfId="0" applyNumberFormat="1" applyBorder="1"/>
    <xf numFmtId="164" fontId="0" fillId="0" borderId="0" xfId="0" applyNumberFormat="1" applyBorder="1"/>
    <xf numFmtId="168" fontId="6" fillId="0" borderId="0" xfId="0" applyNumberFormat="1" applyFont="1"/>
    <xf numFmtId="164" fontId="6" fillId="0" borderId="0" xfId="0" applyNumberFormat="1" applyFont="1"/>
    <xf numFmtId="164" fontId="13" fillId="0" borderId="0" xfId="0" applyNumberFormat="1" applyFont="1"/>
    <xf numFmtId="4" fontId="14" fillId="0" borderId="14" xfId="0" applyNumberFormat="1" applyFont="1" applyBorder="1"/>
    <xf numFmtId="164" fontId="0" fillId="0" borderId="16" xfId="0" applyNumberFormat="1" applyBorder="1"/>
    <xf numFmtId="43" fontId="6" fillId="0" borderId="16" xfId="903" applyFont="1" applyFill="1" applyBorder="1" applyAlignment="1">
      <alignment horizontal="center" vertical="center" wrapText="1"/>
    </xf>
    <xf numFmtId="43" fontId="9" fillId="4" borderId="6" xfId="903" applyFont="1" applyFill="1" applyBorder="1" applyAlignment="1">
      <alignment horizontal="center" vertical="center" wrapText="1"/>
    </xf>
    <xf numFmtId="166" fontId="9" fillId="4" borderId="12" xfId="4" applyNumberFormat="1" applyFont="1" applyFill="1" applyBorder="1" applyAlignment="1">
      <alignment horizontal="center" vertical="center" wrapText="1"/>
    </xf>
    <xf numFmtId="43" fontId="9" fillId="0" borderId="17" xfId="903" applyFont="1" applyFill="1" applyBorder="1" applyAlignment="1">
      <alignment horizontal="center" vertical="center" wrapText="1"/>
    </xf>
    <xf numFmtId="164" fontId="0" fillId="0" borderId="18" xfId="0" applyNumberFormat="1" applyBorder="1"/>
    <xf numFmtId="43" fontId="9" fillId="0" borderId="18" xfId="903" applyFont="1" applyFill="1" applyBorder="1" applyAlignment="1">
      <alignment horizontal="center" vertical="center" wrapText="1"/>
    </xf>
    <xf numFmtId="164" fontId="0" fillId="0" borderId="19" xfId="0" applyNumberFormat="1" applyBorder="1"/>
    <xf numFmtId="43" fontId="9" fillId="4" borderId="9" xfId="903" applyFont="1" applyFill="1" applyBorder="1" applyAlignment="1">
      <alignment horizontal="center" vertical="center" wrapText="1"/>
    </xf>
    <xf numFmtId="43" fontId="9" fillId="0" borderId="16" xfId="903" applyFont="1" applyFill="1" applyBorder="1" applyAlignment="1">
      <alignment horizontal="center" vertical="center" wrapText="1"/>
    </xf>
    <xf numFmtId="43" fontId="6" fillId="0" borderId="18" xfId="903" applyFont="1" applyFill="1" applyBorder="1" applyAlignment="1">
      <alignment horizontal="center" vertical="center" wrapText="1"/>
    </xf>
    <xf numFmtId="43" fontId="6" fillId="0" borderId="19" xfId="903" applyFont="1" applyFill="1" applyBorder="1" applyAlignment="1">
      <alignment horizontal="center" vertical="center" wrapText="1"/>
    </xf>
    <xf numFmtId="43" fontId="6" fillId="0" borderId="8" xfId="903" applyFont="1" applyFill="1" applyBorder="1" applyAlignment="1">
      <alignment horizontal="center" vertical="center" wrapText="1"/>
    </xf>
    <xf numFmtId="43" fontId="9" fillId="4" borderId="5" xfId="903" applyFont="1" applyFill="1" applyBorder="1" applyAlignment="1">
      <alignment horizontal="center" vertical="center" wrapText="1"/>
    </xf>
    <xf numFmtId="43" fontId="9" fillId="4" borderId="0" xfId="903" applyFont="1" applyFill="1" applyBorder="1" applyAlignment="1">
      <alignment horizontal="center" vertical="center" wrapText="1"/>
    </xf>
    <xf numFmtId="166" fontId="9" fillId="4" borderId="0" xfId="4" applyNumberFormat="1" applyFont="1" applyFill="1" applyBorder="1" applyAlignment="1">
      <alignment horizontal="center" vertical="center" wrapText="1"/>
    </xf>
    <xf numFmtId="43" fontId="9" fillId="0" borderId="20" xfId="903" applyFont="1" applyFill="1" applyBorder="1" applyAlignment="1">
      <alignment horizontal="center" vertical="center" wrapText="1"/>
    </xf>
    <xf numFmtId="10" fontId="6" fillId="4" borderId="0" xfId="3" applyNumberFormat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vertical="center" wrapText="1"/>
    </xf>
    <xf numFmtId="43" fontId="0" fillId="0" borderId="0" xfId="903" applyFont="1"/>
    <xf numFmtId="0" fontId="10" fillId="0" borderId="8" xfId="1" applyFont="1" applyFill="1" applyBorder="1" applyAlignment="1">
      <alignment horizontal="left" vertical="center" wrapText="1" indent="1"/>
    </xf>
    <xf numFmtId="43" fontId="14" fillId="0" borderId="0" xfId="903" applyFont="1"/>
    <xf numFmtId="4" fontId="9" fillId="0" borderId="0" xfId="0" applyNumberFormat="1" applyFont="1"/>
    <xf numFmtId="43" fontId="9" fillId="0" borderId="6" xfId="903" applyFont="1" applyFill="1" applyBorder="1" applyAlignment="1">
      <alignment horizontal="center" vertical="center" wrapText="1"/>
    </xf>
    <xf numFmtId="164" fontId="14" fillId="0" borderId="16" xfId="0" applyNumberFormat="1" applyFont="1" applyBorder="1"/>
    <xf numFmtId="4" fontId="15" fillId="4" borderId="6" xfId="0" applyNumberFormat="1" applyFont="1" applyFill="1" applyBorder="1" applyAlignment="1">
      <alignment horizontal="right"/>
    </xf>
    <xf numFmtId="43" fontId="0" fillId="0" borderId="12" xfId="903" applyFont="1" applyBorder="1"/>
    <xf numFmtId="43" fontId="0" fillId="0" borderId="14" xfId="903" applyFont="1" applyBorder="1"/>
    <xf numFmtId="164" fontId="0" fillId="0" borderId="14" xfId="0" applyNumberFormat="1" applyBorder="1"/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10" fontId="9" fillId="4" borderId="6" xfId="3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4" fontId="9" fillId="4" borderId="4" xfId="903" applyNumberFormat="1" applyFont="1" applyFill="1" applyBorder="1" applyAlignment="1">
      <alignment horizontal="center" vertical="center" wrapText="1"/>
    </xf>
    <xf numFmtId="43" fontId="0" fillId="0" borderId="5" xfId="903" applyFont="1" applyBorder="1"/>
    <xf numFmtId="43" fontId="9" fillId="0" borderId="21" xfId="903" applyFont="1" applyFill="1" applyBorder="1" applyAlignment="1">
      <alignment horizontal="center" vertical="center" wrapText="1"/>
    </xf>
    <xf numFmtId="43" fontId="9" fillId="0" borderId="22" xfId="903" applyFont="1" applyFill="1" applyBorder="1" applyAlignment="1">
      <alignment horizontal="center" vertical="center" wrapText="1"/>
    </xf>
    <xf numFmtId="43" fontId="6" fillId="0" borderId="22" xfId="903" applyFont="1" applyFill="1" applyBorder="1" applyAlignment="1">
      <alignment horizontal="center" vertical="center" wrapText="1"/>
    </xf>
    <xf numFmtId="43" fontId="9" fillId="0" borderId="12" xfId="903" applyFont="1" applyFill="1" applyBorder="1" applyAlignment="1">
      <alignment horizontal="center" vertical="center" wrapText="1"/>
    </xf>
    <xf numFmtId="43" fontId="6" fillId="0" borderId="23" xfId="903" applyFont="1" applyFill="1" applyBorder="1" applyAlignment="1">
      <alignment horizontal="center" vertical="center" wrapText="1"/>
    </xf>
    <xf numFmtId="43" fontId="9" fillId="4" borderId="24" xfId="903" applyFont="1" applyFill="1" applyBorder="1" applyAlignment="1">
      <alignment horizontal="center" vertical="center" wrapText="1"/>
    </xf>
    <xf numFmtId="43" fontId="9" fillId="4" borderId="10" xfId="903" applyFont="1" applyFill="1" applyBorder="1" applyAlignment="1">
      <alignment horizontal="center" vertical="center" wrapText="1"/>
    </xf>
    <xf numFmtId="43" fontId="9" fillId="0" borderId="25" xfId="903" applyFont="1" applyFill="1" applyBorder="1" applyAlignment="1">
      <alignment horizontal="center" vertical="center" wrapText="1"/>
    </xf>
    <xf numFmtId="43" fontId="0" fillId="0" borderId="22" xfId="903" applyFont="1" applyBorder="1"/>
    <xf numFmtId="0" fontId="5" fillId="3" borderId="4" xfId="2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43" fontId="9" fillId="0" borderId="5" xfId="3" applyNumberFormat="1" applyFont="1" applyFill="1" applyBorder="1" applyAlignment="1">
      <alignment horizontal="center" vertical="center" wrapText="1"/>
    </xf>
    <xf numFmtId="43" fontId="6" fillId="0" borderId="5" xfId="3" applyNumberFormat="1" applyFont="1" applyFill="1" applyBorder="1" applyAlignment="1">
      <alignment horizontal="center" vertical="center" wrapText="1"/>
    </xf>
    <xf numFmtId="10" fontId="6" fillId="4" borderId="14" xfId="3" applyNumberFormat="1" applyFont="1" applyFill="1" applyBorder="1" applyAlignment="1">
      <alignment horizontal="center" vertical="center" wrapText="1"/>
    </xf>
    <xf numFmtId="4" fontId="0" fillId="0" borderId="8" xfId="0" applyNumberFormat="1" applyBorder="1"/>
    <xf numFmtId="43" fontId="0" fillId="0" borderId="6" xfId="903" applyFont="1" applyBorder="1"/>
    <xf numFmtId="0" fontId="5" fillId="3" borderId="4" xfId="2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4" fontId="9" fillId="4" borderId="4" xfId="903" applyNumberFormat="1" applyFont="1" applyFill="1" applyBorder="1" applyAlignment="1">
      <alignment horizontal="right" vertical="center" wrapText="1"/>
    </xf>
    <xf numFmtId="43" fontId="9" fillId="4" borderId="4" xfId="903" applyFont="1" applyFill="1" applyBorder="1" applyAlignment="1">
      <alignment horizontal="right" vertical="center" wrapText="1"/>
    </xf>
    <xf numFmtId="43" fontId="9" fillId="0" borderId="0" xfId="903" applyFont="1" applyFill="1" applyBorder="1" applyAlignment="1">
      <alignment horizontal="right" vertical="center" wrapText="1"/>
    </xf>
    <xf numFmtId="43" fontId="0" fillId="0" borderId="5" xfId="903" applyFont="1" applyBorder="1" applyAlignment="1">
      <alignment horizontal="right"/>
    </xf>
    <xf numFmtId="43" fontId="9" fillId="0" borderId="11" xfId="903" applyFont="1" applyFill="1" applyBorder="1" applyAlignment="1">
      <alignment horizontal="right" vertical="center" wrapText="1"/>
    </xf>
    <xf numFmtId="43" fontId="0" fillId="0" borderId="0" xfId="903" applyFont="1" applyAlignment="1">
      <alignment horizontal="right"/>
    </xf>
    <xf numFmtId="43" fontId="0" fillId="0" borderId="14" xfId="903" applyFont="1" applyBorder="1" applyAlignment="1">
      <alignment horizontal="right"/>
    </xf>
    <xf numFmtId="0" fontId="5" fillId="3" borderId="4" xfId="2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4" fontId="0" fillId="0" borderId="5" xfId="0" applyNumberFormat="1" applyBorder="1"/>
    <xf numFmtId="4" fontId="0" fillId="0" borderId="6" xfId="0" applyNumberFormat="1" applyBorder="1"/>
    <xf numFmtId="166" fontId="11" fillId="0" borderId="0" xfId="0" applyNumberFormat="1" applyFont="1"/>
    <xf numFmtId="4" fontId="15" fillId="4" borderId="6" xfId="0" applyNumberFormat="1" applyFont="1" applyFill="1" applyBorder="1" applyAlignment="1">
      <alignment horizontal="center"/>
    </xf>
    <xf numFmtId="0" fontId="9" fillId="4" borderId="2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10" fontId="9" fillId="4" borderId="2" xfId="904" applyNumberFormat="1" applyFont="1" applyFill="1" applyBorder="1" applyAlignment="1">
      <alignment horizontal="center" vertical="center" wrapText="1"/>
    </xf>
    <xf numFmtId="10" fontId="9" fillId="4" borderId="10" xfId="904" applyNumberFormat="1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left"/>
    </xf>
    <xf numFmtId="0" fontId="11" fillId="0" borderId="0" xfId="0" applyFont="1" applyFill="1" applyAlignment="1">
      <alignment horizontal="justify" vertical="justify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7" fillId="3" borderId="10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10" fontId="9" fillId="4" borderId="9" xfId="3" applyNumberFormat="1" applyFont="1" applyFill="1" applyBorder="1" applyAlignment="1">
      <alignment horizontal="center" vertical="center" wrapText="1"/>
    </xf>
    <xf numFmtId="10" fontId="9" fillId="4" borderId="6" xfId="3" applyNumberFormat="1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</cellXfs>
  <cellStyles count="905">
    <cellStyle name="Comma 2" xfId="5" xr:uid="{00000000-0005-0000-0000-000000000000}"/>
    <cellStyle name="Euro" xfId="6" xr:uid="{00000000-0005-0000-0000-000001000000}"/>
    <cellStyle name="Millares" xfId="903" builtinId="3"/>
    <cellStyle name="Millares 10" xfId="7" xr:uid="{00000000-0005-0000-0000-000003000000}"/>
    <cellStyle name="Millares 10 2" xfId="8" xr:uid="{00000000-0005-0000-0000-000004000000}"/>
    <cellStyle name="Millares 10 2 2" xfId="9" xr:uid="{00000000-0005-0000-0000-000005000000}"/>
    <cellStyle name="Millares 10 2 2 2" xfId="10" xr:uid="{00000000-0005-0000-0000-000006000000}"/>
    <cellStyle name="Millares 10 2 2 2 2" xfId="11" xr:uid="{00000000-0005-0000-0000-000007000000}"/>
    <cellStyle name="Millares 10 2 2 2 2 2" xfId="12" xr:uid="{00000000-0005-0000-0000-000008000000}"/>
    <cellStyle name="Millares 10 2 2 2 3" xfId="13" xr:uid="{00000000-0005-0000-0000-000009000000}"/>
    <cellStyle name="Millares 10 2 2 3" xfId="14" xr:uid="{00000000-0005-0000-0000-00000A000000}"/>
    <cellStyle name="Millares 10 2 2 3 2" xfId="15" xr:uid="{00000000-0005-0000-0000-00000B000000}"/>
    <cellStyle name="Millares 10 2 2 4" xfId="16" xr:uid="{00000000-0005-0000-0000-00000C000000}"/>
    <cellStyle name="Millares 10 2 3" xfId="17" xr:uid="{00000000-0005-0000-0000-00000D000000}"/>
    <cellStyle name="Millares 10 2 3 2" xfId="18" xr:uid="{00000000-0005-0000-0000-00000E000000}"/>
    <cellStyle name="Millares 10 2 3 2 2" xfId="19" xr:uid="{00000000-0005-0000-0000-00000F000000}"/>
    <cellStyle name="Millares 10 2 3 3" xfId="20" xr:uid="{00000000-0005-0000-0000-000010000000}"/>
    <cellStyle name="Millares 10 2 4" xfId="21" xr:uid="{00000000-0005-0000-0000-000011000000}"/>
    <cellStyle name="Millares 10 2 4 2" xfId="22" xr:uid="{00000000-0005-0000-0000-000012000000}"/>
    <cellStyle name="Millares 10 2 5" xfId="23" xr:uid="{00000000-0005-0000-0000-000013000000}"/>
    <cellStyle name="Millares 11" xfId="24" xr:uid="{00000000-0005-0000-0000-000014000000}"/>
    <cellStyle name="Millares 11 2" xfId="25" xr:uid="{00000000-0005-0000-0000-000015000000}"/>
    <cellStyle name="Millares 11 3" xfId="26" xr:uid="{00000000-0005-0000-0000-000016000000}"/>
    <cellStyle name="Millares 11 4" xfId="27" xr:uid="{00000000-0005-0000-0000-000017000000}"/>
    <cellStyle name="Millares 11 5" xfId="28" xr:uid="{00000000-0005-0000-0000-000018000000}"/>
    <cellStyle name="Millares 11 6" xfId="29" xr:uid="{00000000-0005-0000-0000-000019000000}"/>
    <cellStyle name="Millares 11 7" xfId="30" xr:uid="{00000000-0005-0000-0000-00001A000000}"/>
    <cellStyle name="Millares 11 8" xfId="31" xr:uid="{00000000-0005-0000-0000-00001B000000}"/>
    <cellStyle name="Millares 12" xfId="32" xr:uid="{00000000-0005-0000-0000-00001C000000}"/>
    <cellStyle name="Millares 13" xfId="33" xr:uid="{00000000-0005-0000-0000-00001D000000}"/>
    <cellStyle name="Millares 13 10" xfId="34" xr:uid="{00000000-0005-0000-0000-00001E000000}"/>
    <cellStyle name="Millares 13 11" xfId="35" xr:uid="{00000000-0005-0000-0000-00001F000000}"/>
    <cellStyle name="Millares 13 12" xfId="36" xr:uid="{00000000-0005-0000-0000-000020000000}"/>
    <cellStyle name="Millares 13 13" xfId="37" xr:uid="{00000000-0005-0000-0000-000021000000}"/>
    <cellStyle name="Millares 13 14" xfId="38" xr:uid="{00000000-0005-0000-0000-000022000000}"/>
    <cellStyle name="Millares 13 15" xfId="39" xr:uid="{00000000-0005-0000-0000-000023000000}"/>
    <cellStyle name="Millares 13 16" xfId="40" xr:uid="{00000000-0005-0000-0000-000024000000}"/>
    <cellStyle name="Millares 13 2" xfId="41" xr:uid="{00000000-0005-0000-0000-000025000000}"/>
    <cellStyle name="Millares 13 2 2" xfId="42" xr:uid="{00000000-0005-0000-0000-000026000000}"/>
    <cellStyle name="Millares 13 2 2 2" xfId="43" xr:uid="{00000000-0005-0000-0000-000027000000}"/>
    <cellStyle name="Millares 13 2 2 2 2" xfId="44" xr:uid="{00000000-0005-0000-0000-000028000000}"/>
    <cellStyle name="Millares 13 2 2 3" xfId="45" xr:uid="{00000000-0005-0000-0000-000029000000}"/>
    <cellStyle name="Millares 13 2 3" xfId="46" xr:uid="{00000000-0005-0000-0000-00002A000000}"/>
    <cellStyle name="Millares 13 2 3 2" xfId="47" xr:uid="{00000000-0005-0000-0000-00002B000000}"/>
    <cellStyle name="Millares 13 2 4" xfId="48" xr:uid="{00000000-0005-0000-0000-00002C000000}"/>
    <cellStyle name="Millares 13 3" xfId="49" xr:uid="{00000000-0005-0000-0000-00002D000000}"/>
    <cellStyle name="Millares 13 3 2" xfId="50" xr:uid="{00000000-0005-0000-0000-00002E000000}"/>
    <cellStyle name="Millares 13 3 2 2" xfId="51" xr:uid="{00000000-0005-0000-0000-00002F000000}"/>
    <cellStyle name="Millares 13 3 3" xfId="52" xr:uid="{00000000-0005-0000-0000-000030000000}"/>
    <cellStyle name="Millares 13 4" xfId="53" xr:uid="{00000000-0005-0000-0000-000031000000}"/>
    <cellStyle name="Millares 13 4 2" xfId="54" xr:uid="{00000000-0005-0000-0000-000032000000}"/>
    <cellStyle name="Millares 13 5" xfId="55" xr:uid="{00000000-0005-0000-0000-000033000000}"/>
    <cellStyle name="Millares 13 6" xfId="56" xr:uid="{00000000-0005-0000-0000-000034000000}"/>
    <cellStyle name="Millares 13 7" xfId="57" xr:uid="{00000000-0005-0000-0000-000035000000}"/>
    <cellStyle name="Millares 13 8" xfId="58" xr:uid="{00000000-0005-0000-0000-000036000000}"/>
    <cellStyle name="Millares 13 9" xfId="59" xr:uid="{00000000-0005-0000-0000-000037000000}"/>
    <cellStyle name="Millares 14" xfId="60" xr:uid="{00000000-0005-0000-0000-000038000000}"/>
    <cellStyle name="Millares 14 2" xfId="61" xr:uid="{00000000-0005-0000-0000-000039000000}"/>
    <cellStyle name="Millares 14 2 2" xfId="62" xr:uid="{00000000-0005-0000-0000-00003A000000}"/>
    <cellStyle name="Millares 15" xfId="63" xr:uid="{00000000-0005-0000-0000-00003B000000}"/>
    <cellStyle name="Millares 16" xfId="64" xr:uid="{00000000-0005-0000-0000-00003C000000}"/>
    <cellStyle name="Millares 17" xfId="65" xr:uid="{00000000-0005-0000-0000-00003D000000}"/>
    <cellStyle name="Millares 2" xfId="66" xr:uid="{00000000-0005-0000-0000-00003E000000}"/>
    <cellStyle name="Millares 2 2" xfId="67" xr:uid="{00000000-0005-0000-0000-00003F000000}"/>
    <cellStyle name="Millares 2 2 2" xfId="68" xr:uid="{00000000-0005-0000-0000-000040000000}"/>
    <cellStyle name="Millares 2 3" xfId="69" xr:uid="{00000000-0005-0000-0000-000041000000}"/>
    <cellStyle name="Millares 2 4" xfId="70" xr:uid="{00000000-0005-0000-0000-000042000000}"/>
    <cellStyle name="Millares 2 5" xfId="71" xr:uid="{00000000-0005-0000-0000-000043000000}"/>
    <cellStyle name="Millares 2 6" xfId="72" xr:uid="{00000000-0005-0000-0000-000044000000}"/>
    <cellStyle name="Millares 3" xfId="73" xr:uid="{00000000-0005-0000-0000-000045000000}"/>
    <cellStyle name="Millares 3 10" xfId="74" xr:uid="{00000000-0005-0000-0000-000046000000}"/>
    <cellStyle name="Millares 3 11" xfId="75" xr:uid="{00000000-0005-0000-0000-000047000000}"/>
    <cellStyle name="Millares 3 12" xfId="76" xr:uid="{00000000-0005-0000-0000-000048000000}"/>
    <cellStyle name="Millares 3 13" xfId="77" xr:uid="{00000000-0005-0000-0000-000049000000}"/>
    <cellStyle name="Millares 3 14" xfId="78" xr:uid="{00000000-0005-0000-0000-00004A000000}"/>
    <cellStyle name="Millares 3 15" xfId="79" xr:uid="{00000000-0005-0000-0000-00004B000000}"/>
    <cellStyle name="Millares 3 16" xfId="80" xr:uid="{00000000-0005-0000-0000-00004C000000}"/>
    <cellStyle name="Millares 3 2" xfId="81" xr:uid="{00000000-0005-0000-0000-00004D000000}"/>
    <cellStyle name="Millares 3 3" xfId="82" xr:uid="{00000000-0005-0000-0000-00004E000000}"/>
    <cellStyle name="Millares 3 4" xfId="83" xr:uid="{00000000-0005-0000-0000-00004F000000}"/>
    <cellStyle name="Millares 3 5" xfId="84" xr:uid="{00000000-0005-0000-0000-000050000000}"/>
    <cellStyle name="Millares 3 6" xfId="85" xr:uid="{00000000-0005-0000-0000-000051000000}"/>
    <cellStyle name="Millares 3 7" xfId="86" xr:uid="{00000000-0005-0000-0000-000052000000}"/>
    <cellStyle name="Millares 3 8" xfId="87" xr:uid="{00000000-0005-0000-0000-000053000000}"/>
    <cellStyle name="Millares 3 9" xfId="88" xr:uid="{00000000-0005-0000-0000-000054000000}"/>
    <cellStyle name="Millares 4" xfId="89" xr:uid="{00000000-0005-0000-0000-000055000000}"/>
    <cellStyle name="Millares 5" xfId="90" xr:uid="{00000000-0005-0000-0000-000056000000}"/>
    <cellStyle name="Millares 6" xfId="91" xr:uid="{00000000-0005-0000-0000-000057000000}"/>
    <cellStyle name="Millares 6 2" xfId="92" xr:uid="{00000000-0005-0000-0000-000058000000}"/>
    <cellStyle name="Millares 6 3" xfId="93" xr:uid="{00000000-0005-0000-0000-000059000000}"/>
    <cellStyle name="Millares 6 4" xfId="94" xr:uid="{00000000-0005-0000-0000-00005A000000}"/>
    <cellStyle name="Millares 6 5" xfId="95" xr:uid="{00000000-0005-0000-0000-00005B000000}"/>
    <cellStyle name="Millares 6 6" xfId="96" xr:uid="{00000000-0005-0000-0000-00005C000000}"/>
    <cellStyle name="Millares 6 7" xfId="97" xr:uid="{00000000-0005-0000-0000-00005D000000}"/>
    <cellStyle name="Millares 7" xfId="98" xr:uid="{00000000-0005-0000-0000-00005E000000}"/>
    <cellStyle name="Millares 7 2" xfId="99" xr:uid="{00000000-0005-0000-0000-00005F000000}"/>
    <cellStyle name="Millares 7 2 2" xfId="100" xr:uid="{00000000-0005-0000-0000-000060000000}"/>
    <cellStyle name="Millares 7 3" xfId="101" xr:uid="{00000000-0005-0000-0000-000061000000}"/>
    <cellStyle name="Millares 7 4" xfId="102" xr:uid="{00000000-0005-0000-0000-000062000000}"/>
    <cellStyle name="Millares 7 5" xfId="103" xr:uid="{00000000-0005-0000-0000-000063000000}"/>
    <cellStyle name="Millares 7 6" xfId="104" xr:uid="{00000000-0005-0000-0000-000064000000}"/>
    <cellStyle name="Millares 7 7" xfId="105" xr:uid="{00000000-0005-0000-0000-000065000000}"/>
    <cellStyle name="Millares 8" xfId="106" xr:uid="{00000000-0005-0000-0000-000066000000}"/>
    <cellStyle name="Millares 9" xfId="107" xr:uid="{00000000-0005-0000-0000-000067000000}"/>
    <cellStyle name="Moneda 2" xfId="108" xr:uid="{00000000-0005-0000-0000-000068000000}"/>
    <cellStyle name="Moneda 3" xfId="109" xr:uid="{00000000-0005-0000-0000-000069000000}"/>
    <cellStyle name="Moneda 4" xfId="110" xr:uid="{00000000-0005-0000-0000-00006A000000}"/>
    <cellStyle name="Moneda 5" xfId="111" xr:uid="{00000000-0005-0000-0000-00006B000000}"/>
    <cellStyle name="Moneda 6" xfId="112" xr:uid="{00000000-0005-0000-0000-00006C000000}"/>
    <cellStyle name="Moneda 7" xfId="113" xr:uid="{00000000-0005-0000-0000-00006D000000}"/>
    <cellStyle name="Moneda 8" xfId="114" xr:uid="{00000000-0005-0000-0000-00006E000000}"/>
    <cellStyle name="Moneda 9" xfId="115" xr:uid="{00000000-0005-0000-0000-00006F000000}"/>
    <cellStyle name="Normal" xfId="0" builtinId="0"/>
    <cellStyle name="Normal 10" xfId="2" xr:uid="{00000000-0005-0000-0000-000071000000}"/>
    <cellStyle name="Normal 10 2" xfId="116" xr:uid="{00000000-0005-0000-0000-000072000000}"/>
    <cellStyle name="Normal 10 2 2" xfId="117" xr:uid="{00000000-0005-0000-0000-000073000000}"/>
    <cellStyle name="Normal 10 2 2 2" xfId="118" xr:uid="{00000000-0005-0000-0000-000074000000}"/>
    <cellStyle name="Normal 10 2 2 2 2" xfId="119" xr:uid="{00000000-0005-0000-0000-000075000000}"/>
    <cellStyle name="Normal 10 2 2 3" xfId="120" xr:uid="{00000000-0005-0000-0000-000076000000}"/>
    <cellStyle name="Normal 10 2 3" xfId="121" xr:uid="{00000000-0005-0000-0000-000077000000}"/>
    <cellStyle name="Normal 10 2 3 2" xfId="122" xr:uid="{00000000-0005-0000-0000-000078000000}"/>
    <cellStyle name="Normal 10 2 4" xfId="123" xr:uid="{00000000-0005-0000-0000-000079000000}"/>
    <cellStyle name="Normal 10 3" xfId="124" xr:uid="{00000000-0005-0000-0000-00007A000000}"/>
    <cellStyle name="Normal 10 3 2" xfId="125" xr:uid="{00000000-0005-0000-0000-00007B000000}"/>
    <cellStyle name="Normal 10 3 2 2" xfId="126" xr:uid="{00000000-0005-0000-0000-00007C000000}"/>
    <cellStyle name="Normal 10 3 3" xfId="127" xr:uid="{00000000-0005-0000-0000-00007D000000}"/>
    <cellStyle name="Normal 10 4" xfId="128" xr:uid="{00000000-0005-0000-0000-00007E000000}"/>
    <cellStyle name="Normal 10 4 2" xfId="129" xr:uid="{00000000-0005-0000-0000-00007F000000}"/>
    <cellStyle name="Normal 10 5" xfId="130" xr:uid="{00000000-0005-0000-0000-000080000000}"/>
    <cellStyle name="Normal 11" xfId="131" xr:uid="{00000000-0005-0000-0000-000081000000}"/>
    <cellStyle name="Normal 11 2" xfId="132" xr:uid="{00000000-0005-0000-0000-000082000000}"/>
    <cellStyle name="Normal 11 2 2" xfId="133" xr:uid="{00000000-0005-0000-0000-000083000000}"/>
    <cellStyle name="Normal 11 2 2 2" xfId="134" xr:uid="{00000000-0005-0000-0000-000084000000}"/>
    <cellStyle name="Normal 11 2 2 2 2" xfId="135" xr:uid="{00000000-0005-0000-0000-000085000000}"/>
    <cellStyle name="Normal 11 2 2 2 2 2" xfId="136" xr:uid="{00000000-0005-0000-0000-000086000000}"/>
    <cellStyle name="Normal 11 2 2 2 3" xfId="137" xr:uid="{00000000-0005-0000-0000-000087000000}"/>
    <cellStyle name="Normal 11 2 2 3" xfId="138" xr:uid="{00000000-0005-0000-0000-000088000000}"/>
    <cellStyle name="Normal 11 2 2 3 2" xfId="139" xr:uid="{00000000-0005-0000-0000-000089000000}"/>
    <cellStyle name="Normal 11 2 2 4" xfId="140" xr:uid="{00000000-0005-0000-0000-00008A000000}"/>
    <cellStyle name="Normal 11 2 3" xfId="141" xr:uid="{00000000-0005-0000-0000-00008B000000}"/>
    <cellStyle name="Normal 11 2 3 2" xfId="142" xr:uid="{00000000-0005-0000-0000-00008C000000}"/>
    <cellStyle name="Normal 11 2 3 2 2" xfId="143" xr:uid="{00000000-0005-0000-0000-00008D000000}"/>
    <cellStyle name="Normal 11 2 3 3" xfId="144" xr:uid="{00000000-0005-0000-0000-00008E000000}"/>
    <cellStyle name="Normal 11 2 4" xfId="145" xr:uid="{00000000-0005-0000-0000-00008F000000}"/>
    <cellStyle name="Normal 11 2 4 2" xfId="146" xr:uid="{00000000-0005-0000-0000-000090000000}"/>
    <cellStyle name="Normal 11 2 5" xfId="147" xr:uid="{00000000-0005-0000-0000-000091000000}"/>
    <cellStyle name="Normal 11 3" xfId="148" xr:uid="{00000000-0005-0000-0000-000092000000}"/>
    <cellStyle name="Normal 11 3 2" xfId="149" xr:uid="{00000000-0005-0000-0000-000093000000}"/>
    <cellStyle name="Normal 11 3 2 2" xfId="150" xr:uid="{00000000-0005-0000-0000-000094000000}"/>
    <cellStyle name="Normal 11 3 2 2 2" xfId="151" xr:uid="{00000000-0005-0000-0000-000095000000}"/>
    <cellStyle name="Normal 11 3 2 2 2 2" xfId="152" xr:uid="{00000000-0005-0000-0000-000096000000}"/>
    <cellStyle name="Normal 11 3 2 2 3" xfId="153" xr:uid="{00000000-0005-0000-0000-000097000000}"/>
    <cellStyle name="Normal 11 3 2 3" xfId="154" xr:uid="{00000000-0005-0000-0000-000098000000}"/>
    <cellStyle name="Normal 11 3 2 3 2" xfId="155" xr:uid="{00000000-0005-0000-0000-000099000000}"/>
    <cellStyle name="Normal 11 3 2 4" xfId="156" xr:uid="{00000000-0005-0000-0000-00009A000000}"/>
    <cellStyle name="Normal 11 3 3" xfId="157" xr:uid="{00000000-0005-0000-0000-00009B000000}"/>
    <cellStyle name="Normal 11 3 3 2" xfId="158" xr:uid="{00000000-0005-0000-0000-00009C000000}"/>
    <cellStyle name="Normal 11 3 3 2 2" xfId="159" xr:uid="{00000000-0005-0000-0000-00009D000000}"/>
    <cellStyle name="Normal 11 3 3 3" xfId="160" xr:uid="{00000000-0005-0000-0000-00009E000000}"/>
    <cellStyle name="Normal 11 3 4" xfId="161" xr:uid="{00000000-0005-0000-0000-00009F000000}"/>
    <cellStyle name="Normal 11 3 4 2" xfId="162" xr:uid="{00000000-0005-0000-0000-0000A0000000}"/>
    <cellStyle name="Normal 11 3 5" xfId="163" xr:uid="{00000000-0005-0000-0000-0000A1000000}"/>
    <cellStyle name="Normal 11 4" xfId="164" xr:uid="{00000000-0005-0000-0000-0000A2000000}"/>
    <cellStyle name="Normal 11 4 2" xfId="165" xr:uid="{00000000-0005-0000-0000-0000A3000000}"/>
    <cellStyle name="Normal 11 4 2 2" xfId="166" xr:uid="{00000000-0005-0000-0000-0000A4000000}"/>
    <cellStyle name="Normal 11 4 2 2 2" xfId="167" xr:uid="{00000000-0005-0000-0000-0000A5000000}"/>
    <cellStyle name="Normal 11 4 2 3" xfId="168" xr:uid="{00000000-0005-0000-0000-0000A6000000}"/>
    <cellStyle name="Normal 11 4 3" xfId="169" xr:uid="{00000000-0005-0000-0000-0000A7000000}"/>
    <cellStyle name="Normal 11 4 3 2" xfId="170" xr:uid="{00000000-0005-0000-0000-0000A8000000}"/>
    <cellStyle name="Normal 11 4 4" xfId="171" xr:uid="{00000000-0005-0000-0000-0000A9000000}"/>
    <cellStyle name="Normal 11 5" xfId="172" xr:uid="{00000000-0005-0000-0000-0000AA000000}"/>
    <cellStyle name="Normal 11 5 2" xfId="173" xr:uid="{00000000-0005-0000-0000-0000AB000000}"/>
    <cellStyle name="Normal 11 5 2 2" xfId="174" xr:uid="{00000000-0005-0000-0000-0000AC000000}"/>
    <cellStyle name="Normal 11 5 3" xfId="175" xr:uid="{00000000-0005-0000-0000-0000AD000000}"/>
    <cellStyle name="Normal 11 6" xfId="176" xr:uid="{00000000-0005-0000-0000-0000AE000000}"/>
    <cellStyle name="Normal 11 6 2" xfId="177" xr:uid="{00000000-0005-0000-0000-0000AF000000}"/>
    <cellStyle name="Normal 11 7" xfId="178" xr:uid="{00000000-0005-0000-0000-0000B0000000}"/>
    <cellStyle name="Normal 12" xfId="179" xr:uid="{00000000-0005-0000-0000-0000B1000000}"/>
    <cellStyle name="Normal 12 2" xfId="180" xr:uid="{00000000-0005-0000-0000-0000B2000000}"/>
    <cellStyle name="Normal 12 2 2" xfId="181" xr:uid="{00000000-0005-0000-0000-0000B3000000}"/>
    <cellStyle name="Normal 12 2 2 2" xfId="182" xr:uid="{00000000-0005-0000-0000-0000B4000000}"/>
    <cellStyle name="Normal 12 2 2 2 2" xfId="183" xr:uid="{00000000-0005-0000-0000-0000B5000000}"/>
    <cellStyle name="Normal 12 2 2 3" xfId="184" xr:uid="{00000000-0005-0000-0000-0000B6000000}"/>
    <cellStyle name="Normal 12 2 3" xfId="185" xr:uid="{00000000-0005-0000-0000-0000B7000000}"/>
    <cellStyle name="Normal 12 2 3 2" xfId="186" xr:uid="{00000000-0005-0000-0000-0000B8000000}"/>
    <cellStyle name="Normal 12 2 4" xfId="187" xr:uid="{00000000-0005-0000-0000-0000B9000000}"/>
    <cellStyle name="Normal 12 3" xfId="188" xr:uid="{00000000-0005-0000-0000-0000BA000000}"/>
    <cellStyle name="Normal 12 3 2" xfId="189" xr:uid="{00000000-0005-0000-0000-0000BB000000}"/>
    <cellStyle name="Normal 12 3 2 2" xfId="190" xr:uid="{00000000-0005-0000-0000-0000BC000000}"/>
    <cellStyle name="Normal 12 3 3" xfId="191" xr:uid="{00000000-0005-0000-0000-0000BD000000}"/>
    <cellStyle name="Normal 12 4" xfId="192" xr:uid="{00000000-0005-0000-0000-0000BE000000}"/>
    <cellStyle name="Normal 12 4 2" xfId="193" xr:uid="{00000000-0005-0000-0000-0000BF000000}"/>
    <cellStyle name="Normal 12 5" xfId="194" xr:uid="{00000000-0005-0000-0000-0000C0000000}"/>
    <cellStyle name="Normal 13" xfId="195" xr:uid="{00000000-0005-0000-0000-0000C1000000}"/>
    <cellStyle name="Normal 13 10" xfId="196" xr:uid="{00000000-0005-0000-0000-0000C2000000}"/>
    <cellStyle name="Normal 13 11" xfId="197" xr:uid="{00000000-0005-0000-0000-0000C3000000}"/>
    <cellStyle name="Normal 13 12" xfId="198" xr:uid="{00000000-0005-0000-0000-0000C4000000}"/>
    <cellStyle name="Normal 13 13" xfId="199" xr:uid="{00000000-0005-0000-0000-0000C5000000}"/>
    <cellStyle name="Normal 13 14" xfId="200" xr:uid="{00000000-0005-0000-0000-0000C6000000}"/>
    <cellStyle name="Normal 13 15" xfId="201" xr:uid="{00000000-0005-0000-0000-0000C7000000}"/>
    <cellStyle name="Normal 13 16" xfId="202" xr:uid="{00000000-0005-0000-0000-0000C8000000}"/>
    <cellStyle name="Normal 13 2" xfId="1" xr:uid="{00000000-0005-0000-0000-0000C9000000}"/>
    <cellStyle name="Normal 13 2 2" xfId="203" xr:uid="{00000000-0005-0000-0000-0000CA000000}"/>
    <cellStyle name="Normal 13 2 2 2" xfId="204" xr:uid="{00000000-0005-0000-0000-0000CB000000}"/>
    <cellStyle name="Normal 13 2 2 2 2" xfId="205" xr:uid="{00000000-0005-0000-0000-0000CC000000}"/>
    <cellStyle name="Normal 13 2 2 3" xfId="206" xr:uid="{00000000-0005-0000-0000-0000CD000000}"/>
    <cellStyle name="Normal 13 2 3" xfId="207" xr:uid="{00000000-0005-0000-0000-0000CE000000}"/>
    <cellStyle name="Normal 13 2 3 2" xfId="208" xr:uid="{00000000-0005-0000-0000-0000CF000000}"/>
    <cellStyle name="Normal 13 2 4" xfId="209" xr:uid="{00000000-0005-0000-0000-0000D0000000}"/>
    <cellStyle name="Normal 13 2 5" xfId="210" xr:uid="{00000000-0005-0000-0000-0000D1000000}"/>
    <cellStyle name="Normal 13 3" xfId="211" xr:uid="{00000000-0005-0000-0000-0000D2000000}"/>
    <cellStyle name="Normal 13 3 2" xfId="212" xr:uid="{00000000-0005-0000-0000-0000D3000000}"/>
    <cellStyle name="Normal 13 3 2 2" xfId="213" xr:uid="{00000000-0005-0000-0000-0000D4000000}"/>
    <cellStyle name="Normal 13 3 3" xfId="214" xr:uid="{00000000-0005-0000-0000-0000D5000000}"/>
    <cellStyle name="Normal 13 4" xfId="215" xr:uid="{00000000-0005-0000-0000-0000D6000000}"/>
    <cellStyle name="Normal 13 4 2" xfId="216" xr:uid="{00000000-0005-0000-0000-0000D7000000}"/>
    <cellStyle name="Normal 13 5" xfId="217" xr:uid="{00000000-0005-0000-0000-0000D8000000}"/>
    <cellStyle name="Normal 13 6" xfId="218" xr:uid="{00000000-0005-0000-0000-0000D9000000}"/>
    <cellStyle name="Normal 13 7" xfId="219" xr:uid="{00000000-0005-0000-0000-0000DA000000}"/>
    <cellStyle name="Normal 13 8" xfId="220" xr:uid="{00000000-0005-0000-0000-0000DB000000}"/>
    <cellStyle name="Normal 13 9" xfId="221" xr:uid="{00000000-0005-0000-0000-0000DC000000}"/>
    <cellStyle name="Normal 14" xfId="222" xr:uid="{00000000-0005-0000-0000-0000DD000000}"/>
    <cellStyle name="Normal 14 2" xfId="223" xr:uid="{00000000-0005-0000-0000-0000DE000000}"/>
    <cellStyle name="Normal 14 2 2" xfId="224" xr:uid="{00000000-0005-0000-0000-0000DF000000}"/>
    <cellStyle name="Normal 14 2 2 2" xfId="225" xr:uid="{00000000-0005-0000-0000-0000E0000000}"/>
    <cellStyle name="Normal 14 2 2 2 2" xfId="226" xr:uid="{00000000-0005-0000-0000-0000E1000000}"/>
    <cellStyle name="Normal 14 2 2 3" xfId="227" xr:uid="{00000000-0005-0000-0000-0000E2000000}"/>
    <cellStyle name="Normal 14 2 3" xfId="228" xr:uid="{00000000-0005-0000-0000-0000E3000000}"/>
    <cellStyle name="Normal 14 2 3 2" xfId="229" xr:uid="{00000000-0005-0000-0000-0000E4000000}"/>
    <cellStyle name="Normal 14 2 4" xfId="230" xr:uid="{00000000-0005-0000-0000-0000E5000000}"/>
    <cellStyle name="Normal 14 3" xfId="231" xr:uid="{00000000-0005-0000-0000-0000E6000000}"/>
    <cellStyle name="Normal 14 3 2" xfId="232" xr:uid="{00000000-0005-0000-0000-0000E7000000}"/>
    <cellStyle name="Normal 14 3 2 2" xfId="233" xr:uid="{00000000-0005-0000-0000-0000E8000000}"/>
    <cellStyle name="Normal 14 3 3" xfId="234" xr:uid="{00000000-0005-0000-0000-0000E9000000}"/>
    <cellStyle name="Normal 14 4" xfId="235" xr:uid="{00000000-0005-0000-0000-0000EA000000}"/>
    <cellStyle name="Normal 14 4 2" xfId="236" xr:uid="{00000000-0005-0000-0000-0000EB000000}"/>
    <cellStyle name="Normal 14 5" xfId="237" xr:uid="{00000000-0005-0000-0000-0000EC000000}"/>
    <cellStyle name="Normal 15" xfId="238" xr:uid="{00000000-0005-0000-0000-0000ED000000}"/>
    <cellStyle name="Normal 15 2" xfId="239" xr:uid="{00000000-0005-0000-0000-0000EE000000}"/>
    <cellStyle name="Normal 15 2 2" xfId="240" xr:uid="{00000000-0005-0000-0000-0000EF000000}"/>
    <cellStyle name="Normal 15 2 2 2" xfId="241" xr:uid="{00000000-0005-0000-0000-0000F0000000}"/>
    <cellStyle name="Normal 15 2 2 2 2" xfId="242" xr:uid="{00000000-0005-0000-0000-0000F1000000}"/>
    <cellStyle name="Normal 15 2 2 3" xfId="243" xr:uid="{00000000-0005-0000-0000-0000F2000000}"/>
    <cellStyle name="Normal 15 2 3" xfId="244" xr:uid="{00000000-0005-0000-0000-0000F3000000}"/>
    <cellStyle name="Normal 15 2 3 2" xfId="245" xr:uid="{00000000-0005-0000-0000-0000F4000000}"/>
    <cellStyle name="Normal 15 2 4" xfId="246" xr:uid="{00000000-0005-0000-0000-0000F5000000}"/>
    <cellStyle name="Normal 15 3" xfId="247" xr:uid="{00000000-0005-0000-0000-0000F6000000}"/>
    <cellStyle name="Normal 15 3 2" xfId="248" xr:uid="{00000000-0005-0000-0000-0000F7000000}"/>
    <cellStyle name="Normal 15 3 2 2" xfId="249" xr:uid="{00000000-0005-0000-0000-0000F8000000}"/>
    <cellStyle name="Normal 15 3 3" xfId="250" xr:uid="{00000000-0005-0000-0000-0000F9000000}"/>
    <cellStyle name="Normal 15 4" xfId="251" xr:uid="{00000000-0005-0000-0000-0000FA000000}"/>
    <cellStyle name="Normal 15 4 2" xfId="252" xr:uid="{00000000-0005-0000-0000-0000FB000000}"/>
    <cellStyle name="Normal 15 5" xfId="253" xr:uid="{00000000-0005-0000-0000-0000FC000000}"/>
    <cellStyle name="Normal 16" xfId="254" xr:uid="{00000000-0005-0000-0000-0000FD000000}"/>
    <cellStyle name="Normal 16 2" xfId="255" xr:uid="{00000000-0005-0000-0000-0000FE000000}"/>
    <cellStyle name="Normal 16 2 2" xfId="256" xr:uid="{00000000-0005-0000-0000-0000FF000000}"/>
    <cellStyle name="Normal 16 2 2 2" xfId="257" xr:uid="{00000000-0005-0000-0000-000000010000}"/>
    <cellStyle name="Normal 16 2 2 2 2" xfId="258" xr:uid="{00000000-0005-0000-0000-000001010000}"/>
    <cellStyle name="Normal 16 2 2 3" xfId="259" xr:uid="{00000000-0005-0000-0000-000002010000}"/>
    <cellStyle name="Normal 16 2 3" xfId="260" xr:uid="{00000000-0005-0000-0000-000003010000}"/>
    <cellStyle name="Normal 16 2 3 2" xfId="261" xr:uid="{00000000-0005-0000-0000-000004010000}"/>
    <cellStyle name="Normal 16 2 4" xfId="262" xr:uid="{00000000-0005-0000-0000-000005010000}"/>
    <cellStyle name="Normal 16 3" xfId="263" xr:uid="{00000000-0005-0000-0000-000006010000}"/>
    <cellStyle name="Normal 16 3 2" xfId="264" xr:uid="{00000000-0005-0000-0000-000007010000}"/>
    <cellStyle name="Normal 16 3 2 2" xfId="265" xr:uid="{00000000-0005-0000-0000-000008010000}"/>
    <cellStyle name="Normal 16 3 3" xfId="266" xr:uid="{00000000-0005-0000-0000-000009010000}"/>
    <cellStyle name="Normal 16 4" xfId="267" xr:uid="{00000000-0005-0000-0000-00000A010000}"/>
    <cellStyle name="Normal 16 4 2" xfId="268" xr:uid="{00000000-0005-0000-0000-00000B010000}"/>
    <cellStyle name="Normal 16 5" xfId="269" xr:uid="{00000000-0005-0000-0000-00000C010000}"/>
    <cellStyle name="Normal 17" xfId="270" xr:uid="{00000000-0005-0000-0000-00000D010000}"/>
    <cellStyle name="Normal 17 2" xfId="271" xr:uid="{00000000-0005-0000-0000-00000E010000}"/>
    <cellStyle name="Normal 18" xfId="272" xr:uid="{00000000-0005-0000-0000-00000F010000}"/>
    <cellStyle name="Normal 18 2" xfId="273" xr:uid="{00000000-0005-0000-0000-000010010000}"/>
    <cellStyle name="Normal 18 2 2" xfId="274" xr:uid="{00000000-0005-0000-0000-000011010000}"/>
    <cellStyle name="Normal 18 2 2 2" xfId="275" xr:uid="{00000000-0005-0000-0000-000012010000}"/>
    <cellStyle name="Normal 18 2 3" xfId="276" xr:uid="{00000000-0005-0000-0000-000013010000}"/>
    <cellStyle name="Normal 18 3" xfId="277" xr:uid="{00000000-0005-0000-0000-000014010000}"/>
    <cellStyle name="Normal 18 3 2" xfId="278" xr:uid="{00000000-0005-0000-0000-000015010000}"/>
    <cellStyle name="Normal 18 4" xfId="279" xr:uid="{00000000-0005-0000-0000-000016010000}"/>
    <cellStyle name="Normal 18 5" xfId="280" xr:uid="{00000000-0005-0000-0000-000017010000}"/>
    <cellStyle name="Normal 18 5 2" xfId="281" xr:uid="{00000000-0005-0000-0000-000018010000}"/>
    <cellStyle name="Normal 18 6" xfId="282" xr:uid="{00000000-0005-0000-0000-000019010000}"/>
    <cellStyle name="Normal 18 7" xfId="283" xr:uid="{00000000-0005-0000-0000-00001A010000}"/>
    <cellStyle name="Normal 18 8" xfId="284" xr:uid="{00000000-0005-0000-0000-00001B010000}"/>
    <cellStyle name="Normal 19" xfId="285" xr:uid="{00000000-0005-0000-0000-00001C010000}"/>
    <cellStyle name="Normal 19 2" xfId="286" xr:uid="{00000000-0005-0000-0000-00001D010000}"/>
    <cellStyle name="Normal 19 2 2" xfId="287" xr:uid="{00000000-0005-0000-0000-00001E010000}"/>
    <cellStyle name="Normal 19 2 2 2" xfId="288" xr:uid="{00000000-0005-0000-0000-00001F010000}"/>
    <cellStyle name="Normal 19 2 3" xfId="289" xr:uid="{00000000-0005-0000-0000-000020010000}"/>
    <cellStyle name="Normal 19 3" xfId="290" xr:uid="{00000000-0005-0000-0000-000021010000}"/>
    <cellStyle name="Normal 19 3 2" xfId="291" xr:uid="{00000000-0005-0000-0000-000022010000}"/>
    <cellStyle name="Normal 19 4" xfId="292" xr:uid="{00000000-0005-0000-0000-000023010000}"/>
    <cellStyle name="Normal 2" xfId="293" xr:uid="{00000000-0005-0000-0000-000024010000}"/>
    <cellStyle name="Normal 2 2" xfId="294" xr:uid="{00000000-0005-0000-0000-000025010000}"/>
    <cellStyle name="Normal 2 2 2" xfId="295" xr:uid="{00000000-0005-0000-0000-000026010000}"/>
    <cellStyle name="Normal 2 2 2 2" xfId="296" xr:uid="{00000000-0005-0000-0000-000027010000}"/>
    <cellStyle name="Normal 2 3" xfId="4" xr:uid="{00000000-0005-0000-0000-000028010000}"/>
    <cellStyle name="Normal 2 3 2" xfId="297" xr:uid="{00000000-0005-0000-0000-000029010000}"/>
    <cellStyle name="Normal 2 4" xfId="298" xr:uid="{00000000-0005-0000-0000-00002A010000}"/>
    <cellStyle name="Normal 2 5" xfId="299" xr:uid="{00000000-0005-0000-0000-00002B010000}"/>
    <cellStyle name="Normal 2 6" xfId="300" xr:uid="{00000000-0005-0000-0000-00002C010000}"/>
    <cellStyle name="Normal 2 7" xfId="301" xr:uid="{00000000-0005-0000-0000-00002D010000}"/>
    <cellStyle name="Normal 20" xfId="302" xr:uid="{00000000-0005-0000-0000-00002E010000}"/>
    <cellStyle name="Normal 20 2" xfId="303" xr:uid="{00000000-0005-0000-0000-00002F010000}"/>
    <cellStyle name="Normal 20 2 2" xfId="304" xr:uid="{00000000-0005-0000-0000-000030010000}"/>
    <cellStyle name="Normal 20 2 2 2" xfId="305" xr:uid="{00000000-0005-0000-0000-000031010000}"/>
    <cellStyle name="Normal 20 2 3" xfId="306" xr:uid="{00000000-0005-0000-0000-000032010000}"/>
    <cellStyle name="Normal 20 3" xfId="307" xr:uid="{00000000-0005-0000-0000-000033010000}"/>
    <cellStyle name="Normal 20 3 2" xfId="308" xr:uid="{00000000-0005-0000-0000-000034010000}"/>
    <cellStyle name="Normal 20 4" xfId="309" xr:uid="{00000000-0005-0000-0000-000035010000}"/>
    <cellStyle name="Normal 20 5" xfId="310" xr:uid="{00000000-0005-0000-0000-000036010000}"/>
    <cellStyle name="Normal 20 5 2" xfId="311" xr:uid="{00000000-0005-0000-0000-000037010000}"/>
    <cellStyle name="Normal 20 6" xfId="312" xr:uid="{00000000-0005-0000-0000-000038010000}"/>
    <cellStyle name="Normal 20 7" xfId="313" xr:uid="{00000000-0005-0000-0000-000039010000}"/>
    <cellStyle name="Normal 20 8" xfId="314" xr:uid="{00000000-0005-0000-0000-00003A010000}"/>
    <cellStyle name="Normal 21" xfId="315" xr:uid="{00000000-0005-0000-0000-00003B010000}"/>
    <cellStyle name="Normal 21 2" xfId="316" xr:uid="{00000000-0005-0000-0000-00003C010000}"/>
    <cellStyle name="Normal 21 2 2" xfId="317" xr:uid="{00000000-0005-0000-0000-00003D010000}"/>
    <cellStyle name="Normal 21 2 2 2" xfId="318" xr:uid="{00000000-0005-0000-0000-00003E010000}"/>
    <cellStyle name="Normal 21 2 3" xfId="319" xr:uid="{00000000-0005-0000-0000-00003F010000}"/>
    <cellStyle name="Normal 21 3" xfId="320" xr:uid="{00000000-0005-0000-0000-000040010000}"/>
    <cellStyle name="Normal 21 3 2" xfId="321" xr:uid="{00000000-0005-0000-0000-000041010000}"/>
    <cellStyle name="Normal 21 4" xfId="322" xr:uid="{00000000-0005-0000-0000-000042010000}"/>
    <cellStyle name="Normal 22" xfId="323" xr:uid="{00000000-0005-0000-0000-000043010000}"/>
    <cellStyle name="Normal 22 2" xfId="324" xr:uid="{00000000-0005-0000-0000-000044010000}"/>
    <cellStyle name="Normal 22 2 2" xfId="325" xr:uid="{00000000-0005-0000-0000-000045010000}"/>
    <cellStyle name="Normal 22 2 2 2" xfId="326" xr:uid="{00000000-0005-0000-0000-000046010000}"/>
    <cellStyle name="Normal 22 2 3" xfId="327" xr:uid="{00000000-0005-0000-0000-000047010000}"/>
    <cellStyle name="Normal 22 3" xfId="328" xr:uid="{00000000-0005-0000-0000-000048010000}"/>
    <cellStyle name="Normal 22 3 2" xfId="329" xr:uid="{00000000-0005-0000-0000-000049010000}"/>
    <cellStyle name="Normal 22 4" xfId="330" xr:uid="{00000000-0005-0000-0000-00004A010000}"/>
    <cellStyle name="Normal 23" xfId="331" xr:uid="{00000000-0005-0000-0000-00004B010000}"/>
    <cellStyle name="Normal 23 2" xfId="332" xr:uid="{00000000-0005-0000-0000-00004C010000}"/>
    <cellStyle name="Normal 23 2 2" xfId="333" xr:uid="{00000000-0005-0000-0000-00004D010000}"/>
    <cellStyle name="Normal 23 2 2 2" xfId="334" xr:uid="{00000000-0005-0000-0000-00004E010000}"/>
    <cellStyle name="Normal 23 2 3" xfId="335" xr:uid="{00000000-0005-0000-0000-00004F010000}"/>
    <cellStyle name="Normal 23 3" xfId="336" xr:uid="{00000000-0005-0000-0000-000050010000}"/>
    <cellStyle name="Normal 23 3 2" xfId="337" xr:uid="{00000000-0005-0000-0000-000051010000}"/>
    <cellStyle name="Normal 23 4" xfId="338" xr:uid="{00000000-0005-0000-0000-000052010000}"/>
    <cellStyle name="Normal 23 5" xfId="339" xr:uid="{00000000-0005-0000-0000-000053010000}"/>
    <cellStyle name="Normal 23 5 2" xfId="340" xr:uid="{00000000-0005-0000-0000-000054010000}"/>
    <cellStyle name="Normal 23 6" xfId="341" xr:uid="{00000000-0005-0000-0000-000055010000}"/>
    <cellStyle name="Normal 23 7" xfId="342" xr:uid="{00000000-0005-0000-0000-000056010000}"/>
    <cellStyle name="Normal 23 8" xfId="343" xr:uid="{00000000-0005-0000-0000-000057010000}"/>
    <cellStyle name="Normal 24" xfId="344" xr:uid="{00000000-0005-0000-0000-000058010000}"/>
    <cellStyle name="Normal 24 2" xfId="345" xr:uid="{00000000-0005-0000-0000-000059010000}"/>
    <cellStyle name="Normal 24 2 2" xfId="346" xr:uid="{00000000-0005-0000-0000-00005A010000}"/>
    <cellStyle name="Normal 24 3" xfId="347" xr:uid="{00000000-0005-0000-0000-00005B010000}"/>
    <cellStyle name="Normal 25" xfId="348" xr:uid="{00000000-0005-0000-0000-00005C010000}"/>
    <cellStyle name="Normal 26" xfId="349" xr:uid="{00000000-0005-0000-0000-00005D010000}"/>
    <cellStyle name="Normal 26 2" xfId="350" xr:uid="{00000000-0005-0000-0000-00005E010000}"/>
    <cellStyle name="Normal 26 2 2" xfId="351" xr:uid="{00000000-0005-0000-0000-00005F010000}"/>
    <cellStyle name="Normal 26 3" xfId="352" xr:uid="{00000000-0005-0000-0000-000060010000}"/>
    <cellStyle name="Normal 27" xfId="353" xr:uid="{00000000-0005-0000-0000-000061010000}"/>
    <cellStyle name="Normal 27 2" xfId="354" xr:uid="{00000000-0005-0000-0000-000062010000}"/>
    <cellStyle name="Normal 28" xfId="355" xr:uid="{00000000-0005-0000-0000-000063010000}"/>
    <cellStyle name="Normal 29" xfId="356" xr:uid="{00000000-0005-0000-0000-000064010000}"/>
    <cellStyle name="Normal 29 2" xfId="357" xr:uid="{00000000-0005-0000-0000-000065010000}"/>
    <cellStyle name="Normal 29 2 2" xfId="358" xr:uid="{00000000-0005-0000-0000-000066010000}"/>
    <cellStyle name="Normal 29 3" xfId="359" xr:uid="{00000000-0005-0000-0000-000067010000}"/>
    <cellStyle name="Normal 29 4" xfId="360" xr:uid="{00000000-0005-0000-0000-000068010000}"/>
    <cellStyle name="Normal 29 5" xfId="361" xr:uid="{00000000-0005-0000-0000-000069010000}"/>
    <cellStyle name="Normal 3" xfId="362" xr:uid="{00000000-0005-0000-0000-00006A010000}"/>
    <cellStyle name="Normal 3 2" xfId="363" xr:uid="{00000000-0005-0000-0000-00006B010000}"/>
    <cellStyle name="Normal 3 3" xfId="364" xr:uid="{00000000-0005-0000-0000-00006C010000}"/>
    <cellStyle name="Normal 3 4" xfId="365" xr:uid="{00000000-0005-0000-0000-00006D010000}"/>
    <cellStyle name="Normal 3 5" xfId="366" xr:uid="{00000000-0005-0000-0000-00006E010000}"/>
    <cellStyle name="Normal 3 6" xfId="367" xr:uid="{00000000-0005-0000-0000-00006F010000}"/>
    <cellStyle name="Normal 3 7" xfId="368" xr:uid="{00000000-0005-0000-0000-000070010000}"/>
    <cellStyle name="Normal 30" xfId="369" xr:uid="{00000000-0005-0000-0000-000071010000}"/>
    <cellStyle name="Normal 30 2" xfId="370" xr:uid="{00000000-0005-0000-0000-000072010000}"/>
    <cellStyle name="Normal 31" xfId="371" xr:uid="{00000000-0005-0000-0000-000073010000}"/>
    <cellStyle name="Normal 31 2" xfId="372" xr:uid="{00000000-0005-0000-0000-000074010000}"/>
    <cellStyle name="Normal 32" xfId="373" xr:uid="{00000000-0005-0000-0000-000075010000}"/>
    <cellStyle name="Normal 33" xfId="374" xr:uid="{00000000-0005-0000-0000-000076010000}"/>
    <cellStyle name="Normal 33 2" xfId="375" xr:uid="{00000000-0005-0000-0000-000077010000}"/>
    <cellStyle name="Normal 34" xfId="376" xr:uid="{00000000-0005-0000-0000-000078010000}"/>
    <cellStyle name="Normal 34 2" xfId="377" xr:uid="{00000000-0005-0000-0000-000079010000}"/>
    <cellStyle name="Normal 35" xfId="378" xr:uid="{00000000-0005-0000-0000-00007A010000}"/>
    <cellStyle name="Normal 36" xfId="379" xr:uid="{00000000-0005-0000-0000-00007B010000}"/>
    <cellStyle name="Normal 36 2" xfId="380" xr:uid="{00000000-0005-0000-0000-00007C010000}"/>
    <cellStyle name="Normal 37" xfId="381" xr:uid="{00000000-0005-0000-0000-00007D010000}"/>
    <cellStyle name="Normal 37 2" xfId="382" xr:uid="{00000000-0005-0000-0000-00007E010000}"/>
    <cellStyle name="Normal 38" xfId="383" xr:uid="{00000000-0005-0000-0000-00007F010000}"/>
    <cellStyle name="Normal 39" xfId="384" xr:uid="{00000000-0005-0000-0000-000080010000}"/>
    <cellStyle name="Normal 39 2" xfId="385" xr:uid="{00000000-0005-0000-0000-000081010000}"/>
    <cellStyle name="Normal 4" xfId="386" xr:uid="{00000000-0005-0000-0000-000082010000}"/>
    <cellStyle name="Normal 4 10" xfId="387" xr:uid="{00000000-0005-0000-0000-000083010000}"/>
    <cellStyle name="Normal 4 10 2" xfId="388" xr:uid="{00000000-0005-0000-0000-000084010000}"/>
    <cellStyle name="Normal 4 11" xfId="389" xr:uid="{00000000-0005-0000-0000-000085010000}"/>
    <cellStyle name="Normal 4 12" xfId="390" xr:uid="{00000000-0005-0000-0000-000086010000}"/>
    <cellStyle name="Normal 4 12 2" xfId="391" xr:uid="{00000000-0005-0000-0000-000087010000}"/>
    <cellStyle name="Normal 4 13" xfId="392" xr:uid="{00000000-0005-0000-0000-000088010000}"/>
    <cellStyle name="Normal 4 14" xfId="393" xr:uid="{00000000-0005-0000-0000-000089010000}"/>
    <cellStyle name="Normal 4 15" xfId="394" xr:uid="{00000000-0005-0000-0000-00008A010000}"/>
    <cellStyle name="Normal 4 2" xfId="395" xr:uid="{00000000-0005-0000-0000-00008B010000}"/>
    <cellStyle name="Normal 4 2 2" xfId="396" xr:uid="{00000000-0005-0000-0000-00008C010000}"/>
    <cellStyle name="Normal 4 2 2 2" xfId="397" xr:uid="{00000000-0005-0000-0000-00008D010000}"/>
    <cellStyle name="Normal 4 2 2 2 2" xfId="398" xr:uid="{00000000-0005-0000-0000-00008E010000}"/>
    <cellStyle name="Normal 4 2 2 2 2 2" xfId="399" xr:uid="{00000000-0005-0000-0000-00008F010000}"/>
    <cellStyle name="Normal 4 2 2 2 3" xfId="400" xr:uid="{00000000-0005-0000-0000-000090010000}"/>
    <cellStyle name="Normal 4 2 2 3" xfId="401" xr:uid="{00000000-0005-0000-0000-000091010000}"/>
    <cellStyle name="Normal 4 2 2 3 2" xfId="402" xr:uid="{00000000-0005-0000-0000-000092010000}"/>
    <cellStyle name="Normal 4 2 2 4" xfId="403" xr:uid="{00000000-0005-0000-0000-000093010000}"/>
    <cellStyle name="Normal 4 2 3" xfId="404" xr:uid="{00000000-0005-0000-0000-000094010000}"/>
    <cellStyle name="Normal 4 2 3 2" xfId="405" xr:uid="{00000000-0005-0000-0000-000095010000}"/>
    <cellStyle name="Normal 4 2 3 2 2" xfId="406" xr:uid="{00000000-0005-0000-0000-000096010000}"/>
    <cellStyle name="Normal 4 2 3 3" xfId="407" xr:uid="{00000000-0005-0000-0000-000097010000}"/>
    <cellStyle name="Normal 4 2 4" xfId="408" xr:uid="{00000000-0005-0000-0000-000098010000}"/>
    <cellStyle name="Normal 4 2 4 2" xfId="409" xr:uid="{00000000-0005-0000-0000-000099010000}"/>
    <cellStyle name="Normal 4 2 5" xfId="410" xr:uid="{00000000-0005-0000-0000-00009A010000}"/>
    <cellStyle name="Normal 4 3" xfId="411" xr:uid="{00000000-0005-0000-0000-00009B010000}"/>
    <cellStyle name="Normal 4 3 2" xfId="412" xr:uid="{00000000-0005-0000-0000-00009C010000}"/>
    <cellStyle name="Normal 4 3 2 2" xfId="413" xr:uid="{00000000-0005-0000-0000-00009D010000}"/>
    <cellStyle name="Normal 4 3 2 2 2" xfId="414" xr:uid="{00000000-0005-0000-0000-00009E010000}"/>
    <cellStyle name="Normal 4 3 2 2 2 2" xfId="415" xr:uid="{00000000-0005-0000-0000-00009F010000}"/>
    <cellStyle name="Normal 4 3 2 2 3" xfId="416" xr:uid="{00000000-0005-0000-0000-0000A0010000}"/>
    <cellStyle name="Normal 4 3 2 3" xfId="417" xr:uid="{00000000-0005-0000-0000-0000A1010000}"/>
    <cellStyle name="Normal 4 3 2 3 2" xfId="418" xr:uid="{00000000-0005-0000-0000-0000A2010000}"/>
    <cellStyle name="Normal 4 3 2 4" xfId="419" xr:uid="{00000000-0005-0000-0000-0000A3010000}"/>
    <cellStyle name="Normal 4 3 3" xfId="420" xr:uid="{00000000-0005-0000-0000-0000A4010000}"/>
    <cellStyle name="Normal 4 3 3 2" xfId="421" xr:uid="{00000000-0005-0000-0000-0000A5010000}"/>
    <cellStyle name="Normal 4 3 3 2 2" xfId="422" xr:uid="{00000000-0005-0000-0000-0000A6010000}"/>
    <cellStyle name="Normal 4 3 3 3" xfId="423" xr:uid="{00000000-0005-0000-0000-0000A7010000}"/>
    <cellStyle name="Normal 4 3 4" xfId="424" xr:uid="{00000000-0005-0000-0000-0000A8010000}"/>
    <cellStyle name="Normal 4 3 4 2" xfId="425" xr:uid="{00000000-0005-0000-0000-0000A9010000}"/>
    <cellStyle name="Normal 4 3 5" xfId="426" xr:uid="{00000000-0005-0000-0000-0000AA010000}"/>
    <cellStyle name="Normal 4 4" xfId="427" xr:uid="{00000000-0005-0000-0000-0000AB010000}"/>
    <cellStyle name="Normal 4 4 2" xfId="428" xr:uid="{00000000-0005-0000-0000-0000AC010000}"/>
    <cellStyle name="Normal 4 4 2 2" xfId="429" xr:uid="{00000000-0005-0000-0000-0000AD010000}"/>
    <cellStyle name="Normal 4 4 2 2 2" xfId="430" xr:uid="{00000000-0005-0000-0000-0000AE010000}"/>
    <cellStyle name="Normal 4 4 2 2 2 2" xfId="431" xr:uid="{00000000-0005-0000-0000-0000AF010000}"/>
    <cellStyle name="Normal 4 4 2 2 3" xfId="432" xr:uid="{00000000-0005-0000-0000-0000B0010000}"/>
    <cellStyle name="Normal 4 4 2 3" xfId="433" xr:uid="{00000000-0005-0000-0000-0000B1010000}"/>
    <cellStyle name="Normal 4 4 2 3 2" xfId="434" xr:uid="{00000000-0005-0000-0000-0000B2010000}"/>
    <cellStyle name="Normal 4 4 2 4" xfId="435" xr:uid="{00000000-0005-0000-0000-0000B3010000}"/>
    <cellStyle name="Normal 4 4 3" xfId="436" xr:uid="{00000000-0005-0000-0000-0000B4010000}"/>
    <cellStyle name="Normal 4 4 3 2" xfId="437" xr:uid="{00000000-0005-0000-0000-0000B5010000}"/>
    <cellStyle name="Normal 4 4 3 2 2" xfId="438" xr:uid="{00000000-0005-0000-0000-0000B6010000}"/>
    <cellStyle name="Normal 4 4 3 3" xfId="439" xr:uid="{00000000-0005-0000-0000-0000B7010000}"/>
    <cellStyle name="Normal 4 4 4" xfId="440" xr:uid="{00000000-0005-0000-0000-0000B8010000}"/>
    <cellStyle name="Normal 4 4 4 2" xfId="441" xr:uid="{00000000-0005-0000-0000-0000B9010000}"/>
    <cellStyle name="Normal 4 4 5" xfId="442" xr:uid="{00000000-0005-0000-0000-0000BA010000}"/>
    <cellStyle name="Normal 4 5" xfId="443" xr:uid="{00000000-0005-0000-0000-0000BB010000}"/>
    <cellStyle name="Normal 4 5 2" xfId="444" xr:uid="{00000000-0005-0000-0000-0000BC010000}"/>
    <cellStyle name="Normal 4 5 2 2" xfId="445" xr:uid="{00000000-0005-0000-0000-0000BD010000}"/>
    <cellStyle name="Normal 4 5 2 2 2" xfId="446" xr:uid="{00000000-0005-0000-0000-0000BE010000}"/>
    <cellStyle name="Normal 4 5 2 2 2 2" xfId="447" xr:uid="{00000000-0005-0000-0000-0000BF010000}"/>
    <cellStyle name="Normal 4 5 2 2 3" xfId="448" xr:uid="{00000000-0005-0000-0000-0000C0010000}"/>
    <cellStyle name="Normal 4 5 2 3" xfId="449" xr:uid="{00000000-0005-0000-0000-0000C1010000}"/>
    <cellStyle name="Normal 4 5 2 3 2" xfId="450" xr:uid="{00000000-0005-0000-0000-0000C2010000}"/>
    <cellStyle name="Normal 4 5 2 4" xfId="451" xr:uid="{00000000-0005-0000-0000-0000C3010000}"/>
    <cellStyle name="Normal 4 5 3" xfId="452" xr:uid="{00000000-0005-0000-0000-0000C4010000}"/>
    <cellStyle name="Normal 4 5 3 2" xfId="453" xr:uid="{00000000-0005-0000-0000-0000C5010000}"/>
    <cellStyle name="Normal 4 5 3 2 2" xfId="454" xr:uid="{00000000-0005-0000-0000-0000C6010000}"/>
    <cellStyle name="Normal 4 5 3 3" xfId="455" xr:uid="{00000000-0005-0000-0000-0000C7010000}"/>
    <cellStyle name="Normal 4 5 4" xfId="456" xr:uid="{00000000-0005-0000-0000-0000C8010000}"/>
    <cellStyle name="Normal 4 5 4 2" xfId="457" xr:uid="{00000000-0005-0000-0000-0000C9010000}"/>
    <cellStyle name="Normal 4 5 5" xfId="458" xr:uid="{00000000-0005-0000-0000-0000CA010000}"/>
    <cellStyle name="Normal 4 6" xfId="459" xr:uid="{00000000-0005-0000-0000-0000CB010000}"/>
    <cellStyle name="Normal 4 6 2" xfId="460" xr:uid="{00000000-0005-0000-0000-0000CC010000}"/>
    <cellStyle name="Normal 4 6 2 2" xfId="461" xr:uid="{00000000-0005-0000-0000-0000CD010000}"/>
    <cellStyle name="Normal 4 6 2 2 2" xfId="462" xr:uid="{00000000-0005-0000-0000-0000CE010000}"/>
    <cellStyle name="Normal 4 6 2 2 2 2" xfId="463" xr:uid="{00000000-0005-0000-0000-0000CF010000}"/>
    <cellStyle name="Normal 4 6 2 2 3" xfId="464" xr:uid="{00000000-0005-0000-0000-0000D0010000}"/>
    <cellStyle name="Normal 4 6 2 3" xfId="465" xr:uid="{00000000-0005-0000-0000-0000D1010000}"/>
    <cellStyle name="Normal 4 6 2 3 2" xfId="466" xr:uid="{00000000-0005-0000-0000-0000D2010000}"/>
    <cellStyle name="Normal 4 6 2 4" xfId="467" xr:uid="{00000000-0005-0000-0000-0000D3010000}"/>
    <cellStyle name="Normal 4 6 3" xfId="468" xr:uid="{00000000-0005-0000-0000-0000D4010000}"/>
    <cellStyle name="Normal 4 6 3 2" xfId="469" xr:uid="{00000000-0005-0000-0000-0000D5010000}"/>
    <cellStyle name="Normal 4 6 3 2 2" xfId="470" xr:uid="{00000000-0005-0000-0000-0000D6010000}"/>
    <cellStyle name="Normal 4 6 3 3" xfId="471" xr:uid="{00000000-0005-0000-0000-0000D7010000}"/>
    <cellStyle name="Normal 4 6 4" xfId="472" xr:uid="{00000000-0005-0000-0000-0000D8010000}"/>
    <cellStyle name="Normal 4 6 4 2" xfId="473" xr:uid="{00000000-0005-0000-0000-0000D9010000}"/>
    <cellStyle name="Normal 4 6 5" xfId="474" xr:uid="{00000000-0005-0000-0000-0000DA010000}"/>
    <cellStyle name="Normal 4 7" xfId="475" xr:uid="{00000000-0005-0000-0000-0000DB010000}"/>
    <cellStyle name="Normal 4 7 2" xfId="476" xr:uid="{00000000-0005-0000-0000-0000DC010000}"/>
    <cellStyle name="Normal 4 7 2 2" xfId="477" xr:uid="{00000000-0005-0000-0000-0000DD010000}"/>
    <cellStyle name="Normal 4 7 2 2 2" xfId="478" xr:uid="{00000000-0005-0000-0000-0000DE010000}"/>
    <cellStyle name="Normal 4 7 2 2 2 2" xfId="479" xr:uid="{00000000-0005-0000-0000-0000DF010000}"/>
    <cellStyle name="Normal 4 7 2 2 3" xfId="480" xr:uid="{00000000-0005-0000-0000-0000E0010000}"/>
    <cellStyle name="Normal 4 7 2 3" xfId="481" xr:uid="{00000000-0005-0000-0000-0000E1010000}"/>
    <cellStyle name="Normal 4 7 2 3 2" xfId="482" xr:uid="{00000000-0005-0000-0000-0000E2010000}"/>
    <cellStyle name="Normal 4 7 2 4" xfId="483" xr:uid="{00000000-0005-0000-0000-0000E3010000}"/>
    <cellStyle name="Normal 4 7 3" xfId="484" xr:uid="{00000000-0005-0000-0000-0000E4010000}"/>
    <cellStyle name="Normal 4 7 3 2" xfId="485" xr:uid="{00000000-0005-0000-0000-0000E5010000}"/>
    <cellStyle name="Normal 4 7 3 2 2" xfId="486" xr:uid="{00000000-0005-0000-0000-0000E6010000}"/>
    <cellStyle name="Normal 4 7 3 3" xfId="487" xr:uid="{00000000-0005-0000-0000-0000E7010000}"/>
    <cellStyle name="Normal 4 7 4" xfId="488" xr:uid="{00000000-0005-0000-0000-0000E8010000}"/>
    <cellStyle name="Normal 4 7 4 2" xfId="489" xr:uid="{00000000-0005-0000-0000-0000E9010000}"/>
    <cellStyle name="Normal 4 7 5" xfId="490" xr:uid="{00000000-0005-0000-0000-0000EA010000}"/>
    <cellStyle name="Normal 4 8" xfId="491" xr:uid="{00000000-0005-0000-0000-0000EB010000}"/>
    <cellStyle name="Normal 4 8 2" xfId="492" xr:uid="{00000000-0005-0000-0000-0000EC010000}"/>
    <cellStyle name="Normal 4 8 2 2" xfId="493" xr:uid="{00000000-0005-0000-0000-0000ED010000}"/>
    <cellStyle name="Normal 4 8 2 2 2" xfId="494" xr:uid="{00000000-0005-0000-0000-0000EE010000}"/>
    <cellStyle name="Normal 4 8 2 3" xfId="495" xr:uid="{00000000-0005-0000-0000-0000EF010000}"/>
    <cellStyle name="Normal 4 8 3" xfId="496" xr:uid="{00000000-0005-0000-0000-0000F0010000}"/>
    <cellStyle name="Normal 4 8 3 2" xfId="497" xr:uid="{00000000-0005-0000-0000-0000F1010000}"/>
    <cellStyle name="Normal 4 8 4" xfId="498" xr:uid="{00000000-0005-0000-0000-0000F2010000}"/>
    <cellStyle name="Normal 4 9" xfId="499" xr:uid="{00000000-0005-0000-0000-0000F3010000}"/>
    <cellStyle name="Normal 4 9 2" xfId="500" xr:uid="{00000000-0005-0000-0000-0000F4010000}"/>
    <cellStyle name="Normal 4 9 2 2" xfId="501" xr:uid="{00000000-0005-0000-0000-0000F5010000}"/>
    <cellStyle name="Normal 4 9 2 2 2" xfId="502" xr:uid="{00000000-0005-0000-0000-0000F6010000}"/>
    <cellStyle name="Normal 4 9 2 2 3" xfId="503" xr:uid="{00000000-0005-0000-0000-0000F7010000}"/>
    <cellStyle name="Normal 4 9 2 2 3 2" xfId="504" xr:uid="{00000000-0005-0000-0000-0000F8010000}"/>
    <cellStyle name="Normal 4 9 2 2 3 2 2" xfId="505" xr:uid="{00000000-0005-0000-0000-0000F9010000}"/>
    <cellStyle name="Normal 4 9 2 2 3 2 2 2" xfId="506" xr:uid="{00000000-0005-0000-0000-0000FA010000}"/>
    <cellStyle name="Normal 4 9 2 2 3 2 2 2 2" xfId="507" xr:uid="{00000000-0005-0000-0000-0000FB010000}"/>
    <cellStyle name="Normal 4 9 2 2 3 2 2 2 2 2" xfId="508" xr:uid="{00000000-0005-0000-0000-0000FC010000}"/>
    <cellStyle name="Normal 4 9 2 2 3 2 2 2 2 2 2" xfId="509" xr:uid="{00000000-0005-0000-0000-0000FD010000}"/>
    <cellStyle name="Normal 4 9 2 2 3 2 2 2 2 2 2 2" xfId="510" xr:uid="{00000000-0005-0000-0000-0000FE010000}"/>
    <cellStyle name="Normal 4 9 2 2 3 2 2 2 2 2 2 2 2" xfId="511" xr:uid="{00000000-0005-0000-0000-0000FF010000}"/>
    <cellStyle name="Normal 4 9 2 3" xfId="512" xr:uid="{00000000-0005-0000-0000-000000020000}"/>
    <cellStyle name="Normal 4 9 3" xfId="513" xr:uid="{00000000-0005-0000-0000-000001020000}"/>
    <cellStyle name="Normal 40" xfId="514" xr:uid="{00000000-0005-0000-0000-000002020000}"/>
    <cellStyle name="Normal 40 2" xfId="515" xr:uid="{00000000-0005-0000-0000-000003020000}"/>
    <cellStyle name="Normal 41" xfId="516" xr:uid="{00000000-0005-0000-0000-000004020000}"/>
    <cellStyle name="Normal 41 2" xfId="517" xr:uid="{00000000-0005-0000-0000-000005020000}"/>
    <cellStyle name="Normal 42" xfId="518" xr:uid="{00000000-0005-0000-0000-000006020000}"/>
    <cellStyle name="Normal 42 2" xfId="519" xr:uid="{00000000-0005-0000-0000-000007020000}"/>
    <cellStyle name="Normal 43" xfId="520" xr:uid="{00000000-0005-0000-0000-000008020000}"/>
    <cellStyle name="Normal 43 2" xfId="521" xr:uid="{00000000-0005-0000-0000-000009020000}"/>
    <cellStyle name="Normal 44" xfId="522" xr:uid="{00000000-0005-0000-0000-00000A020000}"/>
    <cellStyle name="Normal 44 2" xfId="523" xr:uid="{00000000-0005-0000-0000-00000B020000}"/>
    <cellStyle name="Normal 45" xfId="524" xr:uid="{00000000-0005-0000-0000-00000C020000}"/>
    <cellStyle name="Normal 45 2" xfId="525" xr:uid="{00000000-0005-0000-0000-00000D020000}"/>
    <cellStyle name="Normal 46" xfId="526" xr:uid="{00000000-0005-0000-0000-00000E020000}"/>
    <cellStyle name="Normal 46 2" xfId="527" xr:uid="{00000000-0005-0000-0000-00000F020000}"/>
    <cellStyle name="Normal 47" xfId="528" xr:uid="{00000000-0005-0000-0000-000010020000}"/>
    <cellStyle name="Normal 47 2" xfId="529" xr:uid="{00000000-0005-0000-0000-000011020000}"/>
    <cellStyle name="Normal 48" xfId="530" xr:uid="{00000000-0005-0000-0000-000012020000}"/>
    <cellStyle name="Normal 48 2" xfId="531" xr:uid="{00000000-0005-0000-0000-000013020000}"/>
    <cellStyle name="Normal 49" xfId="532" xr:uid="{00000000-0005-0000-0000-000014020000}"/>
    <cellStyle name="Normal 49 2" xfId="533" xr:uid="{00000000-0005-0000-0000-000015020000}"/>
    <cellStyle name="Normal 5" xfId="534" xr:uid="{00000000-0005-0000-0000-000016020000}"/>
    <cellStyle name="Normal 5 10" xfId="535" xr:uid="{00000000-0005-0000-0000-000017020000}"/>
    <cellStyle name="Normal 5 10 2" xfId="536" xr:uid="{00000000-0005-0000-0000-000018020000}"/>
    <cellStyle name="Normal 5 11" xfId="537" xr:uid="{00000000-0005-0000-0000-000019020000}"/>
    <cellStyle name="Normal 5 2" xfId="538" xr:uid="{00000000-0005-0000-0000-00001A020000}"/>
    <cellStyle name="Normal 5 3" xfId="539" xr:uid="{00000000-0005-0000-0000-00001B020000}"/>
    <cellStyle name="Normal 5 4" xfId="540" xr:uid="{00000000-0005-0000-0000-00001C020000}"/>
    <cellStyle name="Normal 5 5" xfId="541" xr:uid="{00000000-0005-0000-0000-00001D020000}"/>
    <cellStyle name="Normal 5 6" xfId="542" xr:uid="{00000000-0005-0000-0000-00001E020000}"/>
    <cellStyle name="Normal 5 7" xfId="543" xr:uid="{00000000-0005-0000-0000-00001F020000}"/>
    <cellStyle name="Normal 5 7 2" xfId="544" xr:uid="{00000000-0005-0000-0000-000020020000}"/>
    <cellStyle name="Normal 5 8" xfId="545" xr:uid="{00000000-0005-0000-0000-000021020000}"/>
    <cellStyle name="Normal 5 8 2" xfId="546" xr:uid="{00000000-0005-0000-0000-000022020000}"/>
    <cellStyle name="Normal 5 8 2 2" xfId="547" xr:uid="{00000000-0005-0000-0000-000023020000}"/>
    <cellStyle name="Normal 5 8 2 2 2" xfId="548" xr:uid="{00000000-0005-0000-0000-000024020000}"/>
    <cellStyle name="Normal 5 8 2 3" xfId="549" xr:uid="{00000000-0005-0000-0000-000025020000}"/>
    <cellStyle name="Normal 5 8 3" xfId="550" xr:uid="{00000000-0005-0000-0000-000026020000}"/>
    <cellStyle name="Normal 5 8 3 2" xfId="551" xr:uid="{00000000-0005-0000-0000-000027020000}"/>
    <cellStyle name="Normal 5 8 4" xfId="552" xr:uid="{00000000-0005-0000-0000-000028020000}"/>
    <cellStyle name="Normal 5 9" xfId="553" xr:uid="{00000000-0005-0000-0000-000029020000}"/>
    <cellStyle name="Normal 5 9 2" xfId="554" xr:uid="{00000000-0005-0000-0000-00002A020000}"/>
    <cellStyle name="Normal 5 9 2 2" xfId="555" xr:uid="{00000000-0005-0000-0000-00002B020000}"/>
    <cellStyle name="Normal 5 9 3" xfId="556" xr:uid="{00000000-0005-0000-0000-00002C020000}"/>
    <cellStyle name="Normal 50" xfId="557" xr:uid="{00000000-0005-0000-0000-00002D020000}"/>
    <cellStyle name="Normal 51" xfId="558" xr:uid="{00000000-0005-0000-0000-00002E020000}"/>
    <cellStyle name="Normal 51 2" xfId="559" xr:uid="{00000000-0005-0000-0000-00002F020000}"/>
    <cellStyle name="Normal 52" xfId="560" xr:uid="{00000000-0005-0000-0000-000030020000}"/>
    <cellStyle name="Normal 52 2" xfId="561" xr:uid="{00000000-0005-0000-0000-000031020000}"/>
    <cellStyle name="Normal 53" xfId="562" xr:uid="{00000000-0005-0000-0000-000032020000}"/>
    <cellStyle name="Normal 53 2" xfId="563" xr:uid="{00000000-0005-0000-0000-000033020000}"/>
    <cellStyle name="Normal 54" xfId="564" xr:uid="{00000000-0005-0000-0000-000034020000}"/>
    <cellStyle name="Normal 54 2" xfId="565" xr:uid="{00000000-0005-0000-0000-000035020000}"/>
    <cellStyle name="Normal 55" xfId="566" xr:uid="{00000000-0005-0000-0000-000036020000}"/>
    <cellStyle name="Normal 55 2" xfId="567" xr:uid="{00000000-0005-0000-0000-000037020000}"/>
    <cellStyle name="Normal 56" xfId="568" xr:uid="{00000000-0005-0000-0000-000038020000}"/>
    <cellStyle name="Normal 57" xfId="569" xr:uid="{00000000-0005-0000-0000-000039020000}"/>
    <cellStyle name="Normal 58" xfId="570" xr:uid="{00000000-0005-0000-0000-00003A020000}"/>
    <cellStyle name="Normal 59" xfId="571" xr:uid="{00000000-0005-0000-0000-00003B020000}"/>
    <cellStyle name="Normal 6" xfId="572" xr:uid="{00000000-0005-0000-0000-00003C020000}"/>
    <cellStyle name="Normal 6 10" xfId="573" xr:uid="{00000000-0005-0000-0000-00003D020000}"/>
    <cellStyle name="Normal 6 10 2" xfId="574" xr:uid="{00000000-0005-0000-0000-00003E020000}"/>
    <cellStyle name="Normal 6 11" xfId="575" xr:uid="{00000000-0005-0000-0000-00003F020000}"/>
    <cellStyle name="Normal 6 12" xfId="576" xr:uid="{00000000-0005-0000-0000-000040020000}"/>
    <cellStyle name="Normal 6 13" xfId="577" xr:uid="{00000000-0005-0000-0000-000041020000}"/>
    <cellStyle name="Normal 6 14" xfId="578" xr:uid="{00000000-0005-0000-0000-000042020000}"/>
    <cellStyle name="Normal 6 15" xfId="579" xr:uid="{00000000-0005-0000-0000-000043020000}"/>
    <cellStyle name="Normal 6 2" xfId="580" xr:uid="{00000000-0005-0000-0000-000044020000}"/>
    <cellStyle name="Normal 6 2 2" xfId="581" xr:uid="{00000000-0005-0000-0000-000045020000}"/>
    <cellStyle name="Normal 6 2 2 2" xfId="582" xr:uid="{00000000-0005-0000-0000-000046020000}"/>
    <cellStyle name="Normal 6 2 2 2 2" xfId="583" xr:uid="{00000000-0005-0000-0000-000047020000}"/>
    <cellStyle name="Normal 6 2 2 2 2 2" xfId="584" xr:uid="{00000000-0005-0000-0000-000048020000}"/>
    <cellStyle name="Normal 6 2 2 2 3" xfId="585" xr:uid="{00000000-0005-0000-0000-000049020000}"/>
    <cellStyle name="Normal 6 2 2 3" xfId="586" xr:uid="{00000000-0005-0000-0000-00004A020000}"/>
    <cellStyle name="Normal 6 2 2 3 2" xfId="587" xr:uid="{00000000-0005-0000-0000-00004B020000}"/>
    <cellStyle name="Normal 6 2 2 4" xfId="588" xr:uid="{00000000-0005-0000-0000-00004C020000}"/>
    <cellStyle name="Normal 6 2 3" xfId="589" xr:uid="{00000000-0005-0000-0000-00004D020000}"/>
    <cellStyle name="Normal 6 2 3 2" xfId="590" xr:uid="{00000000-0005-0000-0000-00004E020000}"/>
    <cellStyle name="Normal 6 2 3 2 2" xfId="591" xr:uid="{00000000-0005-0000-0000-00004F020000}"/>
    <cellStyle name="Normal 6 2 3 3" xfId="592" xr:uid="{00000000-0005-0000-0000-000050020000}"/>
    <cellStyle name="Normal 6 2 4" xfId="593" xr:uid="{00000000-0005-0000-0000-000051020000}"/>
    <cellStyle name="Normal 6 2 4 2" xfId="594" xr:uid="{00000000-0005-0000-0000-000052020000}"/>
    <cellStyle name="Normal 6 2 5" xfId="595" xr:uid="{00000000-0005-0000-0000-000053020000}"/>
    <cellStyle name="Normal 6 3" xfId="596" xr:uid="{00000000-0005-0000-0000-000054020000}"/>
    <cellStyle name="Normal 6 3 2" xfId="597" xr:uid="{00000000-0005-0000-0000-000055020000}"/>
    <cellStyle name="Normal 6 3 2 2" xfId="598" xr:uid="{00000000-0005-0000-0000-000056020000}"/>
    <cellStyle name="Normal 6 3 2 2 2" xfId="599" xr:uid="{00000000-0005-0000-0000-000057020000}"/>
    <cellStyle name="Normal 6 3 2 2 2 2" xfId="600" xr:uid="{00000000-0005-0000-0000-000058020000}"/>
    <cellStyle name="Normal 6 3 2 2 3" xfId="601" xr:uid="{00000000-0005-0000-0000-000059020000}"/>
    <cellStyle name="Normal 6 3 2 3" xfId="602" xr:uid="{00000000-0005-0000-0000-00005A020000}"/>
    <cellStyle name="Normal 6 3 2 3 2" xfId="603" xr:uid="{00000000-0005-0000-0000-00005B020000}"/>
    <cellStyle name="Normal 6 3 2 4" xfId="604" xr:uid="{00000000-0005-0000-0000-00005C020000}"/>
    <cellStyle name="Normal 6 3 3" xfId="605" xr:uid="{00000000-0005-0000-0000-00005D020000}"/>
    <cellStyle name="Normal 6 3 3 2" xfId="606" xr:uid="{00000000-0005-0000-0000-00005E020000}"/>
    <cellStyle name="Normal 6 3 3 2 2" xfId="607" xr:uid="{00000000-0005-0000-0000-00005F020000}"/>
    <cellStyle name="Normal 6 3 3 3" xfId="608" xr:uid="{00000000-0005-0000-0000-000060020000}"/>
    <cellStyle name="Normal 6 3 4" xfId="609" xr:uid="{00000000-0005-0000-0000-000061020000}"/>
    <cellStyle name="Normal 6 3 4 2" xfId="610" xr:uid="{00000000-0005-0000-0000-000062020000}"/>
    <cellStyle name="Normal 6 3 5" xfId="611" xr:uid="{00000000-0005-0000-0000-000063020000}"/>
    <cellStyle name="Normal 6 4" xfId="612" xr:uid="{00000000-0005-0000-0000-000064020000}"/>
    <cellStyle name="Normal 6 4 2" xfId="613" xr:uid="{00000000-0005-0000-0000-000065020000}"/>
    <cellStyle name="Normal 6 4 2 2" xfId="614" xr:uid="{00000000-0005-0000-0000-000066020000}"/>
    <cellStyle name="Normal 6 4 2 2 2" xfId="615" xr:uid="{00000000-0005-0000-0000-000067020000}"/>
    <cellStyle name="Normal 6 4 2 2 2 2" xfId="616" xr:uid="{00000000-0005-0000-0000-000068020000}"/>
    <cellStyle name="Normal 6 4 2 2 3" xfId="617" xr:uid="{00000000-0005-0000-0000-000069020000}"/>
    <cellStyle name="Normal 6 4 2 3" xfId="618" xr:uid="{00000000-0005-0000-0000-00006A020000}"/>
    <cellStyle name="Normal 6 4 2 3 2" xfId="619" xr:uid="{00000000-0005-0000-0000-00006B020000}"/>
    <cellStyle name="Normal 6 4 2 4" xfId="620" xr:uid="{00000000-0005-0000-0000-00006C020000}"/>
    <cellStyle name="Normal 6 4 3" xfId="621" xr:uid="{00000000-0005-0000-0000-00006D020000}"/>
    <cellStyle name="Normal 6 4 3 2" xfId="622" xr:uid="{00000000-0005-0000-0000-00006E020000}"/>
    <cellStyle name="Normal 6 4 3 2 2" xfId="623" xr:uid="{00000000-0005-0000-0000-00006F020000}"/>
    <cellStyle name="Normal 6 4 3 3" xfId="624" xr:uid="{00000000-0005-0000-0000-000070020000}"/>
    <cellStyle name="Normal 6 4 4" xfId="625" xr:uid="{00000000-0005-0000-0000-000071020000}"/>
    <cellStyle name="Normal 6 4 4 2" xfId="626" xr:uid="{00000000-0005-0000-0000-000072020000}"/>
    <cellStyle name="Normal 6 4 5" xfId="627" xr:uid="{00000000-0005-0000-0000-000073020000}"/>
    <cellStyle name="Normal 6 5" xfId="628" xr:uid="{00000000-0005-0000-0000-000074020000}"/>
    <cellStyle name="Normal 6 5 2" xfId="629" xr:uid="{00000000-0005-0000-0000-000075020000}"/>
    <cellStyle name="Normal 6 5 2 2" xfId="630" xr:uid="{00000000-0005-0000-0000-000076020000}"/>
    <cellStyle name="Normal 6 5 2 2 2" xfId="631" xr:uid="{00000000-0005-0000-0000-000077020000}"/>
    <cellStyle name="Normal 6 5 2 2 2 2" xfId="632" xr:uid="{00000000-0005-0000-0000-000078020000}"/>
    <cellStyle name="Normal 6 5 2 2 3" xfId="633" xr:uid="{00000000-0005-0000-0000-000079020000}"/>
    <cellStyle name="Normal 6 5 2 3" xfId="634" xr:uid="{00000000-0005-0000-0000-00007A020000}"/>
    <cellStyle name="Normal 6 5 2 3 2" xfId="635" xr:uid="{00000000-0005-0000-0000-00007B020000}"/>
    <cellStyle name="Normal 6 5 2 4" xfId="636" xr:uid="{00000000-0005-0000-0000-00007C020000}"/>
    <cellStyle name="Normal 6 5 3" xfId="637" xr:uid="{00000000-0005-0000-0000-00007D020000}"/>
    <cellStyle name="Normal 6 5 3 2" xfId="638" xr:uid="{00000000-0005-0000-0000-00007E020000}"/>
    <cellStyle name="Normal 6 5 3 2 2" xfId="639" xr:uid="{00000000-0005-0000-0000-00007F020000}"/>
    <cellStyle name="Normal 6 5 3 3" xfId="640" xr:uid="{00000000-0005-0000-0000-000080020000}"/>
    <cellStyle name="Normal 6 5 4" xfId="641" xr:uid="{00000000-0005-0000-0000-000081020000}"/>
    <cellStyle name="Normal 6 5 4 2" xfId="642" xr:uid="{00000000-0005-0000-0000-000082020000}"/>
    <cellStyle name="Normal 6 5 5" xfId="643" xr:uid="{00000000-0005-0000-0000-000083020000}"/>
    <cellStyle name="Normal 6 6" xfId="644" xr:uid="{00000000-0005-0000-0000-000084020000}"/>
    <cellStyle name="Normal 6 6 2" xfId="645" xr:uid="{00000000-0005-0000-0000-000085020000}"/>
    <cellStyle name="Normal 6 6 2 2" xfId="646" xr:uid="{00000000-0005-0000-0000-000086020000}"/>
    <cellStyle name="Normal 6 6 2 2 2" xfId="647" xr:uid="{00000000-0005-0000-0000-000087020000}"/>
    <cellStyle name="Normal 6 6 2 2 2 2" xfId="648" xr:uid="{00000000-0005-0000-0000-000088020000}"/>
    <cellStyle name="Normal 6 6 2 2 3" xfId="649" xr:uid="{00000000-0005-0000-0000-000089020000}"/>
    <cellStyle name="Normal 6 6 2 3" xfId="650" xr:uid="{00000000-0005-0000-0000-00008A020000}"/>
    <cellStyle name="Normal 6 6 2 3 2" xfId="651" xr:uid="{00000000-0005-0000-0000-00008B020000}"/>
    <cellStyle name="Normal 6 6 2 4" xfId="652" xr:uid="{00000000-0005-0000-0000-00008C020000}"/>
    <cellStyle name="Normal 6 6 3" xfId="653" xr:uid="{00000000-0005-0000-0000-00008D020000}"/>
    <cellStyle name="Normal 6 6 3 2" xfId="654" xr:uid="{00000000-0005-0000-0000-00008E020000}"/>
    <cellStyle name="Normal 6 6 3 2 2" xfId="655" xr:uid="{00000000-0005-0000-0000-00008F020000}"/>
    <cellStyle name="Normal 6 6 3 3" xfId="656" xr:uid="{00000000-0005-0000-0000-000090020000}"/>
    <cellStyle name="Normal 6 6 4" xfId="657" xr:uid="{00000000-0005-0000-0000-000091020000}"/>
    <cellStyle name="Normal 6 6 4 2" xfId="658" xr:uid="{00000000-0005-0000-0000-000092020000}"/>
    <cellStyle name="Normal 6 6 5" xfId="659" xr:uid="{00000000-0005-0000-0000-000093020000}"/>
    <cellStyle name="Normal 6 7" xfId="660" xr:uid="{00000000-0005-0000-0000-000094020000}"/>
    <cellStyle name="Normal 6 7 2" xfId="661" xr:uid="{00000000-0005-0000-0000-000095020000}"/>
    <cellStyle name="Normal 6 7 2 2" xfId="662" xr:uid="{00000000-0005-0000-0000-000096020000}"/>
    <cellStyle name="Normal 6 7 2 2 2" xfId="663" xr:uid="{00000000-0005-0000-0000-000097020000}"/>
    <cellStyle name="Normal 6 7 2 2 2 2" xfId="664" xr:uid="{00000000-0005-0000-0000-000098020000}"/>
    <cellStyle name="Normal 6 7 2 2 3" xfId="665" xr:uid="{00000000-0005-0000-0000-000099020000}"/>
    <cellStyle name="Normal 6 7 2 3" xfId="666" xr:uid="{00000000-0005-0000-0000-00009A020000}"/>
    <cellStyle name="Normal 6 7 2 3 2" xfId="667" xr:uid="{00000000-0005-0000-0000-00009B020000}"/>
    <cellStyle name="Normal 6 7 2 4" xfId="668" xr:uid="{00000000-0005-0000-0000-00009C020000}"/>
    <cellStyle name="Normal 6 7 3" xfId="669" xr:uid="{00000000-0005-0000-0000-00009D020000}"/>
    <cellStyle name="Normal 6 7 3 2" xfId="670" xr:uid="{00000000-0005-0000-0000-00009E020000}"/>
    <cellStyle name="Normal 6 7 3 2 2" xfId="671" xr:uid="{00000000-0005-0000-0000-00009F020000}"/>
    <cellStyle name="Normal 6 7 3 3" xfId="672" xr:uid="{00000000-0005-0000-0000-0000A0020000}"/>
    <cellStyle name="Normal 6 7 4" xfId="673" xr:uid="{00000000-0005-0000-0000-0000A1020000}"/>
    <cellStyle name="Normal 6 7 4 2" xfId="674" xr:uid="{00000000-0005-0000-0000-0000A2020000}"/>
    <cellStyle name="Normal 6 7 5" xfId="675" xr:uid="{00000000-0005-0000-0000-0000A3020000}"/>
    <cellStyle name="Normal 6 8" xfId="676" xr:uid="{00000000-0005-0000-0000-0000A4020000}"/>
    <cellStyle name="Normal 6 8 2" xfId="677" xr:uid="{00000000-0005-0000-0000-0000A5020000}"/>
    <cellStyle name="Normal 6 8 2 2" xfId="678" xr:uid="{00000000-0005-0000-0000-0000A6020000}"/>
    <cellStyle name="Normal 6 8 2 2 2" xfId="679" xr:uid="{00000000-0005-0000-0000-0000A7020000}"/>
    <cellStyle name="Normal 6 8 2 3" xfId="680" xr:uid="{00000000-0005-0000-0000-0000A8020000}"/>
    <cellStyle name="Normal 6 8 3" xfId="681" xr:uid="{00000000-0005-0000-0000-0000A9020000}"/>
    <cellStyle name="Normal 6 8 3 2" xfId="682" xr:uid="{00000000-0005-0000-0000-0000AA020000}"/>
    <cellStyle name="Normal 6 8 4" xfId="683" xr:uid="{00000000-0005-0000-0000-0000AB020000}"/>
    <cellStyle name="Normal 6 9" xfId="684" xr:uid="{00000000-0005-0000-0000-0000AC020000}"/>
    <cellStyle name="Normal 6 9 2" xfId="685" xr:uid="{00000000-0005-0000-0000-0000AD020000}"/>
    <cellStyle name="Normal 6 9 2 2" xfId="686" xr:uid="{00000000-0005-0000-0000-0000AE020000}"/>
    <cellStyle name="Normal 6 9 3" xfId="687" xr:uid="{00000000-0005-0000-0000-0000AF020000}"/>
    <cellStyle name="Normal 60" xfId="688" xr:uid="{00000000-0005-0000-0000-0000B0020000}"/>
    <cellStyle name="Normal 61" xfId="689" xr:uid="{00000000-0005-0000-0000-0000B1020000}"/>
    <cellStyle name="Normal 7" xfId="690" xr:uid="{00000000-0005-0000-0000-0000B2020000}"/>
    <cellStyle name="Normal 7 2" xfId="691" xr:uid="{00000000-0005-0000-0000-0000B3020000}"/>
    <cellStyle name="Normal 7 3" xfId="692" xr:uid="{00000000-0005-0000-0000-0000B4020000}"/>
    <cellStyle name="Normal 8" xfId="693" xr:uid="{00000000-0005-0000-0000-0000B5020000}"/>
    <cellStyle name="Normal 8 2" xfId="694" xr:uid="{00000000-0005-0000-0000-0000B6020000}"/>
    <cellStyle name="Normal 8 3" xfId="695" xr:uid="{00000000-0005-0000-0000-0000B7020000}"/>
    <cellStyle name="Normal 8 4" xfId="696" xr:uid="{00000000-0005-0000-0000-0000B8020000}"/>
    <cellStyle name="Normal 9" xfId="697" xr:uid="{00000000-0005-0000-0000-0000B9020000}"/>
    <cellStyle name="Normal 9 2" xfId="698" xr:uid="{00000000-0005-0000-0000-0000BA020000}"/>
    <cellStyle name="Normal 9 2 2" xfId="699" xr:uid="{00000000-0005-0000-0000-0000BB020000}"/>
    <cellStyle name="Normal 9 2 2 2" xfId="700" xr:uid="{00000000-0005-0000-0000-0000BC020000}"/>
    <cellStyle name="Normal 9 2 2 2 2" xfId="701" xr:uid="{00000000-0005-0000-0000-0000BD020000}"/>
    <cellStyle name="Normal 9 2 2 2 2 2" xfId="702" xr:uid="{00000000-0005-0000-0000-0000BE020000}"/>
    <cellStyle name="Normal 9 2 2 2 3" xfId="703" xr:uid="{00000000-0005-0000-0000-0000BF020000}"/>
    <cellStyle name="Normal 9 2 2 3" xfId="704" xr:uid="{00000000-0005-0000-0000-0000C0020000}"/>
    <cellStyle name="Normal 9 2 2 3 2" xfId="705" xr:uid="{00000000-0005-0000-0000-0000C1020000}"/>
    <cellStyle name="Normal 9 2 2 4" xfId="706" xr:uid="{00000000-0005-0000-0000-0000C2020000}"/>
    <cellStyle name="Normal 9 2 3" xfId="707" xr:uid="{00000000-0005-0000-0000-0000C3020000}"/>
    <cellStyle name="Normal 9 2 3 2" xfId="708" xr:uid="{00000000-0005-0000-0000-0000C4020000}"/>
    <cellStyle name="Normal 9 2 3 2 2" xfId="709" xr:uid="{00000000-0005-0000-0000-0000C5020000}"/>
    <cellStyle name="Normal 9 2 3 3" xfId="710" xr:uid="{00000000-0005-0000-0000-0000C6020000}"/>
    <cellStyle name="Normal 9 2 4" xfId="711" xr:uid="{00000000-0005-0000-0000-0000C7020000}"/>
    <cellStyle name="Normal 9 2 4 2" xfId="712" xr:uid="{00000000-0005-0000-0000-0000C8020000}"/>
    <cellStyle name="Normal 9 2 5" xfId="713" xr:uid="{00000000-0005-0000-0000-0000C9020000}"/>
    <cellStyle name="Normal 9 3" xfId="714" xr:uid="{00000000-0005-0000-0000-0000CA020000}"/>
    <cellStyle name="Normal 9 3 2" xfId="715" xr:uid="{00000000-0005-0000-0000-0000CB020000}"/>
    <cellStyle name="Normal 9 3 2 2" xfId="716" xr:uid="{00000000-0005-0000-0000-0000CC020000}"/>
    <cellStyle name="Normal 9 3 2 2 2" xfId="717" xr:uid="{00000000-0005-0000-0000-0000CD020000}"/>
    <cellStyle name="Normal 9 3 2 3" xfId="718" xr:uid="{00000000-0005-0000-0000-0000CE020000}"/>
    <cellStyle name="Normal 9 3 3" xfId="719" xr:uid="{00000000-0005-0000-0000-0000CF020000}"/>
    <cellStyle name="Normal 9 3 3 2" xfId="720" xr:uid="{00000000-0005-0000-0000-0000D0020000}"/>
    <cellStyle name="Normal 9 3 4" xfId="721" xr:uid="{00000000-0005-0000-0000-0000D1020000}"/>
    <cellStyle name="Normal 9 4" xfId="722" xr:uid="{00000000-0005-0000-0000-0000D2020000}"/>
    <cellStyle name="Normal 9 4 2" xfId="723" xr:uid="{00000000-0005-0000-0000-0000D3020000}"/>
    <cellStyle name="Normal 9 4 2 2" xfId="724" xr:uid="{00000000-0005-0000-0000-0000D4020000}"/>
    <cellStyle name="Normal 9 4 3" xfId="725" xr:uid="{00000000-0005-0000-0000-0000D5020000}"/>
    <cellStyle name="Normal 9 5" xfId="726" xr:uid="{00000000-0005-0000-0000-0000D6020000}"/>
    <cellStyle name="Normal 9 5 2" xfId="727" xr:uid="{00000000-0005-0000-0000-0000D7020000}"/>
    <cellStyle name="Normal 9 6" xfId="728" xr:uid="{00000000-0005-0000-0000-0000D8020000}"/>
    <cellStyle name="Porcentaje" xfId="904" builtinId="5"/>
    <cellStyle name="Porcentaje 2" xfId="729" xr:uid="{00000000-0005-0000-0000-0000DA020000}"/>
    <cellStyle name="Porcentaje 3" xfId="730" xr:uid="{00000000-0005-0000-0000-0000DB020000}"/>
    <cellStyle name="Porcentaje 4" xfId="731" xr:uid="{00000000-0005-0000-0000-0000DC020000}"/>
    <cellStyle name="Porcentaje 5" xfId="732" xr:uid="{00000000-0005-0000-0000-0000DD020000}"/>
    <cellStyle name="Porcentual 2" xfId="733" xr:uid="{00000000-0005-0000-0000-0000DE020000}"/>
    <cellStyle name="Porcentual 2 2" xfId="734" xr:uid="{00000000-0005-0000-0000-0000DF020000}"/>
    <cellStyle name="Porcentual 2 3" xfId="3" xr:uid="{00000000-0005-0000-0000-0000E0020000}"/>
    <cellStyle name="Porcentual 2 3 2" xfId="735" xr:uid="{00000000-0005-0000-0000-0000E1020000}"/>
    <cellStyle name="Porcentual 2 4" xfId="736" xr:uid="{00000000-0005-0000-0000-0000E2020000}"/>
    <cellStyle name="Porcentual 2 5" xfId="737" xr:uid="{00000000-0005-0000-0000-0000E3020000}"/>
    <cellStyle name="Porcentual 2 6" xfId="738" xr:uid="{00000000-0005-0000-0000-0000E4020000}"/>
    <cellStyle name="Porcentual 3" xfId="739" xr:uid="{00000000-0005-0000-0000-0000E5020000}"/>
    <cellStyle name="Porcentual 3 2" xfId="740" xr:uid="{00000000-0005-0000-0000-0000E6020000}"/>
    <cellStyle name="Porcentual 3 3" xfId="741" xr:uid="{00000000-0005-0000-0000-0000E7020000}"/>
    <cellStyle name="Porcentual 3 4" xfId="742" xr:uid="{00000000-0005-0000-0000-0000E8020000}"/>
    <cellStyle name="Porcentual 3 5" xfId="743" xr:uid="{00000000-0005-0000-0000-0000E9020000}"/>
    <cellStyle name="Porcentual 3 6" xfId="744" xr:uid="{00000000-0005-0000-0000-0000EA020000}"/>
    <cellStyle name="Porcentual 3 7" xfId="745" xr:uid="{00000000-0005-0000-0000-0000EB020000}"/>
    <cellStyle name="Porcentual 4" xfId="746" xr:uid="{00000000-0005-0000-0000-0000EC020000}"/>
    <cellStyle name="Porcentual 4 2" xfId="747" xr:uid="{00000000-0005-0000-0000-0000ED020000}"/>
    <cellStyle name="Porcentual 4 3" xfId="748" xr:uid="{00000000-0005-0000-0000-0000EE020000}"/>
    <cellStyle name="Porcentual 4 4" xfId="749" xr:uid="{00000000-0005-0000-0000-0000EF020000}"/>
    <cellStyle name="Porcentual 4 5" xfId="750" xr:uid="{00000000-0005-0000-0000-0000F0020000}"/>
    <cellStyle name="Porcentual 4 6" xfId="751" xr:uid="{00000000-0005-0000-0000-0000F1020000}"/>
    <cellStyle name="Porcentual 4 7" xfId="752" xr:uid="{00000000-0005-0000-0000-0000F2020000}"/>
    <cellStyle name="Porcentual 5" xfId="753" xr:uid="{00000000-0005-0000-0000-0000F3020000}"/>
    <cellStyle name="Porcentual 5 10" xfId="754" xr:uid="{00000000-0005-0000-0000-0000F4020000}"/>
    <cellStyle name="Porcentual 5 10 2" xfId="755" xr:uid="{00000000-0005-0000-0000-0000F5020000}"/>
    <cellStyle name="Porcentual 5 11" xfId="756" xr:uid="{00000000-0005-0000-0000-0000F6020000}"/>
    <cellStyle name="Porcentual 5 12" xfId="757" xr:uid="{00000000-0005-0000-0000-0000F7020000}"/>
    <cellStyle name="Porcentual 5 13" xfId="758" xr:uid="{00000000-0005-0000-0000-0000F8020000}"/>
    <cellStyle name="Porcentual 5 14" xfId="759" xr:uid="{00000000-0005-0000-0000-0000F9020000}"/>
    <cellStyle name="Porcentual 5 15" xfId="760" xr:uid="{00000000-0005-0000-0000-0000FA020000}"/>
    <cellStyle name="Porcentual 5 2" xfId="761" xr:uid="{00000000-0005-0000-0000-0000FB020000}"/>
    <cellStyle name="Porcentual 5 2 2" xfId="762" xr:uid="{00000000-0005-0000-0000-0000FC020000}"/>
    <cellStyle name="Porcentual 5 2 2 2" xfId="763" xr:uid="{00000000-0005-0000-0000-0000FD020000}"/>
    <cellStyle name="Porcentual 5 2 2 2 2" xfId="764" xr:uid="{00000000-0005-0000-0000-0000FE020000}"/>
    <cellStyle name="Porcentual 5 2 2 2 2 2" xfId="765" xr:uid="{00000000-0005-0000-0000-0000FF020000}"/>
    <cellStyle name="Porcentual 5 2 2 2 3" xfId="766" xr:uid="{00000000-0005-0000-0000-000000030000}"/>
    <cellStyle name="Porcentual 5 2 2 3" xfId="767" xr:uid="{00000000-0005-0000-0000-000001030000}"/>
    <cellStyle name="Porcentual 5 2 2 3 2" xfId="768" xr:uid="{00000000-0005-0000-0000-000002030000}"/>
    <cellStyle name="Porcentual 5 2 2 4" xfId="769" xr:uid="{00000000-0005-0000-0000-000003030000}"/>
    <cellStyle name="Porcentual 5 2 3" xfId="770" xr:uid="{00000000-0005-0000-0000-000004030000}"/>
    <cellStyle name="Porcentual 5 2 3 2" xfId="771" xr:uid="{00000000-0005-0000-0000-000005030000}"/>
    <cellStyle name="Porcentual 5 2 3 2 2" xfId="772" xr:uid="{00000000-0005-0000-0000-000006030000}"/>
    <cellStyle name="Porcentual 5 2 3 3" xfId="773" xr:uid="{00000000-0005-0000-0000-000007030000}"/>
    <cellStyle name="Porcentual 5 2 4" xfId="774" xr:uid="{00000000-0005-0000-0000-000008030000}"/>
    <cellStyle name="Porcentual 5 2 4 2" xfId="775" xr:uid="{00000000-0005-0000-0000-000009030000}"/>
    <cellStyle name="Porcentual 5 2 5" xfId="776" xr:uid="{00000000-0005-0000-0000-00000A030000}"/>
    <cellStyle name="Porcentual 5 3" xfId="777" xr:uid="{00000000-0005-0000-0000-00000B030000}"/>
    <cellStyle name="Porcentual 5 3 2" xfId="778" xr:uid="{00000000-0005-0000-0000-00000C030000}"/>
    <cellStyle name="Porcentual 5 3 2 2" xfId="779" xr:uid="{00000000-0005-0000-0000-00000D030000}"/>
    <cellStyle name="Porcentual 5 3 2 2 2" xfId="780" xr:uid="{00000000-0005-0000-0000-00000E030000}"/>
    <cellStyle name="Porcentual 5 3 2 2 2 2" xfId="781" xr:uid="{00000000-0005-0000-0000-00000F030000}"/>
    <cellStyle name="Porcentual 5 3 2 2 3" xfId="782" xr:uid="{00000000-0005-0000-0000-000010030000}"/>
    <cellStyle name="Porcentual 5 3 2 3" xfId="783" xr:uid="{00000000-0005-0000-0000-000011030000}"/>
    <cellStyle name="Porcentual 5 3 2 3 2" xfId="784" xr:uid="{00000000-0005-0000-0000-000012030000}"/>
    <cellStyle name="Porcentual 5 3 2 4" xfId="785" xr:uid="{00000000-0005-0000-0000-000013030000}"/>
    <cellStyle name="Porcentual 5 3 3" xfId="786" xr:uid="{00000000-0005-0000-0000-000014030000}"/>
    <cellStyle name="Porcentual 5 3 3 2" xfId="787" xr:uid="{00000000-0005-0000-0000-000015030000}"/>
    <cellStyle name="Porcentual 5 3 3 2 2" xfId="788" xr:uid="{00000000-0005-0000-0000-000016030000}"/>
    <cellStyle name="Porcentual 5 3 3 3" xfId="789" xr:uid="{00000000-0005-0000-0000-000017030000}"/>
    <cellStyle name="Porcentual 5 3 4" xfId="790" xr:uid="{00000000-0005-0000-0000-000018030000}"/>
    <cellStyle name="Porcentual 5 3 4 2" xfId="791" xr:uid="{00000000-0005-0000-0000-000019030000}"/>
    <cellStyle name="Porcentual 5 3 5" xfId="792" xr:uid="{00000000-0005-0000-0000-00001A030000}"/>
    <cellStyle name="Porcentual 5 4" xfId="793" xr:uid="{00000000-0005-0000-0000-00001B030000}"/>
    <cellStyle name="Porcentual 5 4 2" xfId="794" xr:uid="{00000000-0005-0000-0000-00001C030000}"/>
    <cellStyle name="Porcentual 5 4 2 2" xfId="795" xr:uid="{00000000-0005-0000-0000-00001D030000}"/>
    <cellStyle name="Porcentual 5 4 2 2 2" xfId="796" xr:uid="{00000000-0005-0000-0000-00001E030000}"/>
    <cellStyle name="Porcentual 5 4 2 2 2 2" xfId="797" xr:uid="{00000000-0005-0000-0000-00001F030000}"/>
    <cellStyle name="Porcentual 5 4 2 2 3" xfId="798" xr:uid="{00000000-0005-0000-0000-000020030000}"/>
    <cellStyle name="Porcentual 5 4 2 3" xfId="799" xr:uid="{00000000-0005-0000-0000-000021030000}"/>
    <cellStyle name="Porcentual 5 4 2 3 2" xfId="800" xr:uid="{00000000-0005-0000-0000-000022030000}"/>
    <cellStyle name="Porcentual 5 4 2 4" xfId="801" xr:uid="{00000000-0005-0000-0000-000023030000}"/>
    <cellStyle name="Porcentual 5 4 3" xfId="802" xr:uid="{00000000-0005-0000-0000-000024030000}"/>
    <cellStyle name="Porcentual 5 4 3 2" xfId="803" xr:uid="{00000000-0005-0000-0000-000025030000}"/>
    <cellStyle name="Porcentual 5 4 3 2 2" xfId="804" xr:uid="{00000000-0005-0000-0000-000026030000}"/>
    <cellStyle name="Porcentual 5 4 3 3" xfId="805" xr:uid="{00000000-0005-0000-0000-000027030000}"/>
    <cellStyle name="Porcentual 5 4 4" xfId="806" xr:uid="{00000000-0005-0000-0000-000028030000}"/>
    <cellStyle name="Porcentual 5 4 4 2" xfId="807" xr:uid="{00000000-0005-0000-0000-000029030000}"/>
    <cellStyle name="Porcentual 5 4 5" xfId="808" xr:uid="{00000000-0005-0000-0000-00002A030000}"/>
    <cellStyle name="Porcentual 5 5" xfId="809" xr:uid="{00000000-0005-0000-0000-00002B030000}"/>
    <cellStyle name="Porcentual 5 5 2" xfId="810" xr:uid="{00000000-0005-0000-0000-00002C030000}"/>
    <cellStyle name="Porcentual 5 5 2 2" xfId="811" xr:uid="{00000000-0005-0000-0000-00002D030000}"/>
    <cellStyle name="Porcentual 5 5 2 2 2" xfId="812" xr:uid="{00000000-0005-0000-0000-00002E030000}"/>
    <cellStyle name="Porcentual 5 5 2 2 2 2" xfId="813" xr:uid="{00000000-0005-0000-0000-00002F030000}"/>
    <cellStyle name="Porcentual 5 5 2 2 3" xfId="814" xr:uid="{00000000-0005-0000-0000-000030030000}"/>
    <cellStyle name="Porcentual 5 5 2 3" xfId="815" xr:uid="{00000000-0005-0000-0000-000031030000}"/>
    <cellStyle name="Porcentual 5 5 2 3 2" xfId="816" xr:uid="{00000000-0005-0000-0000-000032030000}"/>
    <cellStyle name="Porcentual 5 5 2 4" xfId="817" xr:uid="{00000000-0005-0000-0000-000033030000}"/>
    <cellStyle name="Porcentual 5 5 3" xfId="818" xr:uid="{00000000-0005-0000-0000-000034030000}"/>
    <cellStyle name="Porcentual 5 5 3 2" xfId="819" xr:uid="{00000000-0005-0000-0000-000035030000}"/>
    <cellStyle name="Porcentual 5 5 3 2 2" xfId="820" xr:uid="{00000000-0005-0000-0000-000036030000}"/>
    <cellStyle name="Porcentual 5 5 3 3" xfId="821" xr:uid="{00000000-0005-0000-0000-000037030000}"/>
    <cellStyle name="Porcentual 5 5 4" xfId="822" xr:uid="{00000000-0005-0000-0000-000038030000}"/>
    <cellStyle name="Porcentual 5 5 4 2" xfId="823" xr:uid="{00000000-0005-0000-0000-000039030000}"/>
    <cellStyle name="Porcentual 5 5 5" xfId="824" xr:uid="{00000000-0005-0000-0000-00003A030000}"/>
    <cellStyle name="Porcentual 5 6" xfId="825" xr:uid="{00000000-0005-0000-0000-00003B030000}"/>
    <cellStyle name="Porcentual 5 6 2" xfId="826" xr:uid="{00000000-0005-0000-0000-00003C030000}"/>
    <cellStyle name="Porcentual 5 6 2 2" xfId="827" xr:uid="{00000000-0005-0000-0000-00003D030000}"/>
    <cellStyle name="Porcentual 5 6 2 2 2" xfId="828" xr:uid="{00000000-0005-0000-0000-00003E030000}"/>
    <cellStyle name="Porcentual 5 6 2 2 2 2" xfId="829" xr:uid="{00000000-0005-0000-0000-00003F030000}"/>
    <cellStyle name="Porcentual 5 6 2 2 3" xfId="830" xr:uid="{00000000-0005-0000-0000-000040030000}"/>
    <cellStyle name="Porcentual 5 6 2 3" xfId="831" xr:uid="{00000000-0005-0000-0000-000041030000}"/>
    <cellStyle name="Porcentual 5 6 2 3 2" xfId="832" xr:uid="{00000000-0005-0000-0000-000042030000}"/>
    <cellStyle name="Porcentual 5 6 2 4" xfId="833" xr:uid="{00000000-0005-0000-0000-000043030000}"/>
    <cellStyle name="Porcentual 5 6 3" xfId="834" xr:uid="{00000000-0005-0000-0000-000044030000}"/>
    <cellStyle name="Porcentual 5 6 3 2" xfId="835" xr:uid="{00000000-0005-0000-0000-000045030000}"/>
    <cellStyle name="Porcentual 5 6 3 2 2" xfId="836" xr:uid="{00000000-0005-0000-0000-000046030000}"/>
    <cellStyle name="Porcentual 5 6 3 3" xfId="837" xr:uid="{00000000-0005-0000-0000-000047030000}"/>
    <cellStyle name="Porcentual 5 6 4" xfId="838" xr:uid="{00000000-0005-0000-0000-000048030000}"/>
    <cellStyle name="Porcentual 5 6 4 2" xfId="839" xr:uid="{00000000-0005-0000-0000-000049030000}"/>
    <cellStyle name="Porcentual 5 6 5" xfId="840" xr:uid="{00000000-0005-0000-0000-00004A030000}"/>
    <cellStyle name="Porcentual 5 7" xfId="841" xr:uid="{00000000-0005-0000-0000-00004B030000}"/>
    <cellStyle name="Porcentual 5 7 2" xfId="842" xr:uid="{00000000-0005-0000-0000-00004C030000}"/>
    <cellStyle name="Porcentual 5 7 2 2" xfId="843" xr:uid="{00000000-0005-0000-0000-00004D030000}"/>
    <cellStyle name="Porcentual 5 7 2 2 2" xfId="844" xr:uid="{00000000-0005-0000-0000-00004E030000}"/>
    <cellStyle name="Porcentual 5 7 2 2 2 2" xfId="845" xr:uid="{00000000-0005-0000-0000-00004F030000}"/>
    <cellStyle name="Porcentual 5 7 2 2 3" xfId="846" xr:uid="{00000000-0005-0000-0000-000050030000}"/>
    <cellStyle name="Porcentual 5 7 2 3" xfId="847" xr:uid="{00000000-0005-0000-0000-000051030000}"/>
    <cellStyle name="Porcentual 5 7 2 3 2" xfId="848" xr:uid="{00000000-0005-0000-0000-000052030000}"/>
    <cellStyle name="Porcentual 5 7 2 4" xfId="849" xr:uid="{00000000-0005-0000-0000-000053030000}"/>
    <cellStyle name="Porcentual 5 7 3" xfId="850" xr:uid="{00000000-0005-0000-0000-000054030000}"/>
    <cellStyle name="Porcentual 5 7 3 2" xfId="851" xr:uid="{00000000-0005-0000-0000-000055030000}"/>
    <cellStyle name="Porcentual 5 7 3 2 2" xfId="852" xr:uid="{00000000-0005-0000-0000-000056030000}"/>
    <cellStyle name="Porcentual 5 7 3 3" xfId="853" xr:uid="{00000000-0005-0000-0000-000057030000}"/>
    <cellStyle name="Porcentual 5 7 4" xfId="854" xr:uid="{00000000-0005-0000-0000-000058030000}"/>
    <cellStyle name="Porcentual 5 7 4 2" xfId="855" xr:uid="{00000000-0005-0000-0000-000059030000}"/>
    <cellStyle name="Porcentual 5 7 5" xfId="856" xr:uid="{00000000-0005-0000-0000-00005A030000}"/>
    <cellStyle name="Porcentual 5 8" xfId="857" xr:uid="{00000000-0005-0000-0000-00005B030000}"/>
    <cellStyle name="Porcentual 5 8 2" xfId="858" xr:uid="{00000000-0005-0000-0000-00005C030000}"/>
    <cellStyle name="Porcentual 5 8 2 2" xfId="859" xr:uid="{00000000-0005-0000-0000-00005D030000}"/>
    <cellStyle name="Porcentual 5 8 2 2 2" xfId="860" xr:uid="{00000000-0005-0000-0000-00005E030000}"/>
    <cellStyle name="Porcentual 5 8 2 3" xfId="861" xr:uid="{00000000-0005-0000-0000-00005F030000}"/>
    <cellStyle name="Porcentual 5 8 3" xfId="862" xr:uid="{00000000-0005-0000-0000-000060030000}"/>
    <cellStyle name="Porcentual 5 8 3 2" xfId="863" xr:uid="{00000000-0005-0000-0000-000061030000}"/>
    <cellStyle name="Porcentual 5 8 4" xfId="864" xr:uid="{00000000-0005-0000-0000-000062030000}"/>
    <cellStyle name="Porcentual 5 9" xfId="865" xr:uid="{00000000-0005-0000-0000-000063030000}"/>
    <cellStyle name="Porcentual 5 9 2" xfId="866" xr:uid="{00000000-0005-0000-0000-000064030000}"/>
    <cellStyle name="Porcentual 5 9 2 2" xfId="867" xr:uid="{00000000-0005-0000-0000-000065030000}"/>
    <cellStyle name="Porcentual 5 9 3" xfId="868" xr:uid="{00000000-0005-0000-0000-000066030000}"/>
    <cellStyle name="Porcentual 6" xfId="869" xr:uid="{00000000-0005-0000-0000-000067030000}"/>
    <cellStyle name="Porcentual 6 2" xfId="870" xr:uid="{00000000-0005-0000-0000-000068030000}"/>
    <cellStyle name="Porcentual 6 2 2" xfId="871" xr:uid="{00000000-0005-0000-0000-000069030000}"/>
    <cellStyle name="Porcentual 6 2 2 2" xfId="872" xr:uid="{00000000-0005-0000-0000-00006A030000}"/>
    <cellStyle name="Porcentual 6 2 2 2 2" xfId="873" xr:uid="{00000000-0005-0000-0000-00006B030000}"/>
    <cellStyle name="Porcentual 6 2 2 2 3" xfId="874" xr:uid="{00000000-0005-0000-0000-00006C030000}"/>
    <cellStyle name="Porcentual 6 2 2 2 3 2" xfId="875" xr:uid="{00000000-0005-0000-0000-00006D030000}"/>
    <cellStyle name="Porcentual 6 2 2 2 3 2 2" xfId="876" xr:uid="{00000000-0005-0000-0000-00006E030000}"/>
    <cellStyle name="Porcentual 6 2 2 2 3 2 2 2" xfId="877" xr:uid="{00000000-0005-0000-0000-00006F030000}"/>
    <cellStyle name="Porcentual 6 2 2 2 3 2 2 2 2" xfId="878" xr:uid="{00000000-0005-0000-0000-000070030000}"/>
    <cellStyle name="Porcentual 6 2 2 2 3 2 2 2 2 2" xfId="879" xr:uid="{00000000-0005-0000-0000-000071030000}"/>
    <cellStyle name="Porcentual 6 2 2 2 3 2 2 2 2 2 2" xfId="880" xr:uid="{00000000-0005-0000-0000-000072030000}"/>
    <cellStyle name="Porcentual 6 2 2 2 3 2 2 2 2 2 2 2" xfId="881" xr:uid="{00000000-0005-0000-0000-000073030000}"/>
    <cellStyle name="Porcentual 6 2 2 2 3 2 2 2 2 2 2 2 2" xfId="882" xr:uid="{00000000-0005-0000-0000-000074030000}"/>
    <cellStyle name="Porcentual 6 3" xfId="883" xr:uid="{00000000-0005-0000-0000-000075030000}"/>
    <cellStyle name="Porcentual 7" xfId="884" xr:uid="{00000000-0005-0000-0000-000076030000}"/>
    <cellStyle name="Porcentual 8" xfId="885" xr:uid="{00000000-0005-0000-0000-000077030000}"/>
    <cellStyle name="Porcentual 8 2" xfId="886" xr:uid="{00000000-0005-0000-0000-000078030000}"/>
    <cellStyle name="Porcentual 9 2" xfId="887" xr:uid="{00000000-0005-0000-0000-000079030000}"/>
    <cellStyle name="Porcentual 9 2 2" xfId="888" xr:uid="{00000000-0005-0000-0000-00007A030000}"/>
    <cellStyle name="Porcentual 9 2 2 2" xfId="889" xr:uid="{00000000-0005-0000-0000-00007B030000}"/>
    <cellStyle name="Porcentual 9 2 2 2 2" xfId="890" xr:uid="{00000000-0005-0000-0000-00007C030000}"/>
    <cellStyle name="Porcentual 9 2 2 2 2 2" xfId="891" xr:uid="{00000000-0005-0000-0000-00007D030000}"/>
    <cellStyle name="Porcentual 9 2 2 2 3" xfId="892" xr:uid="{00000000-0005-0000-0000-00007E030000}"/>
    <cellStyle name="Porcentual 9 2 2 3" xfId="893" xr:uid="{00000000-0005-0000-0000-00007F030000}"/>
    <cellStyle name="Porcentual 9 2 2 3 2" xfId="894" xr:uid="{00000000-0005-0000-0000-000080030000}"/>
    <cellStyle name="Porcentual 9 2 2 4" xfId="895" xr:uid="{00000000-0005-0000-0000-000081030000}"/>
    <cellStyle name="Porcentual 9 2 3" xfId="896" xr:uid="{00000000-0005-0000-0000-000082030000}"/>
    <cellStyle name="Porcentual 9 2 3 2" xfId="897" xr:uid="{00000000-0005-0000-0000-000083030000}"/>
    <cellStyle name="Porcentual 9 2 3 2 2" xfId="898" xr:uid="{00000000-0005-0000-0000-000084030000}"/>
    <cellStyle name="Porcentual 9 2 3 3" xfId="899" xr:uid="{00000000-0005-0000-0000-000085030000}"/>
    <cellStyle name="Porcentual 9 2 4" xfId="900" xr:uid="{00000000-0005-0000-0000-000086030000}"/>
    <cellStyle name="Porcentual 9 2 4 2" xfId="901" xr:uid="{00000000-0005-0000-0000-000087030000}"/>
    <cellStyle name="Porcentual 9 2 5" xfId="902" xr:uid="{00000000-0005-0000-0000-000088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rena/SIPEN/SIPEN%20-%20Financiero/Datos%20WEB/C&#225;lculo%20Inv.%20USD%20FP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3"/>
      <sheetName val="Hoja4"/>
      <sheetName val="Hoja5"/>
      <sheetName val="Hoja2"/>
      <sheetName val="ConsultaCarteraEspej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Suma de Valor Instrumento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9"/>
  <sheetViews>
    <sheetView showGridLines="0" topLeftCell="B1" zoomScaleNormal="100" workbookViewId="0">
      <pane xSplit="2" ySplit="6" topLeftCell="D35" activePane="bottomRight" state="frozen"/>
      <selection pane="topRight" activeCell="D1" sqref="D1"/>
      <selection pane="bottomLeft" activeCell="B7" sqref="B7"/>
      <selection pane="bottomRight" activeCell="K9" sqref="K9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91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136965847.3193</v>
      </c>
      <c r="E7" s="25">
        <f t="shared" si="0"/>
        <v>35001599885.36129</v>
      </c>
      <c r="F7" s="23">
        <f t="shared" si="0"/>
        <v>0</v>
      </c>
      <c r="G7" s="24">
        <f t="shared" si="0"/>
        <v>48990332055.5961</v>
      </c>
      <c r="H7" s="23">
        <f t="shared" si="0"/>
        <v>20586944101.009186</v>
      </c>
      <c r="I7" s="73">
        <f t="shared" si="0"/>
        <v>31244796713.426582</v>
      </c>
      <c r="J7" s="67">
        <f t="shared" si="0"/>
        <v>617165992.93480003</v>
      </c>
      <c r="K7" s="73">
        <f t="shared" si="0"/>
        <v>1327185065.6522999</v>
      </c>
      <c r="L7" s="67">
        <f t="shared" si="0"/>
        <v>6335041514.8906002</v>
      </c>
      <c r="M7" s="74">
        <f t="shared" si="0"/>
        <v>144240031176.19016</v>
      </c>
      <c r="N7" s="89">
        <f>+M7/$M$51</f>
        <v>0.75997579118820346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136965847.3193</v>
      </c>
      <c r="E8" s="29">
        <f t="shared" si="1"/>
        <v>35001599885.36129</v>
      </c>
      <c r="F8" s="28">
        <f t="shared" si="1"/>
        <v>0</v>
      </c>
      <c r="G8" s="29">
        <f t="shared" si="1"/>
        <v>48990332055.5961</v>
      </c>
      <c r="H8" s="28">
        <f t="shared" si="1"/>
        <v>20586944101.009186</v>
      </c>
      <c r="I8" s="75">
        <f t="shared" si="1"/>
        <v>31244796713.426582</v>
      </c>
      <c r="J8" s="28">
        <f t="shared" si="1"/>
        <v>617165992.93480003</v>
      </c>
      <c r="K8" s="75">
        <f t="shared" si="1"/>
        <v>1327185065.6522999</v>
      </c>
      <c r="L8" s="28">
        <f t="shared" si="1"/>
        <v>6335041514.8906002</v>
      </c>
      <c r="M8" s="40">
        <f>+M9</f>
        <v>144240031176.19016</v>
      </c>
      <c r="N8" s="89"/>
      <c r="Q8" s="7"/>
      <c r="R8" s="7"/>
    </row>
    <row r="9" spans="2:18" x14ac:dyDescent="0.25">
      <c r="B9" s="77" t="s">
        <v>20</v>
      </c>
      <c r="C9" s="76" t="s">
        <v>21</v>
      </c>
      <c r="D9" s="46">
        <v>136965847.3193</v>
      </c>
      <c r="E9" s="54">
        <v>35001599885.36129</v>
      </c>
      <c r="F9" s="39">
        <v>0</v>
      </c>
      <c r="G9" s="54">
        <v>48990332055.5961</v>
      </c>
      <c r="H9" s="38">
        <v>20586944101.009186</v>
      </c>
      <c r="I9" s="38">
        <v>31244796713.426582</v>
      </c>
      <c r="J9" s="38">
        <v>617165992.93480003</v>
      </c>
      <c r="K9" s="38">
        <v>1327185065.6522999</v>
      </c>
      <c r="L9" s="38">
        <v>6335041514.8906002</v>
      </c>
      <c r="M9" s="39">
        <f>SUM(D9:L9)</f>
        <v>144240031176.19016</v>
      </c>
      <c r="N9" s="37"/>
      <c r="Q9" s="7"/>
      <c r="R9" s="7"/>
    </row>
    <row r="10" spans="2:18" x14ac:dyDescent="0.25">
      <c r="B10" s="2" t="s">
        <v>22</v>
      </c>
      <c r="C10" s="16" t="s">
        <v>18</v>
      </c>
      <c r="D10" s="23">
        <f t="shared" ref="D10:G10" si="2">+D11+D13+D15+D17+D19+D21</f>
        <v>0</v>
      </c>
      <c r="E10" s="25">
        <f t="shared" si="2"/>
        <v>640072281.72390008</v>
      </c>
      <c r="F10" s="23">
        <f t="shared" si="2"/>
        <v>116034219.98230001</v>
      </c>
      <c r="G10" s="25">
        <f t="shared" si="2"/>
        <v>419891314.73139995</v>
      </c>
      <c r="H10" s="23">
        <f>+H11+H13+H15+H17+H19+H21</f>
        <v>2532274585.1518002</v>
      </c>
      <c r="I10" s="24">
        <f>+I11+I13+I15+I17+I19+I21</f>
        <v>3468499758.0509</v>
      </c>
      <c r="J10" s="61">
        <f>+J11+J13+J15+J17+J19+J21</f>
        <v>27165627.768600002</v>
      </c>
      <c r="K10" s="24">
        <f>+K11+K13+K15+K17+K19+K21</f>
        <v>93860309.343299985</v>
      </c>
      <c r="L10" s="61">
        <f>+L11+L13+L15+L17+L19+L21</f>
        <v>1906555390.8949001</v>
      </c>
      <c r="M10" s="62">
        <f>M11+M13+M15+M17+M19+M21</f>
        <v>9204353487.6471004</v>
      </c>
      <c r="N10" s="90">
        <f>+M10/$M$51</f>
        <v>4.8496147477990775E-2</v>
      </c>
      <c r="O10" s="41"/>
      <c r="P10" s="13"/>
      <c r="Q10" s="7"/>
      <c r="R10" s="7"/>
    </row>
    <row r="11" spans="2:18" s="42" customFormat="1" x14ac:dyDescent="0.25">
      <c r="B11" s="30" t="s">
        <v>23</v>
      </c>
      <c r="C11" s="27" t="s">
        <v>18</v>
      </c>
      <c r="D11" s="31">
        <f>+D12</f>
        <v>0</v>
      </c>
      <c r="E11" s="32">
        <f>+E12</f>
        <v>0</v>
      </c>
      <c r="F11" s="31">
        <f>+F12</f>
        <v>0</v>
      </c>
      <c r="G11" s="32">
        <f t="shared" ref="G11:L11" si="3">+G12</f>
        <v>0</v>
      </c>
      <c r="H11" s="31">
        <f t="shared" si="3"/>
        <v>0</v>
      </c>
      <c r="I11" s="29">
        <f t="shared" si="3"/>
        <v>1030465181.3491999</v>
      </c>
      <c r="J11" s="28">
        <f t="shared" si="3"/>
        <v>0</v>
      </c>
      <c r="K11" s="29">
        <f t="shared" si="3"/>
        <v>0</v>
      </c>
      <c r="L11" s="31">
        <f t="shared" si="3"/>
        <v>0</v>
      </c>
      <c r="M11" s="51">
        <f>+M12</f>
        <v>1030465181.3491999</v>
      </c>
      <c r="N11" s="5"/>
      <c r="Q11" s="43"/>
      <c r="R11" s="43"/>
    </row>
    <row r="12" spans="2:18" x14ac:dyDescent="0.25">
      <c r="B12" s="10" t="s">
        <v>24</v>
      </c>
      <c r="C12" s="15" t="s">
        <v>25</v>
      </c>
      <c r="D12" s="19">
        <v>0</v>
      </c>
      <c r="E12" s="19">
        <v>0</v>
      </c>
      <c r="F12" s="19">
        <v>0</v>
      </c>
      <c r="G12" s="20">
        <v>0</v>
      </c>
      <c r="H12" s="19">
        <v>0</v>
      </c>
      <c r="I12" s="21">
        <v>1030465181.3491999</v>
      </c>
      <c r="J12" s="19">
        <v>0</v>
      </c>
      <c r="K12" s="20">
        <v>0</v>
      </c>
      <c r="L12" s="19">
        <v>0</v>
      </c>
      <c r="M12" s="44">
        <f>SUM(D12:L12)</f>
        <v>1030465181.3491999</v>
      </c>
      <c r="N12" s="5"/>
      <c r="Q12" s="7"/>
      <c r="R12" s="7"/>
    </row>
    <row r="13" spans="2:18" x14ac:dyDescent="0.25">
      <c r="B13" s="30" t="s">
        <v>26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>+G14</f>
        <v>0</v>
      </c>
      <c r="H13" s="31">
        <f t="shared" ref="H13:L13" si="4">+H14</f>
        <v>0</v>
      </c>
      <c r="I13" s="32">
        <f t="shared" si="4"/>
        <v>0</v>
      </c>
      <c r="J13" s="31">
        <f t="shared" si="4"/>
        <v>0</v>
      </c>
      <c r="K13" s="32">
        <f t="shared" si="4"/>
        <v>0</v>
      </c>
      <c r="L13" s="31">
        <f t="shared" si="4"/>
        <v>0</v>
      </c>
      <c r="M13" s="51">
        <f>+M14</f>
        <v>0</v>
      </c>
      <c r="N13" s="5"/>
      <c r="Q13" s="7"/>
      <c r="R13" s="7"/>
    </row>
    <row r="14" spans="2:18" x14ac:dyDescent="0.25">
      <c r="B14" s="10" t="s">
        <v>24</v>
      </c>
      <c r="C14" s="15" t="s">
        <v>27</v>
      </c>
      <c r="D14" s="19">
        <v>0</v>
      </c>
      <c r="E14" s="20"/>
      <c r="F14" s="19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19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32">
        <f>+E16</f>
        <v>640072281.72390008</v>
      </c>
      <c r="F15" s="31">
        <f>+F16</f>
        <v>0</v>
      </c>
      <c r="G15" s="68">
        <f t="shared" ref="G15:K15" si="5">+G16</f>
        <v>403776541.12119997</v>
      </c>
      <c r="H15" s="45">
        <f t="shared" si="5"/>
        <v>1481024177.9721999</v>
      </c>
      <c r="I15" s="32">
        <f t="shared" si="5"/>
        <v>2438034576.7017002</v>
      </c>
      <c r="J15" s="31">
        <f>J16</f>
        <v>0</v>
      </c>
      <c r="K15" s="32">
        <f t="shared" si="5"/>
        <v>66237255.171399996</v>
      </c>
      <c r="L15" s="31">
        <f>L16</f>
        <v>774403026.8138001</v>
      </c>
      <c r="M15" s="51">
        <f>+M16</f>
        <v>5803547859.5042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19">
        <v>0</v>
      </c>
      <c r="E16" s="21">
        <v>640072281.72390008</v>
      </c>
      <c r="F16" s="19">
        <v>0</v>
      </c>
      <c r="G16" s="59">
        <v>403776541.12119997</v>
      </c>
      <c r="H16" s="59">
        <v>1481024177.9721999</v>
      </c>
      <c r="I16" s="59">
        <v>2438034576.7017002</v>
      </c>
      <c r="J16" s="19">
        <v>0</v>
      </c>
      <c r="K16" s="21">
        <v>66237255.171399996</v>
      </c>
      <c r="L16" s="22">
        <v>774403026.8138001</v>
      </c>
      <c r="M16" s="50">
        <f>SUM(D16:L16)</f>
        <v>5803547859.5042</v>
      </c>
      <c r="N16" s="5"/>
      <c r="Q16" s="7"/>
      <c r="R16" s="7"/>
    </row>
    <row r="17" spans="2:18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68">
        <f t="shared" ref="G17:L17" si="6">+G18</f>
        <v>0</v>
      </c>
      <c r="H17" s="45">
        <f t="shared" si="6"/>
        <v>0</v>
      </c>
      <c r="I17" s="32">
        <f t="shared" si="6"/>
        <v>0</v>
      </c>
      <c r="J17" s="31">
        <f t="shared" si="6"/>
        <v>0</v>
      </c>
      <c r="K17" s="32">
        <f t="shared" si="6"/>
        <v>0</v>
      </c>
      <c r="L17" s="31">
        <f t="shared" si="6"/>
        <v>0</v>
      </c>
      <c r="M17" s="51">
        <f>+M18</f>
        <v>0</v>
      </c>
      <c r="N17" s="3"/>
    </row>
    <row r="18" spans="2:18" x14ac:dyDescent="0.25">
      <c r="B18" s="10" t="s">
        <v>24</v>
      </c>
      <c r="C18" s="15" t="s">
        <v>27</v>
      </c>
      <c r="D18" s="19">
        <v>0</v>
      </c>
      <c r="E18" s="19">
        <v>0</v>
      </c>
      <c r="F18" s="19">
        <v>0</v>
      </c>
      <c r="G18" s="60">
        <v>0</v>
      </c>
      <c r="H18" s="44">
        <v>0</v>
      </c>
      <c r="I18" s="20">
        <v>0</v>
      </c>
      <c r="J18" s="19">
        <v>0</v>
      </c>
      <c r="K18" s="20">
        <v>0</v>
      </c>
      <c r="L18" s="19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68">
        <f t="shared" ref="G19:L19" si="7">+G20</f>
        <v>16114773.610199999</v>
      </c>
      <c r="H19" s="45">
        <f t="shared" si="7"/>
        <v>1051250407.1796</v>
      </c>
      <c r="I19" s="32">
        <f t="shared" si="7"/>
        <v>0</v>
      </c>
      <c r="J19" s="31">
        <f t="shared" si="7"/>
        <v>0</v>
      </c>
      <c r="K19" s="32">
        <f t="shared" si="7"/>
        <v>27623054.171899997</v>
      </c>
      <c r="L19" s="31">
        <f t="shared" si="7"/>
        <v>1132152364.0811</v>
      </c>
      <c r="M19" s="51">
        <f>+M20</f>
        <v>2227140599.0427999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19">
        <v>0</v>
      </c>
      <c r="F20" s="19">
        <v>0</v>
      </c>
      <c r="G20" s="59">
        <v>16114773.610199999</v>
      </c>
      <c r="H20" s="59">
        <v>1051250407.1796</v>
      </c>
      <c r="I20" s="60">
        <v>0</v>
      </c>
      <c r="J20" s="19">
        <v>0</v>
      </c>
      <c r="K20" s="21">
        <v>27623054.171899997</v>
      </c>
      <c r="L20" s="19">
        <v>1132152364.0811</v>
      </c>
      <c r="M20" s="50">
        <f>SUM(D20:L20)</f>
        <v>2227140599.0427999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116034219.98230001</v>
      </c>
      <c r="G21" s="68">
        <v>0</v>
      </c>
      <c r="H21" s="45">
        <v>0</v>
      </c>
      <c r="I21" s="32">
        <v>0</v>
      </c>
      <c r="J21" s="31">
        <f>+J22</f>
        <v>27165627.768600002</v>
      </c>
      <c r="K21" s="32">
        <f>K22</f>
        <v>0</v>
      </c>
      <c r="L21" s="31"/>
      <c r="M21" s="51">
        <f>M22</f>
        <v>143199847.75090003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19">
        <v>0</v>
      </c>
      <c r="F22" s="59">
        <v>116034219.98230001</v>
      </c>
      <c r="G22" s="60">
        <v>0</v>
      </c>
      <c r="H22" s="44">
        <v>0</v>
      </c>
      <c r="I22" s="60">
        <v>0</v>
      </c>
      <c r="J22" s="21">
        <v>27165627.768600002</v>
      </c>
      <c r="K22" s="20">
        <v>0</v>
      </c>
      <c r="L22" s="19">
        <v>0</v>
      </c>
      <c r="M22" s="50">
        <f>SUM(D22:L22)</f>
        <v>143199847.75090003</v>
      </c>
      <c r="N22" s="5"/>
    </row>
    <row r="23" spans="2:18" ht="15" hidden="1" customHeight="1" x14ac:dyDescent="0.25">
      <c r="B23" s="12" t="s">
        <v>32</v>
      </c>
      <c r="C23" s="15" t="s">
        <v>18</v>
      </c>
      <c r="D23" s="3"/>
      <c r="E23" s="20"/>
      <c r="F23" s="19"/>
      <c r="G23" s="20"/>
      <c r="H23" s="19"/>
      <c r="I23" s="20"/>
      <c r="J23" s="19"/>
      <c r="K23" s="20"/>
      <c r="L23" s="19"/>
      <c r="M23" s="51">
        <f>+M24</f>
        <v>0</v>
      </c>
      <c r="N23" s="3"/>
      <c r="P23" s="13"/>
    </row>
    <row r="24" spans="2:18" ht="15" hidden="1" customHeight="1" x14ac:dyDescent="0.25">
      <c r="B24" s="10" t="s">
        <v>24</v>
      </c>
      <c r="C24" s="15" t="s">
        <v>25</v>
      </c>
      <c r="D24" s="3"/>
      <c r="E24" s="20"/>
      <c r="F24" s="19"/>
      <c r="G24" s="20"/>
      <c r="H24" s="19"/>
      <c r="I24" s="20"/>
      <c r="J24" s="19"/>
      <c r="K24" s="20"/>
      <c r="L24" s="19"/>
      <c r="M24" s="52"/>
      <c r="N24" s="5"/>
    </row>
    <row r="25" spans="2:18" ht="15" hidden="1" customHeight="1" x14ac:dyDescent="0.25">
      <c r="B25" s="11" t="s">
        <v>33</v>
      </c>
      <c r="C25" s="15" t="s">
        <v>18</v>
      </c>
      <c r="D25" s="3"/>
      <c r="E25" s="20"/>
      <c r="F25" s="19"/>
      <c r="G25" s="20"/>
      <c r="H25" s="19"/>
      <c r="I25" s="20"/>
      <c r="J25" s="19"/>
      <c r="K25" s="20"/>
      <c r="L25" s="19"/>
      <c r="M25" s="51">
        <f>+M26</f>
        <v>0</v>
      </c>
      <c r="N25" s="5"/>
    </row>
    <row r="26" spans="2:18" ht="15" hidden="1" customHeight="1" x14ac:dyDescent="0.25">
      <c r="B26" s="10" t="s">
        <v>24</v>
      </c>
      <c r="C26" s="15" t="s">
        <v>25</v>
      </c>
      <c r="D26" s="3"/>
      <c r="E26" s="20"/>
      <c r="F26" s="19"/>
      <c r="G26" s="20"/>
      <c r="H26" s="19"/>
      <c r="I26" s="20"/>
      <c r="J26" s="19"/>
      <c r="K26" s="20"/>
      <c r="L26" s="19"/>
      <c r="M26" s="50"/>
      <c r="N26" s="5"/>
    </row>
    <row r="27" spans="2:18" ht="15" hidden="1" customHeight="1" x14ac:dyDescent="0.25">
      <c r="B27" s="11" t="s">
        <v>29</v>
      </c>
      <c r="C27" s="15" t="s">
        <v>18</v>
      </c>
      <c r="D27" s="3"/>
      <c r="E27" s="20"/>
      <c r="F27" s="19"/>
      <c r="G27" s="20"/>
      <c r="H27" s="19"/>
      <c r="I27" s="20"/>
      <c r="J27" s="19"/>
      <c r="K27" s="20"/>
      <c r="L27" s="19"/>
      <c r="M27" s="51">
        <f>+M28</f>
        <v>0</v>
      </c>
      <c r="N27" s="3"/>
    </row>
    <row r="28" spans="2:18" ht="15" hidden="1" customHeight="1" x14ac:dyDescent="0.25">
      <c r="B28" s="10" t="s">
        <v>24</v>
      </c>
      <c r="C28" s="15" t="s">
        <v>25</v>
      </c>
      <c r="D28" s="3"/>
      <c r="E28" s="20"/>
      <c r="F28" s="19"/>
      <c r="G28" s="20"/>
      <c r="H28" s="19"/>
      <c r="I28" s="20"/>
      <c r="J28" s="19"/>
      <c r="K28" s="20"/>
      <c r="L28" s="19"/>
      <c r="M28" s="50"/>
      <c r="N28" s="5"/>
    </row>
    <row r="29" spans="2:18" x14ac:dyDescent="0.25">
      <c r="B29" s="2" t="s">
        <v>34</v>
      </c>
      <c r="C29" s="16" t="s">
        <v>18</v>
      </c>
      <c r="D29" s="23">
        <f t="shared" ref="D29:L29" si="8">+D30+D32+D34</f>
        <v>0</v>
      </c>
      <c r="E29" s="25">
        <f t="shared" si="8"/>
        <v>3253954336.5311999</v>
      </c>
      <c r="F29" s="23">
        <f t="shared" si="8"/>
        <v>0</v>
      </c>
      <c r="G29" s="25">
        <f t="shared" si="8"/>
        <v>4436158309.5170994</v>
      </c>
      <c r="H29" s="67">
        <f t="shared" si="8"/>
        <v>3072301460.053299</v>
      </c>
      <c r="I29" s="25">
        <f t="shared" si="8"/>
        <v>3533364548.0030003</v>
      </c>
      <c r="J29" s="67">
        <f t="shared" si="8"/>
        <v>321759557.66039997</v>
      </c>
      <c r="K29" s="25">
        <f t="shared" si="8"/>
        <v>505333257.73820007</v>
      </c>
      <c r="L29" s="67">
        <f t="shared" si="8"/>
        <v>1071060183.9223</v>
      </c>
      <c r="M29" s="17">
        <f>+M30+M34+M32</f>
        <v>16193931653.425499</v>
      </c>
      <c r="N29" s="4">
        <f>+M29/$M$51</f>
        <v>8.532302662723816E-2</v>
      </c>
    </row>
    <row r="30" spans="2:18" x14ac:dyDescent="0.25">
      <c r="B30" s="33" t="s">
        <v>35</v>
      </c>
      <c r="C30" s="27" t="s">
        <v>18</v>
      </c>
      <c r="D30" s="31">
        <f>+D31</f>
        <v>0</v>
      </c>
      <c r="E30" s="32">
        <f>+E31</f>
        <v>524600733.04260015</v>
      </c>
      <c r="F30" s="31">
        <f>+F31</f>
        <v>0</v>
      </c>
      <c r="G30" s="32">
        <f t="shared" ref="G30:L30" si="9">+G31</f>
        <v>1154131378.9579997</v>
      </c>
      <c r="H30" s="63">
        <f t="shared" si="9"/>
        <v>527977824.52789998</v>
      </c>
      <c r="I30" s="29">
        <f>+I31</f>
        <v>1404339038.5783002</v>
      </c>
      <c r="J30" s="63">
        <f>+J31</f>
        <v>13808438.978699999</v>
      </c>
      <c r="K30" s="29">
        <f t="shared" si="9"/>
        <v>98176964.908800006</v>
      </c>
      <c r="L30" s="63">
        <f t="shared" si="9"/>
        <v>190152938.18259999</v>
      </c>
      <c r="M30" s="51">
        <f>+M31</f>
        <v>3913187317.1769004</v>
      </c>
      <c r="N30" s="3"/>
    </row>
    <row r="31" spans="2:18" x14ac:dyDescent="0.25">
      <c r="B31" s="10" t="s">
        <v>36</v>
      </c>
      <c r="C31" s="15" t="s">
        <v>37</v>
      </c>
      <c r="D31" s="19">
        <v>0</v>
      </c>
      <c r="E31" s="21">
        <v>524600733.04260015</v>
      </c>
      <c r="F31" s="19">
        <v>0</v>
      </c>
      <c r="G31" s="21">
        <v>1154131378.9579997</v>
      </c>
      <c r="H31" s="64">
        <v>527977824.52789998</v>
      </c>
      <c r="I31" s="21">
        <v>1404339038.5783002</v>
      </c>
      <c r="J31" s="64">
        <v>13808438.978699999</v>
      </c>
      <c r="K31" s="21">
        <v>98176964.908800006</v>
      </c>
      <c r="L31" s="64">
        <v>190152938.18259999</v>
      </c>
      <c r="M31" s="44">
        <f>SUM(D31:L31)</f>
        <v>3913187317.1769004</v>
      </c>
      <c r="N31" s="5"/>
    </row>
    <row r="32" spans="2:18" x14ac:dyDescent="0.25">
      <c r="B32" s="30" t="s">
        <v>38</v>
      </c>
      <c r="C32" s="27" t="s">
        <v>18</v>
      </c>
      <c r="D32" s="31">
        <f>+D33</f>
        <v>0</v>
      </c>
      <c r="E32" s="32">
        <f>+E33</f>
        <v>2645136033.3401999</v>
      </c>
      <c r="F32" s="31">
        <f>+F33</f>
        <v>0</v>
      </c>
      <c r="G32" s="32">
        <f t="shared" ref="G32:L32" si="10">+G33</f>
        <v>2226520736.7792997</v>
      </c>
      <c r="H32" s="65">
        <f t="shared" si="10"/>
        <v>1393890513.1751993</v>
      </c>
      <c r="I32" s="32">
        <f>+I33</f>
        <v>1857825955.7195997</v>
      </c>
      <c r="J32" s="65">
        <f>+J33</f>
        <v>118424753.7464</v>
      </c>
      <c r="K32" s="32">
        <f t="shared" si="10"/>
        <v>16558732.9804</v>
      </c>
      <c r="L32" s="65">
        <f t="shared" si="10"/>
        <v>488256218.83740002</v>
      </c>
      <c r="M32" s="51">
        <f>+M33</f>
        <v>8746612944.5784988</v>
      </c>
      <c r="N32" s="5"/>
    </row>
    <row r="33" spans="2:16" ht="15" customHeight="1" x14ac:dyDescent="0.25">
      <c r="B33" s="10" t="s">
        <v>36</v>
      </c>
      <c r="C33" s="15" t="s">
        <v>39</v>
      </c>
      <c r="D33" s="19">
        <v>0</v>
      </c>
      <c r="E33" s="21">
        <v>2645136033.3401999</v>
      </c>
      <c r="F33" s="19">
        <v>0</v>
      </c>
      <c r="G33" s="21">
        <v>2226520736.7792997</v>
      </c>
      <c r="H33" s="64">
        <v>1393890513.1751993</v>
      </c>
      <c r="I33" s="21">
        <v>1857825955.7195997</v>
      </c>
      <c r="J33" s="64">
        <v>118424753.7464</v>
      </c>
      <c r="K33" s="21">
        <v>16558732.9804</v>
      </c>
      <c r="L33" s="64">
        <v>488256218.83740002</v>
      </c>
      <c r="M33" s="50">
        <f>SUM(D33:L33)</f>
        <v>8746612944.5784988</v>
      </c>
      <c r="N33" s="5"/>
    </row>
    <row r="34" spans="2:16" x14ac:dyDescent="0.25">
      <c r="B34" s="33" t="s">
        <v>40</v>
      </c>
      <c r="C34" s="27" t="s">
        <v>18</v>
      </c>
      <c r="D34" s="31">
        <f>+D35</f>
        <v>0</v>
      </c>
      <c r="E34" s="32">
        <f>+E35</f>
        <v>84217570.148399994</v>
      </c>
      <c r="F34" s="31">
        <f>+F35</f>
        <v>0</v>
      </c>
      <c r="G34" s="32">
        <f t="shared" ref="G34:L34" si="11">+G35</f>
        <v>1055506193.7797999</v>
      </c>
      <c r="H34" s="65">
        <f t="shared" si="11"/>
        <v>1150433122.3501999</v>
      </c>
      <c r="I34" s="32">
        <f>+I35</f>
        <v>271199553.7051</v>
      </c>
      <c r="J34" s="65">
        <f>+J35</f>
        <v>189526364.93529999</v>
      </c>
      <c r="K34" s="32">
        <f t="shared" si="11"/>
        <v>390597559.84900004</v>
      </c>
      <c r="L34" s="65">
        <f t="shared" si="11"/>
        <v>392651026.9023</v>
      </c>
      <c r="M34" s="51">
        <f>+M35</f>
        <v>3534131391.6700997</v>
      </c>
      <c r="N34" s="3"/>
    </row>
    <row r="35" spans="2:16" x14ac:dyDescent="0.25">
      <c r="B35" s="10" t="s">
        <v>36</v>
      </c>
      <c r="C35" s="15" t="s">
        <v>41</v>
      </c>
      <c r="D35" s="19">
        <v>0</v>
      </c>
      <c r="E35" s="21">
        <v>84217570.148399994</v>
      </c>
      <c r="F35" s="19">
        <v>0</v>
      </c>
      <c r="G35" s="21">
        <v>1055506193.7797999</v>
      </c>
      <c r="H35" s="66">
        <v>1150433122.3501999</v>
      </c>
      <c r="I35" s="21">
        <v>271199553.7051</v>
      </c>
      <c r="J35" s="66">
        <v>189526364.93529999</v>
      </c>
      <c r="K35" s="21">
        <v>390597559.84900004</v>
      </c>
      <c r="L35" s="66">
        <v>392651026.9023</v>
      </c>
      <c r="M35" s="50">
        <f>SUM(D35:L35)</f>
        <v>3534131391.6700997</v>
      </c>
      <c r="N35" s="5"/>
      <c r="P35" s="8"/>
    </row>
    <row r="36" spans="2:16" x14ac:dyDescent="0.25">
      <c r="B36" s="2" t="s">
        <v>42</v>
      </c>
      <c r="C36" s="16" t="s">
        <v>18</v>
      </c>
      <c r="D36" s="23">
        <f t="shared" ref="D36" si="12">+D37+D39+D41+D45+D47+D43</f>
        <v>0</v>
      </c>
      <c r="E36" s="25">
        <f>+E37+E39+E41+E45+E47+E43</f>
        <v>4760144007.3397999</v>
      </c>
      <c r="F36" s="67">
        <f>+F37+F39+F41+F45+F47+F43+F50</f>
        <v>68071334.441799998</v>
      </c>
      <c r="G36" s="25">
        <f>+G37+G39+G41+G45+G47+G43</f>
        <v>8857721879.8652</v>
      </c>
      <c r="H36" s="72">
        <f>+H37+H39+H41+H45+H47+H43</f>
        <v>2753027240.6549997</v>
      </c>
      <c r="I36" s="25">
        <f>+I37+I39+I41+I45+I47+I43</f>
        <v>3223384142.8794999</v>
      </c>
      <c r="J36" s="61">
        <f t="shared" ref="J36:K36" si="13">+J37+J39+J41+J45+J47+J43</f>
        <v>0</v>
      </c>
      <c r="K36" s="25">
        <f t="shared" si="13"/>
        <v>0</v>
      </c>
      <c r="L36" s="72">
        <f>+L37+L39+L41+L45+L47+L43</f>
        <v>494895473.86070001</v>
      </c>
      <c r="M36" s="17">
        <f>+M37+M39+M41+M45+M47+M43+M49</f>
        <v>20157244079.042</v>
      </c>
      <c r="N36" s="89">
        <f>+M36/$M$51</f>
        <v>0.10620503470656764</v>
      </c>
      <c r="P36" s="8"/>
    </row>
    <row r="37" spans="2:16" ht="17.25" customHeight="1" x14ac:dyDescent="0.25">
      <c r="B37" s="33" t="s">
        <v>43</v>
      </c>
      <c r="C37" s="27" t="s">
        <v>18</v>
      </c>
      <c r="D37" s="28">
        <f>+D38</f>
        <v>0</v>
      </c>
      <c r="E37" s="32">
        <f>+E38</f>
        <v>1924264926.8685999</v>
      </c>
      <c r="F37" s="63">
        <f>+F38</f>
        <v>0</v>
      </c>
      <c r="G37" s="32">
        <f t="shared" ref="G37:L37" si="14">+G38</f>
        <v>3450702227.9861002</v>
      </c>
      <c r="H37" s="63">
        <f t="shared" si="14"/>
        <v>1257589256.4215999</v>
      </c>
      <c r="I37" s="29">
        <f t="shared" si="14"/>
        <v>1923038010.5207999</v>
      </c>
      <c r="J37" s="31">
        <f t="shared" si="14"/>
        <v>0</v>
      </c>
      <c r="K37" s="32">
        <f t="shared" si="14"/>
        <v>0</v>
      </c>
      <c r="L37" s="63">
        <f t="shared" si="14"/>
        <v>315470865.90960002</v>
      </c>
      <c r="M37" s="51">
        <f>+M38</f>
        <v>8871065287.7066994</v>
      </c>
      <c r="N37" s="14"/>
    </row>
    <row r="38" spans="2:16" x14ac:dyDescent="0.25">
      <c r="B38" s="10" t="s">
        <v>44</v>
      </c>
      <c r="C38" s="15" t="s">
        <v>45</v>
      </c>
      <c r="D38" s="19">
        <v>0</v>
      </c>
      <c r="E38" s="21">
        <v>1924264926.8685999</v>
      </c>
      <c r="F38" s="69">
        <v>0</v>
      </c>
      <c r="G38" s="21">
        <v>3450702227.9861002</v>
      </c>
      <c r="H38" s="64">
        <v>1257589256.4215999</v>
      </c>
      <c r="I38" s="21">
        <v>1923038010.5207999</v>
      </c>
      <c r="J38" s="19"/>
      <c r="K38" s="20"/>
      <c r="L38" s="64">
        <v>315470865.90960002</v>
      </c>
      <c r="M38" s="50">
        <f>SUM(D38:L38)</f>
        <v>8871065287.7066994</v>
      </c>
      <c r="N38" s="5"/>
      <c r="P38" s="8"/>
    </row>
    <row r="39" spans="2:16" x14ac:dyDescent="0.25">
      <c r="B39" s="33" t="s">
        <v>46</v>
      </c>
      <c r="C39" s="27"/>
      <c r="D39" s="31">
        <f>+D40</f>
        <v>0</v>
      </c>
      <c r="E39" s="32">
        <f>+E40</f>
        <v>2081854971.1309004</v>
      </c>
      <c r="F39" s="65">
        <f>+F40</f>
        <v>0</v>
      </c>
      <c r="G39" s="32">
        <f t="shared" ref="G39:L39" si="15">+G40</f>
        <v>1355374330.1633</v>
      </c>
      <c r="H39" s="65">
        <f t="shared" si="15"/>
        <v>1355374330.1633</v>
      </c>
      <c r="I39" s="32">
        <f t="shared" si="15"/>
        <v>1300346132.3587</v>
      </c>
      <c r="J39" s="31">
        <f t="shared" si="15"/>
        <v>0</v>
      </c>
      <c r="K39" s="32">
        <f t="shared" si="15"/>
        <v>0</v>
      </c>
      <c r="L39" s="65">
        <f t="shared" si="15"/>
        <v>0</v>
      </c>
      <c r="M39" s="51">
        <f>+M40</f>
        <v>6092949763.8162003</v>
      </c>
      <c r="N39" s="5"/>
      <c r="P39" s="8"/>
    </row>
    <row r="40" spans="2:16" x14ac:dyDescent="0.25">
      <c r="B40" s="10" t="s">
        <v>44</v>
      </c>
      <c r="C40" s="15" t="s">
        <v>45</v>
      </c>
      <c r="D40" s="19">
        <v>0</v>
      </c>
      <c r="E40" s="21">
        <v>2081854971.1309004</v>
      </c>
      <c r="F40" s="69">
        <v>0</v>
      </c>
      <c r="G40" s="21">
        <v>1355374330.1633</v>
      </c>
      <c r="H40" s="64">
        <v>1355374330.1633</v>
      </c>
      <c r="I40" s="21">
        <v>1300346132.3587</v>
      </c>
      <c r="J40" s="19">
        <v>0</v>
      </c>
      <c r="K40" s="20">
        <v>0</v>
      </c>
      <c r="L40" s="69">
        <v>0</v>
      </c>
      <c r="M40" s="50">
        <f>SUM(D40:L40)</f>
        <v>6092949763.8162003</v>
      </c>
      <c r="N40" s="5"/>
      <c r="P40" s="8"/>
    </row>
    <row r="41" spans="2:16" ht="15" customHeight="1" x14ac:dyDescent="0.25">
      <c r="B41" s="33" t="s">
        <v>47</v>
      </c>
      <c r="C41" s="27" t="s">
        <v>18</v>
      </c>
      <c r="D41" s="31">
        <f>+D42</f>
        <v>0</v>
      </c>
      <c r="E41" s="32">
        <f>+E42</f>
        <v>0</v>
      </c>
      <c r="F41" s="65">
        <f>+F42</f>
        <v>0</v>
      </c>
      <c r="G41" s="32">
        <f t="shared" ref="G41:L43" si="16">+G42</f>
        <v>0</v>
      </c>
      <c r="H41" s="65">
        <f t="shared" si="16"/>
        <v>140063654.07010001</v>
      </c>
      <c r="I41" s="32">
        <f t="shared" si="16"/>
        <v>0</v>
      </c>
      <c r="J41" s="31">
        <f t="shared" si="16"/>
        <v>0</v>
      </c>
      <c r="K41" s="32">
        <f t="shared" si="16"/>
        <v>0</v>
      </c>
      <c r="L41" s="65">
        <f t="shared" si="16"/>
        <v>179424607.95109999</v>
      </c>
      <c r="M41" s="51">
        <f>+M42</f>
        <v>319488262.0212</v>
      </c>
      <c r="N41" s="3"/>
    </row>
    <row r="42" spans="2:16" ht="17.25" customHeight="1" x14ac:dyDescent="0.25">
      <c r="B42" s="10" t="s">
        <v>48</v>
      </c>
      <c r="C42" s="15" t="s">
        <v>45</v>
      </c>
      <c r="D42" s="19">
        <v>0</v>
      </c>
      <c r="E42" s="20">
        <v>0</v>
      </c>
      <c r="F42" s="69">
        <v>0</v>
      </c>
      <c r="G42" s="20">
        <v>0</v>
      </c>
      <c r="H42" s="64">
        <v>140063654.07010001</v>
      </c>
      <c r="I42" s="20">
        <v>0</v>
      </c>
      <c r="J42" s="19">
        <v>0</v>
      </c>
      <c r="K42" s="20">
        <v>0</v>
      </c>
      <c r="L42" s="64">
        <v>179424607.95109999</v>
      </c>
      <c r="M42" s="53">
        <f>SUM(D42:L42)</f>
        <v>319488262.0212</v>
      </c>
      <c r="N42" s="5"/>
    </row>
    <row r="43" spans="2:16" ht="15" customHeight="1" x14ac:dyDescent="0.25">
      <c r="B43" s="33" t="s">
        <v>49</v>
      </c>
      <c r="C43" s="27" t="s">
        <v>18</v>
      </c>
      <c r="D43" s="31">
        <f>+D44</f>
        <v>0</v>
      </c>
      <c r="E43" s="32">
        <f>+E44</f>
        <v>0</v>
      </c>
      <c r="F43" s="65">
        <f>+F44</f>
        <v>30399723.9472</v>
      </c>
      <c r="G43" s="32">
        <f t="shared" si="16"/>
        <v>0</v>
      </c>
      <c r="H43" s="65">
        <f t="shared" si="16"/>
        <v>0</v>
      </c>
      <c r="I43" s="32">
        <f t="shared" si="16"/>
        <v>0</v>
      </c>
      <c r="J43" s="31">
        <f t="shared" si="16"/>
        <v>0</v>
      </c>
      <c r="K43" s="32">
        <f t="shared" si="16"/>
        <v>0</v>
      </c>
      <c r="L43" s="65">
        <f t="shared" si="16"/>
        <v>0</v>
      </c>
      <c r="M43" s="51">
        <f>+M44</f>
        <v>30399723.9472</v>
      </c>
      <c r="N43" s="3"/>
    </row>
    <row r="44" spans="2:16" ht="17.25" customHeight="1" x14ac:dyDescent="0.25">
      <c r="B44" s="10" t="s">
        <v>48</v>
      </c>
      <c r="C44" s="15" t="s">
        <v>45</v>
      </c>
      <c r="D44" s="19">
        <v>0</v>
      </c>
      <c r="E44" s="20">
        <v>0</v>
      </c>
      <c r="F44" s="64">
        <v>30399723.9472</v>
      </c>
      <c r="G44" s="20">
        <v>0</v>
      </c>
      <c r="H44" s="69">
        <v>0</v>
      </c>
      <c r="I44" s="20">
        <v>0</v>
      </c>
      <c r="J44" s="19">
        <v>0</v>
      </c>
      <c r="K44" s="19">
        <v>0</v>
      </c>
      <c r="L44" s="19">
        <v>0</v>
      </c>
      <c r="M44" s="53">
        <f>SUM(D44:L44)</f>
        <v>30399723.9472</v>
      </c>
      <c r="N44" s="5"/>
    </row>
    <row r="45" spans="2:16" ht="15" customHeight="1" x14ac:dyDescent="0.25">
      <c r="B45" s="33" t="s">
        <v>50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32">
        <f t="shared" ref="G45:L45" si="17">+G46</f>
        <v>1878391319.5891001</v>
      </c>
      <c r="H45" s="65">
        <f t="shared" si="17"/>
        <v>0</v>
      </c>
      <c r="I45" s="32">
        <f t="shared" si="17"/>
        <v>0</v>
      </c>
      <c r="J45" s="31">
        <f t="shared" si="17"/>
        <v>0</v>
      </c>
      <c r="K45" s="32">
        <f t="shared" si="17"/>
        <v>0</v>
      </c>
      <c r="L45" s="65">
        <f t="shared" si="17"/>
        <v>0</v>
      </c>
      <c r="M45" s="51">
        <f>+M46</f>
        <v>1878391319.5891001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21">
        <v>1878391319.5891001</v>
      </c>
      <c r="H46" s="69">
        <v>0</v>
      </c>
      <c r="I46" s="20">
        <v>0</v>
      </c>
      <c r="J46" s="19">
        <v>0</v>
      </c>
      <c r="K46" s="20">
        <v>0</v>
      </c>
      <c r="L46" s="69">
        <v>0</v>
      </c>
      <c r="M46" s="53">
        <f>SUM(D46:L46)</f>
        <v>1878391319.5891001</v>
      </c>
      <c r="N46" s="3"/>
    </row>
    <row r="47" spans="2:16" ht="15" customHeight="1" x14ac:dyDescent="0.25">
      <c r="B47" s="33" t="s">
        <v>51</v>
      </c>
      <c r="C47" s="27" t="s">
        <v>18</v>
      </c>
      <c r="D47" s="19">
        <f>+D48</f>
        <v>0</v>
      </c>
      <c r="E47" s="32">
        <f>+E48</f>
        <v>754024109.34029996</v>
      </c>
      <c r="F47" s="69">
        <f>+F48</f>
        <v>0</v>
      </c>
      <c r="G47" s="32">
        <f t="shared" ref="G47:L47" si="18">+G48</f>
        <v>2173254002.1266999</v>
      </c>
      <c r="H47" s="65">
        <f t="shared" si="18"/>
        <v>0</v>
      </c>
      <c r="I47" s="32">
        <f t="shared" si="18"/>
        <v>0</v>
      </c>
      <c r="J47" s="31">
        <f t="shared" si="18"/>
        <v>0</v>
      </c>
      <c r="K47" s="32">
        <f t="shared" si="18"/>
        <v>0</v>
      </c>
      <c r="L47" s="65">
        <f t="shared" si="18"/>
        <v>0</v>
      </c>
      <c r="M47" s="51">
        <f>+M48</f>
        <v>2927278111.467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0</v>
      </c>
      <c r="E48" s="21">
        <v>754024109.34029996</v>
      </c>
      <c r="F48" s="69">
        <v>0</v>
      </c>
      <c r="G48" s="21">
        <v>2173254002.1266999</v>
      </c>
      <c r="H48" s="69">
        <v>0</v>
      </c>
      <c r="I48" s="44">
        <v>0</v>
      </c>
      <c r="J48" s="19">
        <v>0</v>
      </c>
      <c r="K48" s="71">
        <v>0</v>
      </c>
      <c r="L48" s="69">
        <v>0</v>
      </c>
      <c r="M48" s="53">
        <f>SUM(D48:L48)</f>
        <v>2927278111.467</v>
      </c>
      <c r="N48" s="3"/>
    </row>
    <row r="49" spans="2:14" ht="17.25" customHeight="1" x14ac:dyDescent="0.25">
      <c r="B49" s="33" t="s">
        <v>52</v>
      </c>
      <c r="C49" s="27"/>
      <c r="D49" s="19">
        <v>0</v>
      </c>
      <c r="E49" s="32">
        <v>0</v>
      </c>
      <c r="F49" s="65">
        <f>+F50</f>
        <v>37671610.494599998</v>
      </c>
      <c r="G49" s="21">
        <v>0</v>
      </c>
      <c r="H49" s="69">
        <v>0</v>
      </c>
      <c r="I49" s="44">
        <v>0</v>
      </c>
      <c r="J49" s="19">
        <v>0</v>
      </c>
      <c r="K49" s="71">
        <v>0</v>
      </c>
      <c r="L49" s="69">
        <v>0</v>
      </c>
      <c r="M49" s="58">
        <f t="shared" ref="M49:M50" si="19">SUM(D49:L49)</f>
        <v>37671610.494599998</v>
      </c>
      <c r="N49" s="3"/>
    </row>
    <row r="50" spans="2:14" ht="17.25" customHeight="1" x14ac:dyDescent="0.25">
      <c r="B50" s="10" t="s">
        <v>48</v>
      </c>
      <c r="C50" s="49" t="s">
        <v>45</v>
      </c>
      <c r="D50" s="19">
        <v>0</v>
      </c>
      <c r="E50" s="32">
        <v>0</v>
      </c>
      <c r="F50" s="66">
        <v>37671610.494599998</v>
      </c>
      <c r="G50" s="21">
        <v>0</v>
      </c>
      <c r="H50" s="70">
        <v>0</v>
      </c>
      <c r="I50" s="44">
        <v>0</v>
      </c>
      <c r="J50" s="19">
        <v>0</v>
      </c>
      <c r="K50" s="71">
        <v>0</v>
      </c>
      <c r="L50" s="70">
        <v>0</v>
      </c>
      <c r="M50" s="53">
        <f t="shared" si="19"/>
        <v>37671610.494599998</v>
      </c>
      <c r="N50" s="3"/>
    </row>
    <row r="51" spans="2:14" x14ac:dyDescent="0.25">
      <c r="B51" s="144" t="s">
        <v>53</v>
      </c>
      <c r="C51" s="145"/>
      <c r="D51" s="23">
        <f t="shared" ref="D51:L51" si="20">+D7+D10+D29+D36</f>
        <v>136965847.3193</v>
      </c>
      <c r="E51" s="23">
        <f t="shared" si="20"/>
        <v>43655770510.956184</v>
      </c>
      <c r="F51" s="61">
        <f t="shared" si="20"/>
        <v>184105554.42410001</v>
      </c>
      <c r="G51" s="25">
        <f t="shared" si="20"/>
        <v>62704103559.709793</v>
      </c>
      <c r="H51" s="61">
        <f t="shared" si="20"/>
        <v>28944547386.869286</v>
      </c>
      <c r="I51" s="25">
        <f t="shared" si="20"/>
        <v>41470045162.359985</v>
      </c>
      <c r="J51" s="23">
        <f t="shared" si="20"/>
        <v>966091178.36380005</v>
      </c>
      <c r="K51" s="25">
        <f t="shared" si="20"/>
        <v>1926378632.7337999</v>
      </c>
      <c r="L51" s="61">
        <f t="shared" si="20"/>
        <v>9807552563.5685005</v>
      </c>
      <c r="M51" s="17">
        <f>+M36+M29+M10+M7</f>
        <v>189795560396.30475</v>
      </c>
      <c r="N51" s="156">
        <f>+M51/M52</f>
        <v>0.25617752123711979</v>
      </c>
    </row>
    <row r="52" spans="2:14" ht="15" customHeight="1" x14ac:dyDescent="0.25">
      <c r="B52" s="144" t="s">
        <v>54</v>
      </c>
      <c r="C52" s="145"/>
      <c r="D52" s="23">
        <v>6551457992.7600002</v>
      </c>
      <c r="E52" s="23">
        <v>153884223266.59</v>
      </c>
      <c r="F52" s="23">
        <v>3046756552.48</v>
      </c>
      <c r="G52" s="23">
        <v>228964699557</v>
      </c>
      <c r="H52" s="23">
        <v>114202769670.12</v>
      </c>
      <c r="I52" s="23">
        <v>140601796017.63</v>
      </c>
      <c r="J52" s="23">
        <v>23908178175.490002</v>
      </c>
      <c r="K52" s="23">
        <v>17162442070.700001</v>
      </c>
      <c r="L52" s="23">
        <v>46206876156.300003</v>
      </c>
      <c r="M52" s="23">
        <v>740875153603.45996</v>
      </c>
      <c r="N52" s="157"/>
    </row>
    <row r="53" spans="2:14" ht="15.75" customHeight="1" x14ac:dyDescent="0.25">
      <c r="B53" s="144" t="s">
        <v>55</v>
      </c>
      <c r="C53" s="145"/>
      <c r="D53" s="88">
        <f>+D51/D52</f>
        <v>2.0906162791650439E-2</v>
      </c>
      <c r="E53" s="88">
        <f>+E51/E52</f>
        <v>0.28369230830977815</v>
      </c>
      <c r="F53" s="88">
        <f>+F51/F52</f>
        <v>6.0426736187452097E-2</v>
      </c>
      <c r="G53" s="88">
        <f t="shared" ref="G53:L53" si="21">+G51/G52</f>
        <v>0.27385926162866786</v>
      </c>
      <c r="H53" s="88">
        <f t="shared" si="21"/>
        <v>0.25344873395344925</v>
      </c>
      <c r="I53" s="88">
        <f t="shared" si="21"/>
        <v>0.29494676694713112</v>
      </c>
      <c r="J53" s="88">
        <f t="shared" si="21"/>
        <v>4.0408397966274559E-2</v>
      </c>
      <c r="K53" s="88">
        <f t="shared" si="21"/>
        <v>0.11224385345617829</v>
      </c>
      <c r="L53" s="88">
        <f t="shared" si="21"/>
        <v>0.21225309692854677</v>
      </c>
      <c r="M53" s="146" t="s">
        <v>56</v>
      </c>
      <c r="N53" s="147"/>
    </row>
    <row r="54" spans="2:14" x14ac:dyDescent="0.25">
      <c r="B54" s="148" t="s">
        <v>57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</row>
    <row r="55" spans="2:14" ht="15" customHeight="1" x14ac:dyDescent="0.25">
      <c r="B55" s="149" t="s">
        <v>58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</row>
    <row r="56" spans="2:14" ht="15.75" x14ac:dyDescent="0.25">
      <c r="B56" s="34" t="s">
        <v>59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spans="2:14" x14ac:dyDescent="0.25">
      <c r="B57" s="35"/>
      <c r="C57" s="35"/>
      <c r="D57" s="35"/>
      <c r="E57" s="47"/>
      <c r="F57" s="47"/>
      <c r="G57" s="35"/>
      <c r="H57" s="35"/>
      <c r="I57" s="35"/>
      <c r="J57" s="57"/>
      <c r="K57" s="35"/>
      <c r="L57" s="35"/>
      <c r="M57" s="36"/>
      <c r="N57" s="35"/>
    </row>
    <row r="58" spans="2:14" x14ac:dyDescent="0.25">
      <c r="M58" s="55"/>
    </row>
    <row r="59" spans="2:14" x14ac:dyDescent="0.25">
      <c r="M59" s="56"/>
    </row>
  </sheetData>
  <mergeCells count="22"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  <mergeCell ref="B53:C53"/>
    <mergeCell ref="M53:N53"/>
    <mergeCell ref="B54:N54"/>
    <mergeCell ref="B55:N55"/>
    <mergeCell ref="I5:I6"/>
    <mergeCell ref="J5:J6"/>
    <mergeCell ref="K5:K6"/>
    <mergeCell ref="L5:L6"/>
    <mergeCell ref="M5:N5"/>
    <mergeCell ref="B51:C51"/>
    <mergeCell ref="N51:N52"/>
    <mergeCell ref="B52:C52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61"/>
  <sheetViews>
    <sheetView showGridLines="0" topLeftCell="B1" zoomScaleNormal="100" workbookViewId="0">
      <pane xSplit="2" ySplit="6" topLeftCell="D8" activePane="bottomRight" state="frozen"/>
      <selection pane="topRight" activeCell="D1" sqref="D1"/>
      <selection pane="bottomLeft" activeCell="B7" sqref="B7"/>
      <selection pane="bottomRight" activeCell="L23" sqref="L23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60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91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603314772.00830007</v>
      </c>
      <c r="E7" s="25">
        <f t="shared" si="0"/>
        <v>36274280157.716904</v>
      </c>
      <c r="F7" s="23">
        <f t="shared" si="0"/>
        <v>0</v>
      </c>
      <c r="G7" s="24">
        <f t="shared" si="0"/>
        <v>49437921655.55851</v>
      </c>
      <c r="H7" s="23">
        <f t="shared" si="0"/>
        <v>26072299591.700401</v>
      </c>
      <c r="I7" s="73">
        <f t="shared" si="0"/>
        <v>35090484124.774101</v>
      </c>
      <c r="J7" s="67">
        <f t="shared" si="0"/>
        <v>630624617.53829992</v>
      </c>
      <c r="K7" s="73">
        <f t="shared" si="0"/>
        <v>1460592678.7790999</v>
      </c>
      <c r="L7" s="67">
        <f t="shared" si="0"/>
        <v>9153846123.7048016</v>
      </c>
      <c r="M7" s="74">
        <f t="shared" si="0"/>
        <v>158723363721.78046</v>
      </c>
      <c r="N7" s="89">
        <f>+M7/$M$53</f>
        <v>0.79488214842192195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603314772.00830007</v>
      </c>
      <c r="E8" s="29">
        <f t="shared" si="1"/>
        <v>36274280157.716904</v>
      </c>
      <c r="F8" s="28">
        <f t="shared" si="1"/>
        <v>0</v>
      </c>
      <c r="G8" s="29">
        <f t="shared" si="1"/>
        <v>49437921655.55851</v>
      </c>
      <c r="H8" s="28">
        <f t="shared" si="1"/>
        <v>26072299591.700401</v>
      </c>
      <c r="I8" s="75">
        <f t="shared" si="1"/>
        <v>35090484124.774101</v>
      </c>
      <c r="J8" s="28">
        <f t="shared" si="1"/>
        <v>630624617.53829992</v>
      </c>
      <c r="K8" s="75">
        <f t="shared" si="1"/>
        <v>1460592678.7790999</v>
      </c>
      <c r="L8" s="28">
        <f t="shared" si="1"/>
        <v>9153846123.7048016</v>
      </c>
      <c r="M8" s="40">
        <f>+M9</f>
        <v>158723363721.78046</v>
      </c>
      <c r="N8" s="89"/>
      <c r="Q8" s="7"/>
      <c r="R8" s="7"/>
    </row>
    <row r="9" spans="2:18" x14ac:dyDescent="0.25">
      <c r="B9" s="77" t="s">
        <v>20</v>
      </c>
      <c r="C9" s="76" t="s">
        <v>21</v>
      </c>
      <c r="D9" s="85">
        <v>603314772.00830007</v>
      </c>
      <c r="E9" s="78">
        <v>36274280157.716904</v>
      </c>
      <c r="F9" s="82">
        <v>0</v>
      </c>
      <c r="G9" s="54">
        <v>49437921655.55851</v>
      </c>
      <c r="H9" s="38">
        <v>26072299591.700401</v>
      </c>
      <c r="I9" s="38">
        <v>35090484124.774101</v>
      </c>
      <c r="J9" s="38">
        <v>630624617.53829992</v>
      </c>
      <c r="K9" s="38">
        <v>1460592678.7790999</v>
      </c>
      <c r="L9" s="38">
        <v>9153846123.7048016</v>
      </c>
      <c r="M9" s="39">
        <f>SUM(D9:L9)</f>
        <v>158723363721.78046</v>
      </c>
      <c r="N9" s="37"/>
      <c r="Q9" s="7"/>
      <c r="R9" s="7"/>
    </row>
    <row r="10" spans="2:18" x14ac:dyDescent="0.25">
      <c r="B10" s="2" t="s">
        <v>22</v>
      </c>
      <c r="C10" s="16" t="s">
        <v>18</v>
      </c>
      <c r="D10" s="23">
        <f t="shared" ref="D10:G10" si="2">+D11+D13+D15+D17+D19+D21</f>
        <v>57849326.940800004</v>
      </c>
      <c r="E10" s="25">
        <f t="shared" si="2"/>
        <v>4332545.4616999999</v>
      </c>
      <c r="F10" s="23">
        <f t="shared" si="2"/>
        <v>116364738.07800001</v>
      </c>
      <c r="G10" s="25">
        <f t="shared" si="2"/>
        <v>2807754702.5802002</v>
      </c>
      <c r="H10" s="23">
        <f>+H11+H13+H15+H17+H19+H21</f>
        <v>277459012.66159999</v>
      </c>
      <c r="I10" s="24">
        <f>+I11+I13+I15+I17+I19+I21</f>
        <v>1231162457.2189002</v>
      </c>
      <c r="J10" s="61">
        <f>+J11+J13+J15+J17+J19+J21</f>
        <v>76369574.826400012</v>
      </c>
      <c r="K10" s="24">
        <f>+K11+K13+K15+K17+K19+K21</f>
        <v>4737718.2750000004</v>
      </c>
      <c r="L10" s="61">
        <f>+L11+L13+L15+L17+L19+L21</f>
        <v>33477008.517299999</v>
      </c>
      <c r="M10" s="62">
        <f>M11+M13+M15+M17+M19+M21</f>
        <v>4609507084.5598993</v>
      </c>
      <c r="N10" s="90">
        <f>+M10/$M$53</f>
        <v>2.3084282040314753E-2</v>
      </c>
      <c r="O10" s="41"/>
      <c r="P10" s="13"/>
      <c r="Q10" s="7"/>
      <c r="R10" s="7"/>
    </row>
    <row r="11" spans="2:18" s="42" customFormat="1" x14ac:dyDescent="0.25">
      <c r="B11" s="30" t="s">
        <v>23</v>
      </c>
      <c r="C11" s="27" t="s">
        <v>18</v>
      </c>
      <c r="D11" s="31">
        <f>+D12</f>
        <v>0</v>
      </c>
      <c r="E11" s="32">
        <f>+E12</f>
        <v>0</v>
      </c>
      <c r="F11" s="31">
        <f>+F12</f>
        <v>0</v>
      </c>
      <c r="G11" s="32">
        <f t="shared" ref="G11:L11" si="3">+G12</f>
        <v>0</v>
      </c>
      <c r="H11" s="31">
        <f t="shared" si="3"/>
        <v>0</v>
      </c>
      <c r="I11" s="29">
        <f t="shared" si="3"/>
        <v>6939312.8319000006</v>
      </c>
      <c r="J11" s="28">
        <f t="shared" si="3"/>
        <v>0</v>
      </c>
      <c r="K11" s="29">
        <f t="shared" si="3"/>
        <v>0</v>
      </c>
      <c r="L11" s="31">
        <f t="shared" si="3"/>
        <v>0</v>
      </c>
      <c r="M11" s="51">
        <f>+M12</f>
        <v>6939312.8319000006</v>
      </c>
      <c r="N11" s="5"/>
      <c r="Q11" s="43"/>
      <c r="R11" s="43"/>
    </row>
    <row r="12" spans="2:18" x14ac:dyDescent="0.25">
      <c r="B12" s="10" t="s">
        <v>24</v>
      </c>
      <c r="C12" s="15" t="s">
        <v>25</v>
      </c>
      <c r="D12" s="19">
        <v>0</v>
      </c>
      <c r="E12" s="19">
        <v>0</v>
      </c>
      <c r="F12" s="31">
        <v>0</v>
      </c>
      <c r="G12" s="20">
        <v>0</v>
      </c>
      <c r="H12" s="19">
        <v>0</v>
      </c>
      <c r="I12" s="21">
        <v>6939312.8319000006</v>
      </c>
      <c r="J12" s="19">
        <v>0</v>
      </c>
      <c r="K12" s="20">
        <v>0</v>
      </c>
      <c r="L12" s="19">
        <v>0</v>
      </c>
      <c r="M12" s="44">
        <f>SUM(D12:L12)</f>
        <v>6939312.8319000006</v>
      </c>
      <c r="N12" s="5"/>
      <c r="Q12" s="7"/>
      <c r="R12" s="7"/>
    </row>
    <row r="13" spans="2:18" x14ac:dyDescent="0.25">
      <c r="B13" s="30" t="s">
        <v>26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>+G14</f>
        <v>0</v>
      </c>
      <c r="H13" s="31">
        <f t="shared" ref="H13:L13" si="4">+H14</f>
        <v>0</v>
      </c>
      <c r="I13" s="32">
        <f t="shared" si="4"/>
        <v>0</v>
      </c>
      <c r="J13" s="31">
        <f t="shared" si="4"/>
        <v>0</v>
      </c>
      <c r="K13" s="32">
        <f t="shared" si="4"/>
        <v>0</v>
      </c>
      <c r="L13" s="31">
        <f t="shared" si="4"/>
        <v>0</v>
      </c>
      <c r="M13" s="51">
        <f>+M14</f>
        <v>0</v>
      </c>
      <c r="N13" s="5"/>
      <c r="Q13" s="7"/>
      <c r="R13" s="7"/>
    </row>
    <row r="14" spans="2:18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19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57849326.940800004</v>
      </c>
      <c r="E15" s="32">
        <f>+E16</f>
        <v>4332545.4616999999</v>
      </c>
      <c r="F15" s="31">
        <f>+F16</f>
        <v>0</v>
      </c>
      <c r="G15" s="68">
        <f t="shared" ref="G15:K15" si="5">+G16</f>
        <v>2797608269.9591002</v>
      </c>
      <c r="H15" s="45">
        <f t="shared" si="5"/>
        <v>277459012.66159999</v>
      </c>
      <c r="I15" s="32">
        <f t="shared" si="5"/>
        <v>1224223144.3870001</v>
      </c>
      <c r="J15" s="31">
        <f>J16</f>
        <v>0</v>
      </c>
      <c r="K15" s="32">
        <f t="shared" si="5"/>
        <v>4737718.2750000004</v>
      </c>
      <c r="L15" s="31">
        <f>L16</f>
        <v>33477008.517299999</v>
      </c>
      <c r="M15" s="51">
        <f>+M16</f>
        <v>4399687026.2024994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86">
        <v>57849326.940800004</v>
      </c>
      <c r="E16" s="78">
        <v>4332545.4616999999</v>
      </c>
      <c r="F16" s="31">
        <v>0</v>
      </c>
      <c r="G16" s="59">
        <v>2797608269.9591002</v>
      </c>
      <c r="H16" s="59">
        <v>277459012.66159999</v>
      </c>
      <c r="I16" s="59">
        <v>1224223144.3870001</v>
      </c>
      <c r="J16" s="19">
        <v>0</v>
      </c>
      <c r="K16" s="21">
        <v>4737718.2750000004</v>
      </c>
      <c r="L16" s="22">
        <v>33477008.517299999</v>
      </c>
      <c r="M16" s="50">
        <f>SUM(D16:L16)</f>
        <v>4399687026.2024994</v>
      </c>
      <c r="N16" s="5"/>
      <c r="Q16" s="7"/>
      <c r="R16" s="7"/>
    </row>
    <row r="17" spans="2:18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68">
        <f t="shared" ref="G17:L17" si="6">+G18</f>
        <v>0</v>
      </c>
      <c r="H17" s="45">
        <f t="shared" si="6"/>
        <v>0</v>
      </c>
      <c r="I17" s="32">
        <f t="shared" si="6"/>
        <v>0</v>
      </c>
      <c r="J17" s="31">
        <f t="shared" si="6"/>
        <v>0</v>
      </c>
      <c r="K17" s="32">
        <f t="shared" si="6"/>
        <v>0</v>
      </c>
      <c r="L17" s="31">
        <f t="shared" si="6"/>
        <v>0</v>
      </c>
      <c r="M17" s="51">
        <f>+M18</f>
        <v>0</v>
      </c>
      <c r="N17" s="3"/>
    </row>
    <row r="18" spans="2:18" x14ac:dyDescent="0.25">
      <c r="B18" s="10" t="s">
        <v>24</v>
      </c>
      <c r="C18" s="15" t="s">
        <v>27</v>
      </c>
      <c r="D18" s="19">
        <v>0</v>
      </c>
      <c r="E18" s="19">
        <v>0</v>
      </c>
      <c r="F18" s="31">
        <v>0</v>
      </c>
      <c r="G18" s="60">
        <v>0</v>
      </c>
      <c r="H18" s="44">
        <v>0</v>
      </c>
      <c r="I18" s="20">
        <v>0</v>
      </c>
      <c r="J18" s="19">
        <v>0</v>
      </c>
      <c r="K18" s="20">
        <v>0</v>
      </c>
      <c r="L18" s="19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68">
        <f t="shared" ref="G19:L19" si="7">+G20</f>
        <v>10146432.621099999</v>
      </c>
      <c r="H19" s="45">
        <f t="shared" si="7"/>
        <v>0</v>
      </c>
      <c r="I19" s="32">
        <f t="shared" si="7"/>
        <v>0</v>
      </c>
      <c r="J19" s="31">
        <f t="shared" si="7"/>
        <v>0</v>
      </c>
      <c r="K19" s="32">
        <f t="shared" si="7"/>
        <v>0</v>
      </c>
      <c r="L19" s="31">
        <f t="shared" si="7"/>
        <v>0</v>
      </c>
      <c r="M19" s="51">
        <f>+M20</f>
        <v>10146432.621099999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19">
        <v>0</v>
      </c>
      <c r="F20" s="31">
        <v>0</v>
      </c>
      <c r="G20" s="59">
        <v>10146432.621099999</v>
      </c>
      <c r="H20" s="59"/>
      <c r="I20" s="60">
        <v>0</v>
      </c>
      <c r="J20" s="19">
        <v>0</v>
      </c>
      <c r="K20" s="19">
        <v>0</v>
      </c>
      <c r="L20" s="19">
        <v>0</v>
      </c>
      <c r="M20" s="50">
        <f>SUM(D20:L20)</f>
        <v>10146432.621099999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116364738.07800001</v>
      </c>
      <c r="G21" s="68">
        <v>0</v>
      </c>
      <c r="H21" s="45">
        <v>0</v>
      </c>
      <c r="I21" s="32">
        <v>0</v>
      </c>
      <c r="J21" s="31">
        <f>+J22</f>
        <v>76369574.826400012</v>
      </c>
      <c r="K21" s="31">
        <f t="shared" ref="K21:L21" si="8">+K22</f>
        <v>0</v>
      </c>
      <c r="L21" s="31">
        <f t="shared" si="8"/>
        <v>0</v>
      </c>
      <c r="M21" s="51">
        <f>M22</f>
        <v>192734312.90440002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19">
        <v>0</v>
      </c>
      <c r="F22" s="83">
        <v>116364738.07800001</v>
      </c>
      <c r="G22" s="60">
        <v>0</v>
      </c>
      <c r="H22" s="44">
        <v>0</v>
      </c>
      <c r="I22" s="60">
        <v>0</v>
      </c>
      <c r="J22" s="87">
        <v>76369574.826400012</v>
      </c>
      <c r="K22" s="20">
        <v>0</v>
      </c>
      <c r="L22" s="19">
        <v>0</v>
      </c>
      <c r="M22" s="50">
        <f>SUM(D22:L22)</f>
        <v>192734312.90440002</v>
      </c>
      <c r="N22" s="5"/>
    </row>
    <row r="23" spans="2:18" ht="15" customHeight="1" x14ac:dyDescent="0.25">
      <c r="B23" s="79" t="s">
        <v>61</v>
      </c>
      <c r="C23" s="15" t="s">
        <v>18</v>
      </c>
      <c r="D23" s="45">
        <f>D24</f>
        <v>6364022.5997000001</v>
      </c>
      <c r="E23" s="19">
        <f t="shared" ref="E23:L23" si="9">E24</f>
        <v>0</v>
      </c>
      <c r="F23" s="31">
        <f t="shared" si="9"/>
        <v>0</v>
      </c>
      <c r="G23" s="19">
        <f t="shared" si="9"/>
        <v>0</v>
      </c>
      <c r="H23" s="19">
        <f t="shared" si="9"/>
        <v>0</v>
      </c>
      <c r="I23" s="19">
        <f t="shared" si="9"/>
        <v>0</v>
      </c>
      <c r="J23" s="44">
        <f t="shared" si="9"/>
        <v>0</v>
      </c>
      <c r="K23" s="19">
        <f t="shared" si="9"/>
        <v>0</v>
      </c>
      <c r="L23" s="19">
        <f t="shared" si="9"/>
        <v>0</v>
      </c>
      <c r="M23" s="51">
        <f>+M24</f>
        <v>6364022.5997000001</v>
      </c>
      <c r="N23" s="3"/>
      <c r="P23" s="13"/>
    </row>
    <row r="24" spans="2:18" ht="15" customHeight="1" x14ac:dyDescent="0.25">
      <c r="B24" s="10" t="s">
        <v>24</v>
      </c>
      <c r="C24" s="15" t="s">
        <v>25</v>
      </c>
      <c r="D24">
        <v>6364022.5997000001</v>
      </c>
      <c r="E24" s="19">
        <v>0</v>
      </c>
      <c r="F24" s="31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>SUM(D24:L24)</f>
        <v>6364022.5997000001</v>
      </c>
      <c r="N24" s="5"/>
    </row>
    <row r="25" spans="2:18" ht="15" hidden="1" customHeight="1" x14ac:dyDescent="0.25">
      <c r="B25" s="11" t="s">
        <v>33</v>
      </c>
      <c r="C25" s="15" t="s">
        <v>18</v>
      </c>
      <c r="D25" s="3"/>
      <c r="E25" s="20"/>
      <c r="F25" s="31"/>
      <c r="G25" s="20"/>
      <c r="H25" s="19"/>
      <c r="I25" s="20"/>
      <c r="J25" s="19"/>
      <c r="K25" s="20"/>
      <c r="L25" s="19"/>
      <c r="M25" s="51">
        <f>+M26</f>
        <v>0</v>
      </c>
      <c r="N25" s="5"/>
    </row>
    <row r="26" spans="2:18" ht="15" hidden="1" customHeight="1" x14ac:dyDescent="0.25">
      <c r="B26" s="10" t="s">
        <v>24</v>
      </c>
      <c r="C26" s="15" t="s">
        <v>25</v>
      </c>
      <c r="D26" s="3"/>
      <c r="E26" s="20"/>
      <c r="F26" s="31"/>
      <c r="G26" s="20"/>
      <c r="H26" s="19"/>
      <c r="I26" s="20"/>
      <c r="J26" s="19"/>
      <c r="K26" s="20"/>
      <c r="L26" s="19"/>
      <c r="M26" s="50"/>
      <c r="N26" s="5"/>
    </row>
    <row r="27" spans="2:18" ht="15" hidden="1" customHeight="1" x14ac:dyDescent="0.25">
      <c r="B27" s="11" t="s">
        <v>29</v>
      </c>
      <c r="C27" s="15" t="s">
        <v>18</v>
      </c>
      <c r="D27" s="3"/>
      <c r="E27" s="20"/>
      <c r="F27" s="31"/>
      <c r="G27" s="20"/>
      <c r="H27" s="19"/>
      <c r="I27" s="20"/>
      <c r="J27" s="19"/>
      <c r="K27" s="20"/>
      <c r="L27" s="19"/>
      <c r="M27" s="51">
        <f>+M28</f>
        <v>0</v>
      </c>
      <c r="N27" s="3"/>
    </row>
    <row r="28" spans="2:18" ht="15" hidden="1" customHeight="1" x14ac:dyDescent="0.25">
      <c r="B28" s="10" t="s">
        <v>24</v>
      </c>
      <c r="C28" s="15" t="s">
        <v>25</v>
      </c>
      <c r="D28" s="3"/>
      <c r="E28" s="20"/>
      <c r="F28" s="31"/>
      <c r="G28" s="20"/>
      <c r="H28" s="19"/>
      <c r="I28" s="20"/>
      <c r="J28" s="19"/>
      <c r="K28" s="20"/>
      <c r="L28" s="19"/>
      <c r="M28" s="50"/>
      <c r="N28" s="5"/>
    </row>
    <row r="29" spans="2:18" x14ac:dyDescent="0.25">
      <c r="B29" s="2" t="s">
        <v>34</v>
      </c>
      <c r="C29" s="16" t="s">
        <v>18</v>
      </c>
      <c r="D29" s="23">
        <f t="shared" ref="D29:L29" si="10">+D30+D32+D34</f>
        <v>0</v>
      </c>
      <c r="E29" s="25">
        <f t="shared" si="10"/>
        <v>3233537217.2997003</v>
      </c>
      <c r="F29" s="23">
        <f t="shared" si="10"/>
        <v>0</v>
      </c>
      <c r="G29" s="25">
        <f t="shared" si="10"/>
        <v>4420354216.1603003</v>
      </c>
      <c r="H29" s="67">
        <f t="shared" si="10"/>
        <v>3059856107.7996998</v>
      </c>
      <c r="I29" s="25">
        <f t="shared" si="10"/>
        <v>3512781268.0454001</v>
      </c>
      <c r="J29" s="67">
        <f t="shared" si="10"/>
        <v>319483825.23690003</v>
      </c>
      <c r="K29" s="25">
        <f t="shared" si="10"/>
        <v>502763733.8664</v>
      </c>
      <c r="L29" s="67">
        <f t="shared" si="10"/>
        <v>1065013527.9116</v>
      </c>
      <c r="M29" s="17">
        <f>+M30+M34+M32</f>
        <v>16113789896.32</v>
      </c>
      <c r="N29" s="4">
        <f>+M29/$M$53</f>
        <v>8.0697407310860017E-2</v>
      </c>
    </row>
    <row r="30" spans="2:18" x14ac:dyDescent="0.25">
      <c r="B30" s="33" t="s">
        <v>35</v>
      </c>
      <c r="C30" s="27" t="s">
        <v>18</v>
      </c>
      <c r="D30" s="31">
        <f>+D31</f>
        <v>0</v>
      </c>
      <c r="E30" s="32">
        <f>+E31</f>
        <v>521753761.11150014</v>
      </c>
      <c r="F30" s="31">
        <f>+F31</f>
        <v>0</v>
      </c>
      <c r="G30" s="32">
        <f t="shared" ref="G30:L30" si="11">+G31</f>
        <v>1146503154.5829999</v>
      </c>
      <c r="H30" s="63">
        <f t="shared" si="11"/>
        <v>525085563.42900008</v>
      </c>
      <c r="I30" s="29">
        <f>+I31</f>
        <v>1395128289.2924998</v>
      </c>
      <c r="J30" s="63">
        <f>+J31</f>
        <v>13684372.670499999</v>
      </c>
      <c r="K30" s="29">
        <f t="shared" si="11"/>
        <v>97359059.484299988</v>
      </c>
      <c r="L30" s="63">
        <f t="shared" si="11"/>
        <v>188864839.1911</v>
      </c>
      <c r="M30" s="51">
        <f>+M31</f>
        <v>3888379039.7618995</v>
      </c>
      <c r="N30" s="3"/>
    </row>
    <row r="31" spans="2:18" x14ac:dyDescent="0.25">
      <c r="B31" s="10" t="s">
        <v>36</v>
      </c>
      <c r="C31" s="15" t="s">
        <v>37</v>
      </c>
      <c r="D31" s="19">
        <v>0</v>
      </c>
      <c r="E31" s="78">
        <v>521753761.11150014</v>
      </c>
      <c r="F31" s="31">
        <v>0</v>
      </c>
      <c r="G31" s="21">
        <v>1146503154.5829999</v>
      </c>
      <c r="H31" s="64">
        <v>525085563.42900008</v>
      </c>
      <c r="I31" s="21">
        <v>1395128289.2924998</v>
      </c>
      <c r="J31" s="64">
        <v>13684372.670499999</v>
      </c>
      <c r="K31" s="21">
        <v>97359059.484299988</v>
      </c>
      <c r="L31" s="64">
        <v>188864839.1911</v>
      </c>
      <c r="M31" s="44">
        <f>SUM(D31:L31)</f>
        <v>3888379039.7618995</v>
      </c>
      <c r="N31" s="5"/>
    </row>
    <row r="32" spans="2:18" x14ac:dyDescent="0.25">
      <c r="B32" s="30" t="s">
        <v>38</v>
      </c>
      <c r="C32" s="27" t="s">
        <v>18</v>
      </c>
      <c r="D32" s="31">
        <f>+D33</f>
        <v>0</v>
      </c>
      <c r="E32" s="32">
        <f>+E33</f>
        <v>2627984831.8990998</v>
      </c>
      <c r="F32" s="31">
        <f>+F33</f>
        <v>0</v>
      </c>
      <c r="G32" s="32">
        <f t="shared" ref="G32:L32" si="12">+G33</f>
        <v>2224688266.7304006</v>
      </c>
      <c r="H32" s="65">
        <f t="shared" si="12"/>
        <v>1390484672.7812998</v>
      </c>
      <c r="I32" s="32">
        <f>+I33</f>
        <v>1847740087.4133</v>
      </c>
      <c r="J32" s="65">
        <f>+J33</f>
        <v>117070796.90280002</v>
      </c>
      <c r="K32" s="32">
        <f t="shared" si="12"/>
        <v>16379383.875499999</v>
      </c>
      <c r="L32" s="65">
        <f t="shared" si="12"/>
        <v>485083099.22040004</v>
      </c>
      <c r="M32" s="51">
        <f>+M33</f>
        <v>8709431138.8227997</v>
      </c>
      <c r="N32" s="5"/>
    </row>
    <row r="33" spans="2:16" ht="15" customHeight="1" x14ac:dyDescent="0.25">
      <c r="B33" s="10" t="s">
        <v>36</v>
      </c>
      <c r="C33" s="15" t="s">
        <v>39</v>
      </c>
      <c r="D33" s="19">
        <v>0</v>
      </c>
      <c r="E33" s="78">
        <v>2627984831.8990998</v>
      </c>
      <c r="F33" s="31">
        <v>0</v>
      </c>
      <c r="G33" s="21">
        <v>2224688266.7304006</v>
      </c>
      <c r="H33" s="64">
        <v>1390484672.7812998</v>
      </c>
      <c r="I33" s="21">
        <v>1847740087.4133</v>
      </c>
      <c r="J33" s="64">
        <v>117070796.90280002</v>
      </c>
      <c r="K33" s="21">
        <v>16379383.875499999</v>
      </c>
      <c r="L33" s="64">
        <v>485083099.22040004</v>
      </c>
      <c r="M33" s="50">
        <f>SUM(D33:L33)</f>
        <v>8709431138.8227997</v>
      </c>
      <c r="N33" s="5"/>
    </row>
    <row r="34" spans="2:16" x14ac:dyDescent="0.25">
      <c r="B34" s="33" t="s">
        <v>40</v>
      </c>
      <c r="C34" s="27" t="s">
        <v>18</v>
      </c>
      <c r="D34" s="31">
        <f>+D35</f>
        <v>0</v>
      </c>
      <c r="E34" s="32">
        <f>+E35</f>
        <v>83798624.289100006</v>
      </c>
      <c r="F34" s="31">
        <f>+F35</f>
        <v>0</v>
      </c>
      <c r="G34" s="32">
        <f t="shared" ref="G34:L34" si="13">+G35</f>
        <v>1049162794.8469</v>
      </c>
      <c r="H34" s="65">
        <f t="shared" si="13"/>
        <v>1144285871.5894001</v>
      </c>
      <c r="I34" s="32">
        <f>+I35</f>
        <v>269912891.33959997</v>
      </c>
      <c r="J34" s="65">
        <f>+J35</f>
        <v>188728655.6636</v>
      </c>
      <c r="K34" s="32">
        <f t="shared" si="13"/>
        <v>389025290.50660002</v>
      </c>
      <c r="L34" s="65">
        <f t="shared" si="13"/>
        <v>391065589.50010002</v>
      </c>
      <c r="M34" s="51">
        <f>+M35</f>
        <v>3515979717.7353001</v>
      </c>
      <c r="N34" s="3"/>
    </row>
    <row r="35" spans="2:16" x14ac:dyDescent="0.25">
      <c r="B35" s="10" t="s">
        <v>36</v>
      </c>
      <c r="C35" s="15" t="s">
        <v>41</v>
      </c>
      <c r="D35" s="19">
        <v>0</v>
      </c>
      <c r="E35" s="21">
        <v>83798624.289100006</v>
      </c>
      <c r="F35" s="31">
        <v>0</v>
      </c>
      <c r="G35" s="21">
        <v>1049162794.8469</v>
      </c>
      <c r="H35" s="66">
        <v>1144285871.5894001</v>
      </c>
      <c r="I35" s="21">
        <v>269912891.33959997</v>
      </c>
      <c r="J35" s="66">
        <v>188728655.6636</v>
      </c>
      <c r="K35" s="21">
        <v>389025290.50660002</v>
      </c>
      <c r="L35" s="66">
        <v>391065589.50010002</v>
      </c>
      <c r="M35" s="50">
        <f>SUM(D35:L35)</f>
        <v>3515979717.7353001</v>
      </c>
      <c r="N35" s="5"/>
      <c r="P35" s="8"/>
    </row>
    <row r="36" spans="2:16" x14ac:dyDescent="0.25">
      <c r="B36" s="2" t="s">
        <v>42</v>
      </c>
      <c r="C36" s="16" t="s">
        <v>18</v>
      </c>
      <c r="D36" s="23">
        <f t="shared" ref="D36" si="14">+D37+D39+D43+D47+D49+D45</f>
        <v>0</v>
      </c>
      <c r="E36" s="25">
        <f>+E37+E39+E43+E47+E49+E45</f>
        <v>4743015948.1500998</v>
      </c>
      <c r="F36" s="67">
        <f>+F37+F39+F43+F47+F49+F45+F52</f>
        <v>98294221.395199999</v>
      </c>
      <c r="G36" s="25">
        <f>+G37+G39+G43+G47+G49+G45</f>
        <v>8812375484.3774986</v>
      </c>
      <c r="H36" s="72">
        <f>+H37+H39+H43+H47+H49+H45</f>
        <v>2862585838.0465994</v>
      </c>
      <c r="I36" s="25">
        <f>+I37+I39+I43+I47+I49+I45</f>
        <v>3222714814.8361998</v>
      </c>
      <c r="J36" s="61">
        <f t="shared" ref="J36:K36" si="15">+J37+J39+J43+J47+J49+J45</f>
        <v>0</v>
      </c>
      <c r="K36" s="25">
        <f t="shared" si="15"/>
        <v>0</v>
      </c>
      <c r="L36" s="72">
        <f>+L37+L39+L43+L47+L49+L45</f>
        <v>495983829.63849998</v>
      </c>
      <c r="M36" s="17">
        <f>+M37+M39+M43+M47+M49+M45+M51</f>
        <v>20234970136.444096</v>
      </c>
      <c r="N36" s="89">
        <f>+M36/$M$53</f>
        <v>0.10133616222690324</v>
      </c>
      <c r="P36" s="8"/>
    </row>
    <row r="37" spans="2:16" ht="17.25" customHeight="1" x14ac:dyDescent="0.25">
      <c r="B37" s="33" t="s">
        <v>43</v>
      </c>
      <c r="C37" s="27" t="s">
        <v>18</v>
      </c>
      <c r="D37" s="28">
        <f>+D38</f>
        <v>0</v>
      </c>
      <c r="E37" s="32">
        <f>+E38</f>
        <v>1930730845.5366998</v>
      </c>
      <c r="F37" s="63">
        <f>+F38</f>
        <v>0</v>
      </c>
      <c r="G37" s="32">
        <f t="shared" ref="G37:L37" si="16">+G38</f>
        <v>3462297284.1771002</v>
      </c>
      <c r="H37" s="63">
        <f t="shared" si="16"/>
        <v>1261815010.2333999</v>
      </c>
      <c r="I37" s="29">
        <f t="shared" si="16"/>
        <v>1929499806.5021</v>
      </c>
      <c r="J37" s="31">
        <f t="shared" si="16"/>
        <v>0</v>
      </c>
      <c r="K37" s="32">
        <f t="shared" si="16"/>
        <v>0</v>
      </c>
      <c r="L37" s="63">
        <f t="shared" si="16"/>
        <v>316530911.71340001</v>
      </c>
      <c r="M37" s="51">
        <f>+M38</f>
        <v>8900873858.1627007</v>
      </c>
      <c r="N37" s="14"/>
    </row>
    <row r="38" spans="2:16" x14ac:dyDescent="0.25">
      <c r="B38" s="10" t="s">
        <v>44</v>
      </c>
      <c r="C38" s="15" t="s">
        <v>45</v>
      </c>
      <c r="D38" s="19">
        <v>0</v>
      </c>
      <c r="E38" s="78">
        <v>1930730845.5366998</v>
      </c>
      <c r="F38" s="65">
        <v>0</v>
      </c>
      <c r="G38" s="21">
        <v>3462297284.1771002</v>
      </c>
      <c r="H38" s="64">
        <v>1261815010.2333999</v>
      </c>
      <c r="I38" s="21">
        <v>1929499806.5021</v>
      </c>
      <c r="J38" s="19"/>
      <c r="K38" s="20"/>
      <c r="L38" s="64">
        <v>316530911.71340001</v>
      </c>
      <c r="M38" s="50">
        <f>SUM(D38:L38)</f>
        <v>8900873858.1627007</v>
      </c>
      <c r="N38" s="5"/>
      <c r="P38" s="8"/>
    </row>
    <row r="39" spans="2:16" x14ac:dyDescent="0.25">
      <c r="B39" s="33" t="s">
        <v>46</v>
      </c>
      <c r="C39" s="27"/>
      <c r="D39" s="31">
        <f>+D40</f>
        <v>0</v>
      </c>
      <c r="E39" s="32">
        <f>+E40</f>
        <v>2070438037.1076999</v>
      </c>
      <c r="F39" s="65">
        <f>+F40</f>
        <v>0</v>
      </c>
      <c r="G39" s="32">
        <f t="shared" ref="G39:L39" si="17">+G40</f>
        <v>1347941430.4085999</v>
      </c>
      <c r="H39" s="65">
        <f t="shared" si="17"/>
        <v>1347941430.4087999</v>
      </c>
      <c r="I39" s="32">
        <f t="shared" si="17"/>
        <v>1293215008.3341</v>
      </c>
      <c r="J39" s="31">
        <f t="shared" si="17"/>
        <v>0</v>
      </c>
      <c r="K39" s="32">
        <f t="shared" si="17"/>
        <v>0</v>
      </c>
      <c r="L39" s="65">
        <f t="shared" si="17"/>
        <v>0</v>
      </c>
      <c r="M39" s="51">
        <f>+M40</f>
        <v>6059535906.2591991</v>
      </c>
      <c r="N39" s="5"/>
      <c r="P39" s="8"/>
    </row>
    <row r="40" spans="2:16" x14ac:dyDescent="0.25">
      <c r="B40" s="10" t="s">
        <v>44</v>
      </c>
      <c r="C40" s="15" t="s">
        <v>45</v>
      </c>
      <c r="D40" s="19">
        <v>0</v>
      </c>
      <c r="E40" s="78">
        <v>2070438037.1076999</v>
      </c>
      <c r="F40" s="65">
        <v>0</v>
      </c>
      <c r="G40" s="21">
        <v>1347941430.4085999</v>
      </c>
      <c r="H40" s="64">
        <v>1347941430.4087999</v>
      </c>
      <c r="I40" s="21">
        <v>1293215008.3341</v>
      </c>
      <c r="J40" s="19">
        <v>0</v>
      </c>
      <c r="K40" s="20">
        <v>0</v>
      </c>
      <c r="L40" s="69">
        <v>0</v>
      </c>
      <c r="M40" s="50">
        <f>SUM(D40:L40)</f>
        <v>6059535906.2591991</v>
      </c>
      <c r="N40" s="5"/>
      <c r="P40" s="8"/>
    </row>
    <row r="41" spans="2:16" s="42" customFormat="1" x14ac:dyDescent="0.25">
      <c r="B41" s="33" t="s">
        <v>62</v>
      </c>
      <c r="C41" s="27"/>
      <c r="D41" s="31">
        <f>D42</f>
        <v>0</v>
      </c>
      <c r="E41" s="80">
        <f>E42</f>
        <v>981005384.69519997</v>
      </c>
      <c r="F41" s="65">
        <f t="shared" ref="F41:M41" si="18">F42</f>
        <v>0</v>
      </c>
      <c r="G41" s="65">
        <f t="shared" ref="G41" si="19">G42</f>
        <v>0</v>
      </c>
      <c r="H41" s="65">
        <f t="shared" ref="H41" si="20">H42</f>
        <v>0</v>
      </c>
      <c r="I41" s="65">
        <f t="shared" ref="I41" si="21">I42</f>
        <v>0</v>
      </c>
      <c r="J41" s="65">
        <f t="shared" ref="J41" si="22">J42</f>
        <v>0</v>
      </c>
      <c r="K41" s="65">
        <f t="shared" ref="K41" si="23">K42</f>
        <v>0</v>
      </c>
      <c r="L41" s="65">
        <f t="shared" ref="L41" si="24">L42</f>
        <v>0</v>
      </c>
      <c r="M41" s="80">
        <f t="shared" si="18"/>
        <v>981005384.69519997</v>
      </c>
      <c r="N41" s="5"/>
      <c r="P41" s="81"/>
    </row>
    <row r="42" spans="2:16" x14ac:dyDescent="0.25">
      <c r="B42" s="10" t="s">
        <v>44</v>
      </c>
      <c r="C42" s="15"/>
      <c r="D42" s="19"/>
      <c r="E42" s="78">
        <v>981005384.69519997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50">
        <f>SUM(D42:L42)</f>
        <v>981005384.69519997</v>
      </c>
      <c r="N42" s="5"/>
      <c r="P42" s="8"/>
    </row>
    <row r="43" spans="2:16" ht="15" customHeight="1" x14ac:dyDescent="0.25">
      <c r="B43" s="33" t="s">
        <v>47</v>
      </c>
      <c r="C43" s="27" t="s">
        <v>18</v>
      </c>
      <c r="D43" s="31">
        <f>+D44</f>
        <v>0</v>
      </c>
      <c r="E43" s="32">
        <f>+E44</f>
        <v>0</v>
      </c>
      <c r="F43" s="65">
        <f>+F44</f>
        <v>0</v>
      </c>
      <c r="G43" s="32">
        <f t="shared" ref="G43:L45" si="25">+G44</f>
        <v>0</v>
      </c>
      <c r="H43" s="65">
        <f t="shared" si="25"/>
        <v>140085753.59399998</v>
      </c>
      <c r="I43" s="32">
        <f t="shared" si="25"/>
        <v>0</v>
      </c>
      <c r="J43" s="31">
        <f t="shared" si="25"/>
        <v>0</v>
      </c>
      <c r="K43" s="32">
        <f t="shared" si="25"/>
        <v>0</v>
      </c>
      <c r="L43" s="65">
        <f t="shared" si="25"/>
        <v>179452917.9251</v>
      </c>
      <c r="M43" s="51">
        <f>+M44</f>
        <v>319538671.51909995</v>
      </c>
      <c r="N43" s="3"/>
    </row>
    <row r="44" spans="2:16" ht="17.25" customHeight="1" x14ac:dyDescent="0.25">
      <c r="B44" s="10" t="s">
        <v>48</v>
      </c>
      <c r="C44" s="15" t="s">
        <v>45</v>
      </c>
      <c r="D44" s="19">
        <v>0</v>
      </c>
      <c r="E44" s="20">
        <v>0</v>
      </c>
      <c r="F44" s="69">
        <v>0</v>
      </c>
      <c r="G44" s="20">
        <v>0</v>
      </c>
      <c r="H44" s="64">
        <v>140085753.59399998</v>
      </c>
      <c r="I44" s="20">
        <v>0</v>
      </c>
      <c r="J44" s="19">
        <v>0</v>
      </c>
      <c r="K44" s="20">
        <v>0</v>
      </c>
      <c r="L44" s="64">
        <v>179452917.9251</v>
      </c>
      <c r="M44" s="53">
        <f>SUM(D44:L44)</f>
        <v>319538671.51909995</v>
      </c>
      <c r="N44" s="5"/>
    </row>
    <row r="45" spans="2:16" ht="15" customHeight="1" x14ac:dyDescent="0.25">
      <c r="B45" s="33" t="s">
        <v>49</v>
      </c>
      <c r="C45" s="27" t="s">
        <v>18</v>
      </c>
      <c r="D45" s="31">
        <f>+D46</f>
        <v>0</v>
      </c>
      <c r="E45" s="32">
        <f>+E46</f>
        <v>0</v>
      </c>
      <c r="F45" s="65">
        <f>+F46</f>
        <v>60349491.501800001</v>
      </c>
      <c r="G45" s="32">
        <f t="shared" si="25"/>
        <v>0</v>
      </c>
      <c r="H45" s="65">
        <f t="shared" si="25"/>
        <v>0</v>
      </c>
      <c r="I45" s="32">
        <f t="shared" si="25"/>
        <v>0</v>
      </c>
      <c r="J45" s="31">
        <f t="shared" si="25"/>
        <v>0</v>
      </c>
      <c r="K45" s="32">
        <f t="shared" si="25"/>
        <v>0</v>
      </c>
      <c r="L45" s="65">
        <f t="shared" si="25"/>
        <v>0</v>
      </c>
      <c r="M45" s="51">
        <f>+M46</f>
        <v>60349491.501800001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4">
        <v>60349491.501800001</v>
      </c>
      <c r="G46" s="20">
        <v>0</v>
      </c>
      <c r="H46" s="69">
        <v>0</v>
      </c>
      <c r="I46" s="20">
        <v>0</v>
      </c>
      <c r="J46" s="19">
        <v>0</v>
      </c>
      <c r="K46" s="19">
        <v>0</v>
      </c>
      <c r="L46" s="19">
        <v>0</v>
      </c>
      <c r="M46" s="53">
        <f>SUM(D46:L46)</f>
        <v>60349491.501800001</v>
      </c>
      <c r="N46" s="5"/>
    </row>
    <row r="47" spans="2:16" ht="15" customHeight="1" x14ac:dyDescent="0.25">
      <c r="B47" s="33" t="s">
        <v>50</v>
      </c>
      <c r="C47" s="27" t="s">
        <v>18</v>
      </c>
      <c r="D47" s="31">
        <f>+D48</f>
        <v>0</v>
      </c>
      <c r="E47" s="32">
        <f>+E48</f>
        <v>0</v>
      </c>
      <c r="F47" s="65">
        <f>+F48</f>
        <v>0</v>
      </c>
      <c r="G47" s="32">
        <f t="shared" ref="G47:L47" si="26">+G48</f>
        <v>1863979535.6859999</v>
      </c>
      <c r="H47" s="65">
        <f t="shared" si="26"/>
        <v>0</v>
      </c>
      <c r="I47" s="32">
        <f t="shared" si="26"/>
        <v>0</v>
      </c>
      <c r="J47" s="31">
        <f t="shared" si="26"/>
        <v>0</v>
      </c>
      <c r="K47" s="32">
        <f t="shared" si="26"/>
        <v>0</v>
      </c>
      <c r="L47" s="65">
        <f t="shared" si="26"/>
        <v>0</v>
      </c>
      <c r="M47" s="51">
        <f>+M48</f>
        <v>1863979535.6859999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0</v>
      </c>
      <c r="E48" s="20">
        <v>0</v>
      </c>
      <c r="F48" s="69">
        <v>0</v>
      </c>
      <c r="G48" s="21">
        <v>1863979535.6859999</v>
      </c>
      <c r="H48" s="69">
        <v>0</v>
      </c>
      <c r="I48" s="20">
        <v>0</v>
      </c>
      <c r="J48" s="19">
        <v>0</v>
      </c>
      <c r="K48" s="20">
        <v>0</v>
      </c>
      <c r="L48" s="69">
        <v>0</v>
      </c>
      <c r="M48" s="53">
        <f>SUM(D48:L48)</f>
        <v>1863979535.6859999</v>
      </c>
      <c r="N48" s="3"/>
    </row>
    <row r="49" spans="2:14" ht="15" customHeight="1" x14ac:dyDescent="0.25">
      <c r="B49" s="33" t="s">
        <v>51</v>
      </c>
      <c r="C49" s="27" t="s">
        <v>18</v>
      </c>
      <c r="D49" s="19">
        <f>+D50</f>
        <v>0</v>
      </c>
      <c r="E49" s="32">
        <f>+E50</f>
        <v>741847065.50569987</v>
      </c>
      <c r="F49" s="69">
        <f>+F50</f>
        <v>0</v>
      </c>
      <c r="G49" s="32">
        <f t="shared" ref="G49:L49" si="27">+G50</f>
        <v>2138157234.1057997</v>
      </c>
      <c r="H49" s="65">
        <f t="shared" si="27"/>
        <v>112743643.81039999</v>
      </c>
      <c r="I49" s="32">
        <f t="shared" si="27"/>
        <v>0</v>
      </c>
      <c r="J49" s="31">
        <f t="shared" si="27"/>
        <v>0</v>
      </c>
      <c r="K49" s="32">
        <f t="shared" si="27"/>
        <v>0</v>
      </c>
      <c r="L49" s="65">
        <f t="shared" si="27"/>
        <v>0</v>
      </c>
      <c r="M49" s="51">
        <f>+M50</f>
        <v>2992747943.4218998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78">
        <v>741847065.50569987</v>
      </c>
      <c r="F50" s="69">
        <v>0</v>
      </c>
      <c r="G50" s="21">
        <v>2138157234.1057997</v>
      </c>
      <c r="H50" s="69">
        <v>112743643.81039999</v>
      </c>
      <c r="I50" s="44">
        <v>0</v>
      </c>
      <c r="J50" s="19">
        <v>0</v>
      </c>
      <c r="K50" s="71">
        <v>0</v>
      </c>
      <c r="L50" s="69">
        <v>0</v>
      </c>
      <c r="M50" s="53">
        <f>SUM(D50:L50)</f>
        <v>2992747943.4218998</v>
      </c>
      <c r="N50" s="3"/>
    </row>
    <row r="51" spans="2:14" ht="17.25" customHeight="1" x14ac:dyDescent="0.25">
      <c r="B51" s="33" t="s">
        <v>52</v>
      </c>
      <c r="C51" s="27"/>
      <c r="D51" s="19">
        <v>0</v>
      </c>
      <c r="E51" s="32">
        <v>0</v>
      </c>
      <c r="F51" s="65">
        <f>+F52</f>
        <v>37944729.893399999</v>
      </c>
      <c r="G51" s="21">
        <v>0</v>
      </c>
      <c r="H51" s="69">
        <v>0</v>
      </c>
      <c r="I51" s="44">
        <v>0</v>
      </c>
      <c r="J51" s="19">
        <v>0</v>
      </c>
      <c r="K51" s="71">
        <v>0</v>
      </c>
      <c r="L51" s="69">
        <v>0</v>
      </c>
      <c r="M51" s="58">
        <f t="shared" ref="M51:M52" si="28">SUM(D51:L51)</f>
        <v>37944729.893399999</v>
      </c>
      <c r="N51" s="3"/>
    </row>
    <row r="52" spans="2:14" ht="17.25" customHeight="1" x14ac:dyDescent="0.25">
      <c r="B52" s="10" t="s">
        <v>48</v>
      </c>
      <c r="C52" s="49" t="s">
        <v>45</v>
      </c>
      <c r="D52" s="19">
        <v>0</v>
      </c>
      <c r="E52" s="32">
        <v>0</v>
      </c>
      <c r="F52" s="66">
        <v>37944729.893399999</v>
      </c>
      <c r="G52" s="21">
        <v>0</v>
      </c>
      <c r="H52" s="70">
        <v>0</v>
      </c>
      <c r="I52" s="44">
        <v>0</v>
      </c>
      <c r="J52" s="19">
        <v>0</v>
      </c>
      <c r="K52" s="71">
        <v>0</v>
      </c>
      <c r="L52" s="70">
        <v>0</v>
      </c>
      <c r="M52" s="53">
        <f t="shared" si="28"/>
        <v>37944729.893399999</v>
      </c>
      <c r="N52" s="3"/>
    </row>
    <row r="53" spans="2:14" x14ac:dyDescent="0.25">
      <c r="B53" s="144" t="s">
        <v>53</v>
      </c>
      <c r="C53" s="145"/>
      <c r="D53" s="23">
        <f t="shared" ref="D53:L53" si="29">+D7+D10+D29+D36</f>
        <v>661164098.94910002</v>
      </c>
      <c r="E53" s="23">
        <f t="shared" si="29"/>
        <v>44255165868.628403</v>
      </c>
      <c r="F53" s="61">
        <f t="shared" si="29"/>
        <v>214658959.47320002</v>
      </c>
      <c r="G53" s="25">
        <f t="shared" si="29"/>
        <v>65478406058.676514</v>
      </c>
      <c r="H53" s="61">
        <f t="shared" si="29"/>
        <v>32272200550.208298</v>
      </c>
      <c r="I53" s="25">
        <f t="shared" si="29"/>
        <v>43057142664.874603</v>
      </c>
      <c r="J53" s="23">
        <f t="shared" si="29"/>
        <v>1026478017.6015999</v>
      </c>
      <c r="K53" s="25">
        <f t="shared" si="29"/>
        <v>1968094130.9205</v>
      </c>
      <c r="L53" s="61">
        <f t="shared" si="29"/>
        <v>10748320489.772202</v>
      </c>
      <c r="M53" s="17">
        <f>+M36+M29+M10+M7</f>
        <v>199681630839.10446</v>
      </c>
      <c r="N53" s="156">
        <f>+M53/M54</f>
        <v>0.26395521292558138</v>
      </c>
    </row>
    <row r="54" spans="2:14" ht="15" customHeight="1" x14ac:dyDescent="0.25">
      <c r="B54" s="144" t="s">
        <v>54</v>
      </c>
      <c r="C54" s="145"/>
      <c r="D54" s="23">
        <v>6838487001.4499998</v>
      </c>
      <c r="E54" s="23">
        <v>157248064190.32001</v>
      </c>
      <c r="F54" s="23">
        <v>3113737146.1700001</v>
      </c>
      <c r="G54" s="84">
        <v>233911917990.29999</v>
      </c>
      <c r="H54" s="23">
        <v>116098762775.35001</v>
      </c>
      <c r="I54" s="23">
        <v>144020077416.34</v>
      </c>
      <c r="J54" s="23">
        <v>24132024605.529999</v>
      </c>
      <c r="K54" s="23">
        <v>17388953699.34</v>
      </c>
      <c r="L54" s="23">
        <v>47200189324.790001</v>
      </c>
      <c r="M54" s="23">
        <v>756498152189.93994</v>
      </c>
      <c r="N54" s="157"/>
    </row>
    <row r="55" spans="2:14" ht="15.75" customHeight="1" x14ac:dyDescent="0.25">
      <c r="B55" s="144" t="s">
        <v>55</v>
      </c>
      <c r="C55" s="145"/>
      <c r="D55" s="88">
        <f>+D53/D54</f>
        <v>9.6682804077701689E-2</v>
      </c>
      <c r="E55" s="88">
        <f>+E53/E54</f>
        <v>0.28143536199635261</v>
      </c>
      <c r="F55" s="88">
        <f>+F53/F54</f>
        <v>6.8939332190335226E-2</v>
      </c>
      <c r="G55" s="88">
        <f t="shared" ref="G55:L55" si="30">+G53/G54</f>
        <v>0.27992761814467193</v>
      </c>
      <c r="H55" s="88">
        <f t="shared" si="30"/>
        <v>0.27797195920730611</v>
      </c>
      <c r="I55" s="88">
        <f t="shared" si="30"/>
        <v>0.29896625135399002</v>
      </c>
      <c r="J55" s="88">
        <f t="shared" si="30"/>
        <v>4.2535926196858607E-2</v>
      </c>
      <c r="K55" s="88">
        <f t="shared" si="30"/>
        <v>0.11318071029168358</v>
      </c>
      <c r="L55" s="88">
        <f t="shared" si="30"/>
        <v>0.22771774104149786</v>
      </c>
      <c r="M55" s="146" t="s">
        <v>56</v>
      </c>
      <c r="N55" s="147"/>
    </row>
    <row r="56" spans="2:14" x14ac:dyDescent="0.25">
      <c r="B56" s="148" t="s">
        <v>63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</row>
    <row r="57" spans="2:14" ht="15" customHeight="1" x14ac:dyDescent="0.25">
      <c r="B57" s="149" t="s">
        <v>64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</row>
    <row r="58" spans="2:14" ht="15.75" x14ac:dyDescent="0.25">
      <c r="B58" s="34" t="s">
        <v>59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spans="2:14" x14ac:dyDescent="0.25">
      <c r="B59" s="35"/>
      <c r="C59" s="35"/>
      <c r="D59" s="35"/>
      <c r="E59" s="47"/>
      <c r="F59" s="47"/>
      <c r="G59" s="35"/>
      <c r="H59" s="35"/>
      <c r="I59" s="35"/>
      <c r="J59" s="57"/>
      <c r="K59" s="35"/>
      <c r="L59" s="35"/>
      <c r="M59" s="36"/>
      <c r="N59" s="35"/>
    </row>
    <row r="60" spans="2:14" x14ac:dyDescent="0.25">
      <c r="M60" s="55"/>
    </row>
    <row r="61" spans="2:14" x14ac:dyDescent="0.25">
      <c r="M61" s="56"/>
    </row>
  </sheetData>
  <mergeCells count="22">
    <mergeCell ref="B55:C55"/>
    <mergeCell ref="M55:N55"/>
    <mergeCell ref="B56:N56"/>
    <mergeCell ref="B57:N57"/>
    <mergeCell ref="I5:I6"/>
    <mergeCell ref="J5:J6"/>
    <mergeCell ref="K5:K6"/>
    <mergeCell ref="L5:L6"/>
    <mergeCell ref="M5:N5"/>
    <mergeCell ref="B53:C53"/>
    <mergeCell ref="N53:N54"/>
    <mergeCell ref="B54:C54"/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1"/>
  <sheetViews>
    <sheetView showGridLines="0" topLeftCell="B1" zoomScaleNormal="100" workbookViewId="0">
      <pane xSplit="2" ySplit="6" topLeftCell="D10" activePane="bottomRight" state="frozen"/>
      <selection pane="topRight" activeCell="D1" sqref="D1"/>
      <selection pane="bottomLeft" activeCell="B7" sqref="B7"/>
      <selection pane="bottomRight" activeCell="D4" sqref="D4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65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91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648266120.25329995</v>
      </c>
      <c r="E7" s="25">
        <f t="shared" si="0"/>
        <v>38246468787.811584</v>
      </c>
      <c r="F7" s="23">
        <f t="shared" si="0"/>
        <v>130393733.88099998</v>
      </c>
      <c r="G7" s="24">
        <f t="shared" si="0"/>
        <v>50750626363.006912</v>
      </c>
      <c r="H7" s="23">
        <f t="shared" si="0"/>
        <v>25840243920.110683</v>
      </c>
      <c r="I7" s="73">
        <f t="shared" si="0"/>
        <v>35963310942.189896</v>
      </c>
      <c r="J7" s="67">
        <f t="shared" si="0"/>
        <v>622962270.95840001</v>
      </c>
      <c r="K7" s="73">
        <f t="shared" si="0"/>
        <v>1433880782.1441998</v>
      </c>
      <c r="L7" s="67">
        <f t="shared" si="0"/>
        <v>8957122021.1213036</v>
      </c>
      <c r="M7" s="74">
        <f t="shared" si="0"/>
        <v>162593274941.47726</v>
      </c>
      <c r="N7" s="89">
        <f>+M7/$M$53</f>
        <v>0.80932674264816618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648266120.25329995</v>
      </c>
      <c r="E8" s="29">
        <f t="shared" si="1"/>
        <v>38246468787.811584</v>
      </c>
      <c r="F8" s="28">
        <f t="shared" si="1"/>
        <v>130393733.88099998</v>
      </c>
      <c r="G8" s="29">
        <f t="shared" si="1"/>
        <v>50750626363.006912</v>
      </c>
      <c r="H8" s="28">
        <f t="shared" si="1"/>
        <v>25840243920.110683</v>
      </c>
      <c r="I8" s="75">
        <f t="shared" si="1"/>
        <v>35963310942.189896</v>
      </c>
      <c r="J8" s="28">
        <f t="shared" si="1"/>
        <v>622962270.95840001</v>
      </c>
      <c r="K8" s="75">
        <f t="shared" si="1"/>
        <v>1433880782.1441998</v>
      </c>
      <c r="L8" s="28">
        <f t="shared" si="1"/>
        <v>8957122021.1213036</v>
      </c>
      <c r="M8" s="40">
        <f>+M9</f>
        <v>162593274941.47726</v>
      </c>
      <c r="N8" s="89"/>
      <c r="Q8" s="7"/>
      <c r="R8" s="7"/>
    </row>
    <row r="9" spans="2:18" x14ac:dyDescent="0.25">
      <c r="B9" s="77" t="s">
        <v>20</v>
      </c>
      <c r="C9" s="76" t="s">
        <v>21</v>
      </c>
      <c r="D9" s="85">
        <v>648266120.25329995</v>
      </c>
      <c r="E9" s="78">
        <v>38246468787.811584</v>
      </c>
      <c r="F9" s="39">
        <v>130393733.88099998</v>
      </c>
      <c r="G9" s="54">
        <v>50750626363.006912</v>
      </c>
      <c r="H9" s="38">
        <v>25840243920.110683</v>
      </c>
      <c r="I9" s="38">
        <v>35963310942.189896</v>
      </c>
      <c r="J9" s="38">
        <v>622962270.95840001</v>
      </c>
      <c r="K9" s="38">
        <v>1433880782.1441998</v>
      </c>
      <c r="L9" s="38">
        <v>8957122021.1213036</v>
      </c>
      <c r="M9" s="39">
        <f>SUM(D9:L9)</f>
        <v>162593274941.47726</v>
      </c>
      <c r="N9" s="37"/>
      <c r="Q9" s="7"/>
      <c r="R9" s="7"/>
    </row>
    <row r="10" spans="2:18" x14ac:dyDescent="0.25">
      <c r="B10" s="2" t="s">
        <v>22</v>
      </c>
      <c r="C10" s="16" t="s">
        <v>18</v>
      </c>
      <c r="D10" s="23">
        <f>+D11+D13+D15+D17+D19+D21+D23</f>
        <v>59180320.776599996</v>
      </c>
      <c r="E10" s="25">
        <f t="shared" ref="E10:G10" si="2">+E11+E13+E15+E17+E19+E21</f>
        <v>54175493.147600003</v>
      </c>
      <c r="F10" s="23">
        <f t="shared" si="2"/>
        <v>0</v>
      </c>
      <c r="G10" s="25">
        <f t="shared" si="2"/>
        <v>1149591358.1783998</v>
      </c>
      <c r="H10" s="23">
        <f>+H11+H13+H15+H17+H19+H21</f>
        <v>157716178.35530001</v>
      </c>
      <c r="I10" s="24">
        <f>+I11+I13+I15+I17+I19+I21</f>
        <v>51812514.165999994</v>
      </c>
      <c r="J10" s="61">
        <f>+J11+J13+J15+J17+J19+J21</f>
        <v>75774774.836500004</v>
      </c>
      <c r="K10" s="24">
        <f>+K11+K13+K15+K17+K19+K21</f>
        <v>13078015.778800001</v>
      </c>
      <c r="L10" s="61">
        <f>+L11+L13+L15+L17+L19+L21</f>
        <v>84893405.996399999</v>
      </c>
      <c r="M10" s="62">
        <f>M11+M13+M15+M17+M19+M21+M23</f>
        <v>1646222061.2355995</v>
      </c>
      <c r="N10" s="90">
        <f>+M10/$M$53</f>
        <v>8.1942598116367862E-3</v>
      </c>
      <c r="O10" s="41"/>
      <c r="P10" s="13"/>
      <c r="Q10" s="7"/>
      <c r="R10" s="7"/>
    </row>
    <row r="11" spans="2:18" s="42" customFormat="1" hidden="1" x14ac:dyDescent="0.25">
      <c r="B11" s="30" t="s">
        <v>23</v>
      </c>
      <c r="C11" s="27" t="s">
        <v>18</v>
      </c>
      <c r="D11" s="31">
        <f>+D12</f>
        <v>0</v>
      </c>
      <c r="E11" s="32">
        <f>+E12</f>
        <v>0</v>
      </c>
      <c r="F11" s="31">
        <f>+F12</f>
        <v>0</v>
      </c>
      <c r="G11" s="32">
        <f t="shared" ref="G11:L11" si="3">+G12</f>
        <v>0</v>
      </c>
      <c r="H11" s="31">
        <f t="shared" si="3"/>
        <v>0</v>
      </c>
      <c r="I11" s="29">
        <f t="shared" si="3"/>
        <v>0</v>
      </c>
      <c r="J11" s="28">
        <f t="shared" si="3"/>
        <v>0</v>
      </c>
      <c r="K11" s="29">
        <f t="shared" si="3"/>
        <v>0</v>
      </c>
      <c r="L11" s="31">
        <f t="shared" si="3"/>
        <v>0</v>
      </c>
      <c r="M11" s="51">
        <f>+M12</f>
        <v>0</v>
      </c>
      <c r="N11" s="5"/>
      <c r="Q11" s="43"/>
      <c r="R11" s="43"/>
    </row>
    <row r="12" spans="2:18" hidden="1" x14ac:dyDescent="0.25">
      <c r="B12" s="10" t="s">
        <v>24</v>
      </c>
      <c r="C12" s="15" t="s">
        <v>25</v>
      </c>
      <c r="D12" s="19">
        <v>0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20">
        <v>0</v>
      </c>
      <c r="L12" s="19">
        <v>0</v>
      </c>
      <c r="M12" s="44">
        <f>SUM(D12:L12)</f>
        <v>0</v>
      </c>
      <c r="N12" s="5"/>
      <c r="Q12" s="7"/>
      <c r="R12" s="7"/>
    </row>
    <row r="13" spans="2:18" hidden="1" x14ac:dyDescent="0.25">
      <c r="B13" s="30" t="s">
        <v>26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>+G14</f>
        <v>0</v>
      </c>
      <c r="H13" s="31">
        <f t="shared" ref="H13:L13" si="4">+H14</f>
        <v>0</v>
      </c>
      <c r="I13" s="32">
        <f t="shared" si="4"/>
        <v>0</v>
      </c>
      <c r="J13" s="31">
        <f t="shared" si="4"/>
        <v>0</v>
      </c>
      <c r="K13" s="32">
        <f t="shared" si="4"/>
        <v>0</v>
      </c>
      <c r="L13" s="31">
        <f t="shared" si="4"/>
        <v>0</v>
      </c>
      <c r="M13" s="51">
        <f>+M14</f>
        <v>0</v>
      </c>
      <c r="N13" s="5"/>
      <c r="Q13" s="7"/>
      <c r="R13" s="7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19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56740294.999399997</v>
      </c>
      <c r="E15" s="32">
        <f>+E16</f>
        <v>54175493.147600003</v>
      </c>
      <c r="F15" s="31">
        <f>+F16</f>
        <v>0</v>
      </c>
      <c r="G15" s="68">
        <f t="shared" ref="G15:K15" si="5">+G16</f>
        <v>1118817026.4375999</v>
      </c>
      <c r="H15" s="45">
        <f t="shared" si="5"/>
        <v>157716178.35530001</v>
      </c>
      <c r="I15" s="32">
        <f t="shared" si="5"/>
        <v>51812514.165999994</v>
      </c>
      <c r="J15" s="31">
        <f>J16</f>
        <v>0</v>
      </c>
      <c r="K15" s="32">
        <f t="shared" si="5"/>
        <v>13078015.778800001</v>
      </c>
      <c r="L15" s="31">
        <f>L16</f>
        <v>84893405.996399999</v>
      </c>
      <c r="M15" s="51">
        <f>+M16</f>
        <v>1537232928.8810997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86">
        <v>56740294.999399997</v>
      </c>
      <c r="E16" s="78">
        <v>54175493.147600003</v>
      </c>
      <c r="F16" s="31">
        <v>0</v>
      </c>
      <c r="G16" s="59">
        <v>1118817026.4375999</v>
      </c>
      <c r="H16" s="59">
        <v>157716178.35530001</v>
      </c>
      <c r="I16" s="59">
        <v>51812514.165999994</v>
      </c>
      <c r="J16" s="19">
        <v>0</v>
      </c>
      <c r="K16" s="21">
        <v>13078015.778800001</v>
      </c>
      <c r="L16" s="22">
        <v>84893405.996399999</v>
      </c>
      <c r="M16" s="50">
        <f>SUM(D16:L16)</f>
        <v>1537232928.8810997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68">
        <f t="shared" ref="G17:L17" si="6">+G18</f>
        <v>0</v>
      </c>
      <c r="H17" s="45">
        <f t="shared" si="6"/>
        <v>0</v>
      </c>
      <c r="I17" s="32">
        <f t="shared" si="6"/>
        <v>0</v>
      </c>
      <c r="J17" s="31">
        <f t="shared" si="6"/>
        <v>0</v>
      </c>
      <c r="K17" s="32">
        <f t="shared" si="6"/>
        <v>0</v>
      </c>
      <c r="L17" s="31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60">
        <v>0</v>
      </c>
      <c r="H18" s="44">
        <v>0</v>
      </c>
      <c r="I18" s="20">
        <v>0</v>
      </c>
      <c r="J18" s="19">
        <v>0</v>
      </c>
      <c r="K18" s="20">
        <v>0</v>
      </c>
      <c r="L18" s="19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68">
        <f t="shared" ref="G19:L19" si="7">+G20</f>
        <v>30774331.740800001</v>
      </c>
      <c r="H19" s="45">
        <f t="shared" si="7"/>
        <v>0</v>
      </c>
      <c r="I19" s="32">
        <f t="shared" si="7"/>
        <v>0</v>
      </c>
      <c r="J19" s="31">
        <f t="shared" si="7"/>
        <v>0</v>
      </c>
      <c r="K19" s="32">
        <f t="shared" si="7"/>
        <v>0</v>
      </c>
      <c r="L19" s="31">
        <f t="shared" si="7"/>
        <v>0</v>
      </c>
      <c r="M19" s="51">
        <f>+M20</f>
        <v>30774331.740800001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59">
        <v>30774331.740800001</v>
      </c>
      <c r="H20" s="59"/>
      <c r="I20" s="60">
        <v>0</v>
      </c>
      <c r="J20" s="19">
        <v>0</v>
      </c>
      <c r="K20" s="19">
        <v>0</v>
      </c>
      <c r="L20" s="19">
        <v>0</v>
      </c>
      <c r="M20" s="50">
        <f>SUM(D20:L20)</f>
        <v>30774331.740800001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0</v>
      </c>
      <c r="G21" s="68">
        <v>0</v>
      </c>
      <c r="H21" s="45">
        <v>0</v>
      </c>
      <c r="I21" s="32">
        <v>0</v>
      </c>
      <c r="J21" s="31">
        <f>+J22</f>
        <v>75774774.836500004</v>
      </c>
      <c r="K21" s="31">
        <f t="shared" ref="K21:L21" si="8">+K22</f>
        <v>0</v>
      </c>
      <c r="L21" s="31">
        <f t="shared" si="8"/>
        <v>0</v>
      </c>
      <c r="M21" s="51">
        <f>M22</f>
        <v>75774774.836500004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83"/>
      <c r="G22" s="60">
        <v>0</v>
      </c>
      <c r="H22" s="44">
        <v>0</v>
      </c>
      <c r="I22" s="60">
        <v>0</v>
      </c>
      <c r="J22" s="21">
        <v>75774774.836500004</v>
      </c>
      <c r="K22" s="20">
        <v>0</v>
      </c>
      <c r="L22" s="19">
        <v>0</v>
      </c>
      <c r="M22" s="50">
        <f>SUM(D22:L22)</f>
        <v>75774774.836500004</v>
      </c>
      <c r="N22" s="5"/>
    </row>
    <row r="23" spans="2:18" ht="15" customHeight="1" x14ac:dyDescent="0.25">
      <c r="B23" s="79" t="s">
        <v>61</v>
      </c>
      <c r="C23" s="15" t="s">
        <v>18</v>
      </c>
      <c r="D23" s="45">
        <f>D24</f>
        <v>2440025.7771999999</v>
      </c>
      <c r="E23" s="45">
        <f t="shared" ref="E23:L23" si="9">E24</f>
        <v>0</v>
      </c>
      <c r="F23" s="31">
        <f t="shared" si="9"/>
        <v>0</v>
      </c>
      <c r="G23" s="31">
        <f t="shared" si="9"/>
        <v>0</v>
      </c>
      <c r="H23" s="19">
        <f t="shared" si="9"/>
        <v>0</v>
      </c>
      <c r="I23" s="19">
        <f t="shared" si="9"/>
        <v>0</v>
      </c>
      <c r="J23" s="19">
        <f t="shared" si="9"/>
        <v>0</v>
      </c>
      <c r="K23" s="19">
        <f t="shared" si="9"/>
        <v>0</v>
      </c>
      <c r="L23" s="44">
        <f t="shared" si="9"/>
        <v>0</v>
      </c>
      <c r="M23" s="51">
        <f>+M24</f>
        <v>2440025.7771999999</v>
      </c>
      <c r="N23" s="3"/>
      <c r="P23" s="13"/>
    </row>
    <row r="24" spans="2:18" ht="15" customHeight="1" x14ac:dyDescent="0.25">
      <c r="B24" s="10" t="s">
        <v>24</v>
      </c>
      <c r="C24" s="15" t="s">
        <v>25</v>
      </c>
      <c r="D24" s="86">
        <v>2440025.7771999999</v>
      </c>
      <c r="E24" s="44">
        <v>0</v>
      </c>
      <c r="F24" s="31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>SUM(D24:L24)</f>
        <v>2440025.7771999999</v>
      </c>
      <c r="N24" s="5"/>
    </row>
    <row r="25" spans="2:18" ht="15" hidden="1" customHeight="1" x14ac:dyDescent="0.25">
      <c r="B25" s="11" t="s">
        <v>33</v>
      </c>
      <c r="C25" s="15" t="s">
        <v>18</v>
      </c>
      <c r="D25" s="3"/>
      <c r="E25" s="20"/>
      <c r="F25" s="31"/>
      <c r="G25" s="20"/>
      <c r="H25" s="19"/>
      <c r="I25" s="20"/>
      <c r="J25" s="19"/>
      <c r="K25" s="20"/>
      <c r="L25" s="19"/>
      <c r="M25" s="51">
        <f>+M26</f>
        <v>0</v>
      </c>
      <c r="N25" s="5"/>
    </row>
    <row r="26" spans="2:18" ht="15" hidden="1" customHeight="1" x14ac:dyDescent="0.25">
      <c r="B26" s="10" t="s">
        <v>24</v>
      </c>
      <c r="C26" s="15" t="s">
        <v>25</v>
      </c>
      <c r="D26" s="3"/>
      <c r="E26" s="20"/>
      <c r="F26" s="31"/>
      <c r="G26" s="20"/>
      <c r="H26" s="19"/>
      <c r="I26" s="20"/>
      <c r="J26" s="19"/>
      <c r="K26" s="20"/>
      <c r="L26" s="19"/>
      <c r="M26" s="50"/>
      <c r="N26" s="5"/>
    </row>
    <row r="27" spans="2:18" ht="15" hidden="1" customHeight="1" x14ac:dyDescent="0.25">
      <c r="B27" s="11" t="s">
        <v>29</v>
      </c>
      <c r="C27" s="15" t="s">
        <v>18</v>
      </c>
      <c r="D27" s="3"/>
      <c r="E27" s="20"/>
      <c r="F27" s="31"/>
      <c r="G27" s="20"/>
      <c r="H27" s="19"/>
      <c r="I27" s="20"/>
      <c r="J27" s="19"/>
      <c r="K27" s="20"/>
      <c r="L27" s="19"/>
      <c r="M27" s="51">
        <f>+M28</f>
        <v>0</v>
      </c>
      <c r="N27" s="3"/>
    </row>
    <row r="28" spans="2:18" ht="15" hidden="1" customHeight="1" x14ac:dyDescent="0.25">
      <c r="B28" s="10" t="s">
        <v>24</v>
      </c>
      <c r="C28" s="15" t="s">
        <v>25</v>
      </c>
      <c r="D28" s="3"/>
      <c r="E28" s="20"/>
      <c r="F28" s="31"/>
      <c r="G28" s="20"/>
      <c r="H28" s="19"/>
      <c r="I28" s="20"/>
      <c r="J28" s="19"/>
      <c r="K28" s="20"/>
      <c r="L28" s="19"/>
      <c r="M28" s="50"/>
      <c r="N28" s="5"/>
    </row>
    <row r="29" spans="2:18" x14ac:dyDescent="0.25">
      <c r="B29" s="2" t="s">
        <v>34</v>
      </c>
      <c r="C29" s="16" t="s">
        <v>18</v>
      </c>
      <c r="D29" s="23">
        <f t="shared" ref="D29:L29" si="10">+D30+D32+D34</f>
        <v>0</v>
      </c>
      <c r="E29" s="25">
        <f t="shared" si="10"/>
        <v>3172409276.6590981</v>
      </c>
      <c r="F29" s="23">
        <f t="shared" si="10"/>
        <v>0</v>
      </c>
      <c r="G29" s="25">
        <f t="shared" si="10"/>
        <v>4325774515.699501</v>
      </c>
      <c r="H29" s="67">
        <f t="shared" si="10"/>
        <v>2995263791.4238997</v>
      </c>
      <c r="I29" s="25">
        <f t="shared" si="10"/>
        <v>3444816999.1882</v>
      </c>
      <c r="J29" s="67">
        <f t="shared" si="10"/>
        <v>313475774.37149996</v>
      </c>
      <c r="K29" s="25">
        <f t="shared" si="10"/>
        <v>492537933.57049996</v>
      </c>
      <c r="L29" s="67">
        <f t="shared" si="10"/>
        <v>1044444048.7953999</v>
      </c>
      <c r="M29" s="17">
        <f>+M30+M34+M32</f>
        <v>15788722339.708096</v>
      </c>
      <c r="N29" s="4">
        <f>+M29/$M$53</f>
        <v>7.8590182935743186E-2</v>
      </c>
    </row>
    <row r="30" spans="2:18" x14ac:dyDescent="0.25">
      <c r="B30" s="33" t="s">
        <v>35</v>
      </c>
      <c r="C30" s="27" t="s">
        <v>18</v>
      </c>
      <c r="D30" s="31">
        <f>+D31</f>
        <v>0</v>
      </c>
      <c r="E30" s="32">
        <f>+E31</f>
        <v>512180300.57880002</v>
      </c>
      <c r="F30" s="31">
        <f>+F31</f>
        <v>0</v>
      </c>
      <c r="G30" s="32">
        <f t="shared" ref="G30:L30" si="11">+G31</f>
        <v>1126600380.8502002</v>
      </c>
      <c r="H30" s="63">
        <f t="shared" si="11"/>
        <v>515423336.36550009</v>
      </c>
      <c r="I30" s="29">
        <f>+I31</f>
        <v>1370472980.3218999</v>
      </c>
      <c r="J30" s="63">
        <f>+J31</f>
        <v>13474246.5953</v>
      </c>
      <c r="K30" s="29">
        <f t="shared" si="11"/>
        <v>95820166.611699998</v>
      </c>
      <c r="L30" s="63">
        <f t="shared" si="11"/>
        <v>185621898.29290003</v>
      </c>
      <c r="M30" s="51">
        <f>+M31</f>
        <v>3819593309.6163006</v>
      </c>
      <c r="N30" s="3"/>
    </row>
    <row r="31" spans="2:18" x14ac:dyDescent="0.25">
      <c r="B31" s="10" t="s">
        <v>36</v>
      </c>
      <c r="C31" s="15" t="s">
        <v>37</v>
      </c>
      <c r="D31" s="19"/>
      <c r="E31" s="78">
        <v>512180300.57880002</v>
      </c>
      <c r="F31" s="31">
        <v>0</v>
      </c>
      <c r="G31" s="21">
        <v>1126600380.8502002</v>
      </c>
      <c r="H31" s="64">
        <v>515423336.36550009</v>
      </c>
      <c r="I31" s="21">
        <v>1370472980.3218999</v>
      </c>
      <c r="J31" s="64">
        <v>13474246.5953</v>
      </c>
      <c r="K31" s="21">
        <v>95820166.611699998</v>
      </c>
      <c r="L31" s="64">
        <v>185621898.29290003</v>
      </c>
      <c r="M31" s="44">
        <f>SUM(D31:L31)</f>
        <v>3819593309.6163006</v>
      </c>
      <c r="N31" s="5"/>
    </row>
    <row r="32" spans="2:18" x14ac:dyDescent="0.25">
      <c r="B32" s="30" t="s">
        <v>38</v>
      </c>
      <c r="C32" s="27" t="s">
        <v>18</v>
      </c>
      <c r="D32" s="31">
        <f>+D33</f>
        <v>0</v>
      </c>
      <c r="E32" s="32">
        <f>+E33</f>
        <v>2578167147.4458981</v>
      </c>
      <c r="F32" s="31">
        <f>+F33</f>
        <v>0</v>
      </c>
      <c r="G32" s="32">
        <f t="shared" ref="G32:L32" si="12">+G33</f>
        <v>2170365366.2664003</v>
      </c>
      <c r="H32" s="65">
        <f t="shared" si="12"/>
        <v>1358682192.7002995</v>
      </c>
      <c r="I32" s="32">
        <f>+I33</f>
        <v>1810110010.6529999</v>
      </c>
      <c r="J32" s="65">
        <f>+J33</f>
        <v>115339655.32129999</v>
      </c>
      <c r="K32" s="32">
        <f t="shared" si="12"/>
        <v>16137183.867699999</v>
      </c>
      <c r="L32" s="65">
        <f t="shared" si="12"/>
        <v>476239916.34079993</v>
      </c>
      <c r="M32" s="51">
        <f>+M33</f>
        <v>8525041472.595397</v>
      </c>
      <c r="N32" s="5"/>
    </row>
    <row r="33" spans="2:16" ht="15" customHeight="1" x14ac:dyDescent="0.25">
      <c r="B33" s="10" t="s">
        <v>36</v>
      </c>
      <c r="C33" s="15" t="s">
        <v>39</v>
      </c>
      <c r="D33" s="19">
        <v>0</v>
      </c>
      <c r="E33" s="78">
        <v>2578167147.4458981</v>
      </c>
      <c r="F33" s="31">
        <v>0</v>
      </c>
      <c r="G33" s="21">
        <v>2170365366.2664003</v>
      </c>
      <c r="H33" s="64">
        <v>1358682192.7002995</v>
      </c>
      <c r="I33" s="21">
        <v>1810110010.6529999</v>
      </c>
      <c r="J33" s="64">
        <v>115339655.32129999</v>
      </c>
      <c r="K33" s="21">
        <v>16137183.867699999</v>
      </c>
      <c r="L33" s="64">
        <v>476239916.34079993</v>
      </c>
      <c r="M33" s="50">
        <f>SUM(D33:L33)</f>
        <v>8525041472.595397</v>
      </c>
      <c r="N33" s="5"/>
    </row>
    <row r="34" spans="2:16" x14ac:dyDescent="0.25">
      <c r="B34" s="33" t="s">
        <v>40</v>
      </c>
      <c r="C34" s="27" t="s">
        <v>18</v>
      </c>
      <c r="D34" s="31">
        <f>+D35</f>
        <v>0</v>
      </c>
      <c r="E34" s="32">
        <f>+E35</f>
        <v>82061828.634399995</v>
      </c>
      <c r="F34" s="31">
        <f>+F35</f>
        <v>0</v>
      </c>
      <c r="G34" s="32">
        <f t="shared" ref="G34:L34" si="13">+G35</f>
        <v>1028808768.5829</v>
      </c>
      <c r="H34" s="65">
        <f t="shared" si="13"/>
        <v>1121158262.3580997</v>
      </c>
      <c r="I34" s="32">
        <f>+I35</f>
        <v>264234008.21330002</v>
      </c>
      <c r="J34" s="65">
        <f>+J35</f>
        <v>184661872.45489997</v>
      </c>
      <c r="K34" s="32">
        <f t="shared" si="13"/>
        <v>380580583.09109998</v>
      </c>
      <c r="L34" s="65">
        <f t="shared" si="13"/>
        <v>382582234.16169995</v>
      </c>
      <c r="M34" s="51">
        <f>+M35</f>
        <v>3444087557.4963994</v>
      </c>
      <c r="N34" s="3"/>
    </row>
    <row r="35" spans="2:16" x14ac:dyDescent="0.25">
      <c r="B35" s="10" t="s">
        <v>36</v>
      </c>
      <c r="C35" s="15" t="s">
        <v>41</v>
      </c>
      <c r="D35" s="19">
        <v>0</v>
      </c>
      <c r="E35" s="21">
        <v>82061828.634399995</v>
      </c>
      <c r="F35" s="31">
        <v>0</v>
      </c>
      <c r="G35" s="21">
        <v>1028808768.5829</v>
      </c>
      <c r="H35" s="66">
        <v>1121158262.3580997</v>
      </c>
      <c r="I35" s="21">
        <v>264234008.21330002</v>
      </c>
      <c r="J35" s="66">
        <v>184661872.45489997</v>
      </c>
      <c r="K35" s="21">
        <v>380580583.09109998</v>
      </c>
      <c r="L35" s="66">
        <v>382582234.16169995</v>
      </c>
      <c r="M35" s="50">
        <f>SUM(D35:L35)</f>
        <v>3444087557.4963994</v>
      </c>
      <c r="N35" s="5"/>
      <c r="P35" s="8"/>
    </row>
    <row r="36" spans="2:16" x14ac:dyDescent="0.25">
      <c r="B36" s="2" t="s">
        <v>42</v>
      </c>
      <c r="C36" s="16" t="s">
        <v>18</v>
      </c>
      <c r="D36" s="23">
        <f t="shared" ref="D36" si="14">+D37+D39+D43+D47+D49+D45</f>
        <v>0</v>
      </c>
      <c r="E36" s="25">
        <f>+E37+E39+E43+E47+E49+E45+E42</f>
        <v>5620115517.9748001</v>
      </c>
      <c r="F36" s="67">
        <f>+F37+F39+F43+F47+F49+F45+F52</f>
        <v>96954039.714000002</v>
      </c>
      <c r="G36" s="25">
        <f>+G37+G39+G43+G47+G49+G45</f>
        <v>8679057788.3521996</v>
      </c>
      <c r="H36" s="72">
        <f>+H37+H39+H43+H47+H49+H45</f>
        <v>2813795926.0406003</v>
      </c>
      <c r="I36" s="25">
        <f>+I37+I39+I43+I47+I49+I45</f>
        <v>3171629031.4047003</v>
      </c>
      <c r="J36" s="61">
        <f t="shared" ref="J36:K36" si="15">+J37+J39+J43+J47+J49+J45</f>
        <v>0</v>
      </c>
      <c r="K36" s="25">
        <f t="shared" si="15"/>
        <v>0</v>
      </c>
      <c r="L36" s="72">
        <f>+L37+L39+L43+L47+L49+L45</f>
        <v>489650520.0553</v>
      </c>
      <c r="M36" s="17">
        <f>+M37+M39+M41+P40+M43+M47+M49+M45+M51</f>
        <v>20871202823.541595</v>
      </c>
      <c r="N36" s="89">
        <f>+M36/$M$53</f>
        <v>0.10388881460445387</v>
      </c>
      <c r="P36" s="8"/>
    </row>
    <row r="37" spans="2:16" ht="17.25" customHeight="1" x14ac:dyDescent="0.25">
      <c r="B37" s="33" t="s">
        <v>43</v>
      </c>
      <c r="C37" s="27" t="s">
        <v>18</v>
      </c>
      <c r="D37" s="28">
        <f>+D38</f>
        <v>0</v>
      </c>
      <c r="E37" s="32">
        <f>+E38</f>
        <v>1908858880.7219</v>
      </c>
      <c r="F37" s="63">
        <f>+F38</f>
        <v>0</v>
      </c>
      <c r="G37" s="32">
        <f t="shared" ref="G37:L37" si="16">+G38</f>
        <v>3423075222.4630003</v>
      </c>
      <c r="H37" s="63">
        <f t="shared" si="16"/>
        <v>1247520747.7421</v>
      </c>
      <c r="I37" s="29">
        <f t="shared" si="16"/>
        <v>1907641787.3095</v>
      </c>
      <c r="J37" s="31">
        <f t="shared" si="16"/>
        <v>0</v>
      </c>
      <c r="K37" s="32">
        <f t="shared" si="16"/>
        <v>0</v>
      </c>
      <c r="L37" s="63">
        <f t="shared" si="16"/>
        <v>312945143.67149997</v>
      </c>
      <c r="M37" s="51">
        <f>+M38</f>
        <v>8800041781.907999</v>
      </c>
      <c r="N37" s="14"/>
      <c r="O37" s="41"/>
      <c r="P37" s="41"/>
    </row>
    <row r="38" spans="2:16" x14ac:dyDescent="0.25">
      <c r="B38" s="10" t="s">
        <v>44</v>
      </c>
      <c r="C38" s="15" t="s">
        <v>45</v>
      </c>
      <c r="D38" s="19">
        <v>0</v>
      </c>
      <c r="E38" s="78">
        <v>1908858880.7219</v>
      </c>
      <c r="F38" s="65">
        <v>0</v>
      </c>
      <c r="G38" s="21">
        <v>3423075222.4630003</v>
      </c>
      <c r="H38" s="64">
        <v>1247520747.7421</v>
      </c>
      <c r="I38" s="21">
        <v>1907641787.3095</v>
      </c>
      <c r="J38" s="19"/>
      <c r="K38" s="20"/>
      <c r="L38" s="64">
        <v>312945143.67149997</v>
      </c>
      <c r="M38" s="50">
        <f>SUM(D38:L38)</f>
        <v>8800041781.907999</v>
      </c>
      <c r="N38" s="5"/>
      <c r="P38" s="8"/>
    </row>
    <row r="39" spans="2:16" x14ac:dyDescent="0.25">
      <c r="B39" s="33" t="s">
        <v>46</v>
      </c>
      <c r="C39" s="27"/>
      <c r="D39" s="31">
        <f>+D40</f>
        <v>0</v>
      </c>
      <c r="E39" s="32">
        <f>+E40</f>
        <v>2023644368.2823999</v>
      </c>
      <c r="F39" s="65">
        <f>+F40</f>
        <v>0</v>
      </c>
      <c r="G39" s="32">
        <f t="shared" ref="G39:L39" si="17">+G40</f>
        <v>1317476802.2672</v>
      </c>
      <c r="H39" s="65">
        <f t="shared" si="17"/>
        <v>1317476802.2673001</v>
      </c>
      <c r="I39" s="32">
        <f t="shared" si="17"/>
        <v>1263987244.0952001</v>
      </c>
      <c r="J39" s="31">
        <f t="shared" si="17"/>
        <v>0</v>
      </c>
      <c r="K39" s="32">
        <f t="shared" si="17"/>
        <v>0</v>
      </c>
      <c r="L39" s="65">
        <f t="shared" si="17"/>
        <v>0</v>
      </c>
      <c r="M39" s="51">
        <f>+M40</f>
        <v>5922585216.9120998</v>
      </c>
      <c r="N39" s="5"/>
      <c r="P39" s="8"/>
    </row>
    <row r="40" spans="2:16" x14ac:dyDescent="0.25">
      <c r="B40" s="10" t="s">
        <v>44</v>
      </c>
      <c r="C40" s="15" t="s">
        <v>45</v>
      </c>
      <c r="D40" s="19">
        <v>0</v>
      </c>
      <c r="E40" s="78">
        <v>2023644368.2823999</v>
      </c>
      <c r="F40" s="65">
        <v>0</v>
      </c>
      <c r="G40" s="21">
        <v>1317476802.2672</v>
      </c>
      <c r="H40" s="64">
        <v>1317476802.2673001</v>
      </c>
      <c r="I40" s="21">
        <v>1263987244.0952001</v>
      </c>
      <c r="J40" s="19">
        <v>0</v>
      </c>
      <c r="K40" s="20">
        <v>0</v>
      </c>
      <c r="L40" s="69">
        <v>0</v>
      </c>
      <c r="M40" s="50">
        <f>SUM(D40:L40)</f>
        <v>5922585216.9120998</v>
      </c>
      <c r="N40" s="5"/>
      <c r="P40" s="8"/>
    </row>
    <row r="41" spans="2:16" s="42" customFormat="1" x14ac:dyDescent="0.25">
      <c r="B41" s="33" t="s">
        <v>62</v>
      </c>
      <c r="C41" s="27"/>
      <c r="D41" s="31">
        <f>D42</f>
        <v>0</v>
      </c>
      <c r="E41" s="80">
        <f>E42</f>
        <v>958176408.20309997</v>
      </c>
      <c r="F41" s="65">
        <f t="shared" ref="F41:M41" si="18">F42</f>
        <v>0</v>
      </c>
      <c r="G41" s="65">
        <f t="shared" si="18"/>
        <v>0</v>
      </c>
      <c r="H41" s="65">
        <f t="shared" si="18"/>
        <v>0</v>
      </c>
      <c r="I41" s="65">
        <f t="shared" si="18"/>
        <v>0</v>
      </c>
      <c r="J41" s="65">
        <f t="shared" si="18"/>
        <v>0</v>
      </c>
      <c r="K41" s="65">
        <f t="shared" si="18"/>
        <v>0</v>
      </c>
      <c r="L41" s="65">
        <f t="shared" si="18"/>
        <v>0</v>
      </c>
      <c r="M41" s="80">
        <f t="shared" si="18"/>
        <v>958176408.20309997</v>
      </c>
      <c r="N41" s="5"/>
      <c r="P41" s="81"/>
    </row>
    <row r="42" spans="2:16" x14ac:dyDescent="0.25">
      <c r="B42" s="10" t="s">
        <v>44</v>
      </c>
      <c r="C42" s="15" t="s">
        <v>45</v>
      </c>
      <c r="D42" s="19"/>
      <c r="E42" s="78">
        <v>958176408.20309997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50">
        <f>SUM(D42:L42)</f>
        <v>958176408.20309997</v>
      </c>
      <c r="N42" s="5"/>
      <c r="P42" s="8"/>
    </row>
    <row r="43" spans="2:16" ht="15" customHeight="1" x14ac:dyDescent="0.25">
      <c r="B43" s="33" t="s">
        <v>47</v>
      </c>
      <c r="C43" s="27" t="s">
        <v>18</v>
      </c>
      <c r="D43" s="31">
        <f>+D44</f>
        <v>0</v>
      </c>
      <c r="E43" s="32">
        <f>+E44</f>
        <v>0</v>
      </c>
      <c r="F43" s="65">
        <f>+F44</f>
        <v>0</v>
      </c>
      <c r="G43" s="32">
        <f t="shared" ref="G43:L45" si="19">+G44</f>
        <v>0</v>
      </c>
      <c r="H43" s="65">
        <f t="shared" si="19"/>
        <v>137940949.08590001</v>
      </c>
      <c r="I43" s="32">
        <f t="shared" si="19"/>
        <v>0</v>
      </c>
      <c r="J43" s="31">
        <f t="shared" si="19"/>
        <v>0</v>
      </c>
      <c r="K43" s="32">
        <f t="shared" si="19"/>
        <v>0</v>
      </c>
      <c r="L43" s="65">
        <f t="shared" si="19"/>
        <v>176705376.3838</v>
      </c>
      <c r="M43" s="51">
        <f>+M44</f>
        <v>314646325.46969998</v>
      </c>
      <c r="N43" s="3"/>
    </row>
    <row r="44" spans="2:16" ht="17.25" customHeight="1" x14ac:dyDescent="0.25">
      <c r="B44" s="10" t="s">
        <v>48</v>
      </c>
      <c r="C44" s="15" t="s">
        <v>45</v>
      </c>
      <c r="D44" s="19">
        <v>0</v>
      </c>
      <c r="E44" s="20">
        <v>0</v>
      </c>
      <c r="F44" s="69">
        <v>0</v>
      </c>
      <c r="G44" s="20">
        <v>0</v>
      </c>
      <c r="H44" s="64">
        <v>137940949.08590001</v>
      </c>
      <c r="I44" s="20">
        <v>0</v>
      </c>
      <c r="J44" s="19">
        <v>0</v>
      </c>
      <c r="K44" s="20">
        <v>0</v>
      </c>
      <c r="L44" s="64">
        <v>176705376.3838</v>
      </c>
      <c r="M44" s="53">
        <f>SUM(D44:L44)</f>
        <v>314646325.46969998</v>
      </c>
      <c r="N44" s="5"/>
    </row>
    <row r="45" spans="2:16" ht="15" customHeight="1" x14ac:dyDescent="0.25">
      <c r="B45" s="33" t="s">
        <v>49</v>
      </c>
      <c r="C45" s="27" t="s">
        <v>18</v>
      </c>
      <c r="D45" s="31">
        <f>+D46</f>
        <v>0</v>
      </c>
      <c r="E45" s="32">
        <f>+E46</f>
        <v>0</v>
      </c>
      <c r="F45" s="65">
        <f>+F46</f>
        <v>59507285.3402</v>
      </c>
      <c r="G45" s="32">
        <f t="shared" si="19"/>
        <v>0</v>
      </c>
      <c r="H45" s="65">
        <f t="shared" si="19"/>
        <v>0</v>
      </c>
      <c r="I45" s="32">
        <f t="shared" si="19"/>
        <v>0</v>
      </c>
      <c r="J45" s="31">
        <f t="shared" si="19"/>
        <v>0</v>
      </c>
      <c r="K45" s="32">
        <f t="shared" si="19"/>
        <v>0</v>
      </c>
      <c r="L45" s="65">
        <f t="shared" si="19"/>
        <v>0</v>
      </c>
      <c r="M45" s="51">
        <f>+M46</f>
        <v>59507285.3402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4">
        <v>59507285.3402</v>
      </c>
      <c r="G46" s="20">
        <v>0</v>
      </c>
      <c r="H46" s="69">
        <v>0</v>
      </c>
      <c r="I46" s="20">
        <v>0</v>
      </c>
      <c r="J46" s="19">
        <v>0</v>
      </c>
      <c r="K46" s="19">
        <v>0</v>
      </c>
      <c r="L46" s="19">
        <v>0</v>
      </c>
      <c r="M46" s="53">
        <f>SUM(D46:L46)</f>
        <v>59507285.3402</v>
      </c>
      <c r="N46" s="5"/>
    </row>
    <row r="47" spans="2:16" ht="15" customHeight="1" x14ac:dyDescent="0.25">
      <c r="B47" s="33" t="s">
        <v>50</v>
      </c>
      <c r="C47" s="27" t="s">
        <v>18</v>
      </c>
      <c r="D47" s="31">
        <f>+D48</f>
        <v>0</v>
      </c>
      <c r="E47" s="32">
        <f>+E48</f>
        <v>0</v>
      </c>
      <c r="F47" s="65">
        <f>+F48</f>
        <v>0</v>
      </c>
      <c r="G47" s="32">
        <f t="shared" ref="G47:L47" si="20">+G48</f>
        <v>1836120197.8683</v>
      </c>
      <c r="H47" s="65">
        <f t="shared" si="20"/>
        <v>0</v>
      </c>
      <c r="I47" s="32">
        <f t="shared" si="20"/>
        <v>0</v>
      </c>
      <c r="J47" s="31">
        <f t="shared" si="20"/>
        <v>0</v>
      </c>
      <c r="K47" s="32">
        <f t="shared" si="20"/>
        <v>0</v>
      </c>
      <c r="L47" s="65">
        <f t="shared" si="20"/>
        <v>0</v>
      </c>
      <c r="M47" s="51">
        <f>+M48</f>
        <v>1836120197.8683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0</v>
      </c>
      <c r="E48" s="20">
        <v>0</v>
      </c>
      <c r="F48" s="69">
        <v>0</v>
      </c>
      <c r="G48" s="21">
        <v>1836120197.8683</v>
      </c>
      <c r="H48" s="69">
        <v>0</v>
      </c>
      <c r="I48" s="20">
        <v>0</v>
      </c>
      <c r="J48" s="19">
        <v>0</v>
      </c>
      <c r="K48" s="20">
        <v>0</v>
      </c>
      <c r="L48" s="69">
        <v>0</v>
      </c>
      <c r="M48" s="53">
        <f>SUM(D48:L48)</f>
        <v>1836120197.8683</v>
      </c>
      <c r="N48" s="3"/>
    </row>
    <row r="49" spans="2:14" ht="15" customHeight="1" x14ac:dyDescent="0.25">
      <c r="B49" s="33" t="s">
        <v>51</v>
      </c>
      <c r="C49" s="27" t="s">
        <v>18</v>
      </c>
      <c r="D49" s="19">
        <f>+D50</f>
        <v>0</v>
      </c>
      <c r="E49" s="32">
        <f>+E50</f>
        <v>729435860.76740003</v>
      </c>
      <c r="F49" s="69">
        <f>+F50</f>
        <v>0</v>
      </c>
      <c r="G49" s="32">
        <f t="shared" ref="G49:L49" si="21">+G50</f>
        <v>2102385565.7536998</v>
      </c>
      <c r="H49" s="65">
        <f t="shared" si="21"/>
        <v>110857426.9453</v>
      </c>
      <c r="I49" s="32">
        <f t="shared" si="21"/>
        <v>0</v>
      </c>
      <c r="J49" s="31">
        <f t="shared" si="21"/>
        <v>0</v>
      </c>
      <c r="K49" s="32">
        <f t="shared" si="21"/>
        <v>0</v>
      </c>
      <c r="L49" s="65">
        <f t="shared" si="21"/>
        <v>0</v>
      </c>
      <c r="M49" s="51">
        <f>+M50</f>
        <v>2942678853.4664001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78">
        <v>729435860.76740003</v>
      </c>
      <c r="F50" s="69">
        <v>0</v>
      </c>
      <c r="G50" s="21">
        <v>2102385565.7536998</v>
      </c>
      <c r="H50" s="69">
        <v>110857426.9453</v>
      </c>
      <c r="I50" s="44">
        <v>0</v>
      </c>
      <c r="J50" s="19">
        <v>0</v>
      </c>
      <c r="K50" s="71">
        <v>0</v>
      </c>
      <c r="L50" s="69">
        <v>0</v>
      </c>
      <c r="M50" s="53">
        <f>SUM(D50:L50)</f>
        <v>2942678853.4664001</v>
      </c>
      <c r="N50" s="3"/>
    </row>
    <row r="51" spans="2:14" ht="17.25" customHeight="1" x14ac:dyDescent="0.25">
      <c r="B51" s="33" t="s">
        <v>52</v>
      </c>
      <c r="C51" s="27"/>
      <c r="D51" s="19">
        <v>0</v>
      </c>
      <c r="E51" s="32">
        <v>0</v>
      </c>
      <c r="F51" s="65">
        <f>+F52</f>
        <v>37446754.373800002</v>
      </c>
      <c r="G51" s="21">
        <v>0</v>
      </c>
      <c r="H51" s="69">
        <v>0</v>
      </c>
      <c r="I51" s="44">
        <v>0</v>
      </c>
      <c r="J51" s="19">
        <v>0</v>
      </c>
      <c r="K51" s="71">
        <v>0</v>
      </c>
      <c r="L51" s="69">
        <v>0</v>
      </c>
      <c r="M51" s="58">
        <f>SUM(D51:L51)</f>
        <v>37446754.373800002</v>
      </c>
      <c r="N51" s="3"/>
    </row>
    <row r="52" spans="2:14" ht="17.25" customHeight="1" x14ac:dyDescent="0.25">
      <c r="B52" s="10" t="s">
        <v>48</v>
      </c>
      <c r="C52" s="49" t="s">
        <v>45</v>
      </c>
      <c r="D52" s="19">
        <v>0</v>
      </c>
      <c r="E52" s="32">
        <v>0</v>
      </c>
      <c r="F52" s="66">
        <v>37446754.373800002</v>
      </c>
      <c r="G52" s="21">
        <v>0</v>
      </c>
      <c r="H52" s="70">
        <v>0</v>
      </c>
      <c r="I52" s="44">
        <v>0</v>
      </c>
      <c r="J52" s="19">
        <v>0</v>
      </c>
      <c r="K52" s="71">
        <v>0</v>
      </c>
      <c r="L52" s="70">
        <v>0</v>
      </c>
      <c r="M52" s="53">
        <f t="shared" ref="M52" si="22">SUM(D52:L52)</f>
        <v>37446754.373800002</v>
      </c>
      <c r="N52" s="3"/>
    </row>
    <row r="53" spans="2:14" x14ac:dyDescent="0.25">
      <c r="B53" s="144" t="s">
        <v>53</v>
      </c>
      <c r="C53" s="145"/>
      <c r="D53" s="23">
        <f t="shared" ref="D53:L53" si="23">+D7+D10+D29+D36</f>
        <v>707446441.02989995</v>
      </c>
      <c r="E53" s="23">
        <f t="shared" si="23"/>
        <v>47093169075.593079</v>
      </c>
      <c r="F53" s="61">
        <f t="shared" si="23"/>
        <v>227347773.59499997</v>
      </c>
      <c r="G53" s="25">
        <f t="shared" si="23"/>
        <v>64905050025.237015</v>
      </c>
      <c r="H53" s="61">
        <f t="shared" si="23"/>
        <v>31807019815.930485</v>
      </c>
      <c r="I53" s="25">
        <f t="shared" si="23"/>
        <v>42631569486.948799</v>
      </c>
      <c r="J53" s="23">
        <f t="shared" si="23"/>
        <v>1012212820.1664</v>
      </c>
      <c r="K53" s="25">
        <f t="shared" si="23"/>
        <v>1939496731.4934998</v>
      </c>
      <c r="L53" s="61">
        <f t="shared" si="23"/>
        <v>10576109995.968405</v>
      </c>
      <c r="M53" s="17">
        <f>+M36+M29+M10+M7</f>
        <v>200899422165.96255</v>
      </c>
      <c r="N53" s="156">
        <f>+M53/M54</f>
        <v>0.2628059830385317</v>
      </c>
    </row>
    <row r="54" spans="2:14" ht="15" customHeight="1" x14ac:dyDescent="0.25">
      <c r="B54" s="144" t="s">
        <v>54</v>
      </c>
      <c r="C54" s="145"/>
      <c r="D54" s="23">
        <v>6926572588.4799995</v>
      </c>
      <c r="E54" s="23">
        <v>158984552838.09</v>
      </c>
      <c r="F54" s="23">
        <v>3178599371.9899998</v>
      </c>
      <c r="G54" s="84">
        <v>236464937208.82001</v>
      </c>
      <c r="H54" s="23">
        <v>116906759321.64</v>
      </c>
      <c r="I54" s="23">
        <v>145642593227.48999</v>
      </c>
      <c r="J54" s="23">
        <v>24389496694.720001</v>
      </c>
      <c r="K54" s="23">
        <v>17476181309.549999</v>
      </c>
      <c r="L54" s="23">
        <v>47810083738.709999</v>
      </c>
      <c r="M54" s="23">
        <v>764440062753.46997</v>
      </c>
      <c r="N54" s="157"/>
    </row>
    <row r="55" spans="2:14" ht="15.75" customHeight="1" x14ac:dyDescent="0.25">
      <c r="B55" s="144" t="s">
        <v>55</v>
      </c>
      <c r="C55" s="145"/>
      <c r="D55" s="88">
        <f>+D53/D54</f>
        <v>0.10213513711045154</v>
      </c>
      <c r="E55" s="88">
        <f>+E53/E54</f>
        <v>0.29621223090492826</v>
      </c>
      <c r="F55" s="88">
        <f>+F53/F54</f>
        <v>7.1524513469171866E-2</v>
      </c>
      <c r="G55" s="88">
        <f t="shared" ref="G55:L55" si="24">+G53/G54</f>
        <v>0.27448065151375894</v>
      </c>
      <c r="H55" s="88">
        <f t="shared" si="24"/>
        <v>0.27207169200902531</v>
      </c>
      <c r="I55" s="88">
        <f t="shared" si="24"/>
        <v>0.29271361174103361</v>
      </c>
      <c r="J55" s="88">
        <f t="shared" si="24"/>
        <v>4.1501997061937343E-2</v>
      </c>
      <c r="K55" s="88">
        <f t="shared" si="24"/>
        <v>0.11097943521755786</v>
      </c>
      <c r="L55" s="88">
        <f t="shared" si="24"/>
        <v>0.22121086534314793</v>
      </c>
      <c r="M55" s="146" t="s">
        <v>56</v>
      </c>
      <c r="N55" s="147"/>
    </row>
    <row r="56" spans="2:14" x14ac:dyDescent="0.25">
      <c r="B56" s="148" t="s">
        <v>66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</row>
    <row r="57" spans="2:14" ht="15" customHeight="1" x14ac:dyDescent="0.25">
      <c r="B57" s="149" t="s">
        <v>67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</row>
    <row r="58" spans="2:14" ht="15.75" x14ac:dyDescent="0.25">
      <c r="B58" s="34" t="s">
        <v>59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spans="2:14" x14ac:dyDescent="0.25">
      <c r="B59" s="35"/>
      <c r="C59" s="35"/>
      <c r="D59" s="35"/>
      <c r="E59" s="47"/>
      <c r="F59" s="47"/>
      <c r="G59" s="35"/>
      <c r="H59" s="35"/>
      <c r="I59" s="35"/>
      <c r="J59" s="57"/>
      <c r="K59" s="35"/>
      <c r="L59" s="35"/>
      <c r="M59" s="36"/>
      <c r="N59" s="35"/>
    </row>
    <row r="60" spans="2:14" x14ac:dyDescent="0.25">
      <c r="M60" s="55"/>
    </row>
    <row r="61" spans="2:14" x14ac:dyDescent="0.25">
      <c r="M61" s="56"/>
    </row>
  </sheetData>
  <mergeCells count="22">
    <mergeCell ref="B55:C55"/>
    <mergeCell ref="M55:N55"/>
    <mergeCell ref="B56:N56"/>
    <mergeCell ref="B57:N57"/>
    <mergeCell ref="I5:I6"/>
    <mergeCell ref="J5:J6"/>
    <mergeCell ref="K5:K6"/>
    <mergeCell ref="L5:L6"/>
    <mergeCell ref="M5:N5"/>
    <mergeCell ref="B53:C53"/>
    <mergeCell ref="N53:N54"/>
    <mergeCell ref="B54:C54"/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63"/>
  <sheetViews>
    <sheetView showGridLines="0" topLeftCell="B1" zoomScaleNormal="100" workbookViewId="0">
      <pane xSplit="2" ySplit="6" topLeftCell="D55" activePane="bottomRight" state="frozen"/>
      <selection pane="topRight" activeCell="D1" sqref="D1"/>
      <selection pane="bottomLeft" activeCell="B7" sqref="B7"/>
      <selection pane="bottomRight" activeCell="C47" sqref="C47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68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91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649174602.495</v>
      </c>
      <c r="E7" s="25">
        <f t="shared" si="0"/>
        <v>38725341469.02858</v>
      </c>
      <c r="F7" s="23">
        <f t="shared" si="0"/>
        <v>129390675.95070001</v>
      </c>
      <c r="G7" s="24">
        <f t="shared" si="0"/>
        <v>49459915223.749916</v>
      </c>
      <c r="H7" s="23">
        <f t="shared" si="0"/>
        <v>25770992517.921097</v>
      </c>
      <c r="I7" s="73">
        <f t="shared" si="0"/>
        <v>36333730993.408615</v>
      </c>
      <c r="J7" s="67">
        <f t="shared" si="0"/>
        <v>2001516779.0451</v>
      </c>
      <c r="K7" s="73">
        <f t="shared" si="0"/>
        <v>1436093032.7028008</v>
      </c>
      <c r="L7" s="67">
        <f t="shared" si="0"/>
        <v>8956949161.7578011</v>
      </c>
      <c r="M7" s="74">
        <f t="shared" si="0"/>
        <v>163463104456.0596</v>
      </c>
      <c r="N7" s="89">
        <f>+M7/$M$55</f>
        <v>0.80255697937920456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649174602.495</v>
      </c>
      <c r="E8" s="29">
        <f t="shared" si="1"/>
        <v>38725341469.02858</v>
      </c>
      <c r="F8" s="28">
        <f t="shared" si="1"/>
        <v>129390675.95070001</v>
      </c>
      <c r="G8" s="29">
        <f t="shared" si="1"/>
        <v>49459915223.749916</v>
      </c>
      <c r="H8" s="28">
        <f t="shared" si="1"/>
        <v>25770992517.921097</v>
      </c>
      <c r="I8" s="75">
        <f t="shared" si="1"/>
        <v>36333730993.408615</v>
      </c>
      <c r="J8" s="28">
        <f t="shared" si="1"/>
        <v>2001516779.0451</v>
      </c>
      <c r="K8" s="75">
        <f t="shared" si="1"/>
        <v>1436093032.7028008</v>
      </c>
      <c r="L8" s="28">
        <f t="shared" si="1"/>
        <v>8956949161.7578011</v>
      </c>
      <c r="M8" s="40">
        <f>+M9</f>
        <v>163463104456.0596</v>
      </c>
      <c r="N8" s="89"/>
      <c r="Q8" s="7"/>
      <c r="R8" s="7"/>
    </row>
    <row r="9" spans="2:18" x14ac:dyDescent="0.25">
      <c r="B9" s="77" t="s">
        <v>20</v>
      </c>
      <c r="C9" s="76" t="s">
        <v>21</v>
      </c>
      <c r="D9" s="85">
        <v>649174602.495</v>
      </c>
      <c r="E9" s="78">
        <v>38725341469.02858</v>
      </c>
      <c r="F9" s="39">
        <v>129390675.95070001</v>
      </c>
      <c r="G9" s="78">
        <v>49459915223.749916</v>
      </c>
      <c r="H9" s="38">
        <v>25770992517.921097</v>
      </c>
      <c r="I9" s="93">
        <v>36333730993.408615</v>
      </c>
      <c r="J9" s="86">
        <v>2001516779.0451</v>
      </c>
      <c r="K9" s="93">
        <v>1436093032.7028008</v>
      </c>
      <c r="L9" s="86">
        <v>8956949161.7578011</v>
      </c>
      <c r="M9" s="44">
        <f>SUM(D9:L9)</f>
        <v>163463104456.0596</v>
      </c>
      <c r="N9" s="3"/>
      <c r="Q9" s="7"/>
      <c r="R9" s="7"/>
    </row>
    <row r="10" spans="2:18" x14ac:dyDescent="0.25">
      <c r="B10" s="2" t="s">
        <v>22</v>
      </c>
      <c r="C10" s="16" t="s">
        <v>18</v>
      </c>
      <c r="D10" s="100">
        <f t="shared" ref="D10:K10" si="2">+D11+D13+D15+D17+D19+D21+D23+D25</f>
        <v>0</v>
      </c>
      <c r="E10" s="100">
        <f t="shared" si="2"/>
        <v>11225252.527299998</v>
      </c>
      <c r="F10" s="100">
        <f t="shared" si="2"/>
        <v>25205556.744600002</v>
      </c>
      <c r="G10" s="100">
        <f t="shared" si="2"/>
        <v>2701966064.4870996</v>
      </c>
      <c r="H10" s="100">
        <f t="shared" si="2"/>
        <v>180612502.30329999</v>
      </c>
      <c r="I10" s="100">
        <f t="shared" si="2"/>
        <v>88124817.246500015</v>
      </c>
      <c r="J10" s="100">
        <f t="shared" si="2"/>
        <v>76912930.029699996</v>
      </c>
      <c r="K10" s="100">
        <f t="shared" si="2"/>
        <v>4368671.7390000001</v>
      </c>
      <c r="L10" s="100">
        <f>+L11+L13+L15+L17+L19+L21+L23+L25</f>
        <v>91841421.26380001</v>
      </c>
      <c r="M10" s="17">
        <f>M11+M13+M15+M17+M19+M21+M25+M23</f>
        <v>3180257216.3412991</v>
      </c>
      <c r="N10" s="4">
        <f>+M10/$M$55</f>
        <v>1.5614151179184795E-2</v>
      </c>
      <c r="O10" s="41"/>
      <c r="P10" s="13"/>
      <c r="Q10" s="7"/>
      <c r="R10" s="7"/>
    </row>
    <row r="11" spans="2:18" s="42" customFormat="1" hidden="1" x14ac:dyDescent="0.25">
      <c r="B11" s="30" t="s">
        <v>23</v>
      </c>
      <c r="C11" s="27" t="s">
        <v>18</v>
      </c>
      <c r="D11" s="31">
        <f>+D12</f>
        <v>0</v>
      </c>
      <c r="E11" s="32">
        <f>+E12</f>
        <v>0</v>
      </c>
      <c r="F11" s="31">
        <f>+F12</f>
        <v>0</v>
      </c>
      <c r="G11" s="32">
        <f t="shared" ref="G11:L11" si="3">+G12</f>
        <v>0</v>
      </c>
      <c r="H11" s="31">
        <f t="shared" si="3"/>
        <v>0</v>
      </c>
      <c r="I11" s="29">
        <f t="shared" si="3"/>
        <v>0</v>
      </c>
      <c r="J11" s="28">
        <f t="shared" si="3"/>
        <v>0</v>
      </c>
      <c r="K11" s="28">
        <f t="shared" si="3"/>
        <v>0</v>
      </c>
      <c r="L11" s="45">
        <f t="shared" si="3"/>
        <v>0</v>
      </c>
      <c r="M11" s="51">
        <f>+M12</f>
        <v>0</v>
      </c>
      <c r="N11" s="5"/>
      <c r="Q11" s="43"/>
      <c r="R11" s="43"/>
    </row>
    <row r="12" spans="2:18" hidden="1" x14ac:dyDescent="0.25">
      <c r="B12" s="10" t="s">
        <v>24</v>
      </c>
      <c r="C12" s="15" t="s">
        <v>25</v>
      </c>
      <c r="D12" s="19">
        <v>0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19">
        <v>0</v>
      </c>
      <c r="L12" s="44">
        <v>0</v>
      </c>
      <c r="M12" s="44">
        <f>SUM(D12:L12)</f>
        <v>0</v>
      </c>
      <c r="N12" s="5"/>
      <c r="Q12" s="7"/>
      <c r="R12" s="7"/>
    </row>
    <row r="13" spans="2:18" hidden="1" x14ac:dyDescent="0.25">
      <c r="B13" s="30" t="s">
        <v>26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>+G14</f>
        <v>0</v>
      </c>
      <c r="H13" s="31">
        <f t="shared" ref="H13:L13" si="4">+H14</f>
        <v>0</v>
      </c>
      <c r="I13" s="32">
        <f t="shared" si="4"/>
        <v>0</v>
      </c>
      <c r="J13" s="31">
        <f t="shared" si="4"/>
        <v>0</v>
      </c>
      <c r="K13" s="31">
        <f t="shared" si="4"/>
        <v>0</v>
      </c>
      <c r="L13" s="45">
        <f t="shared" si="4"/>
        <v>0</v>
      </c>
      <c r="M13" s="51">
        <f>+M14</f>
        <v>0</v>
      </c>
      <c r="N13" s="5"/>
      <c r="Q13" s="7"/>
      <c r="R13" s="7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32">
        <f>+E16</f>
        <v>11225252.527299998</v>
      </c>
      <c r="F15" s="31">
        <f>+F16</f>
        <v>0</v>
      </c>
      <c r="G15" s="45">
        <f t="shared" ref="G15:K15" si="5">+G16</f>
        <v>2701478133.3662996</v>
      </c>
      <c r="H15" s="31">
        <f t="shared" si="5"/>
        <v>180612502.30329999</v>
      </c>
      <c r="I15" s="32">
        <f t="shared" si="5"/>
        <v>88124817.246500015</v>
      </c>
      <c r="J15" s="31">
        <f>J16</f>
        <v>0</v>
      </c>
      <c r="K15" s="31">
        <f t="shared" si="5"/>
        <v>4368671.7390000001</v>
      </c>
      <c r="L15" s="45">
        <f>L16</f>
        <v>91841421.26380001</v>
      </c>
      <c r="M15" s="51">
        <f>+M16</f>
        <v>3077650798.4461994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78">
        <v>11225252.527299998</v>
      </c>
      <c r="F16" s="44">
        <v>0</v>
      </c>
      <c r="G16" s="86">
        <v>2701478133.3662996</v>
      </c>
      <c r="H16" s="93">
        <v>180612502.30329999</v>
      </c>
      <c r="I16" s="78">
        <v>88124817.246500015</v>
      </c>
      <c r="J16" s="19">
        <v>0</v>
      </c>
      <c r="K16" s="93">
        <v>4368671.7390000001</v>
      </c>
      <c r="L16" s="86">
        <v>91841421.26380001</v>
      </c>
      <c r="M16" s="50">
        <f>SUM(D16:L16)</f>
        <v>3077650798.4461994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487931.12079999998</v>
      </c>
      <c r="H19" s="31">
        <f t="shared" si="7"/>
        <v>0</v>
      </c>
      <c r="I19" s="32">
        <f t="shared" si="7"/>
        <v>0</v>
      </c>
      <c r="J19" s="31">
        <f t="shared" si="7"/>
        <v>0</v>
      </c>
      <c r="K19" s="31">
        <f t="shared" si="7"/>
        <v>0</v>
      </c>
      <c r="L19" s="45">
        <f t="shared" si="7"/>
        <v>0</v>
      </c>
      <c r="M19" s="51">
        <f>+M20</f>
        <v>487931.12079999998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>
        <v>487931.12079999998</v>
      </c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50">
        <f>SUM(D20:L20)</f>
        <v>487931.12079999998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0</v>
      </c>
      <c r="G21" s="45">
        <v>0</v>
      </c>
      <c r="H21" s="31">
        <v>0</v>
      </c>
      <c r="I21" s="32">
        <v>0</v>
      </c>
      <c r="J21" s="31">
        <f>+J22</f>
        <v>76912930.029699996</v>
      </c>
      <c r="K21" s="31">
        <f t="shared" ref="K21:L21" si="8">+K22</f>
        <v>0</v>
      </c>
      <c r="L21" s="45">
        <f t="shared" si="8"/>
        <v>0</v>
      </c>
      <c r="M21" s="51">
        <f>M22</f>
        <v>76912930.029699996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83"/>
      <c r="G22" s="44">
        <v>0</v>
      </c>
      <c r="H22" s="19">
        <v>0</v>
      </c>
      <c r="I22" s="60">
        <v>0</v>
      </c>
      <c r="J22" s="86">
        <v>76912930.029699996</v>
      </c>
      <c r="K22" s="19">
        <v>0</v>
      </c>
      <c r="L22" s="44">
        <v>0</v>
      </c>
      <c r="M22" s="50">
        <f>SUM(D22:L22)</f>
        <v>76912930.029699996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25205556.744600002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25205556.744600002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93">
        <v>25205556.744600002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0">
        <f t="shared" ref="M24" si="10">SUM(D24:L24)</f>
        <v>25205556.744600002</v>
      </c>
      <c r="N24" s="5"/>
    </row>
    <row r="25" spans="2:18" ht="15" customHeight="1" x14ac:dyDescent="0.25">
      <c r="B25" s="79" t="s">
        <v>61</v>
      </c>
      <c r="C25" s="15" t="s">
        <v>18</v>
      </c>
      <c r="D25" s="45">
        <f>D26</f>
        <v>0</v>
      </c>
      <c r="E25" s="45">
        <f t="shared" ref="E25:L25" si="11">E26</f>
        <v>0</v>
      </c>
      <c r="F25" s="31">
        <f t="shared" si="11"/>
        <v>0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0</v>
      </c>
      <c r="N25" s="3"/>
      <c r="P25" s="13"/>
    </row>
    <row r="26" spans="2:18" ht="15" customHeight="1" x14ac:dyDescent="0.25">
      <c r="B26" s="10" t="s">
        <v>24</v>
      </c>
      <c r="C26" s="15" t="s">
        <v>25</v>
      </c>
      <c r="D26" s="44">
        <v>0</v>
      </c>
      <c r="E26" s="44">
        <v>0</v>
      </c>
      <c r="F26" s="31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0</v>
      </c>
      <c r="N26" s="5"/>
    </row>
    <row r="27" spans="2:18" ht="15" hidden="1" customHeight="1" x14ac:dyDescent="0.25">
      <c r="B27" s="11" t="s">
        <v>33</v>
      </c>
      <c r="C27" s="15" t="s">
        <v>18</v>
      </c>
      <c r="D27" s="3"/>
      <c r="E27" s="20"/>
      <c r="F27" s="31"/>
      <c r="G27" s="20"/>
      <c r="H27" s="19"/>
      <c r="I27" s="20"/>
      <c r="J27" s="19"/>
      <c r="K27" s="20"/>
      <c r="L27" s="19"/>
      <c r="M27" s="51">
        <f>+M28</f>
        <v>0</v>
      </c>
      <c r="N27" s="5"/>
    </row>
    <row r="28" spans="2:18" ht="15" hidden="1" customHeight="1" x14ac:dyDescent="0.25">
      <c r="B28" s="10" t="s">
        <v>24</v>
      </c>
      <c r="C28" s="15" t="s">
        <v>25</v>
      </c>
      <c r="D28" s="3"/>
      <c r="E28" s="20"/>
      <c r="F28" s="31"/>
      <c r="G28" s="20"/>
      <c r="H28" s="19"/>
      <c r="I28" s="20"/>
      <c r="J28" s="19"/>
      <c r="K28" s="20"/>
      <c r="L28" s="19"/>
      <c r="M28" s="50"/>
      <c r="N28" s="5"/>
    </row>
    <row r="29" spans="2:18" ht="15" hidden="1" customHeight="1" x14ac:dyDescent="0.25">
      <c r="B29" s="11" t="s">
        <v>29</v>
      </c>
      <c r="C29" s="15" t="s">
        <v>18</v>
      </c>
      <c r="D29" s="3"/>
      <c r="E29" s="20"/>
      <c r="F29" s="31"/>
      <c r="G29" s="20"/>
      <c r="H29" s="19"/>
      <c r="I29" s="20"/>
      <c r="J29" s="19"/>
      <c r="K29" s="20"/>
      <c r="L29" s="19"/>
      <c r="M29" s="51">
        <f>+M30</f>
        <v>0</v>
      </c>
      <c r="N29" s="3"/>
    </row>
    <row r="30" spans="2:18" ht="15" hidden="1" customHeight="1" x14ac:dyDescent="0.25">
      <c r="B30" s="10" t="s">
        <v>24</v>
      </c>
      <c r="C30" s="15" t="s">
        <v>25</v>
      </c>
      <c r="D30" s="3"/>
      <c r="E30" s="20"/>
      <c r="F30" s="31"/>
      <c r="G30" s="20"/>
      <c r="H30" s="19"/>
      <c r="I30" s="20"/>
      <c r="J30" s="19"/>
      <c r="K30" s="20"/>
      <c r="L30" s="19"/>
      <c r="M30" s="50"/>
      <c r="N30" s="5"/>
    </row>
    <row r="31" spans="2:18" x14ac:dyDescent="0.25">
      <c r="B31" s="2" t="s">
        <v>34</v>
      </c>
      <c r="C31" s="16" t="s">
        <v>18</v>
      </c>
      <c r="D31" s="23">
        <f t="shared" ref="D31:L31" si="12">+D32+D34+D36</f>
        <v>0</v>
      </c>
      <c r="E31" s="25">
        <f t="shared" si="12"/>
        <v>3183246274.3505034</v>
      </c>
      <c r="F31" s="23">
        <f t="shared" si="12"/>
        <v>0</v>
      </c>
      <c r="G31" s="25">
        <f t="shared" si="12"/>
        <v>4335608498.4617004</v>
      </c>
      <c r="H31" s="67">
        <f t="shared" si="12"/>
        <v>3000129067.8361998</v>
      </c>
      <c r="I31" s="25">
        <f t="shared" si="12"/>
        <v>3452990418.2513003</v>
      </c>
      <c r="J31" s="99">
        <f t="shared" si="12"/>
        <v>313827901.80289996</v>
      </c>
      <c r="K31" s="25">
        <f t="shared" si="12"/>
        <v>492545511.91709995</v>
      </c>
      <c r="L31" s="67">
        <f t="shared" si="12"/>
        <v>1046589665.7479</v>
      </c>
      <c r="M31" s="17">
        <f>+M32+M36+M34</f>
        <v>15824937338.367603</v>
      </c>
      <c r="N31" s="4">
        <f>+M31/$M$55</f>
        <v>7.7695905454673919E-2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512080167.74740016</v>
      </c>
      <c r="F32" s="31">
        <f>+F33</f>
        <v>0</v>
      </c>
      <c r="G32" s="28">
        <f t="shared" ref="G32:L32" si="13">+G33</f>
        <v>1127723179.8789003</v>
      </c>
      <c r="H32" s="94">
        <f t="shared" si="13"/>
        <v>515305923.47629994</v>
      </c>
      <c r="I32" s="29">
        <f>+I33</f>
        <v>1371443608.4505</v>
      </c>
      <c r="J32" s="63">
        <f>+J33</f>
        <v>13520081.825099999</v>
      </c>
      <c r="K32" s="101">
        <f t="shared" si="13"/>
        <v>96091163.292400002</v>
      </c>
      <c r="L32" s="94">
        <f t="shared" si="13"/>
        <v>185845994.91890001</v>
      </c>
      <c r="M32" s="51">
        <f>+M33</f>
        <v>3822010119.5895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512080167.74740016</v>
      </c>
      <c r="F33" s="31">
        <v>0</v>
      </c>
      <c r="G33" s="93">
        <v>1127723179.8789003</v>
      </c>
      <c r="H33" s="86">
        <v>515305923.47629994</v>
      </c>
      <c r="I33" s="21">
        <v>1371443608.4505</v>
      </c>
      <c r="J33" s="64">
        <v>13520081.825099999</v>
      </c>
      <c r="K33" s="102">
        <v>96091163.292400002</v>
      </c>
      <c r="L33" s="86">
        <v>185845994.91890001</v>
      </c>
      <c r="M33" s="44">
        <f>SUM(D33:L33)</f>
        <v>3822010119.5895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+E35</f>
        <v>2589174096.583703</v>
      </c>
      <c r="F34" s="31">
        <f>+F35</f>
        <v>0</v>
      </c>
      <c r="G34" s="31">
        <f t="shared" ref="G34:L34" si="14">+G35</f>
        <v>2179845957.1363001</v>
      </c>
      <c r="H34" s="45">
        <f t="shared" si="14"/>
        <v>1364560163.4581997</v>
      </c>
      <c r="I34" s="32">
        <f>+I35</f>
        <v>1817545754.2163002</v>
      </c>
      <c r="J34" s="65">
        <f>+J35</f>
        <v>115806862.47589999</v>
      </c>
      <c r="K34" s="95">
        <f t="shared" si="14"/>
        <v>16202554.7905</v>
      </c>
      <c r="L34" s="45">
        <f t="shared" si="14"/>
        <v>478491686.39749998</v>
      </c>
      <c r="M34" s="51">
        <f>+M35</f>
        <v>8561627075.0584021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>
        <v>2589174096.583703</v>
      </c>
      <c r="F35" s="31">
        <v>0</v>
      </c>
      <c r="G35" s="93">
        <v>2179845957.1363001</v>
      </c>
      <c r="H35" s="86">
        <v>1364560163.4581997</v>
      </c>
      <c r="I35" s="21">
        <v>1817545754.2163002</v>
      </c>
      <c r="J35" s="64">
        <v>115806862.47589999</v>
      </c>
      <c r="K35" s="102">
        <v>16202554.7905</v>
      </c>
      <c r="L35" s="86">
        <v>478491686.39749998</v>
      </c>
      <c r="M35" s="50">
        <f>SUM(D35:L35)</f>
        <v>8561627075.0584021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+E37</f>
        <v>81992010.019400001</v>
      </c>
      <c r="F36" s="31">
        <f>+F37</f>
        <v>0</v>
      </c>
      <c r="G36" s="31">
        <f t="shared" ref="G36:L36" si="15">+G37</f>
        <v>1028039361.4465001</v>
      </c>
      <c r="H36" s="45">
        <f t="shared" si="15"/>
        <v>1120262980.9017003</v>
      </c>
      <c r="I36" s="32">
        <f>+I37</f>
        <v>264001055.58450001</v>
      </c>
      <c r="J36" s="65">
        <f>+J37</f>
        <v>184500957.50189999</v>
      </c>
      <c r="K36" s="95">
        <f t="shared" si="15"/>
        <v>380251793.83419997</v>
      </c>
      <c r="L36" s="45">
        <f t="shared" si="15"/>
        <v>382251984.43150002</v>
      </c>
      <c r="M36" s="51">
        <f>+M37</f>
        <v>3441300143.7197003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81992010.019400001</v>
      </c>
      <c r="F37" s="31">
        <v>0</v>
      </c>
      <c r="G37" s="93">
        <v>1028039361.4465001</v>
      </c>
      <c r="H37" s="86">
        <v>1120262980.9017003</v>
      </c>
      <c r="I37" s="21">
        <v>264001055.58450001</v>
      </c>
      <c r="J37" s="64">
        <v>184500957.50189999</v>
      </c>
      <c r="K37" s="102">
        <v>380251793.83419997</v>
      </c>
      <c r="L37" s="86">
        <v>382251984.43150002</v>
      </c>
      <c r="M37" s="50">
        <f>SUM(D37:L37)</f>
        <v>3441300143.7197003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58888705.445799999</v>
      </c>
      <c r="E38" s="25">
        <f>+E39+E41+E45+E49+E51+E47+E44+E53</f>
        <v>5616073299.0855007</v>
      </c>
      <c r="F38" s="25">
        <f t="shared" ref="F38:L38" si="16">+F39+F41+F45+F49+F51+F47+F44+F53</f>
        <v>125736328.26539999</v>
      </c>
      <c r="G38" s="23">
        <f t="shared" si="16"/>
        <v>8656062664.1348</v>
      </c>
      <c r="H38" s="23">
        <f t="shared" si="16"/>
        <v>3094193307.0420003</v>
      </c>
      <c r="I38" s="23">
        <f t="shared" si="16"/>
        <v>3169930313.1280003</v>
      </c>
      <c r="J38" s="23">
        <f t="shared" si="16"/>
        <v>0</v>
      </c>
      <c r="K38" s="23">
        <f t="shared" si="16"/>
        <v>0</v>
      </c>
      <c r="L38" s="23">
        <f t="shared" si="16"/>
        <v>488696766.99230003</v>
      </c>
      <c r="M38" s="17">
        <f>+M39+M41+M43+P42+M45+M49+M51+M47+M53</f>
        <v>21209581384.0938</v>
      </c>
      <c r="N38" s="89">
        <f>+M38/$M$55</f>
        <v>0.10413296398693671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1910213402.3741</v>
      </c>
      <c r="F39" s="63">
        <f>+F40</f>
        <v>0</v>
      </c>
      <c r="G39" s="45">
        <f t="shared" ref="G39:L39" si="17">+G40</f>
        <v>3425504228.3746996</v>
      </c>
      <c r="H39" s="45">
        <f t="shared" si="17"/>
        <v>1248405985.4521</v>
      </c>
      <c r="I39" s="32">
        <f t="shared" si="17"/>
        <v>1908995445.3151</v>
      </c>
      <c r="J39" s="31">
        <f t="shared" si="17"/>
        <v>0</v>
      </c>
      <c r="K39" s="32">
        <f t="shared" si="17"/>
        <v>0</v>
      </c>
      <c r="L39" s="95">
        <f t="shared" si="17"/>
        <v>313167208.78970003</v>
      </c>
      <c r="M39" s="51">
        <f>+M40</f>
        <v>8806286270.3056984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1910213402.3741</v>
      </c>
      <c r="F40" s="65">
        <v>0</v>
      </c>
      <c r="G40" s="86">
        <v>3425504228.3746996</v>
      </c>
      <c r="H40" s="86">
        <v>1248405985.4521</v>
      </c>
      <c r="I40" s="78">
        <v>1908995445.3151</v>
      </c>
      <c r="J40" s="19">
        <v>0</v>
      </c>
      <c r="K40" s="19">
        <v>0</v>
      </c>
      <c r="L40" s="86">
        <v>313167208.78970003</v>
      </c>
      <c r="M40" s="50">
        <f>SUM(D40:L40)</f>
        <v>8806286270.3056984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2018757511.9454999</v>
      </c>
      <c r="F41" s="65">
        <f>+F42</f>
        <v>0</v>
      </c>
      <c r="G41" s="45">
        <f t="shared" ref="G41:L41" si="18">+G42</f>
        <v>1314295255.1728001</v>
      </c>
      <c r="H41" s="45">
        <f t="shared" si="18"/>
        <v>1314295255.1729002</v>
      </c>
      <c r="I41" s="32">
        <f t="shared" si="18"/>
        <v>1260934867.8129001</v>
      </c>
      <c r="J41" s="31">
        <f t="shared" si="18"/>
        <v>0</v>
      </c>
      <c r="K41" s="32">
        <f t="shared" si="18"/>
        <v>0</v>
      </c>
      <c r="L41" s="65">
        <f t="shared" si="18"/>
        <v>0</v>
      </c>
      <c r="M41" s="51">
        <f>+M42</f>
        <v>5908282890.1041012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2018757511.9454999</v>
      </c>
      <c r="F42" s="65">
        <v>0</v>
      </c>
      <c r="G42" s="86">
        <v>1314295255.1728001</v>
      </c>
      <c r="H42" s="86">
        <v>1314295255.1729002</v>
      </c>
      <c r="I42" s="78">
        <v>1260934867.8129001</v>
      </c>
      <c r="J42" s="19">
        <v>0</v>
      </c>
      <c r="K42" s="20">
        <v>0</v>
      </c>
      <c r="L42" s="69">
        <v>0</v>
      </c>
      <c r="M42" s="50">
        <f>SUM(D42:L42)</f>
        <v>5908282890.1041012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960689818.76010001</v>
      </c>
      <c r="F43" s="65">
        <f t="shared" ref="F43:M43" si="19">F44</f>
        <v>0</v>
      </c>
      <c r="G43" s="95">
        <f t="shared" si="19"/>
        <v>0</v>
      </c>
      <c r="H43" s="45">
        <f t="shared" si="19"/>
        <v>0</v>
      </c>
      <c r="I43" s="68">
        <f t="shared" si="19"/>
        <v>0</v>
      </c>
      <c r="J43" s="65">
        <f t="shared" si="19"/>
        <v>0</v>
      </c>
      <c r="K43" s="65">
        <f t="shared" si="19"/>
        <v>0</v>
      </c>
      <c r="L43" s="65">
        <f t="shared" si="19"/>
        <v>0</v>
      </c>
      <c r="M43" s="80">
        <f t="shared" si="19"/>
        <v>960689818.76010001</v>
      </c>
      <c r="N43" s="5"/>
      <c r="P43" s="81"/>
    </row>
    <row r="44" spans="2:16" x14ac:dyDescent="0.25">
      <c r="B44" s="10" t="s">
        <v>44</v>
      </c>
      <c r="C44" s="15" t="s">
        <v>45</v>
      </c>
      <c r="D44" s="19"/>
      <c r="E44" s="78">
        <v>960689818.76010001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960689818.76010001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0">+G46</f>
        <v>0</v>
      </c>
      <c r="H45" s="45">
        <f t="shared" si="20"/>
        <v>137023073.92449999</v>
      </c>
      <c r="I45" s="32">
        <f t="shared" si="20"/>
        <v>0</v>
      </c>
      <c r="J45" s="31">
        <f t="shared" si="20"/>
        <v>0</v>
      </c>
      <c r="K45" s="32">
        <f t="shared" si="20"/>
        <v>0</v>
      </c>
      <c r="L45" s="65">
        <f t="shared" si="20"/>
        <v>175529558.2026</v>
      </c>
      <c r="M45" s="51">
        <f>+M46</f>
        <v>312552632.12709999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137023073.92449999</v>
      </c>
      <c r="I46" s="20">
        <v>0</v>
      </c>
      <c r="J46" s="19">
        <v>0</v>
      </c>
      <c r="K46" s="19">
        <v>0</v>
      </c>
      <c r="L46" s="93">
        <v>175529558.2026</v>
      </c>
      <c r="M46" s="53">
        <f>SUM(D46:L46)</f>
        <v>312552632.12709999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0</v>
      </c>
      <c r="E47" s="32">
        <f>+E48</f>
        <v>0</v>
      </c>
      <c r="F47" s="95">
        <f>+F48</f>
        <v>88543461.668099999</v>
      </c>
      <c r="G47" s="45">
        <f t="shared" si="20"/>
        <v>0</v>
      </c>
      <c r="H47" s="45">
        <f t="shared" si="20"/>
        <v>284071036.62089998</v>
      </c>
      <c r="I47" s="32">
        <f t="shared" si="20"/>
        <v>0</v>
      </c>
      <c r="J47" s="31">
        <f t="shared" si="20"/>
        <v>0</v>
      </c>
      <c r="K47" s="32">
        <f t="shared" si="20"/>
        <v>0</v>
      </c>
      <c r="L47" s="65">
        <f t="shared" si="20"/>
        <v>0</v>
      </c>
      <c r="M47" s="51">
        <f>+M48</f>
        <v>372614498.28899997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0</v>
      </c>
      <c r="E48" s="19">
        <v>0</v>
      </c>
      <c r="F48" s="86">
        <v>88543461.668099999</v>
      </c>
      <c r="G48" s="44">
        <v>0</v>
      </c>
      <c r="H48" s="86">
        <v>284071036.62089998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372614498.28899997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1">+G50</f>
        <v>1822591377.9068</v>
      </c>
      <c r="H49" s="45">
        <f t="shared" si="21"/>
        <v>0</v>
      </c>
      <c r="I49" s="32">
        <f t="shared" si="21"/>
        <v>0</v>
      </c>
      <c r="J49" s="31">
        <f t="shared" si="21"/>
        <v>0</v>
      </c>
      <c r="K49" s="32">
        <f t="shared" si="21"/>
        <v>0</v>
      </c>
      <c r="L49" s="65">
        <f t="shared" si="21"/>
        <v>0</v>
      </c>
      <c r="M49" s="51">
        <f>+M50</f>
        <v>1822591377.9068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93">
        <v>1822591377.9068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1822591377.9068</v>
      </c>
      <c r="N50" s="3"/>
    </row>
    <row r="51" spans="2:14" ht="15" customHeight="1" x14ac:dyDescent="0.25">
      <c r="B51" s="33" t="s">
        <v>51</v>
      </c>
      <c r="C51" s="27" t="s">
        <v>18</v>
      </c>
      <c r="D51" s="19">
        <f>+D52</f>
        <v>0</v>
      </c>
      <c r="E51" s="32">
        <f>+E52</f>
        <v>726412566.00580001</v>
      </c>
      <c r="F51" s="96">
        <f>+F52</f>
        <v>0</v>
      </c>
      <c r="G51" s="31">
        <f t="shared" ref="G51:L51" si="22">+G52</f>
        <v>2093671802.6805</v>
      </c>
      <c r="H51" s="31">
        <f t="shared" si="22"/>
        <v>110397955.8716</v>
      </c>
      <c r="I51" s="32">
        <f t="shared" si="22"/>
        <v>0</v>
      </c>
      <c r="J51" s="31">
        <f t="shared" si="22"/>
        <v>0</v>
      </c>
      <c r="K51" s="32">
        <f t="shared" si="22"/>
        <v>0</v>
      </c>
      <c r="L51" s="65">
        <f t="shared" si="22"/>
        <v>0</v>
      </c>
      <c r="M51" s="51">
        <f>+M52</f>
        <v>2930482324.5579004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726412566.00580001</v>
      </c>
      <c r="F52" s="96">
        <v>0</v>
      </c>
      <c r="G52" s="93">
        <v>2093671802.6805</v>
      </c>
      <c r="H52" s="93">
        <v>110397955.8716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2930482324.5579004</v>
      </c>
      <c r="N52" s="3"/>
    </row>
    <row r="53" spans="2:14" ht="17.25" customHeight="1" x14ac:dyDescent="0.25">
      <c r="B53" s="33" t="s">
        <v>52</v>
      </c>
      <c r="C53" s="27"/>
      <c r="D53" s="31">
        <f>D54</f>
        <v>58888705.445799999</v>
      </c>
      <c r="E53" s="32">
        <v>0</v>
      </c>
      <c r="F53" s="95">
        <f>+F54</f>
        <v>37192866.5973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96081572.043099999</v>
      </c>
      <c r="N53" s="3"/>
    </row>
    <row r="54" spans="2:14" ht="12.95" customHeight="1" x14ac:dyDescent="0.25">
      <c r="B54" s="10" t="s">
        <v>48</v>
      </c>
      <c r="C54" s="49" t="s">
        <v>45</v>
      </c>
      <c r="D54" s="85">
        <v>58888705.445799999</v>
      </c>
      <c r="E54" s="97">
        <v>0</v>
      </c>
      <c r="F54" s="86">
        <v>37192866.5973</v>
      </c>
      <c r="G54" s="38">
        <v>0</v>
      </c>
      <c r="H54" s="98">
        <v>0</v>
      </c>
      <c r="I54" s="44">
        <v>0</v>
      </c>
      <c r="J54" s="19">
        <v>0</v>
      </c>
      <c r="K54" s="71">
        <v>0</v>
      </c>
      <c r="L54" s="70">
        <v>0</v>
      </c>
      <c r="M54" s="53">
        <f t="shared" ref="M54" si="23">SUM(D54:L54)</f>
        <v>96081572.043099999</v>
      </c>
      <c r="N54" s="3"/>
    </row>
    <row r="55" spans="2:14" x14ac:dyDescent="0.25">
      <c r="B55" s="144" t="s">
        <v>53</v>
      </c>
      <c r="C55" s="145"/>
      <c r="D55" s="23">
        <f t="shared" ref="D55:L55" si="24">+D7+D10+D31+D38</f>
        <v>708063307.94079995</v>
      </c>
      <c r="E55" s="23">
        <f t="shared" si="24"/>
        <v>47535886294.991882</v>
      </c>
      <c r="F55" s="23">
        <f t="shared" si="24"/>
        <v>280332560.96070004</v>
      </c>
      <c r="G55" s="25">
        <f t="shared" si="24"/>
        <v>65153552450.833511</v>
      </c>
      <c r="H55" s="61">
        <f t="shared" si="24"/>
        <v>32045927395.102596</v>
      </c>
      <c r="I55" s="25">
        <f t="shared" si="24"/>
        <v>43044776542.034409</v>
      </c>
      <c r="J55" s="23">
        <f t="shared" si="24"/>
        <v>2392257610.8776999</v>
      </c>
      <c r="K55" s="25">
        <f t="shared" si="24"/>
        <v>1933007216.3589008</v>
      </c>
      <c r="L55" s="61">
        <f t="shared" si="24"/>
        <v>10584077015.761801</v>
      </c>
      <c r="M55" s="17">
        <f>+M38+M31+M10+M7</f>
        <v>203677880394.8623</v>
      </c>
      <c r="N55" s="156">
        <f>+M55/M56</f>
        <v>0.26436259201868295</v>
      </c>
    </row>
    <row r="56" spans="2:14" ht="15" customHeight="1" x14ac:dyDescent="0.25">
      <c r="B56" s="144" t="s">
        <v>54</v>
      </c>
      <c r="C56" s="145"/>
      <c r="D56" s="92">
        <v>7091517818</v>
      </c>
      <c r="E56" s="92">
        <v>160294329089.34</v>
      </c>
      <c r="F56" s="23">
        <v>3342875799.48</v>
      </c>
      <c r="G56" s="84">
        <v>238311203606.66</v>
      </c>
      <c r="H56" s="23">
        <v>117705932501.39</v>
      </c>
      <c r="I56" s="92">
        <v>146743375885.32001</v>
      </c>
      <c r="J56" s="92">
        <v>24390949951.59</v>
      </c>
      <c r="K56" s="23">
        <v>17550828400.029999</v>
      </c>
      <c r="L56" s="23">
        <v>48288970978.629997</v>
      </c>
      <c r="M56" s="23">
        <v>770448946046.30005</v>
      </c>
      <c r="N56" s="157"/>
    </row>
    <row r="57" spans="2:14" ht="15.75" customHeight="1" x14ac:dyDescent="0.25">
      <c r="B57" s="144" t="s">
        <v>55</v>
      </c>
      <c r="C57" s="145"/>
      <c r="D57" s="88">
        <f>+D55/D56</f>
        <v>9.9846510452750017E-2</v>
      </c>
      <c r="E57" s="88">
        <f>+E55/E56</f>
        <v>0.29655376185203514</v>
      </c>
      <c r="F57" s="88">
        <f>+F55/F56</f>
        <v>8.3859699784331526E-2</v>
      </c>
      <c r="G57" s="88">
        <f t="shared" ref="G57:L57" si="25">+G55/G56</f>
        <v>0.2733969341968977</v>
      </c>
      <c r="H57" s="88">
        <f t="shared" si="25"/>
        <v>0.27225413973695983</v>
      </c>
      <c r="I57" s="88">
        <f t="shared" si="25"/>
        <v>0.29333369416057264</v>
      </c>
      <c r="J57" s="88">
        <f t="shared" si="25"/>
        <v>9.8079722832679309E-2</v>
      </c>
      <c r="K57" s="88">
        <f t="shared" si="25"/>
        <v>0.11013766258210335</v>
      </c>
      <c r="L57" s="88">
        <f t="shared" si="25"/>
        <v>0.21918207825231403</v>
      </c>
      <c r="M57" s="146" t="s">
        <v>56</v>
      </c>
      <c r="N57" s="147"/>
    </row>
    <row r="58" spans="2:14" x14ac:dyDescent="0.25">
      <c r="B58" s="148" t="s">
        <v>70</v>
      </c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</row>
    <row r="59" spans="2:14" ht="15" customHeight="1" x14ac:dyDescent="0.25">
      <c r="B59" s="149" t="s">
        <v>71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2:14" ht="15.75" x14ac:dyDescent="0.25">
      <c r="B60" s="34" t="s">
        <v>59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x14ac:dyDescent="0.25">
      <c r="B61" s="35"/>
      <c r="C61" s="35"/>
      <c r="D61" s="35"/>
      <c r="E61" s="47"/>
      <c r="F61" s="47"/>
      <c r="G61" s="35"/>
      <c r="H61" s="35"/>
      <c r="I61" s="35"/>
      <c r="J61" s="57"/>
      <c r="K61" s="35"/>
      <c r="L61" s="35"/>
      <c r="M61" s="36"/>
      <c r="N61" s="35"/>
    </row>
    <row r="62" spans="2:14" x14ac:dyDescent="0.25">
      <c r="M62" s="55"/>
    </row>
    <row r="63" spans="2:14" x14ac:dyDescent="0.25">
      <c r="M63" s="56"/>
    </row>
  </sheetData>
  <mergeCells count="22">
    <mergeCell ref="B57:C57"/>
    <mergeCell ref="M57:N57"/>
    <mergeCell ref="B58:N58"/>
    <mergeCell ref="B59:N59"/>
    <mergeCell ref="I5:I6"/>
    <mergeCell ref="J5:J6"/>
    <mergeCell ref="K5:K6"/>
    <mergeCell ref="L5:L6"/>
    <mergeCell ref="M5:N5"/>
    <mergeCell ref="B55:C55"/>
    <mergeCell ref="N55:N56"/>
    <mergeCell ref="B56:C56"/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65"/>
  <sheetViews>
    <sheetView showGridLines="0" topLeftCell="B1" zoomScaleNormal="100" workbookViewId="0">
      <pane xSplit="2" ySplit="6" topLeftCell="D52" activePane="bottomRight" state="frozen"/>
      <selection pane="topRight" activeCell="D1" sqref="D1"/>
      <selection pane="bottomLeft" activeCell="B7" sqref="B7"/>
      <selection pane="bottomRight" activeCell="B68" sqref="B68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74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03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652985368.86769986</v>
      </c>
      <c r="E7" s="25">
        <f t="shared" si="0"/>
        <v>38512983510.408493</v>
      </c>
      <c r="F7" s="23">
        <f t="shared" si="0"/>
        <v>130161054.2024</v>
      </c>
      <c r="G7" s="24">
        <f t="shared" si="0"/>
        <v>52100196791.909088</v>
      </c>
      <c r="H7" s="23">
        <f t="shared" si="0"/>
        <v>26167517473.512978</v>
      </c>
      <c r="I7" s="73">
        <f t="shared" si="0"/>
        <v>37109545130.818581</v>
      </c>
      <c r="J7" s="67">
        <f t="shared" si="0"/>
        <v>1997485548.3263004</v>
      </c>
      <c r="K7" s="73">
        <f t="shared" si="0"/>
        <v>1449347789.4031999</v>
      </c>
      <c r="L7" s="67">
        <f t="shared" si="0"/>
        <v>8917797893.6450005</v>
      </c>
      <c r="M7" s="74">
        <f t="shared" si="0"/>
        <v>167038020561.09372</v>
      </c>
      <c r="N7" s="105">
        <f>+M7/$M$57</f>
        <v>0.80595994448754071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652985368.86769986</v>
      </c>
      <c r="E8" s="29">
        <f t="shared" si="1"/>
        <v>38512983510.408493</v>
      </c>
      <c r="F8" s="28">
        <f t="shared" si="1"/>
        <v>130161054.2024</v>
      </c>
      <c r="G8" s="29">
        <f t="shared" si="1"/>
        <v>52100196791.909088</v>
      </c>
      <c r="H8" s="28">
        <f t="shared" si="1"/>
        <v>26167517473.512978</v>
      </c>
      <c r="I8" s="75">
        <f t="shared" si="1"/>
        <v>37109545130.818581</v>
      </c>
      <c r="J8" s="28">
        <f t="shared" si="1"/>
        <v>1997485548.3263004</v>
      </c>
      <c r="K8" s="75">
        <f t="shared" si="1"/>
        <v>1449347789.4031999</v>
      </c>
      <c r="L8" s="28">
        <f t="shared" si="1"/>
        <v>8917797893.6450005</v>
      </c>
      <c r="M8" s="40">
        <f>+M9</f>
        <v>167038020561.09372</v>
      </c>
      <c r="N8" s="105"/>
      <c r="Q8" s="7"/>
      <c r="R8" s="7"/>
    </row>
    <row r="9" spans="2:18" x14ac:dyDescent="0.25">
      <c r="B9" s="77" t="s">
        <v>20</v>
      </c>
      <c r="C9" s="76" t="s">
        <v>21</v>
      </c>
      <c r="D9" s="85">
        <v>652985368.86769986</v>
      </c>
      <c r="E9" s="78">
        <v>38512983510.408493</v>
      </c>
      <c r="F9" s="39">
        <v>130161054.2024</v>
      </c>
      <c r="G9" s="78">
        <v>52100196791.909088</v>
      </c>
      <c r="H9" s="38">
        <v>26167517473.512978</v>
      </c>
      <c r="I9" s="93">
        <v>37109545130.818581</v>
      </c>
      <c r="J9" s="86">
        <v>1997485548.3263004</v>
      </c>
      <c r="K9" s="93">
        <v>1449347789.4031999</v>
      </c>
      <c r="L9" s="86">
        <v>8917797893.6450005</v>
      </c>
      <c r="M9" s="44">
        <f>SUM(D9:L9)</f>
        <v>167038020561.09372</v>
      </c>
      <c r="N9" s="3"/>
      <c r="Q9" s="7"/>
      <c r="R9" s="7"/>
    </row>
    <row r="10" spans="2:18" x14ac:dyDescent="0.25">
      <c r="B10" s="2" t="s">
        <v>22</v>
      </c>
      <c r="C10" s="16" t="s">
        <v>18</v>
      </c>
      <c r="D10" s="100">
        <f t="shared" ref="D10:F10" si="2">+D11+D13+D15+D17+D19+D21+D23+D25+D27+D29</f>
        <v>0</v>
      </c>
      <c r="E10" s="100">
        <f t="shared" si="2"/>
        <v>317021295.97109997</v>
      </c>
      <c r="F10" s="100">
        <f t="shared" si="2"/>
        <v>0</v>
      </c>
      <c r="G10" s="100">
        <f>+G11+G13+G15+G17+G19+G21+G23+G25+G27+G29</f>
        <v>1810767444.3675003</v>
      </c>
      <c r="H10" s="100">
        <f t="shared" ref="H10:M10" si="3">+H11+H13+H15+H17+H19+H21+H23+H25+H27+H29</f>
        <v>156662483.16680002</v>
      </c>
      <c r="I10" s="100">
        <f t="shared" si="3"/>
        <v>642972740.75650012</v>
      </c>
      <c r="J10" s="100">
        <f t="shared" si="3"/>
        <v>80114958.906599998</v>
      </c>
      <c r="K10" s="100">
        <f t="shared" si="3"/>
        <v>20503409.2181</v>
      </c>
      <c r="L10" s="100">
        <f t="shared" si="3"/>
        <v>49607796.935600005</v>
      </c>
      <c r="M10" s="100">
        <f t="shared" si="3"/>
        <v>3077650129.3221998</v>
      </c>
      <c r="N10" s="4">
        <f>+M10/$M$57</f>
        <v>1.4849689424291098E-2</v>
      </c>
      <c r="O10" s="41"/>
      <c r="P10" s="13"/>
      <c r="Q10" s="7"/>
      <c r="R10" s="7"/>
    </row>
    <row r="11" spans="2:18" s="42" customFormat="1" hidden="1" x14ac:dyDescent="0.25">
      <c r="B11" s="30" t="s">
        <v>23</v>
      </c>
      <c r="C11" s="27" t="s">
        <v>18</v>
      </c>
      <c r="D11" s="31">
        <f>+D12</f>
        <v>0</v>
      </c>
      <c r="E11" s="32">
        <f>+E12</f>
        <v>0</v>
      </c>
      <c r="F11" s="31">
        <f>+F12</f>
        <v>0</v>
      </c>
      <c r="G11" s="32">
        <f t="shared" ref="G11:L11" si="4">+G12</f>
        <v>0</v>
      </c>
      <c r="H11" s="31">
        <f t="shared" si="4"/>
        <v>0</v>
      </c>
      <c r="I11" s="29">
        <f t="shared" si="4"/>
        <v>0</v>
      </c>
      <c r="J11" s="28">
        <f t="shared" si="4"/>
        <v>0</v>
      </c>
      <c r="K11" s="28">
        <f t="shared" si="4"/>
        <v>0</v>
      </c>
      <c r="L11" s="45">
        <f t="shared" si="4"/>
        <v>0</v>
      </c>
      <c r="M11" s="51">
        <f>+M12</f>
        <v>0</v>
      </c>
      <c r="N11" s="5"/>
      <c r="Q11" s="43"/>
      <c r="R11" s="43"/>
    </row>
    <row r="12" spans="2:18" hidden="1" x14ac:dyDescent="0.25">
      <c r="B12" s="10" t="s">
        <v>24</v>
      </c>
      <c r="C12" s="15" t="s">
        <v>25</v>
      </c>
      <c r="D12" s="19">
        <v>0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19">
        <v>0</v>
      </c>
      <c r="L12" s="44">
        <v>0</v>
      </c>
      <c r="M12" s="44">
        <f>SUM(D12:L12)</f>
        <v>0</v>
      </c>
      <c r="N12" s="5"/>
      <c r="Q12" s="7"/>
      <c r="R12" s="7"/>
    </row>
    <row r="13" spans="2:18" hidden="1" x14ac:dyDescent="0.25">
      <c r="B13" s="30" t="s">
        <v>26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>+G14</f>
        <v>0</v>
      </c>
      <c r="H13" s="31">
        <f t="shared" ref="H13:L13" si="5">+H14</f>
        <v>0</v>
      </c>
      <c r="I13" s="32">
        <f t="shared" si="5"/>
        <v>0</v>
      </c>
      <c r="J13" s="31">
        <f t="shared" si="5"/>
        <v>0</v>
      </c>
      <c r="K13" s="31">
        <f t="shared" si="5"/>
        <v>0</v>
      </c>
      <c r="L13" s="45">
        <f t="shared" si="5"/>
        <v>0</v>
      </c>
      <c r="M13" s="51">
        <f>+M14</f>
        <v>0</v>
      </c>
      <c r="N13" s="5"/>
      <c r="Q13" s="7"/>
      <c r="R13" s="7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32">
        <f>+E16</f>
        <v>317021295.97109997</v>
      </c>
      <c r="F15" s="31">
        <f>+F16</f>
        <v>0</v>
      </c>
      <c r="G15" s="45">
        <f t="shared" ref="G15:I15" si="6">+G16</f>
        <v>1753036382.6901002</v>
      </c>
      <c r="H15" s="31">
        <f t="shared" si="6"/>
        <v>156662483.16680002</v>
      </c>
      <c r="I15" s="32">
        <f t="shared" si="6"/>
        <v>642972740.75650012</v>
      </c>
      <c r="J15" s="31">
        <f>J16</f>
        <v>0</v>
      </c>
      <c r="K15" s="31">
        <f>+K16</f>
        <v>20503409.2181</v>
      </c>
      <c r="L15" s="45">
        <f>L16</f>
        <v>49607796.935600005</v>
      </c>
      <c r="M15" s="51">
        <f>+M16</f>
        <v>2939804108.7382002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93">
        <v>317021295.97109997</v>
      </c>
      <c r="F16" s="44">
        <v>0</v>
      </c>
      <c r="G16" s="86">
        <v>1753036382.6901002</v>
      </c>
      <c r="H16" s="93">
        <v>156662483.16680002</v>
      </c>
      <c r="I16" s="78">
        <v>642972740.75650012</v>
      </c>
      <c r="J16" s="19"/>
      <c r="K16" s="93">
        <v>20503409.2181</v>
      </c>
      <c r="L16" s="86">
        <v>49607796.935600005</v>
      </c>
      <c r="M16" s="50">
        <f>SUM(D16:L16)</f>
        <v>2939804108.7382002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7">+G18</f>
        <v>0</v>
      </c>
      <c r="H17" s="31">
        <f t="shared" si="7"/>
        <v>0</v>
      </c>
      <c r="I17" s="32">
        <f t="shared" si="7"/>
        <v>0</v>
      </c>
      <c r="J17" s="31">
        <f t="shared" si="7"/>
        <v>0</v>
      </c>
      <c r="K17" s="31">
        <f t="shared" si="7"/>
        <v>0</v>
      </c>
      <c r="L17" s="45">
        <f t="shared" si="7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8">+G20</f>
        <v>471670.81969999999</v>
      </c>
      <c r="H19" s="31">
        <f t="shared" si="8"/>
        <v>0</v>
      </c>
      <c r="I19" s="32">
        <f t="shared" si="8"/>
        <v>0</v>
      </c>
      <c r="J19" s="31">
        <f t="shared" si="8"/>
        <v>0</v>
      </c>
      <c r="K19" s="31">
        <f t="shared" si="8"/>
        <v>0</v>
      </c>
      <c r="L19" s="45">
        <f t="shared" si="8"/>
        <v>0</v>
      </c>
      <c r="M19" s="51">
        <f>+M20</f>
        <v>471670.81969999999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>
        <v>471670.81969999999</v>
      </c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50">
        <f>SUM(D20:L20)</f>
        <v>471670.81969999999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0</v>
      </c>
      <c r="G21" s="45">
        <v>0</v>
      </c>
      <c r="H21" s="31">
        <v>0</v>
      </c>
      <c r="I21" s="32">
        <v>0</v>
      </c>
      <c r="J21" s="31">
        <f>+J22</f>
        <v>80114958.906599998</v>
      </c>
      <c r="K21" s="31">
        <f t="shared" ref="K21:L21" si="9">+K22</f>
        <v>0</v>
      </c>
      <c r="L21" s="45">
        <f t="shared" si="9"/>
        <v>0</v>
      </c>
      <c r="M21" s="51">
        <f>M22</f>
        <v>80114958.906599998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>
        <v>0</v>
      </c>
      <c r="G22" s="44">
        <v>0</v>
      </c>
      <c r="H22" s="19">
        <v>0</v>
      </c>
      <c r="I22" s="60">
        <v>0</v>
      </c>
      <c r="J22" s="86">
        <v>80114958.906599998</v>
      </c>
      <c r="K22" s="19">
        <v>0</v>
      </c>
      <c r="L22" s="44">
        <v>0</v>
      </c>
      <c r="M22" s="50">
        <f>SUM(D22:L22)</f>
        <v>80114958.906599998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10">E24</f>
        <v>0</v>
      </c>
      <c r="F23" s="45">
        <f t="shared" si="10"/>
        <v>0</v>
      </c>
      <c r="G23" s="44">
        <f t="shared" si="10"/>
        <v>0</v>
      </c>
      <c r="H23" s="19">
        <f t="shared" si="10"/>
        <v>0</v>
      </c>
      <c r="I23" s="44">
        <f t="shared" si="10"/>
        <v>0</v>
      </c>
      <c r="J23" s="44">
        <f t="shared" si="10"/>
        <v>0</v>
      </c>
      <c r="K23" s="19">
        <f t="shared" si="10"/>
        <v>0</v>
      </c>
      <c r="L23" s="44">
        <f t="shared" si="10"/>
        <v>0</v>
      </c>
      <c r="M23" s="58">
        <f>M24</f>
        <v>0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1">SUM(D24:L24)</f>
        <v>0</v>
      </c>
      <c r="N24" s="5"/>
    </row>
    <row r="25" spans="2:18" ht="15" customHeight="1" x14ac:dyDescent="0.25">
      <c r="B25" s="79" t="s">
        <v>61</v>
      </c>
      <c r="C25" s="15" t="s">
        <v>18</v>
      </c>
      <c r="D25" s="45">
        <f>D26</f>
        <v>0</v>
      </c>
      <c r="E25" s="45">
        <f t="shared" ref="E25:L25" si="12">E26</f>
        <v>0</v>
      </c>
      <c r="F25" s="31">
        <f t="shared" si="12"/>
        <v>0</v>
      </c>
      <c r="G25" s="31">
        <f t="shared" si="12"/>
        <v>0</v>
      </c>
      <c r="H25" s="19">
        <f t="shared" si="12"/>
        <v>0</v>
      </c>
      <c r="I25" s="44">
        <f t="shared" si="12"/>
        <v>0</v>
      </c>
      <c r="J25" s="19">
        <f t="shared" si="12"/>
        <v>0</v>
      </c>
      <c r="K25" s="19">
        <f t="shared" si="12"/>
        <v>0</v>
      </c>
      <c r="L25" s="44">
        <f t="shared" si="12"/>
        <v>0</v>
      </c>
      <c r="M25" s="51">
        <f>+M26</f>
        <v>0</v>
      </c>
      <c r="N25" s="3"/>
      <c r="P25" s="13"/>
    </row>
    <row r="26" spans="2:18" ht="15" customHeight="1" x14ac:dyDescent="0.25">
      <c r="B26" s="10" t="s">
        <v>24</v>
      </c>
      <c r="C26" s="15" t="s">
        <v>25</v>
      </c>
      <c r="D26" s="44">
        <v>0</v>
      </c>
      <c r="E26" s="44">
        <v>0</v>
      </c>
      <c r="F26" s="31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0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57259390.857699998</v>
      </c>
      <c r="H27" s="31">
        <f>H26</f>
        <v>0</v>
      </c>
      <c r="I27" s="31">
        <f>I26</f>
        <v>0</v>
      </c>
      <c r="J27" s="31">
        <f t="shared" ref="J27:L27" si="13">J26</f>
        <v>0</v>
      </c>
      <c r="K27" s="31">
        <f t="shared" si="13"/>
        <v>0</v>
      </c>
      <c r="L27" s="31">
        <f t="shared" si="13"/>
        <v>0</v>
      </c>
      <c r="M27" s="51">
        <f>+M28</f>
        <v>57259390.857699998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19">
        <v>57259390.857699998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50">
        <f t="shared" ref="M28" si="14">SUM(D28:L28)</f>
        <v>57259390.857699998</v>
      </c>
      <c r="N28" s="5"/>
    </row>
    <row r="29" spans="2:18" ht="15" hidden="1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5">I30</f>
        <v>0</v>
      </c>
      <c r="J29" s="19">
        <f t="shared" si="15"/>
        <v>0</v>
      </c>
      <c r="K29" s="19">
        <f t="shared" si="15"/>
        <v>0</v>
      </c>
      <c r="L29" s="19">
        <f t="shared" si="15"/>
        <v>0</v>
      </c>
      <c r="M29" s="51">
        <f>+M30</f>
        <v>0</v>
      </c>
      <c r="N29" s="3"/>
    </row>
    <row r="30" spans="2:18" ht="15" hidden="1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6">+D32+D34+D36</f>
        <v>0</v>
      </c>
      <c r="E31" s="25">
        <f t="shared" si="16"/>
        <v>3174672609.9568</v>
      </c>
      <c r="F31" s="23">
        <f t="shared" si="16"/>
        <v>0</v>
      </c>
      <c r="G31" s="25">
        <f t="shared" si="16"/>
        <v>4339944501.5012999</v>
      </c>
      <c r="H31" s="67">
        <f t="shared" si="16"/>
        <v>3002554987.1073008</v>
      </c>
      <c r="I31" s="25">
        <f t="shared" si="16"/>
        <v>3448228886.6830001</v>
      </c>
      <c r="J31" s="99">
        <f t="shared" si="16"/>
        <v>312985430.42299998</v>
      </c>
      <c r="K31" s="25">
        <f t="shared" si="16"/>
        <v>492434436.71810007</v>
      </c>
      <c r="L31" s="67">
        <f t="shared" si="16"/>
        <v>1044874887.9793999</v>
      </c>
      <c r="M31" s="17">
        <f>+M32+M36+M34</f>
        <v>15815695740.3689</v>
      </c>
      <c r="N31" s="4">
        <f>+M31/$M$57</f>
        <v>7.6310873525212999E-2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512994230.85550004</v>
      </c>
      <c r="F32" s="31">
        <f>+F33</f>
        <v>0</v>
      </c>
      <c r="G32" s="28">
        <f t="shared" ref="G32:L32" si="17">+G33</f>
        <v>1127073441.2423003</v>
      </c>
      <c r="H32" s="94">
        <f t="shared" si="17"/>
        <v>516205306.00950009</v>
      </c>
      <c r="I32" s="29">
        <f>+I33</f>
        <v>1371033117.5967004</v>
      </c>
      <c r="J32" s="63">
        <f>+J33</f>
        <v>13448274.257800002</v>
      </c>
      <c r="K32" s="101">
        <f t="shared" si="17"/>
        <v>95699624.622299999</v>
      </c>
      <c r="L32" s="94">
        <f t="shared" si="17"/>
        <v>185671790.46509999</v>
      </c>
      <c r="M32" s="51">
        <f>+M33</f>
        <v>3822125785.0492005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512994230.85550004</v>
      </c>
      <c r="F33" s="31">
        <v>0</v>
      </c>
      <c r="G33" s="93">
        <v>1127073441.2423003</v>
      </c>
      <c r="H33" s="86">
        <v>516205306.00950009</v>
      </c>
      <c r="I33" s="21">
        <v>1371033117.5967004</v>
      </c>
      <c r="J33" s="64">
        <v>13448274.257800002</v>
      </c>
      <c r="K33" s="102">
        <v>95699624.622299999</v>
      </c>
      <c r="L33" s="86">
        <v>185671790.46509999</v>
      </c>
      <c r="M33" s="44">
        <f>SUM(D33:L33)</f>
        <v>3822125785.0492005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2579597159.3704</v>
      </c>
      <c r="F34" s="31">
        <f>+F35</f>
        <v>0</v>
      </c>
      <c r="G34" s="31">
        <f t="shared" ref="G34:L34" si="18">+G35</f>
        <v>2183599242.1150999</v>
      </c>
      <c r="H34" s="45">
        <f t="shared" si="18"/>
        <v>1364807652.4984004</v>
      </c>
      <c r="I34" s="32">
        <f>+I35</f>
        <v>1812915504.3577995</v>
      </c>
      <c r="J34" s="65">
        <f>+J35</f>
        <v>114840591.25629997</v>
      </c>
      <c r="K34" s="95">
        <f t="shared" si="18"/>
        <v>16076979.566</v>
      </c>
      <c r="L34" s="45">
        <f t="shared" si="18"/>
        <v>476542628.76099992</v>
      </c>
      <c r="M34" s="51">
        <f>+M35</f>
        <v>8548379757.9250002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2579597159.3704</v>
      </c>
      <c r="F35" s="31">
        <v>0</v>
      </c>
      <c r="G35" s="93">
        <v>2183599242.1150999</v>
      </c>
      <c r="H35" s="86">
        <v>1364807652.4984004</v>
      </c>
      <c r="I35" s="21">
        <v>1812915504.3577995</v>
      </c>
      <c r="J35" s="64">
        <v>114840591.25629997</v>
      </c>
      <c r="K35" s="102">
        <v>16076979.566</v>
      </c>
      <c r="L35" s="86">
        <v>476542628.76099992</v>
      </c>
      <c r="M35" s="50">
        <f>SUM(D35:L35)</f>
        <v>8548379757.9250002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E37</f>
        <v>82081219.730900005</v>
      </c>
      <c r="F36" s="31">
        <f>+F37</f>
        <v>0</v>
      </c>
      <c r="G36" s="31">
        <f t="shared" ref="G36:L36" si="19">+G37</f>
        <v>1029271818.1438998</v>
      </c>
      <c r="H36" s="45">
        <f t="shared" si="19"/>
        <v>1121542028.5994</v>
      </c>
      <c r="I36" s="32">
        <f>+I37</f>
        <v>264280264.72849998</v>
      </c>
      <c r="J36" s="65">
        <f>+J37</f>
        <v>184696564.90889999</v>
      </c>
      <c r="K36" s="95">
        <f t="shared" si="19"/>
        <v>380657832.52980006</v>
      </c>
      <c r="L36" s="45">
        <f t="shared" si="19"/>
        <v>382660468.75329995</v>
      </c>
      <c r="M36" s="51">
        <f>+M37</f>
        <v>3445190197.3946991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82081219.730900005</v>
      </c>
      <c r="F37" s="31">
        <v>0</v>
      </c>
      <c r="G37" s="110">
        <v>1029271818.1438998</v>
      </c>
      <c r="H37" s="78">
        <v>1121542028.5994</v>
      </c>
      <c r="I37" s="21">
        <v>264280264.72849998</v>
      </c>
      <c r="J37" s="64">
        <v>184696564.90889999</v>
      </c>
      <c r="K37" s="102">
        <v>380657832.52980006</v>
      </c>
      <c r="L37" s="86">
        <v>382660468.75329995</v>
      </c>
      <c r="M37" s="50">
        <f>SUM(D37:L37)</f>
        <v>3445190197.3946991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60857905.825900003</v>
      </c>
      <c r="E38" s="23">
        <f>+E39+E41+E45+E49+E51+E47+E44+E53</f>
        <v>5644937158.7439995</v>
      </c>
      <c r="F38" s="25">
        <f>+F39+F41+F45+F49+F51+F47+F44+F53+F55</f>
        <v>186026504.57139999</v>
      </c>
      <c r="G38" s="23">
        <f t="shared" ref="G38:L38" si="20">+G39+G41+G45+G49+G51+G47+G44+G53</f>
        <v>8703454643.2551994</v>
      </c>
      <c r="H38" s="23">
        <f t="shared" si="20"/>
        <v>3108126397.6067996</v>
      </c>
      <c r="I38" s="23">
        <f t="shared" si="20"/>
        <v>3186199184.2718</v>
      </c>
      <c r="J38" s="23">
        <f t="shared" si="20"/>
        <v>0</v>
      </c>
      <c r="K38" s="23">
        <f t="shared" si="20"/>
        <v>0</v>
      </c>
      <c r="L38" s="23">
        <f t="shared" si="20"/>
        <v>492181633.00559998</v>
      </c>
      <c r="M38" s="17">
        <f>+M39+M41+M43+P42+M45+M49+M51+M47+M53</f>
        <v>21322135065.8717</v>
      </c>
      <c r="N38" s="105">
        <f>+M38/$M$57</f>
        <v>0.1028794925629552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1925319998.7561998</v>
      </c>
      <c r="F39" s="63">
        <f>+F40</f>
        <v>0</v>
      </c>
      <c r="G39" s="45">
        <f t="shared" ref="G39:L39" si="21">+G40</f>
        <v>3452594243.4055996</v>
      </c>
      <c r="H39" s="45">
        <f t="shared" si="21"/>
        <v>1258278790.9299998</v>
      </c>
      <c r="I39" s="32">
        <f t="shared" si="21"/>
        <v>1924092409.6917</v>
      </c>
      <c r="J39" s="31">
        <f t="shared" si="21"/>
        <v>0</v>
      </c>
      <c r="K39" s="32">
        <f t="shared" si="21"/>
        <v>0</v>
      </c>
      <c r="L39" s="95">
        <f t="shared" si="21"/>
        <v>315643838.1638</v>
      </c>
      <c r="M39" s="51">
        <f>+M40</f>
        <v>8875929280.947298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1925319998.7561998</v>
      </c>
      <c r="F40" s="65">
        <v>0</v>
      </c>
      <c r="G40" s="86">
        <v>3452594243.4055996</v>
      </c>
      <c r="H40" s="86">
        <v>1258278790.9299998</v>
      </c>
      <c r="I40" s="78">
        <v>1924092409.6917</v>
      </c>
      <c r="J40" s="19">
        <v>0</v>
      </c>
      <c r="K40" s="19">
        <v>0</v>
      </c>
      <c r="L40" s="86">
        <v>315643838.1638</v>
      </c>
      <c r="M40" s="50">
        <f>SUM(D40:L40)</f>
        <v>8875929280.947298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2020633735.4127002</v>
      </c>
      <c r="F41" s="65">
        <f>+F42</f>
        <v>0</v>
      </c>
      <c r="G41" s="45">
        <f t="shared" ref="G41:L41" si="22">+G42</f>
        <v>1315516754.8261001</v>
      </c>
      <c r="H41" s="45">
        <f t="shared" si="22"/>
        <v>1315516754.8259001</v>
      </c>
      <c r="I41" s="32">
        <f t="shared" si="22"/>
        <v>1262106774.5801001</v>
      </c>
      <c r="J41" s="31">
        <f t="shared" si="22"/>
        <v>0</v>
      </c>
      <c r="K41" s="32">
        <f t="shared" si="22"/>
        <v>0</v>
      </c>
      <c r="L41" s="65">
        <f t="shared" si="22"/>
        <v>0</v>
      </c>
      <c r="M41" s="51">
        <f>+M42</f>
        <v>5913774019.6448002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2020633735.4127002</v>
      </c>
      <c r="F42" s="65">
        <v>0</v>
      </c>
      <c r="G42" s="86">
        <v>1315516754.8261001</v>
      </c>
      <c r="H42" s="86">
        <v>1315516754.8259001</v>
      </c>
      <c r="I42" s="78">
        <v>1262106774.5801001</v>
      </c>
      <c r="J42" s="19">
        <v>0</v>
      </c>
      <c r="K42" s="20">
        <v>0</v>
      </c>
      <c r="L42" s="69">
        <v>0</v>
      </c>
      <c r="M42" s="50">
        <f>SUM(D42:L42)</f>
        <v>5913774019.6448002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969152982.41340005</v>
      </c>
      <c r="F43" s="65">
        <f t="shared" ref="F43:M43" si="23">F44</f>
        <v>0</v>
      </c>
      <c r="G43" s="95">
        <f t="shared" si="23"/>
        <v>0</v>
      </c>
      <c r="H43" s="45">
        <f t="shared" si="23"/>
        <v>0</v>
      </c>
      <c r="I43" s="68">
        <f t="shared" si="23"/>
        <v>0</v>
      </c>
      <c r="J43" s="65">
        <f t="shared" si="23"/>
        <v>0</v>
      </c>
      <c r="K43" s="65">
        <f t="shared" si="23"/>
        <v>0</v>
      </c>
      <c r="L43" s="65">
        <f t="shared" si="23"/>
        <v>0</v>
      </c>
      <c r="M43" s="80">
        <f t="shared" si="23"/>
        <v>969152982.41340005</v>
      </c>
      <c r="N43" s="5"/>
      <c r="P43" s="81"/>
    </row>
    <row r="44" spans="2:16" x14ac:dyDescent="0.25">
      <c r="B44" s="10" t="s">
        <v>44</v>
      </c>
      <c r="C44" s="15" t="s">
        <v>45</v>
      </c>
      <c r="D44" s="19"/>
      <c r="E44" s="78">
        <v>969152982.41340005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969152982.41340005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4">+G46</f>
        <v>0</v>
      </c>
      <c r="H45" s="45">
        <f t="shared" si="24"/>
        <v>137810130.4463</v>
      </c>
      <c r="I45" s="32">
        <f t="shared" si="24"/>
        <v>0</v>
      </c>
      <c r="J45" s="31">
        <f t="shared" si="24"/>
        <v>0</v>
      </c>
      <c r="K45" s="32">
        <f t="shared" si="24"/>
        <v>0</v>
      </c>
      <c r="L45" s="65">
        <f t="shared" si="24"/>
        <v>176537794.8418</v>
      </c>
      <c r="M45" s="51">
        <f>+M46</f>
        <v>314347925.2881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137810130.4463</v>
      </c>
      <c r="I46" s="20">
        <v>0</v>
      </c>
      <c r="J46" s="19">
        <v>0</v>
      </c>
      <c r="K46" s="19">
        <v>0</v>
      </c>
      <c r="L46" s="93">
        <v>176537794.8418</v>
      </c>
      <c r="M46" s="53">
        <f>SUM(D46:L46)</f>
        <v>314347925.2881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1709204.5181</v>
      </c>
      <c r="E47" s="32">
        <f>+E48</f>
        <v>0</v>
      </c>
      <c r="F47" s="95">
        <f>+F48</f>
        <v>89021068.652199998</v>
      </c>
      <c r="G47" s="45">
        <f t="shared" si="24"/>
        <v>0</v>
      </c>
      <c r="H47" s="45">
        <f t="shared" si="24"/>
        <v>285603327.18809998</v>
      </c>
      <c r="I47" s="32">
        <f t="shared" si="24"/>
        <v>0</v>
      </c>
      <c r="J47" s="31">
        <f t="shared" si="24"/>
        <v>0</v>
      </c>
      <c r="K47" s="32">
        <f t="shared" si="24"/>
        <v>0</v>
      </c>
      <c r="L47" s="65">
        <f t="shared" si="24"/>
        <v>0</v>
      </c>
      <c r="M47" s="51">
        <f>+M48</f>
        <v>376333600.35839999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1709204.5181</v>
      </c>
      <c r="E48" s="19">
        <v>0</v>
      </c>
      <c r="F48" s="86">
        <v>89021068.652199998</v>
      </c>
      <c r="G48" s="44">
        <v>0</v>
      </c>
      <c r="H48" s="86">
        <v>285603327.18809998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376333600.35839999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5">+G50</f>
        <v>1831820813.7848001</v>
      </c>
      <c r="H49" s="45">
        <f t="shared" si="25"/>
        <v>0</v>
      </c>
      <c r="I49" s="32">
        <f t="shared" si="25"/>
        <v>0</v>
      </c>
      <c r="J49" s="31">
        <f t="shared" si="25"/>
        <v>0</v>
      </c>
      <c r="K49" s="32">
        <f t="shared" si="25"/>
        <v>0</v>
      </c>
      <c r="L49" s="65">
        <f t="shared" si="25"/>
        <v>0</v>
      </c>
      <c r="M49" s="51">
        <f>+M50</f>
        <v>1831820813.7848001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93">
        <v>1831820813.7848001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1831820813.7848001</v>
      </c>
      <c r="N50" s="3"/>
    </row>
    <row r="51" spans="2:14" ht="15" customHeight="1" x14ac:dyDescent="0.25">
      <c r="B51" s="33" t="s">
        <v>51</v>
      </c>
      <c r="C51" s="27" t="s">
        <v>18</v>
      </c>
      <c r="D51" s="19">
        <f>+D52</f>
        <v>0</v>
      </c>
      <c r="E51" s="32">
        <f>+E52</f>
        <v>729830442.16170001</v>
      </c>
      <c r="F51" s="96">
        <f>+F52</f>
        <v>0</v>
      </c>
      <c r="G51" s="31">
        <f t="shared" ref="G51:L51" si="26">+G52</f>
        <v>2103522831.2386999</v>
      </c>
      <c r="H51" s="31">
        <f t="shared" si="26"/>
        <v>110917394.2165</v>
      </c>
      <c r="I51" s="32">
        <f t="shared" si="26"/>
        <v>0</v>
      </c>
      <c r="J51" s="31">
        <f t="shared" si="26"/>
        <v>0</v>
      </c>
      <c r="K51" s="32">
        <f t="shared" si="26"/>
        <v>0</v>
      </c>
      <c r="L51" s="65">
        <f t="shared" si="26"/>
        <v>0</v>
      </c>
      <c r="M51" s="51">
        <f>+M52</f>
        <v>2944270667.6169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729830442.16170001</v>
      </c>
      <c r="F52" s="96">
        <v>0</v>
      </c>
      <c r="G52" s="93">
        <v>2103522831.2386999</v>
      </c>
      <c r="H52" s="93">
        <v>110917394.2165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2944270667.6169</v>
      </c>
      <c r="N52" s="3"/>
    </row>
    <row r="53" spans="2:14" ht="17.25" customHeight="1" x14ac:dyDescent="0.25">
      <c r="B53" s="33" t="s">
        <v>75</v>
      </c>
      <c r="C53" s="27"/>
      <c r="D53" s="31">
        <f>D54</f>
        <v>59148701.307800002</v>
      </c>
      <c r="E53" s="32">
        <v>0</v>
      </c>
      <c r="F53" s="95">
        <f>+F54</f>
        <v>37357074.510200001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96505775.818000004</v>
      </c>
      <c r="N53" s="3"/>
    </row>
    <row r="54" spans="2:14" ht="12.95" customHeight="1" x14ac:dyDescent="0.25">
      <c r="B54" s="10" t="s">
        <v>48</v>
      </c>
      <c r="C54" s="76" t="s">
        <v>45</v>
      </c>
      <c r="D54" s="93">
        <v>59148701.307800002</v>
      </c>
      <c r="E54" s="45">
        <v>0</v>
      </c>
      <c r="F54" s="96">
        <v>37357074.510200001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09">
        <f t="shared" ref="M54" si="27">SUM(D54:L54)</f>
        <v>96505775.818000004</v>
      </c>
      <c r="N54" s="108"/>
    </row>
    <row r="55" spans="2:14" ht="17.25" customHeight="1" x14ac:dyDescent="0.25">
      <c r="B55" s="33" t="s">
        <v>76</v>
      </c>
      <c r="C55" s="27"/>
      <c r="D55" s="31">
        <f>D56</f>
        <v>0</v>
      </c>
      <c r="E55" s="32">
        <v>0</v>
      </c>
      <c r="F55" s="95">
        <f>+F56</f>
        <v>59648361.408999994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59648361.408999994</v>
      </c>
      <c r="N55" s="3"/>
    </row>
    <row r="56" spans="2:14" ht="12.95" customHeight="1" x14ac:dyDescent="0.25">
      <c r="B56" s="10" t="s">
        <v>48</v>
      </c>
      <c r="C56" s="49" t="s">
        <v>45</v>
      </c>
      <c r="D56" s="97">
        <v>0</v>
      </c>
      <c r="E56" s="97">
        <v>0</v>
      </c>
      <c r="F56" s="86">
        <v>59648361.408999994</v>
      </c>
      <c r="G56" s="38">
        <v>0</v>
      </c>
      <c r="H56" s="98">
        <v>0</v>
      </c>
      <c r="I56" s="44">
        <v>0</v>
      </c>
      <c r="J56" s="19">
        <v>0</v>
      </c>
      <c r="K56" s="71">
        <v>0</v>
      </c>
      <c r="L56" s="70">
        <v>0</v>
      </c>
      <c r="M56" s="53">
        <f t="shared" ref="M56" si="28">SUM(D56:L56)</f>
        <v>59648361.408999994</v>
      </c>
      <c r="N56" s="3"/>
    </row>
    <row r="57" spans="2:14" x14ac:dyDescent="0.25">
      <c r="B57" s="144" t="s">
        <v>53</v>
      </c>
      <c r="C57" s="145"/>
      <c r="D57" s="23">
        <f t="shared" ref="D57:L57" si="29">+D7+D10+D31+D38</f>
        <v>713843274.69359982</v>
      </c>
      <c r="E57" s="23">
        <f t="shared" si="29"/>
        <v>47649614575.080399</v>
      </c>
      <c r="F57" s="23">
        <f t="shared" si="29"/>
        <v>316187558.77380002</v>
      </c>
      <c r="G57" s="25">
        <f t="shared" si="29"/>
        <v>66954363381.033081</v>
      </c>
      <c r="H57" s="61">
        <f t="shared" si="29"/>
        <v>32434861341.393879</v>
      </c>
      <c r="I57" s="25">
        <f t="shared" si="29"/>
        <v>44386945942.529877</v>
      </c>
      <c r="J57" s="23">
        <f t="shared" si="29"/>
        <v>2390585937.6559005</v>
      </c>
      <c r="K57" s="25">
        <f t="shared" si="29"/>
        <v>1962285635.3394001</v>
      </c>
      <c r="L57" s="61">
        <f t="shared" si="29"/>
        <v>10504462211.565601</v>
      </c>
      <c r="M57" s="17">
        <f>+M38+M31+M10+M7</f>
        <v>207253501496.65652</v>
      </c>
      <c r="N57" s="156">
        <f>+M57/M58</f>
        <v>0.26543891391468954</v>
      </c>
    </row>
    <row r="58" spans="2:14" ht="15" customHeight="1" x14ac:dyDescent="0.25">
      <c r="B58" s="144" t="s">
        <v>54</v>
      </c>
      <c r="C58" s="145"/>
      <c r="D58" s="92">
        <v>7229174803.6099997</v>
      </c>
      <c r="E58" s="92">
        <v>162337185003.85001</v>
      </c>
      <c r="F58" s="23">
        <v>3462321458.8800001</v>
      </c>
      <c r="G58" s="84">
        <v>241572545918.17999</v>
      </c>
      <c r="H58" s="23">
        <v>119398677922.28</v>
      </c>
      <c r="I58" s="92">
        <v>148830572387.85001</v>
      </c>
      <c r="J58" s="92">
        <v>24507560497.02</v>
      </c>
      <c r="K58" s="23">
        <v>17732079537.77</v>
      </c>
      <c r="L58" s="23">
        <v>48897598294.099998</v>
      </c>
      <c r="M58" s="23">
        <v>780795469812.93994</v>
      </c>
      <c r="N58" s="157"/>
    </row>
    <row r="59" spans="2:14" ht="15.75" customHeight="1" x14ac:dyDescent="0.25">
      <c r="B59" s="144" t="s">
        <v>55</v>
      </c>
      <c r="C59" s="145"/>
      <c r="D59" s="104">
        <f>+D57/D58</f>
        <v>9.8744779879597205E-2</v>
      </c>
      <c r="E59" s="104">
        <f>+E57/E58</f>
        <v>0.29352248884906029</v>
      </c>
      <c r="F59" s="104">
        <f>+F57/F58</f>
        <v>9.1322415474408641E-2</v>
      </c>
      <c r="G59" s="104">
        <f t="shared" ref="G59:L59" si="30">+G57/G58</f>
        <v>0.27716048248177322</v>
      </c>
      <c r="H59" s="104">
        <f t="shared" si="30"/>
        <v>0.27165176286547038</v>
      </c>
      <c r="I59" s="104">
        <f t="shared" si="30"/>
        <v>0.29823809201551837</v>
      </c>
      <c r="J59" s="104">
        <f>+J57/I58</f>
        <v>1.606246552237986E-2</v>
      </c>
      <c r="K59" s="104">
        <f t="shared" si="30"/>
        <v>0.11066302918163982</v>
      </c>
      <c r="L59" s="104">
        <f t="shared" si="30"/>
        <v>0.21482572923899768</v>
      </c>
      <c r="M59" s="146" t="s">
        <v>56</v>
      </c>
      <c r="N59" s="147"/>
    </row>
    <row r="60" spans="2:14" x14ac:dyDescent="0.25">
      <c r="B60" s="148" t="s">
        <v>72</v>
      </c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2:14" ht="15" customHeight="1" x14ac:dyDescent="0.25">
      <c r="B61" s="149" t="s">
        <v>73</v>
      </c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</row>
    <row r="62" spans="2:14" ht="15.75" x14ac:dyDescent="0.25">
      <c r="B62" s="34" t="s">
        <v>59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2:14" x14ac:dyDescent="0.25">
      <c r="B63" s="35"/>
      <c r="C63" s="35"/>
      <c r="D63" s="35"/>
      <c r="E63" s="47"/>
      <c r="F63" s="47"/>
      <c r="G63" s="35"/>
      <c r="H63" s="35"/>
      <c r="I63" s="35"/>
      <c r="J63" s="57"/>
      <c r="K63" s="35"/>
      <c r="L63" s="35"/>
      <c r="M63" s="36"/>
      <c r="N63" s="35"/>
    </row>
    <row r="64" spans="2:14" x14ac:dyDescent="0.25">
      <c r="G64" s="41"/>
      <c r="H64" s="41"/>
      <c r="M64" s="55"/>
    </row>
    <row r="65" spans="13:13" x14ac:dyDescent="0.25">
      <c r="M65" s="56"/>
    </row>
  </sheetData>
  <mergeCells count="22">
    <mergeCell ref="B59:C59"/>
    <mergeCell ref="M59:N59"/>
    <mergeCell ref="B60:N60"/>
    <mergeCell ref="B61:N61"/>
    <mergeCell ref="I5:I6"/>
    <mergeCell ref="J5:J6"/>
    <mergeCell ref="K5:K6"/>
    <mergeCell ref="L5:L6"/>
    <mergeCell ref="M5:N5"/>
    <mergeCell ref="B57:C57"/>
    <mergeCell ref="N57:N58"/>
    <mergeCell ref="B58:C58"/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65"/>
  <sheetViews>
    <sheetView showGridLines="0" topLeftCell="B1" zoomScaleNormal="100" workbookViewId="0">
      <pane xSplit="2" ySplit="6" topLeftCell="I48" activePane="bottomRight" state="frozen"/>
      <selection pane="topRight" activeCell="D1" sqref="D1"/>
      <selection pane="bottomLeft" activeCell="B7" sqref="B7"/>
      <selection pane="bottomRight" activeCell="M20" sqref="M20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77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11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649873337.37579989</v>
      </c>
      <c r="E7" s="25">
        <f t="shared" si="0"/>
        <v>32066193042.678703</v>
      </c>
      <c r="F7" s="23">
        <f t="shared" si="0"/>
        <v>123824311.23699999</v>
      </c>
      <c r="G7" s="24">
        <f t="shared" si="0"/>
        <v>51982815609.479904</v>
      </c>
      <c r="H7" s="23">
        <f t="shared" si="0"/>
        <v>26180150498.893677</v>
      </c>
      <c r="I7" s="73">
        <f t="shared" si="0"/>
        <v>37721490245.48082</v>
      </c>
      <c r="J7" s="67">
        <f t="shared" si="0"/>
        <v>2074619413.2151003</v>
      </c>
      <c r="K7" s="73">
        <f t="shared" si="0"/>
        <v>1446348113.3530006</v>
      </c>
      <c r="L7" s="67">
        <f t="shared" si="0"/>
        <v>8781606597.516098</v>
      </c>
      <c r="M7" s="74">
        <f t="shared" si="0"/>
        <v>161026921169.2301</v>
      </c>
      <c r="N7" s="113">
        <f>+M7/$M$57</f>
        <v>0.77369322509639205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649873337.37579989</v>
      </c>
      <c r="E8" s="29">
        <f t="shared" si="1"/>
        <v>32066193042.678703</v>
      </c>
      <c r="F8" s="28">
        <f t="shared" si="1"/>
        <v>123824311.23699999</v>
      </c>
      <c r="G8" s="29">
        <f t="shared" si="1"/>
        <v>51982815609.479904</v>
      </c>
      <c r="H8" s="28">
        <f t="shared" si="1"/>
        <v>26180150498.893677</v>
      </c>
      <c r="I8" s="75">
        <f t="shared" si="1"/>
        <v>37721490245.48082</v>
      </c>
      <c r="J8" s="28">
        <f t="shared" si="1"/>
        <v>2074619413.2151003</v>
      </c>
      <c r="K8" s="75">
        <f t="shared" si="1"/>
        <v>1446348113.3530006</v>
      </c>
      <c r="L8" s="28">
        <f t="shared" si="1"/>
        <v>8781606597.516098</v>
      </c>
      <c r="M8" s="40">
        <f>+M9</f>
        <v>161026921169.2301</v>
      </c>
      <c r="N8" s="113"/>
      <c r="Q8" s="7"/>
      <c r="R8" s="7"/>
    </row>
    <row r="9" spans="2:18" x14ac:dyDescent="0.25">
      <c r="B9" s="77" t="s">
        <v>20</v>
      </c>
      <c r="C9" s="76" t="s">
        <v>21</v>
      </c>
      <c r="D9" s="85">
        <v>649873337.37579989</v>
      </c>
      <c r="E9" s="78">
        <v>32066193042.678703</v>
      </c>
      <c r="F9" s="39">
        <v>123824311.23699999</v>
      </c>
      <c r="G9" s="78">
        <v>51982815609.479904</v>
      </c>
      <c r="H9" s="38">
        <v>26180150498.893677</v>
      </c>
      <c r="I9" s="93">
        <v>37721490245.48082</v>
      </c>
      <c r="J9" s="93">
        <v>2074619413.2151003</v>
      </c>
      <c r="K9" s="93">
        <v>1446348113.3530006</v>
      </c>
      <c r="L9" s="86">
        <v>8781606597.516098</v>
      </c>
      <c r="M9" s="44">
        <f>SUM(D9:L9)</f>
        <v>161026921169.2301</v>
      </c>
      <c r="N9" s="3"/>
      <c r="Q9" s="7"/>
      <c r="R9" s="7"/>
    </row>
    <row r="10" spans="2:18" ht="16.5" customHeight="1" x14ac:dyDescent="0.25">
      <c r="B10" s="2" t="s">
        <v>22</v>
      </c>
      <c r="C10" s="16" t="s">
        <v>18</v>
      </c>
      <c r="D10" s="100">
        <f t="shared" ref="D10:M10" si="2">+D11+D13+D15+D17+D19+D21+D23+D25+D27+D29</f>
        <v>2184729.3287999998</v>
      </c>
      <c r="E10" s="100">
        <f t="shared" si="2"/>
        <v>4450547405.8220005</v>
      </c>
      <c r="F10" s="100">
        <f t="shared" si="2"/>
        <v>1260630.4232999999</v>
      </c>
      <c r="G10" s="100">
        <f t="shared" si="2"/>
        <v>3239738317.7096</v>
      </c>
      <c r="H10" s="100">
        <f t="shared" si="2"/>
        <v>86720072.592500001</v>
      </c>
      <c r="I10" s="100">
        <f t="shared" si="2"/>
        <v>1002179895.5099</v>
      </c>
      <c r="J10" s="100">
        <f t="shared" si="2"/>
        <v>10741445.398499999</v>
      </c>
      <c r="K10" s="100">
        <f t="shared" si="2"/>
        <v>31586828.604699999</v>
      </c>
      <c r="L10" s="100">
        <f t="shared" si="2"/>
        <v>199623049.31200001</v>
      </c>
      <c r="M10" s="100">
        <f t="shared" si="2"/>
        <v>9024582374.7012997</v>
      </c>
      <c r="N10" s="4">
        <f>+M10/$M$57</f>
        <v>4.3360813160507182E-2</v>
      </c>
      <c r="O10" s="41"/>
      <c r="P10" s="13"/>
      <c r="Q10" s="7"/>
      <c r="R10" s="7"/>
    </row>
    <row r="11" spans="2:18" ht="15" customHeight="1" x14ac:dyDescent="0.25">
      <c r="B11" s="79" t="s">
        <v>61</v>
      </c>
      <c r="C11" s="15" t="s">
        <v>18</v>
      </c>
      <c r="D11" s="45">
        <f t="shared" ref="D11:L11" si="3">D12</f>
        <v>2184729.3287999998</v>
      </c>
      <c r="E11" s="45">
        <f t="shared" si="3"/>
        <v>0</v>
      </c>
      <c r="F11" s="31">
        <f t="shared" si="3"/>
        <v>0</v>
      </c>
      <c r="G11" s="31">
        <f t="shared" si="3"/>
        <v>0</v>
      </c>
      <c r="H11" s="19">
        <f t="shared" si="3"/>
        <v>0</v>
      </c>
      <c r="I11" s="45">
        <f t="shared" si="3"/>
        <v>0</v>
      </c>
      <c r="J11" s="19">
        <f t="shared" si="3"/>
        <v>0</v>
      </c>
      <c r="K11" s="19">
        <f t="shared" si="3"/>
        <v>0</v>
      </c>
      <c r="L11" s="44">
        <f t="shared" si="3"/>
        <v>0</v>
      </c>
      <c r="M11" s="51">
        <f>+M12</f>
        <v>2184729.3287999998</v>
      </c>
      <c r="N11" s="3"/>
      <c r="P11" s="13"/>
    </row>
    <row r="12" spans="2:18" x14ac:dyDescent="0.25">
      <c r="B12" s="10" t="s">
        <v>24</v>
      </c>
      <c r="C12" s="15" t="s">
        <v>25</v>
      </c>
      <c r="D12" s="19">
        <v>2184729.3287999998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19">
        <v>0</v>
      </c>
      <c r="L12" s="44">
        <v>0</v>
      </c>
      <c r="M12" s="44">
        <f>SUM(D12:L12)</f>
        <v>2184729.3287999998</v>
      </c>
      <c r="N12" s="5"/>
      <c r="Q12" s="7"/>
      <c r="R12" s="7"/>
    </row>
    <row r="13" spans="2:18" s="42" customFormat="1" hidden="1" x14ac:dyDescent="0.25">
      <c r="B13" s="30" t="s">
        <v>23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 t="shared" ref="G13:L13" si="4">+G14</f>
        <v>0</v>
      </c>
      <c r="H13" s="31">
        <f t="shared" si="4"/>
        <v>0</v>
      </c>
      <c r="I13" s="29">
        <f t="shared" si="4"/>
        <v>0</v>
      </c>
      <c r="J13" s="28">
        <f t="shared" si="4"/>
        <v>0</v>
      </c>
      <c r="K13" s="28">
        <f t="shared" si="4"/>
        <v>0</v>
      </c>
      <c r="L13" s="45">
        <f t="shared" si="4"/>
        <v>0</v>
      </c>
      <c r="M13" s="51">
        <f>+M14</f>
        <v>0</v>
      </c>
      <c r="N13" s="5"/>
      <c r="Q13" s="43"/>
      <c r="R13" s="43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32">
        <f>+E16</f>
        <v>4450547405.8220005</v>
      </c>
      <c r="F15" s="31">
        <f>+F16</f>
        <v>0</v>
      </c>
      <c r="G15" s="45">
        <f t="shared" ref="G15:I15" si="5">+G16</f>
        <v>2869944079.8203001</v>
      </c>
      <c r="H15" s="31">
        <f t="shared" si="5"/>
        <v>86720072.592500001</v>
      </c>
      <c r="I15" s="32">
        <f t="shared" si="5"/>
        <v>1002179895.5099</v>
      </c>
      <c r="J15" s="31">
        <f>J16</f>
        <v>0</v>
      </c>
      <c r="K15" s="31">
        <f>+K16</f>
        <v>31586828.604699999</v>
      </c>
      <c r="L15" s="45">
        <f>L16</f>
        <v>199623049.31200001</v>
      </c>
      <c r="M15" s="51">
        <f>+M16</f>
        <v>8640601331.6613998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93">
        <v>4450547405.8220005</v>
      </c>
      <c r="F16" s="44">
        <v>0</v>
      </c>
      <c r="G16" s="93">
        <v>2869944079.8203001</v>
      </c>
      <c r="H16" s="93">
        <v>86720072.592500001</v>
      </c>
      <c r="I16" s="78">
        <v>1002179895.5099</v>
      </c>
      <c r="J16" s="19"/>
      <c r="K16" s="93">
        <v>31586828.604699999</v>
      </c>
      <c r="L16" s="86">
        <v>199623049.31200001</v>
      </c>
      <c r="M16" s="50">
        <f>SUM(D16:L16)</f>
        <v>8640601331.6613998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0</v>
      </c>
      <c r="H19" s="31">
        <f t="shared" si="7"/>
        <v>0</v>
      </c>
      <c r="I19" s="32">
        <f t="shared" si="7"/>
        <v>0</v>
      </c>
      <c r="J19" s="31">
        <f t="shared" si="7"/>
        <v>0</v>
      </c>
      <c r="K19" s="31">
        <f t="shared" si="7"/>
        <v>0</v>
      </c>
      <c r="L19" s="45">
        <f t="shared" si="7"/>
        <v>0</v>
      </c>
      <c r="M19" s="51">
        <f>+M20</f>
        <v>0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/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51">
        <f>SUM(D20:L20)</f>
        <v>0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0</v>
      </c>
      <c r="G21" s="45">
        <v>0</v>
      </c>
      <c r="H21" s="31">
        <v>0</v>
      </c>
      <c r="I21" s="32">
        <v>0</v>
      </c>
      <c r="J21" s="31">
        <f>+J22</f>
        <v>10741445.398499999</v>
      </c>
      <c r="K21" s="31">
        <f t="shared" ref="K21:L21" si="8">+K22</f>
        <v>0</v>
      </c>
      <c r="L21" s="45">
        <f t="shared" si="8"/>
        <v>0</v>
      </c>
      <c r="M21" s="51">
        <f>M22</f>
        <v>10741445.398499999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>
        <v>0</v>
      </c>
      <c r="G22" s="44">
        <v>0</v>
      </c>
      <c r="H22" s="19">
        <v>0</v>
      </c>
      <c r="I22" s="60">
        <v>0</v>
      </c>
      <c r="J22" s="19">
        <v>10741445.398499999</v>
      </c>
      <c r="K22" s="19"/>
      <c r="L22" s="44">
        <v>0</v>
      </c>
      <c r="M22" s="50">
        <f>SUM(D22:L22)</f>
        <v>10741445.398499999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1260630.4232999999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1260630.4232999999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>
        <v>1260630.4232999999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0">SUM(D24:L24)</f>
        <v>1260630.4232999999</v>
      </c>
      <c r="N24" s="5"/>
    </row>
    <row r="25" spans="2:18" ht="8.25" hidden="1" customHeight="1" x14ac:dyDescent="0.25">
      <c r="B25" s="79" t="s">
        <v>61</v>
      </c>
      <c r="C25" s="15" t="s">
        <v>18</v>
      </c>
      <c r="D25" s="45">
        <f t="shared" ref="D25:L25" si="11">D26</f>
        <v>0</v>
      </c>
      <c r="E25" s="45">
        <f t="shared" si="11"/>
        <v>0</v>
      </c>
      <c r="F25" s="31">
        <f t="shared" si="11"/>
        <v>0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0</v>
      </c>
      <c r="N25" s="3"/>
      <c r="P25" s="13"/>
    </row>
    <row r="26" spans="2:18" ht="15" hidden="1" customHeight="1" x14ac:dyDescent="0.25">
      <c r="B26" s="10" t="s">
        <v>24</v>
      </c>
      <c r="C26" s="15" t="s">
        <v>25</v>
      </c>
      <c r="D26" s="44">
        <v>0</v>
      </c>
      <c r="E26" s="44">
        <v>0</v>
      </c>
      <c r="F26" s="31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0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369794237.88929999</v>
      </c>
      <c r="H27" s="31"/>
      <c r="I27" s="31">
        <f>I26</f>
        <v>0</v>
      </c>
      <c r="J27" s="31">
        <f>J26</f>
        <v>0</v>
      </c>
      <c r="K27" s="31">
        <f>K26</f>
        <v>0</v>
      </c>
      <c r="L27" s="31">
        <f>L26</f>
        <v>0</v>
      </c>
      <c r="M27" s="51">
        <f>+M28</f>
        <v>369794237.88929999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44">
        <v>369794237.88929999</v>
      </c>
      <c r="H28" s="44"/>
      <c r="I28" s="44">
        <v>0</v>
      </c>
      <c r="J28" s="44">
        <v>0</v>
      </c>
      <c r="K28" s="44">
        <v>0</v>
      </c>
      <c r="L28" s="44">
        <v>0</v>
      </c>
      <c r="M28" s="50">
        <f t="shared" ref="M28" si="12">SUM(D28:L28)</f>
        <v>369794237.88929999</v>
      </c>
      <c r="N28" s="5"/>
    </row>
    <row r="29" spans="2:18" ht="15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3">I30</f>
        <v>0</v>
      </c>
      <c r="J29" s="19">
        <f t="shared" si="13"/>
        <v>0</v>
      </c>
      <c r="K29" s="19">
        <f t="shared" si="13"/>
        <v>0</v>
      </c>
      <c r="L29" s="19">
        <f t="shared" si="13"/>
        <v>0</v>
      </c>
      <c r="M29" s="51">
        <f>+M30</f>
        <v>0</v>
      </c>
      <c r="N29" s="3"/>
    </row>
    <row r="30" spans="2:18" ht="15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4">+D32+D34+D36</f>
        <v>0</v>
      </c>
      <c r="E31" s="25">
        <f t="shared" si="14"/>
        <v>3177204696.7253976</v>
      </c>
      <c r="F31" s="23">
        <f t="shared" si="14"/>
        <v>0</v>
      </c>
      <c r="G31" s="25">
        <f t="shared" si="14"/>
        <v>4332080530.9610996</v>
      </c>
      <c r="H31" s="67">
        <f t="shared" si="14"/>
        <v>2998943370.1393991</v>
      </c>
      <c r="I31" s="25">
        <f t="shared" si="14"/>
        <v>3449612758.5954995</v>
      </c>
      <c r="J31" s="99">
        <f t="shared" si="14"/>
        <v>313682601.88849998</v>
      </c>
      <c r="K31" s="25">
        <f t="shared" si="14"/>
        <v>492986125.30409992</v>
      </c>
      <c r="L31" s="67">
        <f t="shared" si="14"/>
        <v>1046108321.5002</v>
      </c>
      <c r="M31" s="17">
        <f>+M32+M36+M34</f>
        <v>15810618405.114197</v>
      </c>
      <c r="N31" s="4">
        <f>+M31/$M$57</f>
        <v>7.5965982928813791E-2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513464380.22869992</v>
      </c>
      <c r="F32" s="31">
        <f>+F33</f>
        <v>0</v>
      </c>
      <c r="G32" s="28">
        <f t="shared" ref="G32:L32" si="15">+G33</f>
        <v>1129447395.8627</v>
      </c>
      <c r="H32" s="94">
        <f t="shared" si="15"/>
        <v>516661548.84009993</v>
      </c>
      <c r="I32" s="29">
        <f>+I33</f>
        <v>1373524597.9296999</v>
      </c>
      <c r="J32" s="63">
        <f>+J33</f>
        <v>13508995.8879</v>
      </c>
      <c r="K32" s="101">
        <f t="shared" si="15"/>
        <v>96076669.936399996</v>
      </c>
      <c r="L32" s="94">
        <f t="shared" si="15"/>
        <v>186101990.0517</v>
      </c>
      <c r="M32" s="51">
        <f>+M33</f>
        <v>3828785578.7371998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513464380.22869992</v>
      </c>
      <c r="F33" s="31">
        <v>0</v>
      </c>
      <c r="G33" s="86">
        <v>1129447395.8627</v>
      </c>
      <c r="H33" s="86">
        <v>516661548.84009993</v>
      </c>
      <c r="I33" s="21">
        <v>1373524597.9296999</v>
      </c>
      <c r="J33" s="102">
        <v>13508995.8879</v>
      </c>
      <c r="K33" s="102">
        <v>96076669.936399996</v>
      </c>
      <c r="L33" s="86">
        <v>186101990.0517</v>
      </c>
      <c r="M33" s="44">
        <f>SUM(D33:L33)</f>
        <v>3828785578.7371998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2581638278.2590976</v>
      </c>
      <c r="F34" s="31">
        <f>+F35</f>
        <v>0</v>
      </c>
      <c r="G34" s="31">
        <f t="shared" ref="G34:L34" si="16">+G35</f>
        <v>2172993160.8234</v>
      </c>
      <c r="H34" s="45">
        <f t="shared" si="16"/>
        <v>1360396035.5338991</v>
      </c>
      <c r="I34" s="32">
        <f>+I35</f>
        <v>1811749101.4360995</v>
      </c>
      <c r="J34" s="65">
        <f>+J35</f>
        <v>115434020.18470003</v>
      </c>
      <c r="K34" s="95">
        <f t="shared" si="16"/>
        <v>16160059.876</v>
      </c>
      <c r="L34" s="45">
        <f t="shared" si="16"/>
        <v>477253546.63680005</v>
      </c>
      <c r="M34" s="51">
        <f>+M35</f>
        <v>8535624202.7499962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2581638278.2590976</v>
      </c>
      <c r="F35" s="31">
        <v>0</v>
      </c>
      <c r="G35" s="86">
        <v>2172993160.8234</v>
      </c>
      <c r="H35" s="86">
        <v>1360396035.5338991</v>
      </c>
      <c r="I35" s="21">
        <v>1811749101.4360995</v>
      </c>
      <c r="J35" s="102">
        <v>115434020.18470003</v>
      </c>
      <c r="K35" s="102">
        <v>16160059.876</v>
      </c>
      <c r="L35" s="86">
        <v>477253546.63680005</v>
      </c>
      <c r="M35" s="50">
        <f>SUM(D35:L35)</f>
        <v>8535624202.7499962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E37</f>
        <v>82102038.237599984</v>
      </c>
      <c r="F36" s="31">
        <f>+F37</f>
        <v>0</v>
      </c>
      <c r="G36" s="31">
        <f t="shared" ref="G36:L36" si="17">+G37</f>
        <v>1029639974.275</v>
      </c>
      <c r="H36" s="45">
        <f t="shared" si="17"/>
        <v>1121885785.7653999</v>
      </c>
      <c r="I36" s="32">
        <f>+I37</f>
        <v>264339059.22970003</v>
      </c>
      <c r="J36" s="65">
        <f>+J37</f>
        <v>184739585.81589997</v>
      </c>
      <c r="K36" s="95">
        <f t="shared" si="17"/>
        <v>380749395.49169993</v>
      </c>
      <c r="L36" s="45">
        <f t="shared" si="17"/>
        <v>382752784.81169999</v>
      </c>
      <c r="M36" s="51">
        <f>+M37</f>
        <v>3446208623.6269999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82102038.237599984</v>
      </c>
      <c r="F37" s="31">
        <v>0</v>
      </c>
      <c r="G37" s="78">
        <v>1029639974.275</v>
      </c>
      <c r="H37" s="78">
        <v>1121885785.7653999</v>
      </c>
      <c r="I37" s="21">
        <v>264339059.22970003</v>
      </c>
      <c r="J37" s="102">
        <v>184739585.81589997</v>
      </c>
      <c r="K37" s="102">
        <v>380749395.49169993</v>
      </c>
      <c r="L37" s="86">
        <v>382752784.81169999</v>
      </c>
      <c r="M37" s="50">
        <f>SUM(D37:L37)</f>
        <v>3446208623.6269999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118049762.21250001</v>
      </c>
      <c r="E38" s="23">
        <f>+E39+E41+E45+E49+E51+E47+E44+E53</f>
        <v>6483516723.7649002</v>
      </c>
      <c r="F38" s="25">
        <f>+F39+F41+F45+F49+F51+F47+F44+F53+F55</f>
        <v>186920343.76879999</v>
      </c>
      <c r="G38" s="23">
        <f t="shared" ref="G38:L38" si="18">+G39+G41+G45+G49+G51+G47+G44+G53</f>
        <v>8734165299.3118992</v>
      </c>
      <c r="H38" s="23">
        <f t="shared" si="18"/>
        <v>3114829823.1754994</v>
      </c>
      <c r="I38" s="23">
        <f t="shared" si="18"/>
        <v>3193494505.9485998</v>
      </c>
      <c r="J38" s="23">
        <f t="shared" si="18"/>
        <v>0</v>
      </c>
      <c r="K38" s="23">
        <f t="shared" si="18"/>
        <v>0</v>
      </c>
      <c r="L38" s="23">
        <f t="shared" si="18"/>
        <v>494512360.31039995</v>
      </c>
      <c r="M38" s="17">
        <f>+M39+M41+M43+P42+M45+M49+M51+M47+M53</f>
        <v>22265487219.5215</v>
      </c>
      <c r="N38" s="113">
        <f>+M38/$M$57</f>
        <v>0.10697997881428693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2760641147.4938002</v>
      </c>
      <c r="F39" s="63">
        <f>+F40</f>
        <v>0</v>
      </c>
      <c r="G39" s="45">
        <f t="shared" ref="G39:L39" si="19">+G40</f>
        <v>3468238969.1847</v>
      </c>
      <c r="H39" s="45">
        <f t="shared" si="19"/>
        <v>1263980424.3250999</v>
      </c>
      <c r="I39" s="32">
        <f t="shared" si="19"/>
        <v>1932811041.5381</v>
      </c>
      <c r="J39" s="31">
        <f t="shared" si="19"/>
        <v>0</v>
      </c>
      <c r="K39" s="32">
        <f t="shared" si="19"/>
        <v>0</v>
      </c>
      <c r="L39" s="95">
        <f t="shared" si="19"/>
        <v>317074113.76059997</v>
      </c>
      <c r="M39" s="51">
        <f>+M40</f>
        <v>9742745696.3022995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2760641147.4938002</v>
      </c>
      <c r="F40" s="65">
        <v>0</v>
      </c>
      <c r="G40" s="86">
        <v>3468238969.1847</v>
      </c>
      <c r="H40" s="86">
        <v>1263980424.3250999</v>
      </c>
      <c r="I40" s="78">
        <v>1932811041.5381</v>
      </c>
      <c r="J40" s="19">
        <v>0</v>
      </c>
      <c r="K40" s="19">
        <v>0</v>
      </c>
      <c r="L40" s="86">
        <v>317074113.76059997</v>
      </c>
      <c r="M40" s="50">
        <f>SUM(D40:L40)</f>
        <v>9742745696.3022995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2018355014.9411001</v>
      </c>
      <c r="F41" s="65">
        <f>+F42</f>
        <v>0</v>
      </c>
      <c r="G41" s="45">
        <f t="shared" ref="G41:L41" si="20">+G42</f>
        <v>1314033212.8522</v>
      </c>
      <c r="H41" s="45">
        <f t="shared" si="20"/>
        <v>1314033212.8522999</v>
      </c>
      <c r="I41" s="32">
        <f t="shared" si="20"/>
        <v>1260683464.4105</v>
      </c>
      <c r="J41" s="31">
        <f t="shared" si="20"/>
        <v>0</v>
      </c>
      <c r="K41" s="32">
        <f t="shared" si="20"/>
        <v>0</v>
      </c>
      <c r="L41" s="65">
        <f t="shared" si="20"/>
        <v>0</v>
      </c>
      <c r="M41" s="51">
        <f>+M42</f>
        <v>5907104905.0561008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2018355014.9411001</v>
      </c>
      <c r="F42" s="65">
        <v>0</v>
      </c>
      <c r="G42" s="86">
        <v>1314033212.8522</v>
      </c>
      <c r="H42" s="86">
        <v>1314033212.8522999</v>
      </c>
      <c r="I42" s="78">
        <v>1260683464.4105</v>
      </c>
      <c r="J42" s="19">
        <v>0</v>
      </c>
      <c r="K42" s="20">
        <v>0</v>
      </c>
      <c r="L42" s="69">
        <v>0</v>
      </c>
      <c r="M42" s="50">
        <f>SUM(D42:L42)</f>
        <v>5907104905.0561008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971941440.98210001</v>
      </c>
      <c r="F43" s="65">
        <f t="shared" ref="F43:M43" si="21">F44</f>
        <v>0</v>
      </c>
      <c r="G43" s="95">
        <f t="shared" si="21"/>
        <v>0</v>
      </c>
      <c r="H43" s="45">
        <f t="shared" si="21"/>
        <v>0</v>
      </c>
      <c r="I43" s="68">
        <f t="shared" si="21"/>
        <v>0</v>
      </c>
      <c r="J43" s="65">
        <f t="shared" si="21"/>
        <v>0</v>
      </c>
      <c r="K43" s="65">
        <f t="shared" si="21"/>
        <v>0</v>
      </c>
      <c r="L43" s="65">
        <f t="shared" si="21"/>
        <v>0</v>
      </c>
      <c r="M43" s="80">
        <f t="shared" si="21"/>
        <v>971941440.98210001</v>
      </c>
      <c r="N43" s="5"/>
      <c r="P43" s="81"/>
    </row>
    <row r="44" spans="2:16" x14ac:dyDescent="0.25">
      <c r="B44" s="10" t="s">
        <v>44</v>
      </c>
      <c r="C44" s="15" t="s">
        <v>45</v>
      </c>
      <c r="D44" s="19"/>
      <c r="E44" s="78">
        <v>971941440.98210001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971941440.98210001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2">+G46</f>
        <v>0</v>
      </c>
      <c r="H45" s="45">
        <f t="shared" si="22"/>
        <v>138513047.16420001</v>
      </c>
      <c r="I45" s="32">
        <f t="shared" si="22"/>
        <v>0</v>
      </c>
      <c r="J45" s="31">
        <f t="shared" si="22"/>
        <v>0</v>
      </c>
      <c r="K45" s="32">
        <f t="shared" si="22"/>
        <v>0</v>
      </c>
      <c r="L45" s="65">
        <f t="shared" si="22"/>
        <v>177438246.54979998</v>
      </c>
      <c r="M45" s="51">
        <f>+M46</f>
        <v>315951293.71399999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138513047.16420001</v>
      </c>
      <c r="I46" s="20">
        <v>0</v>
      </c>
      <c r="J46" s="19">
        <v>0</v>
      </c>
      <c r="K46" s="19">
        <v>0</v>
      </c>
      <c r="L46" s="93">
        <v>177438246.54979998</v>
      </c>
      <c r="M46" s="53">
        <f>SUM(D46:L46)</f>
        <v>315951293.71399999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58718601.611000001</v>
      </c>
      <c r="E47" s="32">
        <f>+E48</f>
        <v>0</v>
      </c>
      <c r="F47" s="95">
        <f>+F48</f>
        <v>89446432.8389</v>
      </c>
      <c r="G47" s="45">
        <f t="shared" si="22"/>
        <v>0</v>
      </c>
      <c r="H47" s="45">
        <f t="shared" si="22"/>
        <v>286968008.92930001</v>
      </c>
      <c r="I47" s="32">
        <f t="shared" si="22"/>
        <v>0</v>
      </c>
      <c r="J47" s="31">
        <f t="shared" si="22"/>
        <v>0</v>
      </c>
      <c r="K47" s="32">
        <f t="shared" si="22"/>
        <v>0</v>
      </c>
      <c r="L47" s="65">
        <f t="shared" si="22"/>
        <v>0</v>
      </c>
      <c r="M47" s="51">
        <f>+M48</f>
        <v>435133043.37919998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58718601.611000001</v>
      </c>
      <c r="E48" s="19">
        <v>0</v>
      </c>
      <c r="F48" s="86">
        <v>89446432.8389</v>
      </c>
      <c r="G48" s="44">
        <v>0</v>
      </c>
      <c r="H48" s="86">
        <v>286968008.92930001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435133043.37919998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3">+G50</f>
        <v>1840448024.9375</v>
      </c>
      <c r="H49" s="45">
        <f t="shared" si="23"/>
        <v>0</v>
      </c>
      <c r="I49" s="32">
        <f t="shared" si="23"/>
        <v>0</v>
      </c>
      <c r="J49" s="31">
        <f t="shared" si="23"/>
        <v>0</v>
      </c>
      <c r="K49" s="32">
        <f t="shared" si="23"/>
        <v>0</v>
      </c>
      <c r="L49" s="65">
        <f t="shared" si="23"/>
        <v>0</v>
      </c>
      <c r="M49" s="51">
        <f>+M50</f>
        <v>1840448024.9375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19">
        <v>1840448024.9375</v>
      </c>
      <c r="H50" s="19"/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1840448024.9375</v>
      </c>
      <c r="N50" s="3"/>
    </row>
    <row r="51" spans="2:14" ht="15" customHeight="1" x14ac:dyDescent="0.25">
      <c r="B51" s="33" t="s">
        <v>51</v>
      </c>
      <c r="C51" s="27" t="s">
        <v>18</v>
      </c>
      <c r="D51" s="19">
        <f>+D52</f>
        <v>0</v>
      </c>
      <c r="E51" s="32">
        <f>+E52</f>
        <v>732579120.34790003</v>
      </c>
      <c r="F51" s="96">
        <f>+F52</f>
        <v>0</v>
      </c>
      <c r="G51" s="31">
        <f t="shared" ref="G51:L51" si="24">+G52</f>
        <v>2111445092.3375001</v>
      </c>
      <c r="H51" s="31">
        <f t="shared" si="24"/>
        <v>111335129.90459999</v>
      </c>
      <c r="I51" s="32">
        <f t="shared" si="24"/>
        <v>0</v>
      </c>
      <c r="J51" s="31">
        <f t="shared" si="24"/>
        <v>0</v>
      </c>
      <c r="K51" s="32">
        <f t="shared" si="24"/>
        <v>0</v>
      </c>
      <c r="L51" s="65">
        <f t="shared" si="24"/>
        <v>0</v>
      </c>
      <c r="M51" s="51">
        <f>+M52</f>
        <v>2955359342.5900002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732579120.34790003</v>
      </c>
      <c r="F52" s="96">
        <v>0</v>
      </c>
      <c r="G52" s="93">
        <v>2111445092.3375001</v>
      </c>
      <c r="H52" s="93">
        <v>111335129.90459999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2955359342.5900002</v>
      </c>
      <c r="N52" s="3"/>
    </row>
    <row r="53" spans="2:14" ht="17.25" customHeight="1" x14ac:dyDescent="0.25">
      <c r="B53" s="33" t="s">
        <v>75</v>
      </c>
      <c r="C53" s="27"/>
      <c r="D53" s="31">
        <f>D54</f>
        <v>59331160.601499997</v>
      </c>
      <c r="E53" s="32">
        <v>0</v>
      </c>
      <c r="F53" s="95">
        <f>+F54</f>
        <v>37472311.958800003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96803472.560299993</v>
      </c>
      <c r="N53" s="3"/>
    </row>
    <row r="54" spans="2:14" ht="12.95" customHeight="1" x14ac:dyDescent="0.25">
      <c r="B54" s="10" t="s">
        <v>48</v>
      </c>
      <c r="C54" s="76" t="s">
        <v>45</v>
      </c>
      <c r="D54" s="93">
        <v>59331160.601499997</v>
      </c>
      <c r="E54" s="45">
        <v>0</v>
      </c>
      <c r="F54" s="96">
        <v>37472311.958800003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09">
        <f t="shared" ref="M54" si="25">SUM(D54:L54)</f>
        <v>96803472.560299993</v>
      </c>
      <c r="N54" s="108"/>
    </row>
    <row r="55" spans="2:14" ht="17.25" customHeight="1" x14ac:dyDescent="0.25">
      <c r="B55" s="33" t="s">
        <v>76</v>
      </c>
      <c r="C55" s="27"/>
      <c r="D55" s="31">
        <f>D56</f>
        <v>0</v>
      </c>
      <c r="E55" s="32">
        <v>0</v>
      </c>
      <c r="F55" s="95">
        <f>+F56</f>
        <v>60001598.971099995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60001598.971099995</v>
      </c>
      <c r="N55" s="3"/>
    </row>
    <row r="56" spans="2:14" ht="12.95" customHeight="1" x14ac:dyDescent="0.25">
      <c r="B56" s="10" t="s">
        <v>48</v>
      </c>
      <c r="C56" s="49" t="s">
        <v>45</v>
      </c>
      <c r="D56" s="97">
        <v>0</v>
      </c>
      <c r="E56" s="97">
        <v>0</v>
      </c>
      <c r="F56" s="86">
        <v>60001598.971099995</v>
      </c>
      <c r="G56" s="38">
        <v>0</v>
      </c>
      <c r="H56" s="98">
        <v>0</v>
      </c>
      <c r="I56" s="44">
        <v>0</v>
      </c>
      <c r="J56" s="19">
        <v>0</v>
      </c>
      <c r="K56" s="71">
        <v>0</v>
      </c>
      <c r="L56" s="70">
        <v>0</v>
      </c>
      <c r="M56" s="53">
        <f t="shared" ref="M56" si="26">SUM(D56:L56)</f>
        <v>60001598.971099995</v>
      </c>
      <c r="N56" s="3"/>
    </row>
    <row r="57" spans="2:14" x14ac:dyDescent="0.25">
      <c r="B57" s="144" t="s">
        <v>53</v>
      </c>
      <c r="C57" s="145"/>
      <c r="D57" s="23">
        <f t="shared" ref="D57:L57" si="27">+D7+D10+D31+D38</f>
        <v>770107828.91709983</v>
      </c>
      <c r="E57" s="23">
        <f t="shared" si="27"/>
        <v>46177461868.990997</v>
      </c>
      <c r="F57" s="23">
        <f t="shared" si="27"/>
        <v>312005285.42909998</v>
      </c>
      <c r="G57" s="25">
        <f t="shared" si="27"/>
        <v>68288799757.462502</v>
      </c>
      <c r="H57" s="61">
        <f t="shared" si="27"/>
        <v>32380643764.801075</v>
      </c>
      <c r="I57" s="25">
        <f t="shared" si="27"/>
        <v>45366777405.534821</v>
      </c>
      <c r="J57" s="23">
        <f t="shared" si="27"/>
        <v>2399043460.5021</v>
      </c>
      <c r="K57" s="25">
        <f t="shared" si="27"/>
        <v>1970921067.2618008</v>
      </c>
      <c r="L57" s="61">
        <f t="shared" si="27"/>
        <v>10521850328.638699</v>
      </c>
      <c r="M57" s="17">
        <f>+M38+M31+M10+M7</f>
        <v>208127609168.56711</v>
      </c>
      <c r="N57" s="156">
        <f>+M57/M58</f>
        <v>0.26282347431324204</v>
      </c>
    </row>
    <row r="58" spans="2:14" ht="15" customHeight="1" x14ac:dyDescent="0.25">
      <c r="B58" s="144" t="s">
        <v>54</v>
      </c>
      <c r="C58" s="145"/>
      <c r="D58" s="92">
        <v>7330572188.8463001</v>
      </c>
      <c r="E58" s="92">
        <v>164854501241.44101</v>
      </c>
      <c r="F58" s="23">
        <v>3543782356.9998002</v>
      </c>
      <c r="G58" s="84">
        <v>245105284472.82901</v>
      </c>
      <c r="H58" s="23">
        <v>120476498793.731</v>
      </c>
      <c r="I58" s="92">
        <v>151328511397.155</v>
      </c>
      <c r="J58" s="92">
        <v>24668902274.929001</v>
      </c>
      <c r="K58" s="23">
        <v>17939478858.812599</v>
      </c>
      <c r="L58" s="23">
        <v>49707434549.520302</v>
      </c>
      <c r="M58" s="23">
        <v>791891248346.07996</v>
      </c>
      <c r="N58" s="157"/>
    </row>
    <row r="59" spans="2:14" ht="15.75" customHeight="1" x14ac:dyDescent="0.25">
      <c r="B59" s="144" t="s">
        <v>55</v>
      </c>
      <c r="C59" s="145"/>
      <c r="D59" s="112">
        <f>+D57/D58</f>
        <v>0.10505425894159306</v>
      </c>
      <c r="E59" s="112">
        <f>+E57/E58</f>
        <v>0.28011040961120531</v>
      </c>
      <c r="F59" s="112">
        <f>+F57/F58</f>
        <v>8.8043015625047197E-2</v>
      </c>
      <c r="G59" s="112">
        <f t="shared" ref="G59:L59" si="28">+G57/G58</f>
        <v>0.27861006711600544</v>
      </c>
      <c r="H59" s="112">
        <f t="shared" si="28"/>
        <v>0.2687714540928044</v>
      </c>
      <c r="I59" s="112">
        <f t="shared" si="28"/>
        <v>0.2997900196511662</v>
      </c>
      <c r="J59" s="112">
        <f>+J57/J58</f>
        <v>9.7249704659142747E-2</v>
      </c>
      <c r="K59" s="112">
        <f t="shared" si="28"/>
        <v>0.10986501239937661</v>
      </c>
      <c r="L59" s="112">
        <f t="shared" si="28"/>
        <v>0.21167558583528304</v>
      </c>
      <c r="M59" s="146" t="s">
        <v>56</v>
      </c>
      <c r="N59" s="147"/>
    </row>
    <row r="60" spans="2:14" x14ac:dyDescent="0.25">
      <c r="B60" s="148" t="s">
        <v>78</v>
      </c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2:14" ht="15" customHeight="1" x14ac:dyDescent="0.25">
      <c r="B61" s="149" t="s">
        <v>79</v>
      </c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</row>
    <row r="62" spans="2:14" ht="15.75" x14ac:dyDescent="0.25">
      <c r="B62" s="34" t="s">
        <v>59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2:14" x14ac:dyDescent="0.25">
      <c r="B63" s="35"/>
      <c r="C63" s="35"/>
      <c r="D63" s="35"/>
      <c r="E63" s="47"/>
      <c r="F63" s="47"/>
      <c r="G63" s="35"/>
      <c r="H63" s="35"/>
      <c r="I63" s="35"/>
      <c r="J63" s="57"/>
      <c r="K63" s="35"/>
      <c r="L63" s="35"/>
      <c r="M63" s="36"/>
      <c r="N63" s="35"/>
    </row>
    <row r="64" spans="2:14" x14ac:dyDescent="0.25">
      <c r="G64" s="41"/>
      <c r="H64" s="41"/>
      <c r="M64" s="55"/>
    </row>
    <row r="65" spans="13:13" x14ac:dyDescent="0.25">
      <c r="M65" s="56"/>
    </row>
  </sheetData>
  <mergeCells count="22">
    <mergeCell ref="B59:C59"/>
    <mergeCell ref="M59:N59"/>
    <mergeCell ref="B60:N60"/>
    <mergeCell ref="B61:N61"/>
    <mergeCell ref="I5:I6"/>
    <mergeCell ref="J5:J6"/>
    <mergeCell ref="K5:K6"/>
    <mergeCell ref="L5:L6"/>
    <mergeCell ref="M5:N5"/>
    <mergeCell ref="B57:C57"/>
    <mergeCell ref="N57:N58"/>
    <mergeCell ref="B58:C58"/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65"/>
  <sheetViews>
    <sheetView showGridLines="0" topLeftCell="B1" zoomScaleNormal="100" workbookViewId="0">
      <pane xSplit="2" ySplit="6" topLeftCell="J42" activePane="bottomRight" state="frozen"/>
      <selection pane="topRight" activeCell="D1" sqref="D1"/>
      <selection pane="bottomLeft" activeCell="B7" sqref="B7"/>
      <selection pane="bottomRight" activeCell="E72" sqref="E72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80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16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642299911.77680016</v>
      </c>
      <c r="E7" s="25">
        <f t="shared" si="0"/>
        <v>33135405132.515499</v>
      </c>
      <c r="F7" s="23">
        <f t="shared" si="0"/>
        <v>119740821.45459998</v>
      </c>
      <c r="G7" s="24">
        <f t="shared" si="0"/>
        <v>51420069950.493408</v>
      </c>
      <c r="H7" s="23">
        <f t="shared" si="0"/>
        <v>26363290529.682255</v>
      </c>
      <c r="I7" s="73">
        <f t="shared" si="0"/>
        <v>38331234802.735718</v>
      </c>
      <c r="J7" s="67">
        <f t="shared" si="0"/>
        <v>2039304021.8104997</v>
      </c>
      <c r="K7" s="73">
        <f t="shared" si="0"/>
        <v>1426900424.8279002</v>
      </c>
      <c r="L7" s="67">
        <f t="shared" si="0"/>
        <v>8923768332.9699001</v>
      </c>
      <c r="M7" s="74">
        <f t="shared" si="0"/>
        <v>162402013928.26657</v>
      </c>
      <c r="N7" s="115">
        <f>+M7/$M$57</f>
        <v>0.7884424503057561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642299911.77680016</v>
      </c>
      <c r="E8" s="29">
        <f t="shared" si="1"/>
        <v>33135405132.515499</v>
      </c>
      <c r="F8" s="28">
        <f t="shared" si="1"/>
        <v>119740821.45459998</v>
      </c>
      <c r="G8" s="29">
        <f t="shared" si="1"/>
        <v>51420069950.493408</v>
      </c>
      <c r="H8" s="28">
        <f t="shared" si="1"/>
        <v>26363290529.682255</v>
      </c>
      <c r="I8" s="75">
        <f t="shared" si="1"/>
        <v>38331234802.735718</v>
      </c>
      <c r="J8" s="28">
        <f t="shared" si="1"/>
        <v>2039304021.8104997</v>
      </c>
      <c r="K8" s="75">
        <f t="shared" si="1"/>
        <v>1426900424.8279002</v>
      </c>
      <c r="L8" s="28">
        <f t="shared" si="1"/>
        <v>8923768332.9699001</v>
      </c>
      <c r="M8" s="40">
        <f>+M9</f>
        <v>162402013928.26657</v>
      </c>
      <c r="N8" s="115"/>
      <c r="Q8" s="7"/>
      <c r="R8" s="7"/>
    </row>
    <row r="9" spans="2:18" x14ac:dyDescent="0.25">
      <c r="B9" s="77" t="s">
        <v>20</v>
      </c>
      <c r="C9" s="76" t="s">
        <v>21</v>
      </c>
      <c r="D9" s="85">
        <v>642299911.77680016</v>
      </c>
      <c r="E9" s="78">
        <v>33135405132.515499</v>
      </c>
      <c r="F9" s="39">
        <v>119740821.45459998</v>
      </c>
      <c r="G9" s="78">
        <v>51420069950.493408</v>
      </c>
      <c r="H9" s="38">
        <v>26363290529.682255</v>
      </c>
      <c r="I9" s="93">
        <v>38331234802.735718</v>
      </c>
      <c r="J9" s="93">
        <v>2039304021.8104997</v>
      </c>
      <c r="K9" s="93">
        <v>1426900424.8279002</v>
      </c>
      <c r="L9" s="86">
        <v>8923768332.9699001</v>
      </c>
      <c r="M9" s="44">
        <f>SUM(D9:L9)</f>
        <v>162402013928.26657</v>
      </c>
      <c r="N9" s="3"/>
      <c r="Q9" s="7"/>
      <c r="R9" s="7"/>
    </row>
    <row r="10" spans="2:18" ht="16.5" customHeight="1" x14ac:dyDescent="0.25">
      <c r="B10" s="2" t="s">
        <v>22</v>
      </c>
      <c r="C10" s="16" t="s">
        <v>18</v>
      </c>
      <c r="D10" s="100">
        <f t="shared" ref="D10:M10" si="2">+D11+D13+D15+D17+D19+D21+D23+D25+D27+D29</f>
        <v>8620175.6704999991</v>
      </c>
      <c r="E10" s="100">
        <f t="shared" si="2"/>
        <v>471666572.61269999</v>
      </c>
      <c r="F10" s="100">
        <f t="shared" si="2"/>
        <v>98339605.350500003</v>
      </c>
      <c r="G10" s="100">
        <f t="shared" si="2"/>
        <v>4013925631.6971002</v>
      </c>
      <c r="H10" s="100">
        <f t="shared" si="2"/>
        <v>213759506.64579999</v>
      </c>
      <c r="I10" s="100">
        <f t="shared" si="2"/>
        <v>499346967.87599999</v>
      </c>
      <c r="J10" s="100">
        <f t="shared" si="2"/>
        <v>55480244.273699999</v>
      </c>
      <c r="K10" s="100">
        <f t="shared" si="2"/>
        <v>48700330.016900003</v>
      </c>
      <c r="L10" s="100">
        <f t="shared" si="2"/>
        <v>36225378.006800003</v>
      </c>
      <c r="M10" s="100">
        <f t="shared" si="2"/>
        <v>5446064412.1499996</v>
      </c>
      <c r="N10" s="4">
        <f>+M10/$M$57</f>
        <v>2.643999458981558E-2</v>
      </c>
      <c r="O10" s="41"/>
      <c r="P10" s="13"/>
      <c r="Q10" s="7"/>
      <c r="R10" s="7"/>
    </row>
    <row r="11" spans="2:18" ht="15" customHeight="1" x14ac:dyDescent="0.25">
      <c r="B11" s="79" t="s">
        <v>61</v>
      </c>
      <c r="C11" s="15" t="s">
        <v>18</v>
      </c>
      <c r="D11" s="45">
        <f t="shared" ref="D11:L11" si="3">D12</f>
        <v>8620175.6704999991</v>
      </c>
      <c r="E11" s="45">
        <f t="shared" si="3"/>
        <v>0</v>
      </c>
      <c r="F11" s="31">
        <f t="shared" si="3"/>
        <v>0</v>
      </c>
      <c r="G11" s="31">
        <f t="shared" si="3"/>
        <v>0</v>
      </c>
      <c r="H11" s="19">
        <f t="shared" si="3"/>
        <v>0</v>
      </c>
      <c r="I11" s="45">
        <f t="shared" si="3"/>
        <v>0</v>
      </c>
      <c r="J11" s="19">
        <f t="shared" si="3"/>
        <v>0</v>
      </c>
      <c r="K11" s="19">
        <f t="shared" si="3"/>
        <v>0</v>
      </c>
      <c r="L11" s="44">
        <f t="shared" si="3"/>
        <v>0</v>
      </c>
      <c r="M11" s="51">
        <f>+M12</f>
        <v>8620175.6704999991</v>
      </c>
      <c r="N11" s="3"/>
      <c r="P11" s="13"/>
    </row>
    <row r="12" spans="2:18" x14ac:dyDescent="0.25">
      <c r="B12" s="10" t="s">
        <v>24</v>
      </c>
      <c r="C12" s="15" t="s">
        <v>25</v>
      </c>
      <c r="D12" s="19">
        <v>8620175.6704999991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19">
        <v>0</v>
      </c>
      <c r="L12" s="44">
        <v>0</v>
      </c>
      <c r="M12" s="44">
        <f>SUM(D12:L12)</f>
        <v>8620175.6704999991</v>
      </c>
      <c r="N12" s="5"/>
      <c r="Q12" s="7"/>
      <c r="R12" s="7"/>
    </row>
    <row r="13" spans="2:18" s="42" customFormat="1" hidden="1" x14ac:dyDescent="0.25">
      <c r="B13" s="30" t="s">
        <v>23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 t="shared" ref="G13:L13" si="4">+G14</f>
        <v>0</v>
      </c>
      <c r="H13" s="31">
        <f t="shared" si="4"/>
        <v>0</v>
      </c>
      <c r="I13" s="29">
        <f t="shared" si="4"/>
        <v>0</v>
      </c>
      <c r="J13" s="28">
        <f t="shared" si="4"/>
        <v>0</v>
      </c>
      <c r="K13" s="28">
        <f t="shared" si="4"/>
        <v>0</v>
      </c>
      <c r="L13" s="45">
        <f t="shared" si="4"/>
        <v>0</v>
      </c>
      <c r="M13" s="51">
        <f>+M14</f>
        <v>0</v>
      </c>
      <c r="N13" s="5"/>
      <c r="Q13" s="43"/>
      <c r="R13" s="43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32">
        <f>+E16</f>
        <v>471666572.61269999</v>
      </c>
      <c r="F15" s="31">
        <f>+F16</f>
        <v>0</v>
      </c>
      <c r="G15" s="45">
        <f t="shared" ref="G15:I15" si="5">+G16</f>
        <v>3643586262.4927001</v>
      </c>
      <c r="H15" s="31">
        <f t="shared" si="5"/>
        <v>213759506.64579999</v>
      </c>
      <c r="I15" s="32">
        <f t="shared" si="5"/>
        <v>499346967.87599999</v>
      </c>
      <c r="J15" s="31">
        <f>J16</f>
        <v>0</v>
      </c>
      <c r="K15" s="31">
        <f>+K16</f>
        <v>48700330.016900003</v>
      </c>
      <c r="L15" s="45">
        <f>L16</f>
        <v>36225378.006800003</v>
      </c>
      <c r="M15" s="51">
        <f>+M16</f>
        <v>4913285017.6508999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93">
        <v>471666572.61269999</v>
      </c>
      <c r="F16" s="44">
        <v>0</v>
      </c>
      <c r="G16" s="93">
        <v>3643586262.4927001</v>
      </c>
      <c r="H16" s="93">
        <v>213759506.64579999</v>
      </c>
      <c r="I16" s="78">
        <v>499346967.87599999</v>
      </c>
      <c r="J16" s="19"/>
      <c r="K16" s="93">
        <v>48700330.016900003</v>
      </c>
      <c r="L16" s="86">
        <v>36225378.006800003</v>
      </c>
      <c r="M16" s="50">
        <f>SUM(D16:L16)</f>
        <v>4913285017.6508999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0</v>
      </c>
      <c r="H19" s="31">
        <f t="shared" si="7"/>
        <v>0</v>
      </c>
      <c r="I19" s="32">
        <f t="shared" si="7"/>
        <v>0</v>
      </c>
      <c r="J19" s="31">
        <f t="shared" si="7"/>
        <v>0</v>
      </c>
      <c r="K19" s="31">
        <f t="shared" si="7"/>
        <v>0</v>
      </c>
      <c r="L19" s="45">
        <f t="shared" si="7"/>
        <v>0</v>
      </c>
      <c r="M19" s="51">
        <f>+M20</f>
        <v>0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/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44">
        <f>SUM(D20:L20)</f>
        <v>0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69203745.753900006</v>
      </c>
      <c r="G21" s="45">
        <v>0</v>
      </c>
      <c r="H21" s="31">
        <v>0</v>
      </c>
      <c r="I21" s="32">
        <v>0</v>
      </c>
      <c r="J21" s="31">
        <f>+J22</f>
        <v>55480244.273699999</v>
      </c>
      <c r="K21" s="31">
        <f t="shared" ref="K21:L21" si="8">+K22</f>
        <v>0</v>
      </c>
      <c r="L21" s="45">
        <f t="shared" si="8"/>
        <v>0</v>
      </c>
      <c r="M21" s="51">
        <f>M22</f>
        <v>124683990.02760001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>
        <v>69203745.753900006</v>
      </c>
      <c r="G22" s="44">
        <v>0</v>
      </c>
      <c r="H22" s="19">
        <v>0</v>
      </c>
      <c r="I22" s="60">
        <v>0</v>
      </c>
      <c r="J22" s="19">
        <v>55480244.273699999</v>
      </c>
      <c r="K22" s="19"/>
      <c r="L22" s="44">
        <v>0</v>
      </c>
      <c r="M22" s="50">
        <f>SUM(D22:L22)</f>
        <v>124683990.02760001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29135859.5966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29135859.5966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>
        <v>29135859.5966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0">SUM(D24:L24)</f>
        <v>29135859.5966</v>
      </c>
      <c r="N24" s="5"/>
    </row>
    <row r="25" spans="2:18" ht="8.25" hidden="1" customHeight="1" x14ac:dyDescent="0.25">
      <c r="B25" s="79" t="s">
        <v>61</v>
      </c>
      <c r="C25" s="15" t="s">
        <v>18</v>
      </c>
      <c r="D25" s="45">
        <f t="shared" ref="D25:L25" si="11">D26</f>
        <v>0</v>
      </c>
      <c r="E25" s="45">
        <f t="shared" si="11"/>
        <v>0</v>
      </c>
      <c r="F25" s="31">
        <f t="shared" si="11"/>
        <v>0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0</v>
      </c>
      <c r="N25" s="3"/>
      <c r="P25" s="13"/>
    </row>
    <row r="26" spans="2:18" ht="15" hidden="1" customHeight="1" x14ac:dyDescent="0.25">
      <c r="B26" s="10" t="s">
        <v>24</v>
      </c>
      <c r="C26" s="15" t="s">
        <v>25</v>
      </c>
      <c r="D26" s="44">
        <v>0</v>
      </c>
      <c r="E26" s="44">
        <v>0</v>
      </c>
      <c r="F26" s="31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0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370339369.2044</v>
      </c>
      <c r="H27" s="31"/>
      <c r="I27" s="31">
        <f>I26</f>
        <v>0</v>
      </c>
      <c r="J27" s="31">
        <f>J26</f>
        <v>0</v>
      </c>
      <c r="K27" s="31">
        <f>K26</f>
        <v>0</v>
      </c>
      <c r="L27" s="31">
        <f>L26</f>
        <v>0</v>
      </c>
      <c r="M27" s="51">
        <f>+M28</f>
        <v>370339369.2044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44">
        <v>370339369.2044</v>
      </c>
      <c r="H28" s="44"/>
      <c r="I28" s="44">
        <v>0</v>
      </c>
      <c r="J28" s="44">
        <v>0</v>
      </c>
      <c r="K28" s="44">
        <v>0</v>
      </c>
      <c r="L28" s="44">
        <v>0</v>
      </c>
      <c r="M28" s="50">
        <f t="shared" ref="M28" si="12">SUM(D28:L28)</f>
        <v>370339369.2044</v>
      </c>
      <c r="N28" s="5"/>
    </row>
    <row r="29" spans="2:18" ht="15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3">I30</f>
        <v>0</v>
      </c>
      <c r="J29" s="19">
        <f t="shared" si="13"/>
        <v>0</v>
      </c>
      <c r="K29" s="19">
        <f t="shared" si="13"/>
        <v>0</v>
      </c>
      <c r="L29" s="19">
        <f t="shared" si="13"/>
        <v>0</v>
      </c>
      <c r="M29" s="51">
        <f>+M30</f>
        <v>0</v>
      </c>
      <c r="N29" s="3"/>
    </row>
    <row r="30" spans="2:18" ht="15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4">+D32+D34+D36</f>
        <v>0</v>
      </c>
      <c r="E31" s="25">
        <f t="shared" si="14"/>
        <v>3192848032.1904993</v>
      </c>
      <c r="F31" s="23">
        <f t="shared" si="14"/>
        <v>0</v>
      </c>
      <c r="G31" s="25">
        <f t="shared" si="14"/>
        <v>4348615938.1672001</v>
      </c>
      <c r="H31" s="67">
        <f t="shared" si="14"/>
        <v>3008494071.3144989</v>
      </c>
      <c r="I31" s="25">
        <f t="shared" si="14"/>
        <v>3463088244.7122002</v>
      </c>
      <c r="J31" s="99">
        <f t="shared" si="14"/>
        <v>314525201.58179998</v>
      </c>
      <c r="K31" s="25">
        <f t="shared" si="14"/>
        <v>493781693.6372</v>
      </c>
      <c r="L31" s="67">
        <f t="shared" si="14"/>
        <v>1049880599.0063</v>
      </c>
      <c r="M31" s="17">
        <f>+M32+M36+M34</f>
        <v>15871233780.609699</v>
      </c>
      <c r="N31" s="4">
        <f>+M31/$M$57</f>
        <v>7.7052951183762236E-2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514206918.46800011</v>
      </c>
      <c r="F32" s="31">
        <f>+F33</f>
        <v>0</v>
      </c>
      <c r="G32" s="28">
        <f t="shared" ref="G32:L32" si="15">+G33</f>
        <v>1132373602.9889002</v>
      </c>
      <c r="H32" s="94">
        <f t="shared" si="15"/>
        <v>517390226.00170004</v>
      </c>
      <c r="I32" s="29">
        <f>+I33</f>
        <v>1376684631.4396002</v>
      </c>
      <c r="J32" s="63">
        <f>+J33</f>
        <v>13575197.4208</v>
      </c>
      <c r="K32" s="101">
        <f t="shared" si="15"/>
        <v>96495037.633200005</v>
      </c>
      <c r="L32" s="94">
        <f t="shared" si="15"/>
        <v>186622250.63630003</v>
      </c>
      <c r="M32" s="51">
        <f>+M33</f>
        <v>3837347864.5885015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514206918.46800011</v>
      </c>
      <c r="F33" s="31">
        <v>0</v>
      </c>
      <c r="G33" s="86">
        <v>1132373602.9889002</v>
      </c>
      <c r="H33" s="86">
        <v>517390226.00170004</v>
      </c>
      <c r="I33" s="21">
        <v>1376684631.4396002</v>
      </c>
      <c r="J33" s="102">
        <v>13575197.4208</v>
      </c>
      <c r="K33" s="102">
        <v>96495037.633200005</v>
      </c>
      <c r="L33" s="86">
        <v>186622250.63630003</v>
      </c>
      <c r="M33" s="44">
        <f>SUM(D33:L33)</f>
        <v>3837347864.5885015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2596475660.1596994</v>
      </c>
      <c r="F34" s="31">
        <f>+F35</f>
        <v>0</v>
      </c>
      <c r="G34" s="31">
        <f t="shared" ref="G34:L34" si="16">+G35</f>
        <v>2185697521.4828997</v>
      </c>
      <c r="H34" s="45">
        <f t="shared" si="16"/>
        <v>1368292265.9436989</v>
      </c>
      <c r="I34" s="32">
        <f>+I35</f>
        <v>1821868449.0329001</v>
      </c>
      <c r="J34" s="65">
        <f>+J35</f>
        <v>116072145.59989999</v>
      </c>
      <c r="K34" s="95">
        <f t="shared" si="16"/>
        <v>16249397.3849</v>
      </c>
      <c r="L34" s="45">
        <f t="shared" si="16"/>
        <v>480215898.11970007</v>
      </c>
      <c r="M34" s="51">
        <f>+M35</f>
        <v>8584871337.7236986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2596475660.1596994</v>
      </c>
      <c r="F35" s="31">
        <v>0</v>
      </c>
      <c r="G35" s="86">
        <v>2185697521.4828997</v>
      </c>
      <c r="H35" s="86">
        <v>1368292265.9436989</v>
      </c>
      <c r="I35" s="21">
        <v>1821868449.0329001</v>
      </c>
      <c r="J35" s="102">
        <v>116072145.59989999</v>
      </c>
      <c r="K35" s="102">
        <v>16249397.3849</v>
      </c>
      <c r="L35" s="86">
        <v>480215898.11970007</v>
      </c>
      <c r="M35" s="50">
        <f>SUM(D35:L35)</f>
        <v>8584871337.7236986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E37</f>
        <v>82165453.56279999</v>
      </c>
      <c r="F36" s="31">
        <f>+F37</f>
        <v>0</v>
      </c>
      <c r="G36" s="31">
        <f t="shared" ref="G36:L36" si="17">+G37</f>
        <v>1030544813.6953999</v>
      </c>
      <c r="H36" s="45">
        <f t="shared" si="17"/>
        <v>1122811579.3691001</v>
      </c>
      <c r="I36" s="32">
        <f>+I37</f>
        <v>264535164.23969999</v>
      </c>
      <c r="J36" s="65">
        <f>+J37</f>
        <v>184877858.56110001</v>
      </c>
      <c r="K36" s="95">
        <f t="shared" si="17"/>
        <v>381037258.61909997</v>
      </c>
      <c r="L36" s="45">
        <f t="shared" si="17"/>
        <v>383042450.25029993</v>
      </c>
      <c r="M36" s="51">
        <f>+M37</f>
        <v>3449014578.2975001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82165453.56279999</v>
      </c>
      <c r="F37" s="31">
        <v>0</v>
      </c>
      <c r="G37" s="78">
        <v>1030544813.6953999</v>
      </c>
      <c r="H37" s="78">
        <v>1122811579.3691001</v>
      </c>
      <c r="I37" s="21">
        <v>264535164.23969999</v>
      </c>
      <c r="J37" s="102">
        <v>184877858.56110001</v>
      </c>
      <c r="K37" s="102">
        <v>381037258.61909997</v>
      </c>
      <c r="L37" s="86">
        <v>383042450.25029993</v>
      </c>
      <c r="M37" s="50">
        <f>SUM(D37:L37)</f>
        <v>3449014578.2975001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117344939.1604</v>
      </c>
      <c r="E38" s="23">
        <f>+E39+E41+E45+E49+E51+E47+E44+E53</f>
        <v>6471572801.4184008</v>
      </c>
      <c r="F38" s="25">
        <f>+F39+F41+F45+F49+F51+F47+F44+F53+F55</f>
        <v>185726620.83600003</v>
      </c>
      <c r="G38" s="23">
        <f t="shared" ref="G38:L38" si="18">+G39+G41+G45+G49+G51+G47+G44+G53</f>
        <v>8726151052.3938999</v>
      </c>
      <c r="H38" s="23">
        <f t="shared" si="18"/>
        <v>3118164507.2995996</v>
      </c>
      <c r="I38" s="23">
        <f t="shared" si="18"/>
        <v>3204171967.9962997</v>
      </c>
      <c r="J38" s="23">
        <f t="shared" si="18"/>
        <v>0</v>
      </c>
      <c r="K38" s="23">
        <f t="shared" si="18"/>
        <v>0</v>
      </c>
      <c r="L38" s="23">
        <f t="shared" si="18"/>
        <v>495421140.13370001</v>
      </c>
      <c r="M38" s="17">
        <f>+M39+M41+M43+P42+M45+M49+M51+M47+M53</f>
        <v>22258960440.639397</v>
      </c>
      <c r="N38" s="115">
        <f>+M38/$M$57</f>
        <v>0.10806460392066605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2748026174.1913996</v>
      </c>
      <c r="F39" s="63">
        <f>+F40</f>
        <v>0</v>
      </c>
      <c r="G39" s="45">
        <f t="shared" ref="G39:L39" si="19">+G40</f>
        <v>3488228197.7551003</v>
      </c>
      <c r="H39" s="45">
        <f t="shared" si="19"/>
        <v>1271265387.6262999</v>
      </c>
      <c r="I39" s="32">
        <f t="shared" si="19"/>
        <v>1943950816.5178001</v>
      </c>
      <c r="J39" s="31">
        <f t="shared" si="19"/>
        <v>0</v>
      </c>
      <c r="K39" s="32">
        <f t="shared" si="19"/>
        <v>0</v>
      </c>
      <c r="L39" s="95">
        <f t="shared" si="19"/>
        <v>318901573.4569</v>
      </c>
      <c r="M39" s="51">
        <f>+M40</f>
        <v>9770372149.5474987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2748026174.1913996</v>
      </c>
      <c r="F40" s="65">
        <v>0</v>
      </c>
      <c r="G40" s="86">
        <v>3488228197.7551003</v>
      </c>
      <c r="H40" s="86">
        <v>1271265387.6262999</v>
      </c>
      <c r="I40" s="78">
        <v>1943950816.5178001</v>
      </c>
      <c r="J40" s="19">
        <v>0</v>
      </c>
      <c r="K40" s="19">
        <v>0</v>
      </c>
      <c r="L40" s="86">
        <v>318901573.4569</v>
      </c>
      <c r="M40" s="50">
        <f>SUM(D40:L40)</f>
        <v>9770372149.5474987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2017614851.6479001</v>
      </c>
      <c r="F41" s="65">
        <f>+F42</f>
        <v>0</v>
      </c>
      <c r="G41" s="45">
        <f t="shared" ref="G41:L41" si="20">+G42</f>
        <v>1313551335.7083001</v>
      </c>
      <c r="H41" s="45">
        <f t="shared" si="20"/>
        <v>1313551335.7082</v>
      </c>
      <c r="I41" s="32">
        <f t="shared" si="20"/>
        <v>1260221151.4784999</v>
      </c>
      <c r="J41" s="31">
        <f t="shared" si="20"/>
        <v>0</v>
      </c>
      <c r="K41" s="32">
        <f t="shared" si="20"/>
        <v>0</v>
      </c>
      <c r="L41" s="65">
        <f t="shared" si="20"/>
        <v>0</v>
      </c>
      <c r="M41" s="51">
        <f>+M42</f>
        <v>5904938674.5429001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2017614851.6479001</v>
      </c>
      <c r="F42" s="65">
        <v>0</v>
      </c>
      <c r="G42" s="86">
        <v>1313551335.7083001</v>
      </c>
      <c r="H42" s="86">
        <v>1313551335.7082</v>
      </c>
      <c r="I42" s="78">
        <v>1260221151.4784999</v>
      </c>
      <c r="J42" s="19">
        <v>0</v>
      </c>
      <c r="K42" s="20">
        <v>0</v>
      </c>
      <c r="L42" s="69">
        <v>0</v>
      </c>
      <c r="M42" s="50">
        <f>SUM(D42:L42)</f>
        <v>5904938674.5429001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979210570.31819999</v>
      </c>
      <c r="F43" s="65">
        <f t="shared" ref="F43:M43" si="21">F44</f>
        <v>0</v>
      </c>
      <c r="G43" s="95">
        <f t="shared" si="21"/>
        <v>0</v>
      </c>
      <c r="H43" s="45">
        <f t="shared" si="21"/>
        <v>0</v>
      </c>
      <c r="I43" s="68">
        <f t="shared" si="21"/>
        <v>0</v>
      </c>
      <c r="J43" s="65">
        <f t="shared" si="21"/>
        <v>0</v>
      </c>
      <c r="K43" s="65">
        <f t="shared" si="21"/>
        <v>0</v>
      </c>
      <c r="L43" s="65">
        <f t="shared" si="21"/>
        <v>0</v>
      </c>
      <c r="M43" s="80">
        <f t="shared" si="21"/>
        <v>979210570.31819999</v>
      </c>
      <c r="N43" s="5"/>
      <c r="P43" s="81"/>
    </row>
    <row r="44" spans="2:16" x14ac:dyDescent="0.25">
      <c r="B44" s="10" t="s">
        <v>44</v>
      </c>
      <c r="C44" s="15" t="s">
        <v>45</v>
      </c>
      <c r="D44" s="19"/>
      <c r="E44" s="78">
        <v>979210570.31819999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979210570.31819999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2">+G46</f>
        <v>0</v>
      </c>
      <c r="H45" s="45">
        <f t="shared" si="22"/>
        <v>137795901.0526</v>
      </c>
      <c r="I45" s="32">
        <f t="shared" si="22"/>
        <v>0</v>
      </c>
      <c r="J45" s="31">
        <f t="shared" si="22"/>
        <v>0</v>
      </c>
      <c r="K45" s="32">
        <f t="shared" si="22"/>
        <v>0</v>
      </c>
      <c r="L45" s="65">
        <f t="shared" si="22"/>
        <v>176519566.67679998</v>
      </c>
      <c r="M45" s="51">
        <f>+M46</f>
        <v>314315467.72939998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137795901.0526</v>
      </c>
      <c r="I46" s="20">
        <v>0</v>
      </c>
      <c r="J46" s="19">
        <v>0</v>
      </c>
      <c r="K46" s="19">
        <v>0</v>
      </c>
      <c r="L46" s="93">
        <v>176519566.67679998</v>
      </c>
      <c r="M46" s="53">
        <f>SUM(D46:L46)</f>
        <v>314315467.72939998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58337811.398000002</v>
      </c>
      <c r="E47" s="32">
        <f>+E48</f>
        <v>0</v>
      </c>
      <c r="F47" s="95">
        <f>+F48</f>
        <v>88866372.5977</v>
      </c>
      <c r="G47" s="45">
        <f t="shared" si="22"/>
        <v>0</v>
      </c>
      <c r="H47" s="45">
        <f t="shared" si="22"/>
        <v>285107020.99269998</v>
      </c>
      <c r="I47" s="32">
        <f t="shared" si="22"/>
        <v>0</v>
      </c>
      <c r="J47" s="31">
        <f t="shared" si="22"/>
        <v>0</v>
      </c>
      <c r="K47" s="32">
        <f t="shared" si="22"/>
        <v>0</v>
      </c>
      <c r="L47" s="65">
        <f t="shared" si="22"/>
        <v>0</v>
      </c>
      <c r="M47" s="51">
        <f>+M48</f>
        <v>432311204.98839998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58337811.398000002</v>
      </c>
      <c r="E48" s="19">
        <v>0</v>
      </c>
      <c r="F48" s="86">
        <v>88866372.5977</v>
      </c>
      <c r="G48" s="44">
        <v>0</v>
      </c>
      <c r="H48" s="86">
        <v>285107020.99269998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432311204.98839998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3">+G50</f>
        <v>1829810153.8499999</v>
      </c>
      <c r="H49" s="45">
        <f t="shared" si="23"/>
        <v>0</v>
      </c>
      <c r="I49" s="32">
        <f t="shared" si="23"/>
        <v>0</v>
      </c>
      <c r="J49" s="31">
        <f t="shared" si="23"/>
        <v>0</v>
      </c>
      <c r="K49" s="32">
        <f t="shared" si="23"/>
        <v>0</v>
      </c>
      <c r="L49" s="65">
        <f t="shared" si="23"/>
        <v>0</v>
      </c>
      <c r="M49" s="51">
        <f>+M50</f>
        <v>1829810153.8499999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19">
        <v>1829810153.8499999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1829810153.8499999</v>
      </c>
      <c r="N50" s="3"/>
    </row>
    <row r="51" spans="2:14" ht="15" customHeight="1" x14ac:dyDescent="0.25">
      <c r="B51" s="33" t="s">
        <v>51</v>
      </c>
      <c r="C51" s="27" t="s">
        <v>18</v>
      </c>
      <c r="D51" s="19">
        <f>+D52</f>
        <v>0</v>
      </c>
      <c r="E51" s="32">
        <f>+E52</f>
        <v>726721205.26090002</v>
      </c>
      <c r="F51" s="96">
        <f>+F52</f>
        <v>0</v>
      </c>
      <c r="G51" s="31">
        <f t="shared" ref="G51:L51" si="24">+G52</f>
        <v>2094561365.0804999</v>
      </c>
      <c r="H51" s="31">
        <f t="shared" si="24"/>
        <v>110444861.9198</v>
      </c>
      <c r="I51" s="32">
        <f t="shared" si="24"/>
        <v>0</v>
      </c>
      <c r="J51" s="31">
        <f t="shared" si="24"/>
        <v>0</v>
      </c>
      <c r="K51" s="32">
        <f t="shared" si="24"/>
        <v>0</v>
      </c>
      <c r="L51" s="65">
        <f t="shared" si="24"/>
        <v>0</v>
      </c>
      <c r="M51" s="51">
        <f>+M52</f>
        <v>2931727432.2612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726721205.26090002</v>
      </c>
      <c r="F52" s="96">
        <v>0</v>
      </c>
      <c r="G52" s="93">
        <v>2094561365.0804999</v>
      </c>
      <c r="H52" s="93">
        <v>110444861.9198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2931727432.2612</v>
      </c>
      <c r="N52" s="3"/>
    </row>
    <row r="53" spans="2:14" ht="17.25" customHeight="1" x14ac:dyDescent="0.25">
      <c r="B53" s="33" t="s">
        <v>75</v>
      </c>
      <c r="C53" s="27"/>
      <c r="D53" s="31">
        <f>D54</f>
        <v>59007127.762400001</v>
      </c>
      <c r="E53" s="32">
        <v>0</v>
      </c>
      <c r="F53" s="95">
        <f>+F54</f>
        <v>37267659.639399998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96274787.401800007</v>
      </c>
      <c r="N53" s="3"/>
    </row>
    <row r="54" spans="2:14" ht="12.95" customHeight="1" x14ac:dyDescent="0.25">
      <c r="B54" s="10" t="s">
        <v>48</v>
      </c>
      <c r="C54" s="76" t="s">
        <v>45</v>
      </c>
      <c r="D54" s="93">
        <v>59007127.762400001</v>
      </c>
      <c r="E54" s="45">
        <v>0</v>
      </c>
      <c r="F54" s="96">
        <v>37267659.639399998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09">
        <f t="shared" ref="M54" si="25">SUM(D54:L54)</f>
        <v>96274787.401800007</v>
      </c>
      <c r="N54" s="108"/>
    </row>
    <row r="55" spans="2:14" ht="17.25" customHeight="1" x14ac:dyDescent="0.25">
      <c r="B55" s="33" t="s">
        <v>76</v>
      </c>
      <c r="C55" s="27"/>
      <c r="D55" s="31">
        <f>D56</f>
        <v>0</v>
      </c>
      <c r="E55" s="32">
        <v>0</v>
      </c>
      <c r="F55" s="95">
        <f>+F56</f>
        <v>59592588.598900005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59592588.598900005</v>
      </c>
      <c r="N55" s="3"/>
    </row>
    <row r="56" spans="2:14" ht="12.95" customHeight="1" x14ac:dyDescent="0.25">
      <c r="B56" s="10" t="s">
        <v>48</v>
      </c>
      <c r="C56" s="49" t="s">
        <v>45</v>
      </c>
      <c r="D56" s="97">
        <v>0</v>
      </c>
      <c r="E56" s="97">
        <v>0</v>
      </c>
      <c r="F56" s="86">
        <v>59592588.598900005</v>
      </c>
      <c r="G56" s="38">
        <v>0</v>
      </c>
      <c r="H56" s="98">
        <v>0</v>
      </c>
      <c r="I56" s="44">
        <v>0</v>
      </c>
      <c r="J56" s="19">
        <v>0</v>
      </c>
      <c r="K56" s="71">
        <v>0</v>
      </c>
      <c r="L56" s="70">
        <v>0</v>
      </c>
      <c r="M56" s="53">
        <f t="shared" ref="M56" si="26">SUM(D56:L56)</f>
        <v>59592588.598900005</v>
      </c>
      <c r="N56" s="3"/>
    </row>
    <row r="57" spans="2:14" x14ac:dyDescent="0.25">
      <c r="B57" s="144" t="s">
        <v>53</v>
      </c>
      <c r="C57" s="145"/>
      <c r="D57" s="23">
        <f t="shared" ref="D57:L57" si="27">+D7+D10+D31+D38</f>
        <v>768265026.60770023</v>
      </c>
      <c r="E57" s="23">
        <f t="shared" si="27"/>
        <v>43271492538.737106</v>
      </c>
      <c r="F57" s="23">
        <f t="shared" si="27"/>
        <v>403807047.64109999</v>
      </c>
      <c r="G57" s="25">
        <f t="shared" si="27"/>
        <v>68508762572.751602</v>
      </c>
      <c r="H57" s="61">
        <f t="shared" si="27"/>
        <v>32703708614.942154</v>
      </c>
      <c r="I57" s="25">
        <f t="shared" si="27"/>
        <v>45497841983.320213</v>
      </c>
      <c r="J57" s="23">
        <f t="shared" si="27"/>
        <v>2409309467.6659994</v>
      </c>
      <c r="K57" s="25">
        <f t="shared" si="27"/>
        <v>1969382448.4820004</v>
      </c>
      <c r="L57" s="61">
        <f t="shared" si="27"/>
        <v>10505295450.116699</v>
      </c>
      <c r="M57" s="17">
        <f>+M38+M31+M10+M7</f>
        <v>205978272561.66568</v>
      </c>
      <c r="N57" s="156">
        <f>+M57/M58</f>
        <v>0.25705198803248708</v>
      </c>
    </row>
    <row r="58" spans="2:14" ht="15" customHeight="1" x14ac:dyDescent="0.25">
      <c r="B58" s="144" t="s">
        <v>54</v>
      </c>
      <c r="C58" s="145"/>
      <c r="D58" s="92">
        <v>7514358603.6854</v>
      </c>
      <c r="E58" s="92">
        <v>167124597618.88199</v>
      </c>
      <c r="F58" s="23">
        <v>3785268794.5560002</v>
      </c>
      <c r="G58" s="84">
        <v>247514578870.79501</v>
      </c>
      <c r="H58" s="23">
        <v>121808249139.287</v>
      </c>
      <c r="I58" s="92">
        <v>152982710877.18201</v>
      </c>
      <c r="J58" s="92">
        <v>24831287257.867001</v>
      </c>
      <c r="K58" s="23">
        <v>18128508708.959301</v>
      </c>
      <c r="L58" s="23">
        <v>50569942888.031502</v>
      </c>
      <c r="M58" s="23">
        <v>801309782267.20996</v>
      </c>
      <c r="N58" s="157"/>
    </row>
    <row r="59" spans="2:14" ht="15.75" customHeight="1" x14ac:dyDescent="0.25">
      <c r="B59" s="144" t="s">
        <v>55</v>
      </c>
      <c r="C59" s="145"/>
      <c r="D59" s="114">
        <f>+D57/D58</f>
        <v>0.10223960115916034</v>
      </c>
      <c r="E59" s="114">
        <f>+E57/E58</f>
        <v>0.25891755705174679</v>
      </c>
      <c r="F59" s="114">
        <f>+F57/F58</f>
        <v>0.10667856618844561</v>
      </c>
      <c r="G59" s="114">
        <f t="shared" ref="G59:L59" si="28">+G57/G58</f>
        <v>0.27678677710743588</v>
      </c>
      <c r="H59" s="114">
        <f t="shared" si="28"/>
        <v>0.2684851711278245</v>
      </c>
      <c r="I59" s="114">
        <f t="shared" si="28"/>
        <v>0.29740512324851476</v>
      </c>
      <c r="J59" s="114">
        <f>+J57/J58</f>
        <v>9.7027167486159485E-2</v>
      </c>
      <c r="K59" s="114">
        <f t="shared" si="28"/>
        <v>0.10863455345936485</v>
      </c>
      <c r="L59" s="114">
        <f t="shared" si="28"/>
        <v>0.20773793384297079</v>
      </c>
      <c r="M59" s="146" t="s">
        <v>56</v>
      </c>
      <c r="N59" s="147"/>
    </row>
    <row r="60" spans="2:14" s="120" customFormat="1" x14ac:dyDescent="0.25">
      <c r="B60" s="148" t="s">
        <v>82</v>
      </c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2:14" s="120" customFormat="1" ht="15" customHeight="1" x14ac:dyDescent="0.25">
      <c r="B61" s="149" t="s">
        <v>81</v>
      </c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</row>
    <row r="62" spans="2:14" ht="15.75" x14ac:dyDescent="0.25">
      <c r="B62" s="34" t="s">
        <v>59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2:14" x14ac:dyDescent="0.25">
      <c r="B63" s="35"/>
      <c r="C63" s="35"/>
      <c r="D63" s="35"/>
      <c r="E63" s="47"/>
      <c r="F63" s="47"/>
      <c r="G63" s="35"/>
      <c r="H63" s="35"/>
      <c r="I63" s="35"/>
      <c r="J63" s="57"/>
      <c r="K63" s="35"/>
      <c r="L63" s="35"/>
      <c r="M63" s="36"/>
      <c r="N63" s="35"/>
    </row>
    <row r="64" spans="2:14" x14ac:dyDescent="0.25">
      <c r="G64" s="41"/>
      <c r="H64" s="41"/>
      <c r="M64" s="55"/>
    </row>
    <row r="65" spans="13:13" x14ac:dyDescent="0.25">
      <c r="M65" s="56"/>
    </row>
  </sheetData>
  <mergeCells count="22"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  <mergeCell ref="B59:C59"/>
    <mergeCell ref="M59:N59"/>
    <mergeCell ref="B60:N60"/>
    <mergeCell ref="B61:N61"/>
    <mergeCell ref="I5:I6"/>
    <mergeCell ref="J5:J6"/>
    <mergeCell ref="K5:K6"/>
    <mergeCell ref="L5:L6"/>
    <mergeCell ref="M5:N5"/>
    <mergeCell ref="B57:C57"/>
    <mergeCell ref="N57:N58"/>
    <mergeCell ref="B58:C58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65"/>
  <sheetViews>
    <sheetView showGridLines="0" topLeftCell="B1" zoomScaleNormal="100" workbookViewId="0">
      <pane xSplit="2" ySplit="6" topLeftCell="G45" activePane="bottomRight" state="frozen"/>
      <selection pane="topRight" activeCell="D1" sqref="D1"/>
      <selection pane="bottomLeft" activeCell="B7" sqref="B7"/>
      <selection pane="bottomRight" activeCell="L58" sqref="L58"/>
    </sheetView>
  </sheetViews>
  <sheetFormatPr baseColWidth="10" defaultColWidth="11.42578125" defaultRowHeight="15" x14ac:dyDescent="0.25"/>
  <cols>
    <col min="1" max="1" width="11.42578125" style="6"/>
    <col min="2" max="2" width="58.140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83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17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645470649.77289999</v>
      </c>
      <c r="E7" s="25">
        <f t="shared" si="0"/>
        <v>25857745959.850395</v>
      </c>
      <c r="F7" s="23">
        <f t="shared" si="0"/>
        <v>132492893.30559999</v>
      </c>
      <c r="G7" s="24">
        <f t="shared" si="0"/>
        <v>51323238575.728935</v>
      </c>
      <c r="H7" s="23">
        <f t="shared" si="0"/>
        <v>27054414302.425365</v>
      </c>
      <c r="I7" s="73">
        <f t="shared" si="0"/>
        <v>38419916095.998344</v>
      </c>
      <c r="J7" s="67">
        <f t="shared" si="0"/>
        <v>2037901962.0433998</v>
      </c>
      <c r="K7" s="73">
        <f t="shared" si="0"/>
        <v>1434437909.7095003</v>
      </c>
      <c r="L7" s="67">
        <f t="shared" si="0"/>
        <v>9180842578.4412003</v>
      </c>
      <c r="M7" s="74">
        <f t="shared" si="0"/>
        <v>156086460927.27563</v>
      </c>
      <c r="N7" s="119">
        <f>+M7/$M$57</f>
        <v>0.76441948327492604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645470649.77289999</v>
      </c>
      <c r="E8" s="125">
        <f t="shared" si="1"/>
        <v>25857745959.850395</v>
      </c>
      <c r="F8" s="28">
        <f t="shared" si="1"/>
        <v>132492893.30559999</v>
      </c>
      <c r="G8" s="29">
        <f t="shared" si="1"/>
        <v>51323238575.728935</v>
      </c>
      <c r="H8" s="28">
        <f t="shared" si="1"/>
        <v>27054414302.425365</v>
      </c>
      <c r="I8" s="75">
        <f t="shared" si="1"/>
        <v>38419916095.998344</v>
      </c>
      <c r="J8" s="28">
        <f t="shared" si="1"/>
        <v>2037901962.0433998</v>
      </c>
      <c r="K8" s="75">
        <f t="shared" si="1"/>
        <v>1434437909.7095003</v>
      </c>
      <c r="L8" s="28">
        <f t="shared" si="1"/>
        <v>9180842578.4412003</v>
      </c>
      <c r="M8" s="40">
        <f>+M9</f>
        <v>156086460927.27563</v>
      </c>
      <c r="N8" s="119"/>
      <c r="Q8" s="7"/>
      <c r="R8" s="7"/>
    </row>
    <row r="9" spans="2:18" x14ac:dyDescent="0.25">
      <c r="B9" s="77" t="s">
        <v>20</v>
      </c>
      <c r="C9" s="76" t="s">
        <v>21</v>
      </c>
      <c r="D9" s="85">
        <v>645470649.77289999</v>
      </c>
      <c r="E9" s="126">
        <v>25857745959.850395</v>
      </c>
      <c r="F9" s="39">
        <v>132492893.30559999</v>
      </c>
      <c r="G9" s="78">
        <v>51323238575.728935</v>
      </c>
      <c r="H9" s="38">
        <v>27054414302.425365</v>
      </c>
      <c r="I9" s="93">
        <v>38419916095.998344</v>
      </c>
      <c r="J9" s="93">
        <v>2037901962.0433998</v>
      </c>
      <c r="K9" s="93">
        <v>1434437909.7095003</v>
      </c>
      <c r="L9" s="86">
        <v>9180842578.4412003</v>
      </c>
      <c r="M9" s="44">
        <f>SUM(D9:L9)</f>
        <v>156086460927.27563</v>
      </c>
      <c r="N9" s="3"/>
      <c r="Q9" s="7"/>
      <c r="R9" s="7"/>
    </row>
    <row r="10" spans="2:18" ht="16.5" customHeight="1" x14ac:dyDescent="0.25">
      <c r="B10" s="2" t="s">
        <v>22</v>
      </c>
      <c r="C10" s="16" t="s">
        <v>18</v>
      </c>
      <c r="D10" s="100">
        <f t="shared" ref="D10:M10" si="2">+D11+D13+D15+D17+D19+D21+D23+D25+D27+D29</f>
        <v>6816577.4789000005</v>
      </c>
      <c r="E10" s="100">
        <f t="shared" si="2"/>
        <v>4203318002.598</v>
      </c>
      <c r="F10" s="100">
        <f t="shared" si="2"/>
        <v>73915753.033100009</v>
      </c>
      <c r="G10" s="100">
        <f t="shared" si="2"/>
        <v>4061412377.6868</v>
      </c>
      <c r="H10" s="100">
        <f t="shared" si="2"/>
        <v>135806814.91979998</v>
      </c>
      <c r="I10" s="100">
        <f t="shared" si="2"/>
        <v>1399550850.5145998</v>
      </c>
      <c r="J10" s="100">
        <f t="shared" si="2"/>
        <v>59177635.358599991</v>
      </c>
      <c r="K10" s="100">
        <f t="shared" si="2"/>
        <v>55527811.986099996</v>
      </c>
      <c r="L10" s="100">
        <f t="shared" si="2"/>
        <v>54351292.942599997</v>
      </c>
      <c r="M10" s="100">
        <f t="shared" si="2"/>
        <v>10049877116.518501</v>
      </c>
      <c r="N10" s="4">
        <f>+M10/$M$57</f>
        <v>4.9218374398052066E-2</v>
      </c>
      <c r="O10" s="41"/>
      <c r="P10" s="13"/>
      <c r="Q10" s="7"/>
      <c r="R10" s="7"/>
    </row>
    <row r="11" spans="2:18" ht="15" customHeight="1" x14ac:dyDescent="0.25">
      <c r="B11" s="79" t="s">
        <v>61</v>
      </c>
      <c r="C11" s="15" t="s">
        <v>18</v>
      </c>
      <c r="D11" s="45">
        <f t="shared" ref="D11:L11" si="3">D12</f>
        <v>6816577.4789000005</v>
      </c>
      <c r="E11" s="45">
        <f t="shared" si="3"/>
        <v>0</v>
      </c>
      <c r="F11" s="31">
        <f t="shared" si="3"/>
        <v>0</v>
      </c>
      <c r="G11" s="31">
        <f t="shared" si="3"/>
        <v>0</v>
      </c>
      <c r="H11" s="19">
        <f t="shared" si="3"/>
        <v>0</v>
      </c>
      <c r="I11" s="45">
        <f t="shared" si="3"/>
        <v>0</v>
      </c>
      <c r="J11" s="19">
        <f t="shared" si="3"/>
        <v>0</v>
      </c>
      <c r="K11" s="19">
        <f t="shared" si="3"/>
        <v>0</v>
      </c>
      <c r="L11" s="44">
        <f t="shared" si="3"/>
        <v>0</v>
      </c>
      <c r="M11" s="51">
        <f>+M12</f>
        <v>6816577.4789000005</v>
      </c>
      <c r="N11" s="3"/>
      <c r="P11" s="13"/>
    </row>
    <row r="12" spans="2:18" x14ac:dyDescent="0.25">
      <c r="B12" s="10" t="s">
        <v>24</v>
      </c>
      <c r="C12" s="15" t="s">
        <v>25</v>
      </c>
      <c r="D12" s="19">
        <v>6816577.4789000005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19">
        <v>0</v>
      </c>
      <c r="L12" s="44">
        <v>0</v>
      </c>
      <c r="M12" s="44">
        <f>SUM(D12:L12)</f>
        <v>6816577.4789000005</v>
      </c>
      <c r="N12" s="5"/>
      <c r="Q12" s="7"/>
      <c r="R12" s="7"/>
    </row>
    <row r="13" spans="2:18" s="42" customFormat="1" hidden="1" x14ac:dyDescent="0.25">
      <c r="B13" s="30" t="s">
        <v>23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 t="shared" ref="G13:L13" si="4">+G14</f>
        <v>0</v>
      </c>
      <c r="H13" s="31">
        <f t="shared" si="4"/>
        <v>0</v>
      </c>
      <c r="I13" s="29">
        <f t="shared" si="4"/>
        <v>0</v>
      </c>
      <c r="J13" s="28">
        <f t="shared" si="4"/>
        <v>0</v>
      </c>
      <c r="K13" s="28">
        <f t="shared" si="4"/>
        <v>0</v>
      </c>
      <c r="L13" s="45">
        <f t="shared" si="4"/>
        <v>0</v>
      </c>
      <c r="M13" s="51">
        <f>+M14</f>
        <v>0</v>
      </c>
      <c r="N13" s="5"/>
      <c r="Q13" s="43"/>
      <c r="R13" s="43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123">
        <f>+E16</f>
        <v>4203318002.598</v>
      </c>
      <c r="F15" s="31">
        <f>+F16</f>
        <v>0</v>
      </c>
      <c r="G15" s="45">
        <f t="shared" ref="G15:I15" si="5">+G16</f>
        <v>3692187459.7953</v>
      </c>
      <c r="H15" s="31">
        <f t="shared" si="5"/>
        <v>135806814.91979998</v>
      </c>
      <c r="I15" s="32">
        <f t="shared" si="5"/>
        <v>1399550850.5145998</v>
      </c>
      <c r="J15" s="31">
        <f>J16</f>
        <v>0</v>
      </c>
      <c r="K15" s="31">
        <f>+K16</f>
        <v>55527811.986099996</v>
      </c>
      <c r="L15" s="45">
        <f>L16</f>
        <v>54351292.942599997</v>
      </c>
      <c r="M15" s="51">
        <f>+M16</f>
        <v>9540742232.7563992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124">
        <v>4203318002.598</v>
      </c>
      <c r="F16" s="44">
        <v>0</v>
      </c>
      <c r="G16" s="93">
        <v>3692187459.7953</v>
      </c>
      <c r="H16" s="93">
        <v>135806814.91979998</v>
      </c>
      <c r="I16" s="78">
        <v>1399550850.5145998</v>
      </c>
      <c r="J16" s="19">
        <v>0</v>
      </c>
      <c r="K16" s="93">
        <v>55527811.986099996</v>
      </c>
      <c r="L16" s="86">
        <v>54351292.942599997</v>
      </c>
      <c r="M16" s="50">
        <f>SUM(D16:L16)</f>
        <v>9540742232.7563992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0</v>
      </c>
      <c r="H19" s="31">
        <f t="shared" si="7"/>
        <v>0</v>
      </c>
      <c r="I19" s="32">
        <f t="shared" si="7"/>
        <v>0</v>
      </c>
      <c r="J19" s="31">
        <f t="shared" si="7"/>
        <v>0</v>
      </c>
      <c r="K19" s="31">
        <f t="shared" si="7"/>
        <v>0</v>
      </c>
      <c r="L19" s="45">
        <f t="shared" si="7"/>
        <v>0</v>
      </c>
      <c r="M19" s="51">
        <f>+M20</f>
        <v>0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/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44">
        <f>SUM(D20:L20)</f>
        <v>0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0</v>
      </c>
      <c r="G21" s="45">
        <v>0</v>
      </c>
      <c r="H21" s="31">
        <v>0</v>
      </c>
      <c r="I21" s="32">
        <v>0</v>
      </c>
      <c r="J21" s="31">
        <f>+J22</f>
        <v>59177635.358599991</v>
      </c>
      <c r="K21" s="31">
        <f t="shared" ref="K21:L21" si="8">+K22</f>
        <v>0</v>
      </c>
      <c r="L21" s="45">
        <f t="shared" si="8"/>
        <v>0</v>
      </c>
      <c r="M21" s="51">
        <f>M22</f>
        <v>59177635.358599991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/>
      <c r="G22" s="44">
        <v>0</v>
      </c>
      <c r="H22" s="19">
        <v>0</v>
      </c>
      <c r="I22" s="60">
        <v>0</v>
      </c>
      <c r="J22" s="19">
        <v>59177635.358599991</v>
      </c>
      <c r="K22" s="19"/>
      <c r="L22" s="44">
        <v>0</v>
      </c>
      <c r="M22" s="50">
        <f>SUM(D22:L22)</f>
        <v>59177635.358599991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73915753.033100009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73915753.033100009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>
        <v>73915753.033100009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0">SUM(D24:L24)</f>
        <v>73915753.033100009</v>
      </c>
      <c r="N24" s="5"/>
    </row>
    <row r="25" spans="2:18" ht="8.25" hidden="1" customHeight="1" x14ac:dyDescent="0.25">
      <c r="B25" s="79" t="s">
        <v>61</v>
      </c>
      <c r="C25" s="15" t="s">
        <v>18</v>
      </c>
      <c r="D25" s="45">
        <f t="shared" ref="D25:L25" si="11">D26</f>
        <v>0</v>
      </c>
      <c r="E25" s="45">
        <f t="shared" si="11"/>
        <v>0</v>
      </c>
      <c r="F25" s="31">
        <f t="shared" si="11"/>
        <v>0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0</v>
      </c>
      <c r="N25" s="3"/>
      <c r="P25" s="13"/>
    </row>
    <row r="26" spans="2:18" ht="15" hidden="1" customHeight="1" x14ac:dyDescent="0.25">
      <c r="B26" s="10" t="s">
        <v>24</v>
      </c>
      <c r="C26" s="15" t="s">
        <v>25</v>
      </c>
      <c r="D26" s="44">
        <v>0</v>
      </c>
      <c r="E26" s="44">
        <v>0</v>
      </c>
      <c r="F26" s="31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0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369224917.8915</v>
      </c>
      <c r="H27" s="31"/>
      <c r="I27" s="31">
        <f>I26</f>
        <v>0</v>
      </c>
      <c r="J27" s="31">
        <f>J26</f>
        <v>0</v>
      </c>
      <c r="K27" s="31">
        <f>K26</f>
        <v>0</v>
      </c>
      <c r="L27" s="31">
        <f>L26</f>
        <v>0</v>
      </c>
      <c r="M27" s="51">
        <f>+M28</f>
        <v>369224917.8915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44">
        <v>369224917.8915</v>
      </c>
      <c r="H28" s="44"/>
      <c r="I28" s="44">
        <v>0</v>
      </c>
      <c r="J28" s="44">
        <v>0</v>
      </c>
      <c r="K28" s="44">
        <v>0</v>
      </c>
      <c r="L28" s="44">
        <v>0</v>
      </c>
      <c r="M28" s="50">
        <f t="shared" ref="M28" si="12">SUM(D28:L28)</f>
        <v>369224917.8915</v>
      </c>
      <c r="N28" s="5"/>
    </row>
    <row r="29" spans="2:18" ht="15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3">I30</f>
        <v>0</v>
      </c>
      <c r="J29" s="19">
        <f t="shared" si="13"/>
        <v>0</v>
      </c>
      <c r="K29" s="19">
        <f t="shared" si="13"/>
        <v>0</v>
      </c>
      <c r="L29" s="19">
        <f t="shared" si="13"/>
        <v>0</v>
      </c>
      <c r="M29" s="51">
        <f>+M30</f>
        <v>0</v>
      </c>
      <c r="N29" s="3"/>
    </row>
    <row r="30" spans="2:18" ht="15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4">+D32+D34+D36</f>
        <v>0</v>
      </c>
      <c r="E31" s="25">
        <f t="shared" si="14"/>
        <v>3169022602.6993995</v>
      </c>
      <c r="F31" s="23">
        <f t="shared" si="14"/>
        <v>0</v>
      </c>
      <c r="G31" s="25">
        <f t="shared" si="14"/>
        <v>4332711389.6331997</v>
      </c>
      <c r="H31" s="67">
        <f t="shared" si="14"/>
        <v>2996894999.5018005</v>
      </c>
      <c r="I31" s="25">
        <f t="shared" si="14"/>
        <v>3441934431.3050995</v>
      </c>
      <c r="J31" s="99">
        <f t="shared" si="14"/>
        <v>312179215.10189998</v>
      </c>
      <c r="K31" s="25">
        <f t="shared" si="14"/>
        <v>491351471.29629999</v>
      </c>
      <c r="L31" s="67">
        <f t="shared" si="14"/>
        <v>1043188651.6506</v>
      </c>
      <c r="M31" s="17">
        <f>+M32+M36+M34</f>
        <v>15787282761.188299</v>
      </c>
      <c r="N31" s="4">
        <f>+M31/$M$57</f>
        <v>7.7316805435453648E-2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512744701.28270012</v>
      </c>
      <c r="F32" s="31">
        <f>+F33</f>
        <v>0</v>
      </c>
      <c r="G32" s="28">
        <f t="shared" ref="G32:L32" si="15">+G33</f>
        <v>1126402149.2518997</v>
      </c>
      <c r="H32" s="94">
        <f t="shared" si="15"/>
        <v>515897674.10129988</v>
      </c>
      <c r="I32" s="29">
        <f>+I33</f>
        <v>1369814900.9311001</v>
      </c>
      <c r="J32" s="63">
        <f>+J33</f>
        <v>13437459.143100001</v>
      </c>
      <c r="K32" s="101">
        <f t="shared" si="15"/>
        <v>95638863.755099997</v>
      </c>
      <c r="L32" s="94">
        <f t="shared" si="15"/>
        <v>185568808.61720002</v>
      </c>
      <c r="M32" s="51">
        <f>+M33</f>
        <v>3819504557.0823989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512744701.28270012</v>
      </c>
      <c r="F33" s="31">
        <v>0</v>
      </c>
      <c r="G33" s="86">
        <v>1126402149.2518997</v>
      </c>
      <c r="H33" s="86">
        <v>515897674.10129988</v>
      </c>
      <c r="I33" s="21">
        <v>1369814900.9311001</v>
      </c>
      <c r="J33" s="102">
        <v>13437459.143100001</v>
      </c>
      <c r="K33" s="102">
        <v>95638863.755099997</v>
      </c>
      <c r="L33" s="86">
        <v>185568808.61720002</v>
      </c>
      <c r="M33" s="44">
        <f>SUM(D33:L33)</f>
        <v>3819504557.0823989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2574405769.1792994</v>
      </c>
      <c r="F34" s="31">
        <f>+F35</f>
        <v>0</v>
      </c>
      <c r="G34" s="31">
        <f t="shared" ref="G34:L34" si="16">+G35</f>
        <v>2179324519.1018</v>
      </c>
      <c r="H34" s="45">
        <f t="shared" si="16"/>
        <v>1362131161.8853004</v>
      </c>
      <c r="I34" s="32">
        <f>+I35</f>
        <v>1808537129.6336994</v>
      </c>
      <c r="J34" s="65">
        <f>+J35</f>
        <v>114529184.45799999</v>
      </c>
      <c r="K34" s="95">
        <f t="shared" si="16"/>
        <v>16043469.589600001</v>
      </c>
      <c r="L34" s="45">
        <f t="shared" si="16"/>
        <v>475952391.16639996</v>
      </c>
      <c r="M34" s="51">
        <f>+M35</f>
        <v>8530923625.0140991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2574405769.1792994</v>
      </c>
      <c r="F35" s="31">
        <v>0</v>
      </c>
      <c r="G35" s="86">
        <v>2179324519.1018</v>
      </c>
      <c r="H35" s="86">
        <v>1362131161.8853004</v>
      </c>
      <c r="I35" s="21">
        <v>1808537129.6336994</v>
      </c>
      <c r="J35" s="102">
        <v>114529184.45799999</v>
      </c>
      <c r="K35" s="102">
        <v>16043469.589600001</v>
      </c>
      <c r="L35" s="86">
        <v>475952391.16639996</v>
      </c>
      <c r="M35" s="50">
        <f>SUM(D35:L35)</f>
        <v>8530923625.0140991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E37</f>
        <v>81872132.237399995</v>
      </c>
      <c r="F36" s="31">
        <f>+F37</f>
        <v>0</v>
      </c>
      <c r="G36" s="31">
        <f t="shared" ref="G36:L36" si="17">+G37</f>
        <v>1026984721.2795</v>
      </c>
      <c r="H36" s="45">
        <f t="shared" si="17"/>
        <v>1118866163.5152001</v>
      </c>
      <c r="I36" s="32">
        <f>+I37</f>
        <v>263582400.7403</v>
      </c>
      <c r="J36" s="65">
        <f>+J37</f>
        <v>184212571.50080001</v>
      </c>
      <c r="K36" s="95">
        <f t="shared" si="17"/>
        <v>379669137.95160002</v>
      </c>
      <c r="L36" s="45">
        <f t="shared" si="17"/>
        <v>381667451.86699998</v>
      </c>
      <c r="M36" s="51">
        <f>+M37</f>
        <v>3436854579.0918007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81872132.237399995</v>
      </c>
      <c r="F37" s="31">
        <v>0</v>
      </c>
      <c r="G37" s="78">
        <v>1026984721.2795</v>
      </c>
      <c r="H37" s="78">
        <v>1118866163.5152001</v>
      </c>
      <c r="I37" s="21">
        <v>263582400.7403</v>
      </c>
      <c r="J37" s="102">
        <v>184212571.50080001</v>
      </c>
      <c r="K37" s="102">
        <v>379669137.95160002</v>
      </c>
      <c r="L37" s="86">
        <v>381667451.86699998</v>
      </c>
      <c r="M37" s="50">
        <f>SUM(D37:L37)</f>
        <v>3436854579.0918007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117308828.67179999</v>
      </c>
      <c r="E38" s="23">
        <f>+E39+E41+E45+E49+E51+E47+E44+E53</f>
        <v>6473377385.2479</v>
      </c>
      <c r="F38" s="25">
        <f>+F39+F41+F45+F49+F51+F47+F44+F53+F55</f>
        <v>198348801.05800003</v>
      </c>
      <c r="G38" s="23">
        <f t="shared" ref="G38:L38" si="18">+G39+G41+G45+G49+G51+G47+G44+G53</f>
        <v>8733866644.5769005</v>
      </c>
      <c r="H38" s="23">
        <f t="shared" si="18"/>
        <v>3115726441.2133994</v>
      </c>
      <c r="I38" s="23">
        <f t="shared" si="18"/>
        <v>3203118002.6991</v>
      </c>
      <c r="J38" s="23">
        <f t="shared" si="18"/>
        <v>0</v>
      </c>
      <c r="K38" s="23">
        <f t="shared" si="18"/>
        <v>0</v>
      </c>
      <c r="L38" s="23">
        <f t="shared" si="18"/>
        <v>496404744.86529994</v>
      </c>
      <c r="M38" s="17">
        <f>+M39+M41+M43+P42+M45+M49+M51+M47+M53</f>
        <v>22265916932.295002</v>
      </c>
      <c r="N38" s="119">
        <f>+M38/$M$57</f>
        <v>0.10904533689156823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2754412675.2342005</v>
      </c>
      <c r="F39" s="63">
        <f>+F40</f>
        <v>0</v>
      </c>
      <c r="G39" s="45">
        <f t="shared" ref="G39:L39" si="19">+G40</f>
        <v>3496334952.0618</v>
      </c>
      <c r="H39" s="45">
        <f t="shared" si="19"/>
        <v>1274219849.1959</v>
      </c>
      <c r="I39" s="32">
        <f t="shared" si="19"/>
        <v>1948468620.6179001</v>
      </c>
      <c r="J39" s="31">
        <f t="shared" si="19"/>
        <v>0</v>
      </c>
      <c r="K39" s="32">
        <f t="shared" si="19"/>
        <v>0</v>
      </c>
      <c r="L39" s="95">
        <f t="shared" si="19"/>
        <v>319642710.95059997</v>
      </c>
      <c r="M39" s="51">
        <f>+M40</f>
        <v>9793078808.0604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2754412675.2342005</v>
      </c>
      <c r="F40" s="65">
        <v>0</v>
      </c>
      <c r="G40" s="86">
        <v>3496334952.0618</v>
      </c>
      <c r="H40" s="86">
        <v>1274219849.1959</v>
      </c>
      <c r="I40" s="78">
        <v>1948468620.6179001</v>
      </c>
      <c r="J40" s="19">
        <v>0</v>
      </c>
      <c r="K40" s="19">
        <v>0</v>
      </c>
      <c r="L40" s="86">
        <v>319642710.95059997</v>
      </c>
      <c r="M40" s="50">
        <f>SUM(D40:L40)</f>
        <v>9793078808.0604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2008694445.3580999</v>
      </c>
      <c r="F41" s="65">
        <f>+F42</f>
        <v>0</v>
      </c>
      <c r="G41" s="45">
        <f t="shared" ref="G41:L41" si="20">+G42</f>
        <v>1307743779.53</v>
      </c>
      <c r="H41" s="45">
        <f t="shared" si="20"/>
        <v>1307743779.53</v>
      </c>
      <c r="I41" s="32">
        <f t="shared" si="20"/>
        <v>1254649382.0811999</v>
      </c>
      <c r="J41" s="31">
        <f t="shared" si="20"/>
        <v>0</v>
      </c>
      <c r="K41" s="32">
        <f t="shared" si="20"/>
        <v>0</v>
      </c>
      <c r="L41" s="65">
        <f t="shared" si="20"/>
        <v>0</v>
      </c>
      <c r="M41" s="51">
        <f>+M42</f>
        <v>5878831386.499299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2008694445.3580999</v>
      </c>
      <c r="F42" s="65">
        <v>0</v>
      </c>
      <c r="G42" s="127">
        <v>1307743779.53</v>
      </c>
      <c r="H42" s="86">
        <v>1307743779.53</v>
      </c>
      <c r="I42" s="78">
        <v>1254649382.0811999</v>
      </c>
      <c r="J42" s="19">
        <v>0</v>
      </c>
      <c r="K42" s="20">
        <v>0</v>
      </c>
      <c r="L42" s="69">
        <v>0</v>
      </c>
      <c r="M42" s="50">
        <f>SUM(D42:L42)</f>
        <v>5878831386.499299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982195587.76740003</v>
      </c>
      <c r="F43" s="65">
        <f t="shared" ref="F43:M43" si="21">F44</f>
        <v>0</v>
      </c>
      <c r="G43" s="95">
        <f t="shared" si="21"/>
        <v>0</v>
      </c>
      <c r="H43" s="45">
        <f t="shared" si="21"/>
        <v>0</v>
      </c>
      <c r="I43" s="68">
        <f t="shared" si="21"/>
        <v>0</v>
      </c>
      <c r="J43" s="65">
        <f t="shared" si="21"/>
        <v>0</v>
      </c>
      <c r="K43" s="65">
        <f t="shared" si="21"/>
        <v>0</v>
      </c>
      <c r="L43" s="65">
        <f t="shared" si="21"/>
        <v>0</v>
      </c>
      <c r="M43" s="80">
        <f t="shared" si="21"/>
        <v>982195587.76740003</v>
      </c>
      <c r="N43" s="5"/>
      <c r="P43" s="81"/>
    </row>
    <row r="44" spans="2:16" x14ac:dyDescent="0.25">
      <c r="B44" s="10" t="s">
        <v>44</v>
      </c>
      <c r="C44" s="15" t="s">
        <v>45</v>
      </c>
      <c r="D44" s="19"/>
      <c r="E44" s="78">
        <v>982195587.76740003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982195587.76740003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2">+G46</f>
        <v>0</v>
      </c>
      <c r="H45" s="45">
        <f t="shared" si="22"/>
        <v>137985177.47189999</v>
      </c>
      <c r="I45" s="32">
        <f t="shared" si="22"/>
        <v>0</v>
      </c>
      <c r="J45" s="31">
        <f t="shared" si="22"/>
        <v>0</v>
      </c>
      <c r="K45" s="32">
        <f t="shared" si="22"/>
        <v>0</v>
      </c>
      <c r="L45" s="65">
        <f t="shared" si="22"/>
        <v>176762033.9147</v>
      </c>
      <c r="M45" s="51">
        <f>+M46</f>
        <v>314747211.38660002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137985177.47189999</v>
      </c>
      <c r="I46" s="20">
        <v>0</v>
      </c>
      <c r="J46" s="19">
        <v>0</v>
      </c>
      <c r="K46" s="19">
        <v>0</v>
      </c>
      <c r="L46" s="93">
        <v>176762033.9147</v>
      </c>
      <c r="M46" s="53">
        <f>SUM(D46:L46)</f>
        <v>314747211.38660002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58341915.126099996</v>
      </c>
      <c r="E47" s="32">
        <f>+E48</f>
        <v>0</v>
      </c>
      <c r="F47" s="95">
        <f>+F48</f>
        <v>88872623.833800003</v>
      </c>
      <c r="G47" s="45">
        <f t="shared" si="22"/>
        <v>0</v>
      </c>
      <c r="H47" s="45">
        <f t="shared" si="22"/>
        <v>285127076.62529999</v>
      </c>
      <c r="I47" s="32">
        <f t="shared" si="22"/>
        <v>0</v>
      </c>
      <c r="J47" s="31">
        <f t="shared" si="22"/>
        <v>0</v>
      </c>
      <c r="K47" s="32">
        <f t="shared" si="22"/>
        <v>0</v>
      </c>
      <c r="L47" s="65">
        <f t="shared" si="22"/>
        <v>0</v>
      </c>
      <c r="M47" s="51">
        <f>+M48</f>
        <v>432341615.58519995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58341915.126099996</v>
      </c>
      <c r="E48" s="19">
        <v>0</v>
      </c>
      <c r="F48" s="86">
        <v>88872623.833800003</v>
      </c>
      <c r="G48" s="44">
        <v>0</v>
      </c>
      <c r="H48" s="86">
        <v>285127076.62529999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432341615.58519995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3">+G50</f>
        <v>1831325561.7231998</v>
      </c>
      <c r="H49" s="45">
        <f t="shared" si="23"/>
        <v>0</v>
      </c>
      <c r="I49" s="32">
        <f t="shared" si="23"/>
        <v>0</v>
      </c>
      <c r="J49" s="31">
        <f t="shared" si="23"/>
        <v>0</v>
      </c>
      <c r="K49" s="32">
        <f t="shared" si="23"/>
        <v>0</v>
      </c>
      <c r="L49" s="65">
        <f t="shared" si="23"/>
        <v>0</v>
      </c>
      <c r="M49" s="51">
        <f>+M50</f>
        <v>1831325561.7231998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19">
        <v>1831325561.7231998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1831325561.7231998</v>
      </c>
      <c r="N50" s="3"/>
    </row>
    <row r="51" spans="2:14" ht="15" customHeight="1" x14ac:dyDescent="0.25">
      <c r="B51" s="33" t="s">
        <v>51</v>
      </c>
      <c r="C51" s="27" t="s">
        <v>18</v>
      </c>
      <c r="D51" s="19">
        <f>+D52</f>
        <v>0</v>
      </c>
      <c r="E51" s="32">
        <f>+E52</f>
        <v>728074676.88820004</v>
      </c>
      <c r="F51" s="96">
        <f>+F52</f>
        <v>0</v>
      </c>
      <c r="G51" s="31">
        <f t="shared" ref="G51:L51" si="24">+G52</f>
        <v>2098462351.2618999</v>
      </c>
      <c r="H51" s="31">
        <f t="shared" si="24"/>
        <v>110650558.39030001</v>
      </c>
      <c r="I51" s="32">
        <f t="shared" si="24"/>
        <v>0</v>
      </c>
      <c r="J51" s="31">
        <f t="shared" si="24"/>
        <v>0</v>
      </c>
      <c r="K51" s="32">
        <f t="shared" si="24"/>
        <v>0</v>
      </c>
      <c r="L51" s="65">
        <f t="shared" si="24"/>
        <v>0</v>
      </c>
      <c r="M51" s="51">
        <f>+M52</f>
        <v>2937187586.5403996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728074676.88820004</v>
      </c>
      <c r="F52" s="96">
        <v>0</v>
      </c>
      <c r="G52" s="93">
        <v>2098462351.2618999</v>
      </c>
      <c r="H52" s="93">
        <v>110650558.39030001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2937187586.5403996</v>
      </c>
      <c r="N52" s="3"/>
    </row>
    <row r="53" spans="2:14" ht="17.25" customHeight="1" x14ac:dyDescent="0.25">
      <c r="B53" s="33" t="s">
        <v>75</v>
      </c>
      <c r="C53" s="27"/>
      <c r="D53" s="31">
        <f>D54</f>
        <v>58966913.545699999</v>
      </c>
      <c r="E53" s="32">
        <v>0</v>
      </c>
      <c r="F53" s="95">
        <f>+F54</f>
        <v>37242261.186800003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96209174.732500002</v>
      </c>
      <c r="N53" s="3"/>
    </row>
    <row r="54" spans="2:14" ht="12.95" customHeight="1" x14ac:dyDescent="0.25">
      <c r="B54" s="10" t="s">
        <v>48</v>
      </c>
      <c r="C54" s="76" t="s">
        <v>45</v>
      </c>
      <c r="D54" s="93">
        <v>58966913.545699999</v>
      </c>
      <c r="E54" s="45">
        <v>0</v>
      </c>
      <c r="F54" s="96">
        <v>37242261.186800003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09">
        <f t="shared" ref="M54" si="25">SUM(D54:L54)</f>
        <v>96209174.732500002</v>
      </c>
      <c r="N54" s="108"/>
    </row>
    <row r="55" spans="2:14" ht="17.25" customHeight="1" x14ac:dyDescent="0.25">
      <c r="B55" s="33" t="s">
        <v>76</v>
      </c>
      <c r="C55" s="27"/>
      <c r="D55" s="31">
        <f>D56</f>
        <v>0</v>
      </c>
      <c r="E55" s="32">
        <v>0</v>
      </c>
      <c r="F55" s="95">
        <f>+F56</f>
        <v>72233916.037400007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72233916.037400007</v>
      </c>
      <c r="N55" s="3"/>
    </row>
    <row r="56" spans="2:14" ht="12.95" customHeight="1" x14ac:dyDescent="0.25">
      <c r="B56" s="10" t="s">
        <v>48</v>
      </c>
      <c r="C56" s="49" t="s">
        <v>45</v>
      </c>
      <c r="D56" s="97">
        <v>0</v>
      </c>
      <c r="E56" s="97">
        <v>0</v>
      </c>
      <c r="F56" s="86">
        <v>72233916.037400007</v>
      </c>
      <c r="G56" s="38">
        <v>0</v>
      </c>
      <c r="H56" s="98">
        <v>0</v>
      </c>
      <c r="I56" s="44">
        <v>0</v>
      </c>
      <c r="J56" s="19">
        <v>0</v>
      </c>
      <c r="K56" s="71">
        <v>0</v>
      </c>
      <c r="L56" s="70">
        <v>0</v>
      </c>
      <c r="M56" s="53">
        <f t="shared" ref="M56" si="26">SUM(D56:L56)</f>
        <v>72233916.037400007</v>
      </c>
      <c r="N56" s="3"/>
    </row>
    <row r="57" spans="2:14" x14ac:dyDescent="0.25">
      <c r="B57" s="144" t="s">
        <v>53</v>
      </c>
      <c r="C57" s="145"/>
      <c r="D57" s="122">
        <f t="shared" ref="D57:L57" si="27">+D7+D10+D31+D38</f>
        <v>769596055.92359996</v>
      </c>
      <c r="E57" s="122">
        <f t="shared" si="27"/>
        <v>39703463950.395691</v>
      </c>
      <c r="F57" s="23">
        <f t="shared" si="27"/>
        <v>404757447.39670002</v>
      </c>
      <c r="G57" s="25">
        <f t="shared" si="27"/>
        <v>68451228987.625839</v>
      </c>
      <c r="H57" s="61">
        <f t="shared" si="27"/>
        <v>33302842558.060364</v>
      </c>
      <c r="I57" s="25">
        <f t="shared" si="27"/>
        <v>46464519380.517143</v>
      </c>
      <c r="J57" s="23">
        <f t="shared" si="27"/>
        <v>2409258812.5038996</v>
      </c>
      <c r="K57" s="25">
        <f t="shared" si="27"/>
        <v>1981317192.9919002</v>
      </c>
      <c r="L57" s="61">
        <f t="shared" si="27"/>
        <v>10774787267.8997</v>
      </c>
      <c r="M57" s="17">
        <f>+M38+M31+M10+M7</f>
        <v>204189537737.27744</v>
      </c>
      <c r="N57" s="156">
        <f>+M57/M58</f>
        <v>0.24980155056063136</v>
      </c>
    </row>
    <row r="58" spans="2:14" ht="15" customHeight="1" x14ac:dyDescent="0.25">
      <c r="B58" s="144" t="s">
        <v>54</v>
      </c>
      <c r="C58" s="145"/>
      <c r="D58" s="121">
        <v>7769889734.6999998</v>
      </c>
      <c r="E58" s="121">
        <v>171604470082.39001</v>
      </c>
      <c r="F58" s="23">
        <v>3904929769.7199998</v>
      </c>
      <c r="G58" s="84">
        <v>252339758606.26001</v>
      </c>
      <c r="H58" s="23">
        <v>123868077742.96001</v>
      </c>
      <c r="I58" s="121">
        <v>155536126284.73999</v>
      </c>
      <c r="J58" s="92">
        <v>25109750090.98</v>
      </c>
      <c r="K58" s="23">
        <v>18312539660.799999</v>
      </c>
      <c r="L58" s="23">
        <v>51729351649.629997</v>
      </c>
      <c r="M58" s="23">
        <v>817407006798.05005</v>
      </c>
      <c r="N58" s="157"/>
    </row>
    <row r="59" spans="2:14" ht="15.75" customHeight="1" x14ac:dyDescent="0.25">
      <c r="B59" s="144" t="s">
        <v>55</v>
      </c>
      <c r="C59" s="145"/>
      <c r="D59" s="118">
        <f>+D57/D58</f>
        <v>9.9048517057663821E-2</v>
      </c>
      <c r="E59" s="118">
        <f>+E57/E58</f>
        <v>0.23136614058674249</v>
      </c>
      <c r="F59" s="118">
        <f>+F57/F58</f>
        <v>0.10365293904523228</v>
      </c>
      <c r="G59" s="118">
        <f t="shared" ref="G59:L59" si="28">+G57/G58</f>
        <v>0.27126612693021618</v>
      </c>
      <c r="H59" s="118">
        <f t="shared" si="28"/>
        <v>0.26885734537002709</v>
      </c>
      <c r="I59" s="118">
        <f t="shared" si="28"/>
        <v>0.29873779481594231</v>
      </c>
      <c r="J59" s="118">
        <f>+J57/J58</f>
        <v>9.5949135446368336E-2</v>
      </c>
      <c r="K59" s="118">
        <f t="shared" si="28"/>
        <v>0.1081945611963985</v>
      </c>
      <c r="L59" s="118">
        <f t="shared" si="28"/>
        <v>0.20829155835701971</v>
      </c>
      <c r="M59" s="146" t="s">
        <v>56</v>
      </c>
      <c r="N59" s="147"/>
    </row>
    <row r="60" spans="2:14" s="120" customFormat="1" x14ac:dyDescent="0.25">
      <c r="B60" s="148" t="s">
        <v>84</v>
      </c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2:14" s="120" customFormat="1" ht="15" customHeight="1" x14ac:dyDescent="0.25">
      <c r="B61" s="149" t="s">
        <v>85</v>
      </c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</row>
    <row r="62" spans="2:14" ht="15.75" x14ac:dyDescent="0.25">
      <c r="B62" s="34" t="s">
        <v>59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2:14" x14ac:dyDescent="0.25">
      <c r="B63" s="35"/>
      <c r="C63" s="35"/>
      <c r="D63" s="35"/>
      <c r="E63" s="47"/>
      <c r="F63" s="47"/>
      <c r="G63" s="35"/>
      <c r="H63" s="35"/>
      <c r="I63" s="35"/>
      <c r="J63" s="57"/>
      <c r="K63" s="35"/>
      <c r="L63" s="35"/>
      <c r="M63" s="36"/>
      <c r="N63" s="35"/>
    </row>
    <row r="64" spans="2:14" x14ac:dyDescent="0.25">
      <c r="D64" s="8"/>
      <c r="E64" s="8"/>
      <c r="F64" s="7"/>
      <c r="G64" s="41"/>
      <c r="H64" s="41"/>
      <c r="M64" s="55"/>
    </row>
    <row r="65" spans="13:13" x14ac:dyDescent="0.25">
      <c r="M65" s="56"/>
    </row>
  </sheetData>
  <mergeCells count="22">
    <mergeCell ref="B59:C59"/>
    <mergeCell ref="M59:N59"/>
    <mergeCell ref="B60:N60"/>
    <mergeCell ref="B61:N61"/>
    <mergeCell ref="I5:I6"/>
    <mergeCell ref="J5:J6"/>
    <mergeCell ref="K5:K6"/>
    <mergeCell ref="L5:L6"/>
    <mergeCell ref="M5:N5"/>
    <mergeCell ref="B57:C57"/>
    <mergeCell ref="N57:N58"/>
    <mergeCell ref="B58:C58"/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67"/>
  <sheetViews>
    <sheetView showGridLines="0" topLeftCell="B1" zoomScaleNormal="100" workbookViewId="0">
      <pane xSplit="2" ySplit="6" topLeftCell="D46" activePane="bottomRight" state="frozen"/>
      <selection pane="topRight" activeCell="D1" sqref="D1"/>
      <selection pane="bottomLeft" activeCell="B7" sqref="B7"/>
      <selection pane="bottomRight" activeCell="E47" sqref="E47"/>
    </sheetView>
  </sheetViews>
  <sheetFormatPr baseColWidth="10" defaultColWidth="11.42578125" defaultRowHeight="15" x14ac:dyDescent="0.25"/>
  <cols>
    <col min="1" max="1" width="11.42578125" style="6"/>
    <col min="2" max="2" width="78.28515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86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28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703775512.82709992</v>
      </c>
      <c r="E7" s="25">
        <f t="shared" si="0"/>
        <v>24885290503.0583</v>
      </c>
      <c r="F7" s="23">
        <f t="shared" si="0"/>
        <v>116736566.14750001</v>
      </c>
      <c r="G7" s="24">
        <f t="shared" si="0"/>
        <v>50909716792.778946</v>
      </c>
      <c r="H7" s="23">
        <f t="shared" si="0"/>
        <v>26853491252.990726</v>
      </c>
      <c r="I7" s="73">
        <f t="shared" si="0"/>
        <v>38495064694.841499</v>
      </c>
      <c r="J7" s="67">
        <f t="shared" si="0"/>
        <v>2024153483.9637997</v>
      </c>
      <c r="K7" s="73">
        <f t="shared" si="0"/>
        <v>1417998621.5489998</v>
      </c>
      <c r="L7" s="67">
        <f t="shared" si="0"/>
        <v>9114778414.785099</v>
      </c>
      <c r="M7" s="74">
        <f t="shared" si="0"/>
        <v>154521005842.94199</v>
      </c>
      <c r="N7" s="130">
        <f>+M7/$M$59</f>
        <v>0.75970900602534319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703775512.82709992</v>
      </c>
      <c r="E8" s="125">
        <f t="shared" si="1"/>
        <v>24885290503.0583</v>
      </c>
      <c r="F8" s="28">
        <f t="shared" si="1"/>
        <v>116736566.14750001</v>
      </c>
      <c r="G8" s="29">
        <f t="shared" si="1"/>
        <v>50909716792.778946</v>
      </c>
      <c r="H8" s="28">
        <f t="shared" si="1"/>
        <v>26853491252.990726</v>
      </c>
      <c r="I8" s="75">
        <f t="shared" si="1"/>
        <v>38495064694.841499</v>
      </c>
      <c r="J8" s="28">
        <f t="shared" si="1"/>
        <v>2024153483.9637997</v>
      </c>
      <c r="K8" s="75">
        <f t="shared" si="1"/>
        <v>1417998621.5489998</v>
      </c>
      <c r="L8" s="28">
        <f t="shared" si="1"/>
        <v>9114778414.785099</v>
      </c>
      <c r="M8" s="40">
        <f>+M9</f>
        <v>154521005842.94199</v>
      </c>
      <c r="N8" s="130"/>
      <c r="Q8" s="7"/>
      <c r="R8" s="7"/>
    </row>
    <row r="9" spans="2:18" x14ac:dyDescent="0.25">
      <c r="B9" s="77" t="s">
        <v>20</v>
      </c>
      <c r="C9" s="76" t="s">
        <v>21</v>
      </c>
      <c r="D9" s="85">
        <v>703775512.82709992</v>
      </c>
      <c r="E9" s="126">
        <v>24885290503.0583</v>
      </c>
      <c r="F9" s="39">
        <v>116736566.14750001</v>
      </c>
      <c r="G9" s="78">
        <v>50909716792.778946</v>
      </c>
      <c r="H9" s="38">
        <v>26853491252.990726</v>
      </c>
      <c r="I9" s="93">
        <v>38495064694.841499</v>
      </c>
      <c r="J9" s="93">
        <v>2024153483.9637997</v>
      </c>
      <c r="K9" s="93">
        <v>1417998621.5489998</v>
      </c>
      <c r="L9" s="86">
        <v>9114778414.785099</v>
      </c>
      <c r="M9" s="44">
        <f>SUM(D9:L9)</f>
        <v>154521005842.94199</v>
      </c>
      <c r="N9" s="3"/>
      <c r="Q9" s="7"/>
      <c r="R9" s="7"/>
    </row>
    <row r="10" spans="2:18" ht="16.5" customHeight="1" x14ac:dyDescent="0.25">
      <c r="B10" s="2" t="s">
        <v>22</v>
      </c>
      <c r="C10" s="16" t="s">
        <v>18</v>
      </c>
      <c r="D10" s="100">
        <f t="shared" ref="D10:M10" si="2">+D11+D13+D15+D17+D19+D21+D23+D25+D27+D29</f>
        <v>2193955.6269</v>
      </c>
      <c r="E10" s="100">
        <f t="shared" si="2"/>
        <v>4973811955.8152008</v>
      </c>
      <c r="F10" s="100">
        <f t="shared" si="2"/>
        <v>56551124.642299995</v>
      </c>
      <c r="G10" s="100">
        <f t="shared" si="2"/>
        <v>4110906973.5283008</v>
      </c>
      <c r="H10" s="100">
        <f t="shared" si="2"/>
        <v>170203134.57050002</v>
      </c>
      <c r="I10" s="100">
        <f t="shared" si="2"/>
        <v>1432298557.2056999</v>
      </c>
      <c r="J10" s="100">
        <f t="shared" si="2"/>
        <v>59583397.551899999</v>
      </c>
      <c r="K10" s="100">
        <f t="shared" si="2"/>
        <v>63602463.938800007</v>
      </c>
      <c r="L10" s="100">
        <f t="shared" si="2"/>
        <v>62456585.093500003</v>
      </c>
      <c r="M10" s="100">
        <f t="shared" si="2"/>
        <v>10931608147.973101</v>
      </c>
      <c r="N10" s="4">
        <f>+M10/$M$59</f>
        <v>5.3745709944422584E-2</v>
      </c>
      <c r="O10" s="41"/>
      <c r="P10" s="13"/>
      <c r="Q10" s="7"/>
      <c r="R10" s="7"/>
    </row>
    <row r="11" spans="2:18" ht="15" customHeight="1" x14ac:dyDescent="0.25">
      <c r="B11" s="79" t="s">
        <v>61</v>
      </c>
      <c r="C11" s="15" t="s">
        <v>18</v>
      </c>
      <c r="D11" s="45">
        <f t="shared" ref="D11:L11" si="3">D12</f>
        <v>2193955.6269</v>
      </c>
      <c r="E11" s="45">
        <f t="shared" si="3"/>
        <v>0</v>
      </c>
      <c r="F11" s="31">
        <f t="shared" si="3"/>
        <v>0</v>
      </c>
      <c r="G11" s="31">
        <f t="shared" si="3"/>
        <v>0</v>
      </c>
      <c r="H11" s="19">
        <f t="shared" si="3"/>
        <v>0</v>
      </c>
      <c r="I11" s="45">
        <f t="shared" si="3"/>
        <v>0</v>
      </c>
      <c r="J11" s="19">
        <f t="shared" si="3"/>
        <v>0</v>
      </c>
      <c r="K11" s="19">
        <f t="shared" si="3"/>
        <v>0</v>
      </c>
      <c r="L11" s="44">
        <f t="shared" si="3"/>
        <v>0</v>
      </c>
      <c r="M11" s="51">
        <f>+M12</f>
        <v>2193955.6269</v>
      </c>
      <c r="N11" s="3"/>
      <c r="P11" s="13"/>
    </row>
    <row r="12" spans="2:18" x14ac:dyDescent="0.25">
      <c r="B12" s="10" t="s">
        <v>24</v>
      </c>
      <c r="C12" s="15" t="s">
        <v>25</v>
      </c>
      <c r="D12" s="19">
        <v>2193955.6269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19">
        <v>0</v>
      </c>
      <c r="L12" s="44">
        <v>0</v>
      </c>
      <c r="M12" s="44">
        <f>SUM(D12:L12)</f>
        <v>2193955.6269</v>
      </c>
      <c r="N12" s="5"/>
      <c r="Q12" s="7"/>
      <c r="R12" s="7"/>
    </row>
    <row r="13" spans="2:18" s="42" customFormat="1" hidden="1" x14ac:dyDescent="0.25">
      <c r="B13" s="30" t="s">
        <v>23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 t="shared" ref="G13:L13" si="4">+G14</f>
        <v>0</v>
      </c>
      <c r="H13" s="31">
        <f t="shared" si="4"/>
        <v>0</v>
      </c>
      <c r="I13" s="29">
        <f t="shared" si="4"/>
        <v>0</v>
      </c>
      <c r="J13" s="28">
        <f t="shared" si="4"/>
        <v>0</v>
      </c>
      <c r="K13" s="28">
        <f t="shared" si="4"/>
        <v>0</v>
      </c>
      <c r="L13" s="45">
        <f t="shared" si="4"/>
        <v>0</v>
      </c>
      <c r="M13" s="51">
        <f>+M14</f>
        <v>0</v>
      </c>
      <c r="N13" s="5"/>
      <c r="Q13" s="43"/>
      <c r="R13" s="43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123">
        <f>+E16</f>
        <v>4973811955.8152008</v>
      </c>
      <c r="F15" s="31">
        <f>+F16</f>
        <v>0</v>
      </c>
      <c r="G15" s="45">
        <f t="shared" ref="G15:I15" si="5">+G16</f>
        <v>3970270591.1377006</v>
      </c>
      <c r="H15" s="31">
        <f t="shared" si="5"/>
        <v>170203134.57050002</v>
      </c>
      <c r="I15" s="32">
        <f t="shared" si="5"/>
        <v>1432298557.2056999</v>
      </c>
      <c r="J15" s="31">
        <f>J16</f>
        <v>0</v>
      </c>
      <c r="K15" s="31">
        <f>+K16</f>
        <v>63602463.938800007</v>
      </c>
      <c r="L15" s="45">
        <f>L16</f>
        <v>62456585.093500003</v>
      </c>
      <c r="M15" s="51">
        <f>+M16</f>
        <v>10672643287.761402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124">
        <v>4973811955.8152008</v>
      </c>
      <c r="F16" s="44">
        <v>0</v>
      </c>
      <c r="G16" s="93">
        <v>3970270591.1377006</v>
      </c>
      <c r="H16" s="93">
        <v>170203134.57050002</v>
      </c>
      <c r="I16" s="78">
        <v>1432298557.2056999</v>
      </c>
      <c r="J16" s="19">
        <v>0</v>
      </c>
      <c r="K16" s="93">
        <v>63602463.938800007</v>
      </c>
      <c r="L16" s="86">
        <v>62456585.093500003</v>
      </c>
      <c r="M16" s="44">
        <f>SUM(D16:L16)</f>
        <v>10672643287.761402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hidden="1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0</v>
      </c>
      <c r="H19" s="31">
        <f t="shared" si="7"/>
        <v>0</v>
      </c>
      <c r="I19" s="32">
        <f t="shared" si="7"/>
        <v>0</v>
      </c>
      <c r="J19" s="31">
        <f t="shared" si="7"/>
        <v>0</v>
      </c>
      <c r="K19" s="31">
        <f t="shared" si="7"/>
        <v>0</v>
      </c>
      <c r="L19" s="45">
        <f t="shared" si="7"/>
        <v>0</v>
      </c>
      <c r="M19" s="51">
        <f>+M20</f>
        <v>0</v>
      </c>
      <c r="N19" s="3"/>
      <c r="R19" s="7"/>
    </row>
    <row r="20" spans="2:18" hidden="1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/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44">
        <f>SUM(D20:L20)</f>
        <v>0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33579001.632399999</v>
      </c>
      <c r="G21" s="45">
        <v>0</v>
      </c>
      <c r="H21" s="31">
        <v>0</v>
      </c>
      <c r="I21" s="32">
        <v>0</v>
      </c>
      <c r="J21" s="31">
        <f>+J22</f>
        <v>59583397.551899999</v>
      </c>
      <c r="K21" s="31">
        <f t="shared" ref="K21:L21" si="8">+K22</f>
        <v>0</v>
      </c>
      <c r="L21" s="45">
        <f t="shared" si="8"/>
        <v>0</v>
      </c>
      <c r="M21" s="51">
        <f>M22</f>
        <v>93162399.184300005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>
        <v>33579001.632399999</v>
      </c>
      <c r="G22" s="44">
        <v>0</v>
      </c>
      <c r="H22" s="19">
        <v>0</v>
      </c>
      <c r="I22" s="60">
        <v>0</v>
      </c>
      <c r="J22" s="19">
        <v>59583397.551899999</v>
      </c>
      <c r="K22" s="19"/>
      <c r="L22" s="44">
        <v>0</v>
      </c>
      <c r="M22" s="50">
        <f>SUM(D22:L22)</f>
        <v>93162399.184300005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22012221.892099999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22012221.892099999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>
        <v>22012221.892099999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0">SUM(D24:L24)</f>
        <v>22012221.892099999</v>
      </c>
      <c r="N24" s="5"/>
    </row>
    <row r="25" spans="2:18" ht="19.5" customHeight="1" x14ac:dyDescent="0.25">
      <c r="B25" s="79" t="s">
        <v>87</v>
      </c>
      <c r="C25" s="15" t="s">
        <v>18</v>
      </c>
      <c r="D25" s="45">
        <f t="shared" ref="D25:L25" si="11">D26</f>
        <v>0</v>
      </c>
      <c r="E25" s="45">
        <f t="shared" si="11"/>
        <v>0</v>
      </c>
      <c r="F25" s="31">
        <f t="shared" si="11"/>
        <v>959901.11780000001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959901.11780000001</v>
      </c>
      <c r="N25" s="3"/>
      <c r="P25" s="13"/>
    </row>
    <row r="26" spans="2:18" ht="15" customHeight="1" x14ac:dyDescent="0.25">
      <c r="B26" s="10" t="s">
        <v>24</v>
      </c>
      <c r="C26" s="15" t="s">
        <v>27</v>
      </c>
      <c r="D26" s="44">
        <v>0</v>
      </c>
      <c r="E26" s="44">
        <v>0</v>
      </c>
      <c r="F26" s="44">
        <v>959901.11780000001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959901.11780000001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140636382.3906</v>
      </c>
      <c r="H27" s="31"/>
      <c r="I27" s="31">
        <f>I26</f>
        <v>0</v>
      </c>
      <c r="J27" s="31">
        <f>J26</f>
        <v>0</v>
      </c>
      <c r="K27" s="31">
        <f>K26</f>
        <v>0</v>
      </c>
      <c r="L27" s="31">
        <f>L26</f>
        <v>0</v>
      </c>
      <c r="M27" s="51">
        <f>+M28</f>
        <v>140636382.3906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44">
        <v>140636382.3906</v>
      </c>
      <c r="H28" s="44"/>
      <c r="I28" s="44">
        <v>0</v>
      </c>
      <c r="J28" s="44">
        <v>0</v>
      </c>
      <c r="K28" s="44">
        <v>0</v>
      </c>
      <c r="L28" s="44">
        <v>0</v>
      </c>
      <c r="M28" s="50">
        <f t="shared" ref="M28" si="12">SUM(D28:L28)</f>
        <v>140636382.3906</v>
      </c>
      <c r="N28" s="5"/>
    </row>
    <row r="29" spans="2:18" ht="15" hidden="1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3">I30</f>
        <v>0</v>
      </c>
      <c r="J29" s="19">
        <f t="shared" si="13"/>
        <v>0</v>
      </c>
      <c r="K29" s="19">
        <f t="shared" si="13"/>
        <v>0</v>
      </c>
      <c r="L29" s="19">
        <f t="shared" si="13"/>
        <v>0</v>
      </c>
      <c r="M29" s="51">
        <f>+M30</f>
        <v>0</v>
      </c>
      <c r="N29" s="3"/>
    </row>
    <row r="30" spans="2:18" ht="15" hidden="1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f>SUM(D30:L30)</f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4">+D32+D34+D36</f>
        <v>0</v>
      </c>
      <c r="E31" s="25">
        <f t="shared" si="14"/>
        <v>3137633745.7577991</v>
      </c>
      <c r="F31" s="23">
        <f t="shared" si="14"/>
        <v>0</v>
      </c>
      <c r="G31" s="25">
        <f t="shared" si="14"/>
        <v>4278459013.008801</v>
      </c>
      <c r="H31" s="67">
        <f t="shared" si="14"/>
        <v>2961177069.8118997</v>
      </c>
      <c r="I31" s="25">
        <f t="shared" si="14"/>
        <v>3406460253.5272994</v>
      </c>
      <c r="J31" s="99">
        <f t="shared" si="14"/>
        <v>309529607.77959996</v>
      </c>
      <c r="K31" s="25">
        <f t="shared" si="14"/>
        <v>486642586.80259997</v>
      </c>
      <c r="L31" s="67">
        <f t="shared" si="14"/>
        <v>1033255733.8297</v>
      </c>
      <c r="M31" s="17">
        <f>+M32+M36+M34</f>
        <v>15613158010.5177</v>
      </c>
      <c r="N31" s="4">
        <f>+M31/$M$59</f>
        <v>7.6762746193506093E-2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507730894.08150005</v>
      </c>
      <c r="F32" s="31">
        <f>+F33</f>
        <v>0</v>
      </c>
      <c r="G32" s="28">
        <f t="shared" ref="G32:L32" si="15">+G33</f>
        <v>1116713292.3135002</v>
      </c>
      <c r="H32" s="94">
        <f t="shared" si="15"/>
        <v>510836135.6588999</v>
      </c>
      <c r="I32" s="29">
        <f>+I33</f>
        <v>1357639179.3400998</v>
      </c>
      <c r="J32" s="63">
        <f>+J33</f>
        <v>13353900.7895</v>
      </c>
      <c r="K32" s="101">
        <f t="shared" si="15"/>
        <v>94989719.246699989</v>
      </c>
      <c r="L32" s="94">
        <f t="shared" si="15"/>
        <v>184011326.1004</v>
      </c>
      <c r="M32" s="51">
        <f>+M33</f>
        <v>3785274447.5306001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507730894.08150005</v>
      </c>
      <c r="F33" s="31">
        <v>0</v>
      </c>
      <c r="G33" s="86">
        <v>1116713292.3135002</v>
      </c>
      <c r="H33" s="86">
        <v>510836135.6588999</v>
      </c>
      <c r="I33" s="21">
        <v>1357639179.3400998</v>
      </c>
      <c r="J33" s="102">
        <v>13353900.7895</v>
      </c>
      <c r="K33" s="102">
        <v>94989719.246699989</v>
      </c>
      <c r="L33" s="86">
        <v>184011326.1004</v>
      </c>
      <c r="M33" s="50">
        <f>SUM(D33:L33)</f>
        <v>3785274447.5306001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2548885828.7580991</v>
      </c>
      <c r="F34" s="31">
        <f>+F35</f>
        <v>0</v>
      </c>
      <c r="G34" s="31">
        <f t="shared" ref="G34:L34" si="16">+G35</f>
        <v>2145380015.7001007</v>
      </c>
      <c r="H34" s="45">
        <f t="shared" si="16"/>
        <v>1343101267.8544996</v>
      </c>
      <c r="I34" s="32">
        <f>+I35</f>
        <v>1787999900.4606996</v>
      </c>
      <c r="J34" s="65">
        <f>+J35</f>
        <v>113890931.02739999</v>
      </c>
      <c r="K34" s="95">
        <f t="shared" si="16"/>
        <v>15954065.479899999</v>
      </c>
      <c r="L34" s="45">
        <f t="shared" si="16"/>
        <v>471567917.62890005</v>
      </c>
      <c r="M34" s="51">
        <f>+M35</f>
        <v>8426779926.9095993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2548885828.7580991</v>
      </c>
      <c r="F35" s="31">
        <v>0</v>
      </c>
      <c r="G35" s="86">
        <v>2145380015.7001007</v>
      </c>
      <c r="H35" s="86">
        <v>1343101267.8544996</v>
      </c>
      <c r="I35" s="21">
        <v>1787999900.4606996</v>
      </c>
      <c r="J35" s="102">
        <v>113890931.02739999</v>
      </c>
      <c r="K35" s="102">
        <v>15954065.479899999</v>
      </c>
      <c r="L35" s="86">
        <v>471567917.62890005</v>
      </c>
      <c r="M35" s="50">
        <f>SUM(D35:L35)</f>
        <v>8426779926.9095993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E37</f>
        <v>81017022.918200016</v>
      </c>
      <c r="F36" s="31">
        <f>+F37</f>
        <v>0</v>
      </c>
      <c r="G36" s="31">
        <f t="shared" ref="G36:L36" si="17">+G37</f>
        <v>1016365704.9952</v>
      </c>
      <c r="H36" s="45">
        <f t="shared" si="17"/>
        <v>1107239666.2985001</v>
      </c>
      <c r="I36" s="32">
        <f>+I37</f>
        <v>260821173.7265</v>
      </c>
      <c r="J36" s="65">
        <f>+J37</f>
        <v>182284775.96269998</v>
      </c>
      <c r="K36" s="95">
        <f t="shared" si="17"/>
        <v>375698802.07599998</v>
      </c>
      <c r="L36" s="45">
        <f t="shared" si="17"/>
        <v>377676490.10039997</v>
      </c>
      <c r="M36" s="51">
        <f>+M37</f>
        <v>3401103636.0775003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81017022.918200016</v>
      </c>
      <c r="F37" s="31">
        <v>0</v>
      </c>
      <c r="G37" s="86">
        <v>1016365704.9952</v>
      </c>
      <c r="H37" s="86">
        <v>1107239666.2985001</v>
      </c>
      <c r="I37" s="21">
        <v>260821173.7265</v>
      </c>
      <c r="J37" s="102">
        <v>182284775.96269998</v>
      </c>
      <c r="K37" s="102">
        <v>375698802.07599998</v>
      </c>
      <c r="L37" s="86">
        <v>377676490.10039997</v>
      </c>
      <c r="M37" s="50">
        <f>SUM(D37:L37)</f>
        <v>3401103636.0775003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116741522.94069999</v>
      </c>
      <c r="E38" s="23">
        <f>+E39+E41+E45+E49+E51+E47+E44+E53</f>
        <v>6454033199.2755995</v>
      </c>
      <c r="F38" s="25">
        <f>+F39+F41+F45+F49+F51+F47+F44+F53+F55+F57</f>
        <v>255955955.34090003</v>
      </c>
      <c r="G38" s="23">
        <f t="shared" ref="G38:L38" si="18">+G39+G41+G45+G49+G51+G47+G44+G53</f>
        <v>8706808718.4186001</v>
      </c>
      <c r="H38" s="23">
        <f t="shared" si="18"/>
        <v>3104419645.6971998</v>
      </c>
      <c r="I38" s="23">
        <f t="shared" si="18"/>
        <v>3195358002.1317997</v>
      </c>
      <c r="J38" s="23">
        <f t="shared" si="18"/>
        <v>0</v>
      </c>
      <c r="K38" s="23">
        <f t="shared" si="18"/>
        <v>0</v>
      </c>
      <c r="L38" s="23">
        <f t="shared" si="18"/>
        <v>495901164.7209</v>
      </c>
      <c r="M38" s="17">
        <f>+M39+M41+M43+P42+M45+M49+M51+M47+M53+M55+M57</f>
        <v>22329218208.525703</v>
      </c>
      <c r="N38" s="130">
        <f>+M38/$M$59</f>
        <v>0.10978253783672806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2758435858.8599997</v>
      </c>
      <c r="F39" s="63">
        <f>+F40</f>
        <v>0</v>
      </c>
      <c r="G39" s="45">
        <f t="shared" ref="G39:L39" si="19">+G40</f>
        <v>3501441811.1959</v>
      </c>
      <c r="H39" s="45">
        <f t="shared" si="19"/>
        <v>1276081015.6359</v>
      </c>
      <c r="I39" s="32">
        <f t="shared" si="19"/>
        <v>1951314616.4705</v>
      </c>
      <c r="J39" s="31">
        <f t="shared" si="19"/>
        <v>0</v>
      </c>
      <c r="K39" s="32">
        <f t="shared" si="19"/>
        <v>0</v>
      </c>
      <c r="L39" s="95">
        <f t="shared" si="19"/>
        <v>320109591.36140001</v>
      </c>
      <c r="M39" s="51">
        <f>+M40</f>
        <v>9807382893.5237007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2758435858.8599997</v>
      </c>
      <c r="F40" s="65">
        <v>0</v>
      </c>
      <c r="G40" s="86">
        <v>3501441811.1959</v>
      </c>
      <c r="H40" s="86">
        <v>1276081015.6359</v>
      </c>
      <c r="I40" s="78">
        <v>1951314616.4705</v>
      </c>
      <c r="J40" s="19">
        <v>0</v>
      </c>
      <c r="K40" s="19">
        <v>0</v>
      </c>
      <c r="L40" s="86">
        <v>320109591.36140001</v>
      </c>
      <c r="M40" s="50">
        <f>SUM(D40:L40)</f>
        <v>9807382893.5237007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1991714238.4570003</v>
      </c>
      <c r="F41" s="65">
        <f>+F42</f>
        <v>0</v>
      </c>
      <c r="G41" s="45">
        <f t="shared" ref="G41:L41" si="20">+G42</f>
        <v>1296688957.3289001</v>
      </c>
      <c r="H41" s="45">
        <f t="shared" si="20"/>
        <v>1296688957.3288</v>
      </c>
      <c r="I41" s="32">
        <f t="shared" si="20"/>
        <v>1244043385.6612999</v>
      </c>
      <c r="J41" s="31">
        <f t="shared" si="20"/>
        <v>0</v>
      </c>
      <c r="K41" s="32">
        <f t="shared" si="20"/>
        <v>0</v>
      </c>
      <c r="L41" s="65">
        <f t="shared" si="20"/>
        <v>0</v>
      </c>
      <c r="M41" s="51">
        <f>+M42</f>
        <v>5829135538.776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1991714238.4570003</v>
      </c>
      <c r="F42" s="65">
        <v>0</v>
      </c>
      <c r="G42" s="127">
        <v>1296688957.3289001</v>
      </c>
      <c r="H42" s="86">
        <v>1296688957.3288</v>
      </c>
      <c r="I42" s="78">
        <v>1244043385.6612999</v>
      </c>
      <c r="J42" s="19">
        <v>0</v>
      </c>
      <c r="K42" s="20">
        <v>0</v>
      </c>
      <c r="L42" s="69">
        <v>0</v>
      </c>
      <c r="M42" s="50">
        <f>SUM(D42:L42)</f>
        <v>5829135538.776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979308570.76740003</v>
      </c>
      <c r="F43" s="65">
        <f t="shared" ref="F43:M43" si="21">F44</f>
        <v>0</v>
      </c>
      <c r="G43" s="95">
        <f t="shared" si="21"/>
        <v>0</v>
      </c>
      <c r="H43" s="45">
        <f t="shared" si="21"/>
        <v>0</v>
      </c>
      <c r="I43" s="68">
        <f t="shared" si="21"/>
        <v>0</v>
      </c>
      <c r="J43" s="65">
        <f t="shared" si="21"/>
        <v>0</v>
      </c>
      <c r="K43" s="65">
        <f t="shared" si="21"/>
        <v>0</v>
      </c>
      <c r="L43" s="65">
        <f t="shared" si="21"/>
        <v>0</v>
      </c>
      <c r="M43" s="80">
        <f t="shared" si="21"/>
        <v>979308570.76740003</v>
      </c>
      <c r="N43" s="5"/>
      <c r="P43" s="81"/>
    </row>
    <row r="44" spans="2:16" x14ac:dyDescent="0.25">
      <c r="B44" s="10" t="s">
        <v>44</v>
      </c>
      <c r="C44" s="15" t="s">
        <v>45</v>
      </c>
      <c r="D44" s="19">
        <v>0</v>
      </c>
      <c r="E44" s="78">
        <v>979308570.76740003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979308570.76740003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2">+G46</f>
        <v>0</v>
      </c>
      <c r="H45" s="45">
        <f t="shared" si="22"/>
        <v>137227609.97299999</v>
      </c>
      <c r="I45" s="32">
        <f t="shared" si="22"/>
        <v>0</v>
      </c>
      <c r="J45" s="31">
        <f t="shared" si="22"/>
        <v>0</v>
      </c>
      <c r="K45" s="32">
        <f t="shared" si="22"/>
        <v>0</v>
      </c>
      <c r="L45" s="65">
        <f t="shared" si="22"/>
        <v>175791573.35949999</v>
      </c>
      <c r="M45" s="51">
        <f>+M46</f>
        <v>313019183.33249998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137227609.97299999</v>
      </c>
      <c r="I46" s="20">
        <v>0</v>
      </c>
      <c r="J46" s="19">
        <v>0</v>
      </c>
      <c r="K46" s="19">
        <v>0</v>
      </c>
      <c r="L46" s="93">
        <v>175791573.35949999</v>
      </c>
      <c r="M46" s="50">
        <f>SUM(D46:L46)</f>
        <v>313019183.33249998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58173386.058199994</v>
      </c>
      <c r="E47" s="32">
        <f>+E48</f>
        <v>0</v>
      </c>
      <c r="F47" s="95">
        <f>+F48</f>
        <v>147693170.65650001</v>
      </c>
      <c r="G47" s="45">
        <f t="shared" si="22"/>
        <v>0</v>
      </c>
      <c r="H47" s="45">
        <f t="shared" si="22"/>
        <v>284303445.78689998</v>
      </c>
      <c r="I47" s="32">
        <f t="shared" si="22"/>
        <v>0</v>
      </c>
      <c r="J47" s="31">
        <f t="shared" si="22"/>
        <v>0</v>
      </c>
      <c r="K47" s="32">
        <f t="shared" si="22"/>
        <v>0</v>
      </c>
      <c r="L47" s="65">
        <f t="shared" si="22"/>
        <v>0</v>
      </c>
      <c r="M47" s="51">
        <f>+M48</f>
        <v>490170002.50160003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58173386.058199994</v>
      </c>
      <c r="E48" s="19">
        <v>0</v>
      </c>
      <c r="F48" s="86">
        <v>147693170.65650001</v>
      </c>
      <c r="G48" s="44">
        <v>0</v>
      </c>
      <c r="H48" s="86">
        <v>284303445.78689998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490170002.50160003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3">+G50</f>
        <v>1820303745.0848</v>
      </c>
      <c r="H49" s="45">
        <f t="shared" si="23"/>
        <v>0</v>
      </c>
      <c r="I49" s="32">
        <f t="shared" si="23"/>
        <v>0</v>
      </c>
      <c r="J49" s="31">
        <f t="shared" si="23"/>
        <v>0</v>
      </c>
      <c r="K49" s="32">
        <f t="shared" si="23"/>
        <v>0</v>
      </c>
      <c r="L49" s="65">
        <f t="shared" si="23"/>
        <v>0</v>
      </c>
      <c r="M49" s="51">
        <f>+M50</f>
        <v>1820303745.0848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19">
        <v>1820303745.0848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1820303745.0848</v>
      </c>
      <c r="N50" s="3"/>
    </row>
    <row r="51" spans="2:14" ht="15" customHeight="1" x14ac:dyDescent="0.25">
      <c r="B51" s="33" t="s">
        <v>51</v>
      </c>
      <c r="C51" s="15" t="s">
        <v>18</v>
      </c>
      <c r="D51" s="19">
        <f>+D52</f>
        <v>0</v>
      </c>
      <c r="E51" s="32">
        <f>+E52</f>
        <v>724574531.19120002</v>
      </c>
      <c r="F51" s="96">
        <f>+F52</f>
        <v>0</v>
      </c>
      <c r="G51" s="31">
        <f t="shared" ref="G51:L51" si="24">+G52</f>
        <v>2088374204.809</v>
      </c>
      <c r="H51" s="31">
        <f t="shared" si="24"/>
        <v>110118616.9726</v>
      </c>
      <c r="I51" s="32">
        <f t="shared" si="24"/>
        <v>0</v>
      </c>
      <c r="J51" s="31">
        <f t="shared" si="24"/>
        <v>0</v>
      </c>
      <c r="K51" s="32">
        <f t="shared" si="24"/>
        <v>0</v>
      </c>
      <c r="L51" s="65">
        <f t="shared" si="24"/>
        <v>0</v>
      </c>
      <c r="M51" s="51">
        <f>+M52</f>
        <v>2923067352.9728003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724574531.19120002</v>
      </c>
      <c r="F52" s="96">
        <v>0</v>
      </c>
      <c r="G52" s="93">
        <v>2088374204.809</v>
      </c>
      <c r="H52" s="93">
        <v>110118616.9726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2923067352.9728003</v>
      </c>
      <c r="N52" s="3"/>
    </row>
    <row r="53" spans="2:14" ht="17.25" customHeight="1" x14ac:dyDescent="0.25">
      <c r="B53" s="33" t="s">
        <v>75</v>
      </c>
      <c r="C53" s="15"/>
      <c r="D53" s="31">
        <f>D54</f>
        <v>58568136.8825</v>
      </c>
      <c r="E53" s="32">
        <v>0</v>
      </c>
      <c r="F53" s="95">
        <f>+F54</f>
        <v>46238002.802000001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104806139.68450001</v>
      </c>
      <c r="N53" s="3"/>
    </row>
    <row r="54" spans="2:14" ht="12.95" customHeight="1" x14ac:dyDescent="0.25">
      <c r="B54" s="10" t="s">
        <v>48</v>
      </c>
      <c r="C54" s="15" t="s">
        <v>45</v>
      </c>
      <c r="D54" s="93">
        <v>58568136.8825</v>
      </c>
      <c r="E54" s="45">
        <v>0</v>
      </c>
      <c r="F54" s="96">
        <v>46238002.802000001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09">
        <f t="shared" ref="M54" si="25">SUM(D54:L54)</f>
        <v>104806139.68450001</v>
      </c>
      <c r="N54" s="108"/>
    </row>
    <row r="55" spans="2:14" ht="17.25" customHeight="1" x14ac:dyDescent="0.25">
      <c r="B55" s="33" t="s">
        <v>76</v>
      </c>
      <c r="C55" s="15"/>
      <c r="D55" s="19">
        <v>0</v>
      </c>
      <c r="E55" s="32">
        <v>0</v>
      </c>
      <c r="F55" s="95">
        <f>+F56</f>
        <v>42192351.726799995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42192351.726799995</v>
      </c>
      <c r="N55" s="3"/>
    </row>
    <row r="56" spans="2:14" ht="12.95" customHeight="1" x14ac:dyDescent="0.25">
      <c r="B56" s="10" t="s">
        <v>48</v>
      </c>
      <c r="C56" s="15" t="s">
        <v>45</v>
      </c>
      <c r="D56" s="19">
        <v>0</v>
      </c>
      <c r="E56" s="45">
        <v>0</v>
      </c>
      <c r="F56" s="96">
        <v>42192351.726799995</v>
      </c>
      <c r="G56" s="87">
        <v>0</v>
      </c>
      <c r="H56" s="44">
        <v>0</v>
      </c>
      <c r="I56" s="19">
        <v>0</v>
      </c>
      <c r="J56" s="44">
        <v>0</v>
      </c>
      <c r="K56" s="44">
        <v>0</v>
      </c>
      <c r="L56" s="44">
        <v>0</v>
      </c>
      <c r="M56" s="109">
        <f t="shared" ref="M56" si="26">SUM(D56:L56)</f>
        <v>42192351.726799995</v>
      </c>
      <c r="N56" s="108"/>
    </row>
    <row r="57" spans="2:14" ht="17.25" customHeight="1" x14ac:dyDescent="0.25">
      <c r="B57" s="33" t="s">
        <v>88</v>
      </c>
      <c r="C57" s="15"/>
      <c r="D57" s="19">
        <v>0</v>
      </c>
      <c r="E57" s="32">
        <v>0</v>
      </c>
      <c r="F57" s="95">
        <f>+F58</f>
        <v>19832430.1556</v>
      </c>
      <c r="G57" s="22">
        <v>0</v>
      </c>
      <c r="H57" s="19">
        <v>0</v>
      </c>
      <c r="I57" s="44">
        <v>0</v>
      </c>
      <c r="J57" s="19">
        <v>0</v>
      </c>
      <c r="K57" s="71">
        <v>0</v>
      </c>
      <c r="L57" s="69">
        <v>0</v>
      </c>
      <c r="M57" s="58">
        <f>SUM(D57:L57)</f>
        <v>19832430.1556</v>
      </c>
      <c r="N57" s="3"/>
    </row>
    <row r="58" spans="2:14" ht="12.95" customHeight="1" x14ac:dyDescent="0.25">
      <c r="B58" s="10" t="s">
        <v>48</v>
      </c>
      <c r="C58" s="15" t="s">
        <v>45</v>
      </c>
      <c r="D58" s="19">
        <v>0</v>
      </c>
      <c r="E58" s="45">
        <v>0</v>
      </c>
      <c r="F58" s="96">
        <v>19832430.1556</v>
      </c>
      <c r="G58" s="87">
        <v>0</v>
      </c>
      <c r="H58" s="44">
        <v>0</v>
      </c>
      <c r="I58" s="19">
        <v>0</v>
      </c>
      <c r="J58" s="44">
        <v>0</v>
      </c>
      <c r="K58" s="44">
        <v>0</v>
      </c>
      <c r="L58" s="44">
        <v>0</v>
      </c>
      <c r="M58" s="109">
        <f t="shared" ref="M58" si="27">SUM(D58:L58)</f>
        <v>19832430.1556</v>
      </c>
      <c r="N58" s="108"/>
    </row>
    <row r="59" spans="2:14" x14ac:dyDescent="0.25">
      <c r="B59" s="144" t="s">
        <v>53</v>
      </c>
      <c r="C59" s="145"/>
      <c r="D59" s="122">
        <f t="shared" ref="D59:L59" si="28">+D7+D10+D31+D38</f>
        <v>822710991.39469981</v>
      </c>
      <c r="E59" s="122">
        <f t="shared" si="28"/>
        <v>39450769403.906898</v>
      </c>
      <c r="F59" s="23">
        <f t="shared" si="28"/>
        <v>429243646.13069999</v>
      </c>
      <c r="G59" s="23">
        <f t="shared" si="28"/>
        <v>68005891497.73465</v>
      </c>
      <c r="H59" s="23">
        <f t="shared" si="28"/>
        <v>33089291103.070328</v>
      </c>
      <c r="I59" s="25">
        <f t="shared" si="28"/>
        <v>46529181507.706291</v>
      </c>
      <c r="J59" s="23">
        <f t="shared" si="28"/>
        <v>2393266489.2952995</v>
      </c>
      <c r="K59" s="23">
        <f t="shared" si="28"/>
        <v>1968243672.2903998</v>
      </c>
      <c r="L59" s="23">
        <f t="shared" si="28"/>
        <v>10706391898.429199</v>
      </c>
      <c r="M59" s="17">
        <f>+M38+M31+M10+M7</f>
        <v>203394990209.9585</v>
      </c>
      <c r="N59" s="156">
        <f>+M59/M60</f>
        <v>0.24651611215801658</v>
      </c>
    </row>
    <row r="60" spans="2:14" ht="15" customHeight="1" x14ac:dyDescent="0.25">
      <c r="B60" s="144" t="s">
        <v>54</v>
      </c>
      <c r="C60" s="145"/>
      <c r="D60" s="121">
        <v>7870381956.0671997</v>
      </c>
      <c r="E60" s="121">
        <v>173818020964.50201</v>
      </c>
      <c r="F60" s="23">
        <v>3958812776.4509001</v>
      </c>
      <c r="G60" s="84">
        <v>254066834475.715</v>
      </c>
      <c r="H60" s="23">
        <v>125593955588.603</v>
      </c>
      <c r="I60" s="121">
        <v>156517336779.578</v>
      </c>
      <c r="J60" s="92">
        <v>25132117252.625702</v>
      </c>
      <c r="K60" s="23">
        <v>18438677094.5975</v>
      </c>
      <c r="L60" s="23">
        <v>52371224329.161301</v>
      </c>
      <c r="M60" s="23">
        <v>825077875962.85999</v>
      </c>
      <c r="N60" s="157"/>
    </row>
    <row r="61" spans="2:14" ht="15.75" customHeight="1" x14ac:dyDescent="0.25">
      <c r="B61" s="144" t="s">
        <v>55</v>
      </c>
      <c r="C61" s="145"/>
      <c r="D61" s="129">
        <f>+D59/D60</f>
        <v>0.10453253679263685</v>
      </c>
      <c r="E61" s="129">
        <f>+E59/E60</f>
        <v>0.22696593359536485</v>
      </c>
      <c r="F61" s="129">
        <f>+F59/F60</f>
        <v>0.10842736708441149</v>
      </c>
      <c r="G61" s="129">
        <f t="shared" ref="G61:L61" si="29">+G59/G60</f>
        <v>0.26766929905695741</v>
      </c>
      <c r="H61" s="129">
        <f t="shared" si="29"/>
        <v>0.26346244887339954</v>
      </c>
      <c r="I61" s="129">
        <f t="shared" si="29"/>
        <v>0.29727813202720749</v>
      </c>
      <c r="J61" s="129">
        <f>+J59/J60</f>
        <v>9.5227412208784792E-2</v>
      </c>
      <c r="K61" s="129">
        <f t="shared" si="29"/>
        <v>0.10674538429153856</v>
      </c>
      <c r="L61" s="129">
        <f t="shared" si="29"/>
        <v>0.20443272112826424</v>
      </c>
      <c r="M61" s="146" t="s">
        <v>56</v>
      </c>
      <c r="N61" s="147"/>
    </row>
    <row r="62" spans="2:14" s="120" customFormat="1" x14ac:dyDescent="0.25">
      <c r="B62" s="148" t="s">
        <v>89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r="63" spans="2:14" s="120" customFormat="1" ht="15" customHeight="1" x14ac:dyDescent="0.25">
      <c r="B63" s="149" t="s">
        <v>90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2:14" ht="15.75" x14ac:dyDescent="0.25">
      <c r="B64" s="34" t="s">
        <v>59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  <row r="65" spans="2:14" x14ac:dyDescent="0.25">
      <c r="B65" s="35"/>
      <c r="C65" s="35"/>
      <c r="D65" s="35"/>
      <c r="E65" s="47"/>
      <c r="F65" s="47"/>
      <c r="G65" s="35"/>
      <c r="H65" s="35"/>
      <c r="I65" s="35"/>
      <c r="J65" s="57"/>
      <c r="K65" s="35"/>
      <c r="L65" s="35"/>
      <c r="M65" s="36"/>
      <c r="N65" s="35"/>
    </row>
    <row r="66" spans="2:14" x14ac:dyDescent="0.25">
      <c r="D66" s="8"/>
      <c r="E66" s="8"/>
      <c r="F66" s="7"/>
      <c r="G66" s="41"/>
      <c r="H66" s="41"/>
      <c r="M66" s="55"/>
    </row>
    <row r="67" spans="2:14" x14ac:dyDescent="0.25">
      <c r="M67" s="56"/>
    </row>
  </sheetData>
  <mergeCells count="22">
    <mergeCell ref="B61:C61"/>
    <mergeCell ref="M61:N61"/>
    <mergeCell ref="B62:N62"/>
    <mergeCell ref="B63:N63"/>
    <mergeCell ref="I5:I6"/>
    <mergeCell ref="J5:J6"/>
    <mergeCell ref="K5:K6"/>
    <mergeCell ref="L5:L6"/>
    <mergeCell ref="M5:N5"/>
    <mergeCell ref="B59:C59"/>
    <mergeCell ref="N59:N60"/>
    <mergeCell ref="B60:C60"/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67"/>
  <sheetViews>
    <sheetView showGridLines="0" topLeftCell="B1" zoomScaleNormal="100" workbookViewId="0">
      <pane xSplit="2" ySplit="6" topLeftCell="I40" activePane="bottomRight" state="frozen"/>
      <selection pane="topRight" activeCell="D1" sqref="D1"/>
      <selection pane="bottomLeft" activeCell="B7" sqref="B7"/>
      <selection pane="bottomRight" activeCell="C67" sqref="C67"/>
    </sheetView>
  </sheetViews>
  <sheetFormatPr baseColWidth="10" defaultColWidth="11.42578125" defaultRowHeight="15" x14ac:dyDescent="0.25"/>
  <cols>
    <col min="1" max="1" width="11.42578125" style="6"/>
    <col min="2" max="2" width="78.28515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91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33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796251937.42779994</v>
      </c>
      <c r="E7" s="25">
        <f t="shared" si="0"/>
        <v>24977866273.518803</v>
      </c>
      <c r="F7" s="23">
        <f t="shared" si="0"/>
        <v>366896041.78510004</v>
      </c>
      <c r="G7" s="24">
        <f t="shared" si="0"/>
        <v>51868199399.255852</v>
      </c>
      <c r="H7" s="23">
        <f t="shared" si="0"/>
        <v>26966148496.670368</v>
      </c>
      <c r="I7" s="73">
        <f t="shared" si="0"/>
        <v>38836090894.580719</v>
      </c>
      <c r="J7" s="67">
        <f t="shared" si="0"/>
        <v>2028894038.6191998</v>
      </c>
      <c r="K7" s="73">
        <f t="shared" si="0"/>
        <v>1423175680.4680002</v>
      </c>
      <c r="L7" s="67">
        <f t="shared" si="0"/>
        <v>9148809456.6118031</v>
      </c>
      <c r="M7" s="74">
        <f t="shared" si="0"/>
        <v>156412332218.93765</v>
      </c>
      <c r="N7" s="132">
        <f>+M7/$M$59</f>
        <v>0.76491044876612369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796251937.42779994</v>
      </c>
      <c r="E8" s="125">
        <f t="shared" si="1"/>
        <v>24977866273.518803</v>
      </c>
      <c r="F8" s="28">
        <f t="shared" si="1"/>
        <v>366896041.78510004</v>
      </c>
      <c r="G8" s="29">
        <f t="shared" si="1"/>
        <v>51868199399.255852</v>
      </c>
      <c r="H8" s="28">
        <f t="shared" si="1"/>
        <v>26966148496.670368</v>
      </c>
      <c r="I8" s="75">
        <f t="shared" si="1"/>
        <v>38836090894.580719</v>
      </c>
      <c r="J8" s="28">
        <f t="shared" si="1"/>
        <v>2028894038.6191998</v>
      </c>
      <c r="K8" s="75">
        <f t="shared" si="1"/>
        <v>1423175680.4680002</v>
      </c>
      <c r="L8" s="28">
        <f t="shared" si="1"/>
        <v>9148809456.6118031</v>
      </c>
      <c r="M8" s="40">
        <f>+M9</f>
        <v>156412332218.93765</v>
      </c>
      <c r="N8" s="132"/>
      <c r="Q8" s="7"/>
      <c r="R8" s="7"/>
    </row>
    <row r="9" spans="2:18" x14ac:dyDescent="0.25">
      <c r="B9" s="77" t="s">
        <v>20</v>
      </c>
      <c r="C9" s="76" t="s">
        <v>21</v>
      </c>
      <c r="D9" s="85">
        <v>796251937.42779994</v>
      </c>
      <c r="E9" s="126">
        <v>24977866273.518803</v>
      </c>
      <c r="F9" s="39">
        <v>366896041.78510004</v>
      </c>
      <c r="G9" s="78">
        <v>51868199399.255852</v>
      </c>
      <c r="H9" s="38">
        <v>26966148496.670368</v>
      </c>
      <c r="I9" s="93">
        <v>38836090894.580719</v>
      </c>
      <c r="J9" s="93">
        <v>2028894038.6191998</v>
      </c>
      <c r="K9" s="93">
        <v>1423175680.4680002</v>
      </c>
      <c r="L9" s="86">
        <v>9148809456.6118031</v>
      </c>
      <c r="M9" s="44">
        <f>SUM(D9:L9)</f>
        <v>156412332218.93765</v>
      </c>
      <c r="N9" s="3"/>
      <c r="Q9" s="7"/>
      <c r="R9" s="7"/>
    </row>
    <row r="10" spans="2:18" ht="16.5" customHeight="1" x14ac:dyDescent="0.25">
      <c r="B10" s="2" t="s">
        <v>22</v>
      </c>
      <c r="C10" s="16" t="s">
        <v>18</v>
      </c>
      <c r="D10" s="100">
        <f t="shared" ref="D10:M10" si="2">+D11+D13+D15+D17+D19+D21+D23+D25+D27+D29</f>
        <v>956971.20180000004</v>
      </c>
      <c r="E10" s="100">
        <f t="shared" si="2"/>
        <v>4999821355.5754004</v>
      </c>
      <c r="F10" s="100">
        <f t="shared" si="2"/>
        <v>27909876.0035</v>
      </c>
      <c r="G10" s="100">
        <f t="shared" si="2"/>
        <v>3427236935.7567</v>
      </c>
      <c r="H10" s="100">
        <f t="shared" si="2"/>
        <v>195048576.2331</v>
      </c>
      <c r="I10" s="100">
        <f t="shared" si="2"/>
        <v>1250407022.7014999</v>
      </c>
      <c r="J10" s="100">
        <f t="shared" si="2"/>
        <v>62506852.152400009</v>
      </c>
      <c r="K10" s="100">
        <f t="shared" si="2"/>
        <v>65595894.320100002</v>
      </c>
      <c r="L10" s="100">
        <f t="shared" si="2"/>
        <v>69126488.537799984</v>
      </c>
      <c r="M10" s="100">
        <f t="shared" si="2"/>
        <v>10098609972.482302</v>
      </c>
      <c r="N10" s="4">
        <f>+M10/$M$59</f>
        <v>4.9385698534007538E-2</v>
      </c>
      <c r="O10" s="41"/>
      <c r="P10" s="13"/>
      <c r="Q10" s="7"/>
      <c r="R10" s="7"/>
    </row>
    <row r="11" spans="2:18" ht="15" customHeight="1" x14ac:dyDescent="0.25">
      <c r="B11" s="79" t="s">
        <v>61</v>
      </c>
      <c r="C11" s="15" t="s">
        <v>18</v>
      </c>
      <c r="D11" s="45">
        <f t="shared" ref="D11:L11" si="3">D12</f>
        <v>956971.20180000004</v>
      </c>
      <c r="E11" s="45">
        <f t="shared" si="3"/>
        <v>0</v>
      </c>
      <c r="F11" s="31">
        <f t="shared" si="3"/>
        <v>0</v>
      </c>
      <c r="G11" s="31">
        <f t="shared" si="3"/>
        <v>0</v>
      </c>
      <c r="H11" s="19">
        <f t="shared" si="3"/>
        <v>0</v>
      </c>
      <c r="I11" s="45">
        <f t="shared" si="3"/>
        <v>0</v>
      </c>
      <c r="J11" s="19">
        <f t="shared" si="3"/>
        <v>0</v>
      </c>
      <c r="K11" s="19">
        <f t="shared" si="3"/>
        <v>0</v>
      </c>
      <c r="L11" s="44">
        <f t="shared" si="3"/>
        <v>0</v>
      </c>
      <c r="M11" s="51">
        <f>+M12</f>
        <v>956971.20180000004</v>
      </c>
      <c r="N11" s="3"/>
      <c r="P11" s="13"/>
    </row>
    <row r="12" spans="2:18" x14ac:dyDescent="0.25">
      <c r="B12" s="10" t="s">
        <v>24</v>
      </c>
      <c r="C12" s="15" t="s">
        <v>25</v>
      </c>
      <c r="D12" s="19">
        <v>956971.20180000004</v>
      </c>
      <c r="E12" s="19">
        <v>0</v>
      </c>
      <c r="F12" s="31">
        <v>0</v>
      </c>
      <c r="G12" s="20">
        <v>0</v>
      </c>
      <c r="H12" s="19">
        <v>0</v>
      </c>
      <c r="I12" s="21"/>
      <c r="J12" s="19">
        <v>0</v>
      </c>
      <c r="K12" s="19">
        <v>0</v>
      </c>
      <c r="L12" s="44">
        <v>0</v>
      </c>
      <c r="M12" s="44">
        <f>SUM(D12:L12)</f>
        <v>956971.20180000004</v>
      </c>
      <c r="N12" s="5"/>
      <c r="Q12" s="7"/>
      <c r="R12" s="7"/>
    </row>
    <row r="13" spans="2:18" s="42" customFormat="1" hidden="1" x14ac:dyDescent="0.25">
      <c r="B13" s="30" t="s">
        <v>23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 t="shared" ref="G13:L13" si="4">+G14</f>
        <v>0</v>
      </c>
      <c r="H13" s="31">
        <f t="shared" si="4"/>
        <v>0</v>
      </c>
      <c r="I13" s="29">
        <f t="shared" si="4"/>
        <v>0</v>
      </c>
      <c r="J13" s="28">
        <f t="shared" si="4"/>
        <v>0</v>
      </c>
      <c r="K13" s="28">
        <f t="shared" si="4"/>
        <v>0</v>
      </c>
      <c r="L13" s="45">
        <f t="shared" si="4"/>
        <v>0</v>
      </c>
      <c r="M13" s="51">
        <f>+M14</f>
        <v>0</v>
      </c>
      <c r="N13" s="5"/>
      <c r="Q13" s="43"/>
      <c r="R13" s="43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123">
        <f>+E16</f>
        <v>4999821355.5754004</v>
      </c>
      <c r="F15" s="31">
        <f>+F16</f>
        <v>0</v>
      </c>
      <c r="G15" s="45">
        <f t="shared" ref="G15:I15" si="5">+G16</f>
        <v>3427236935.7567</v>
      </c>
      <c r="H15" s="31">
        <f t="shared" si="5"/>
        <v>195048576.2331</v>
      </c>
      <c r="I15" s="32">
        <f t="shared" si="5"/>
        <v>1250407022.7014999</v>
      </c>
      <c r="J15" s="31">
        <f>J16</f>
        <v>0</v>
      </c>
      <c r="K15" s="31">
        <f>+K16</f>
        <v>65595894.320100002</v>
      </c>
      <c r="L15" s="45">
        <f>L16</f>
        <v>69126488.537799984</v>
      </c>
      <c r="M15" s="51">
        <f>+M16</f>
        <v>10007236273.124601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124">
        <v>4999821355.5754004</v>
      </c>
      <c r="F16" s="44">
        <v>0</v>
      </c>
      <c r="G16" s="93">
        <v>3427236935.7567</v>
      </c>
      <c r="H16" s="93">
        <v>195048576.2331</v>
      </c>
      <c r="I16" s="78">
        <v>1250407022.7014999</v>
      </c>
      <c r="J16" s="19">
        <v>0</v>
      </c>
      <c r="K16" s="93">
        <v>65595894.320100002</v>
      </c>
      <c r="L16" s="86">
        <v>69126488.537799984</v>
      </c>
      <c r="M16" s="44">
        <f>SUM(D16:L16)</f>
        <v>10007236273.124601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hidden="1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0</v>
      </c>
      <c r="H19" s="31">
        <f t="shared" si="7"/>
        <v>0</v>
      </c>
      <c r="I19" s="32">
        <f t="shared" si="7"/>
        <v>0</v>
      </c>
      <c r="J19" s="31">
        <f t="shared" si="7"/>
        <v>0</v>
      </c>
      <c r="K19" s="31">
        <f t="shared" si="7"/>
        <v>0</v>
      </c>
      <c r="L19" s="45">
        <f t="shared" si="7"/>
        <v>0</v>
      </c>
      <c r="M19" s="51">
        <f>+M20</f>
        <v>0</v>
      </c>
      <c r="N19" s="3"/>
      <c r="R19" s="7"/>
    </row>
    <row r="20" spans="2:18" hidden="1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/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44">
        <f>SUM(D20:L20)</f>
        <v>0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26948439.958499998</v>
      </c>
      <c r="G21" s="45">
        <v>0</v>
      </c>
      <c r="H21" s="31">
        <v>0</v>
      </c>
      <c r="I21" s="32">
        <v>0</v>
      </c>
      <c r="J21" s="31">
        <f>+J22</f>
        <v>62506852.152400009</v>
      </c>
      <c r="K21" s="31">
        <f t="shared" ref="K21:L21" si="8">+K22</f>
        <v>0</v>
      </c>
      <c r="L21" s="45">
        <f t="shared" si="8"/>
        <v>0</v>
      </c>
      <c r="M21" s="51">
        <f>M22</f>
        <v>89455292.110900015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>
        <v>26948439.958499998</v>
      </c>
      <c r="G22" s="44">
        <v>0</v>
      </c>
      <c r="H22" s="19">
        <v>0</v>
      </c>
      <c r="I22" s="60">
        <v>0</v>
      </c>
      <c r="J22" s="19">
        <v>62506852.152400009</v>
      </c>
      <c r="K22" s="19"/>
      <c r="L22" s="44">
        <v>0</v>
      </c>
      <c r="M22" s="50">
        <f>SUM(D22:L22)</f>
        <v>89455292.110900015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0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0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/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0">SUM(D24:L24)</f>
        <v>0</v>
      </c>
      <c r="N24" s="5"/>
    </row>
    <row r="25" spans="2:18" ht="19.5" customHeight="1" x14ac:dyDescent="0.25">
      <c r="B25" s="79" t="s">
        <v>87</v>
      </c>
      <c r="C25" s="15" t="s">
        <v>18</v>
      </c>
      <c r="D25" s="45">
        <f t="shared" ref="D25:L25" si="11">D26</f>
        <v>0</v>
      </c>
      <c r="E25" s="45">
        <f t="shared" si="11"/>
        <v>0</v>
      </c>
      <c r="F25" s="31">
        <f t="shared" si="11"/>
        <v>961436.04500000004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961436.04500000004</v>
      </c>
      <c r="N25" s="3"/>
      <c r="P25" s="13"/>
    </row>
    <row r="26" spans="2:18" ht="15" customHeight="1" x14ac:dyDescent="0.25">
      <c r="B26" s="10" t="s">
        <v>24</v>
      </c>
      <c r="C26" s="15" t="s">
        <v>27</v>
      </c>
      <c r="D26" s="44">
        <v>0</v>
      </c>
      <c r="E26" s="44">
        <v>0</v>
      </c>
      <c r="F26" s="44">
        <v>961436.04500000004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961436.04500000004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0</v>
      </c>
      <c r="H27" s="31"/>
      <c r="I27" s="31">
        <f>I26</f>
        <v>0</v>
      </c>
      <c r="J27" s="31">
        <f>J26</f>
        <v>0</v>
      </c>
      <c r="K27" s="31">
        <f>K26</f>
        <v>0</v>
      </c>
      <c r="L27" s="31">
        <f>L26</f>
        <v>0</v>
      </c>
      <c r="M27" s="51">
        <f>+M28</f>
        <v>0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44"/>
      <c r="H28" s="44"/>
      <c r="I28" s="44">
        <v>0</v>
      </c>
      <c r="J28" s="44">
        <v>0</v>
      </c>
      <c r="K28" s="44">
        <v>0</v>
      </c>
      <c r="L28" s="44">
        <v>0</v>
      </c>
      <c r="M28" s="50">
        <f t="shared" ref="M28" si="12">SUM(D28:L28)</f>
        <v>0</v>
      </c>
      <c r="N28" s="5"/>
    </row>
    <row r="29" spans="2:18" ht="15" hidden="1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3">I30</f>
        <v>0</v>
      </c>
      <c r="J29" s="19">
        <f t="shared" si="13"/>
        <v>0</v>
      </c>
      <c r="K29" s="19">
        <f t="shared" si="13"/>
        <v>0</v>
      </c>
      <c r="L29" s="19">
        <f t="shared" si="13"/>
        <v>0</v>
      </c>
      <c r="M29" s="51">
        <f>+M30</f>
        <v>0</v>
      </c>
      <c r="N29" s="3"/>
    </row>
    <row r="30" spans="2:18" ht="15" hidden="1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f>SUM(D30:L30)</f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4">+D32+D34+D36</f>
        <v>0</v>
      </c>
      <c r="E31" s="25">
        <f t="shared" si="14"/>
        <v>3149974884.7654991</v>
      </c>
      <c r="F31" s="23">
        <f t="shared" si="14"/>
        <v>0</v>
      </c>
      <c r="G31" s="25">
        <f t="shared" si="14"/>
        <v>4290540819.8778005</v>
      </c>
      <c r="H31" s="67">
        <f t="shared" si="14"/>
        <v>2967670769.626298</v>
      </c>
      <c r="I31" s="25">
        <f t="shared" si="14"/>
        <v>3416408487.1889005</v>
      </c>
      <c r="J31" s="99">
        <f t="shared" si="14"/>
        <v>310056927.28509998</v>
      </c>
      <c r="K31" s="25">
        <f t="shared" si="14"/>
        <v>486948645.49199998</v>
      </c>
      <c r="L31" s="67">
        <f t="shared" si="14"/>
        <v>1035954623.8223</v>
      </c>
      <c r="M31" s="17">
        <f>+M32+M36+M34</f>
        <v>15657555158.057899</v>
      </c>
      <c r="N31" s="4">
        <f>+M31/$M$59</f>
        <v>7.6570864794510946E-2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507952561.14600009</v>
      </c>
      <c r="F32" s="31">
        <f>+F33</f>
        <v>0</v>
      </c>
      <c r="G32" s="28">
        <f t="shared" ref="G32:L32" si="15">+G33</f>
        <v>1118490120.5197997</v>
      </c>
      <c r="H32" s="94">
        <f t="shared" si="15"/>
        <v>511042794.18590009</v>
      </c>
      <c r="I32" s="29">
        <f>+I33</f>
        <v>1359417982.1017001</v>
      </c>
      <c r="J32" s="63">
        <f>+J33</f>
        <v>13406261.206900001</v>
      </c>
      <c r="K32" s="101">
        <f t="shared" si="15"/>
        <v>95309403.604599997</v>
      </c>
      <c r="L32" s="94">
        <f t="shared" si="15"/>
        <v>184341699.3673</v>
      </c>
      <c r="M32" s="51">
        <f>+M33</f>
        <v>3789960822.1321998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507952561.14600009</v>
      </c>
      <c r="F33" s="31">
        <v>0</v>
      </c>
      <c r="G33" s="86">
        <v>1118490120.5197997</v>
      </c>
      <c r="H33" s="86">
        <v>511042794.18590009</v>
      </c>
      <c r="I33" s="21">
        <v>1359417982.1017001</v>
      </c>
      <c r="J33" s="102">
        <v>13406261.206900001</v>
      </c>
      <c r="K33" s="102">
        <v>95309403.604599997</v>
      </c>
      <c r="L33" s="86">
        <v>184341699.3673</v>
      </c>
      <c r="M33" s="50">
        <f>SUM(D33:L33)</f>
        <v>3789960822.1321998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2561022882.5188994</v>
      </c>
      <c r="F34" s="31">
        <f>+F35</f>
        <v>0</v>
      </c>
      <c r="G34" s="31">
        <f t="shared" ref="G34:L34" si="16">+G35</f>
        <v>2155801448.4360008</v>
      </c>
      <c r="H34" s="45">
        <f t="shared" si="16"/>
        <v>1349570832.3496983</v>
      </c>
      <c r="I34" s="32">
        <f>+I35</f>
        <v>1796233959.9660001</v>
      </c>
      <c r="J34" s="65">
        <f>+J35</f>
        <v>114409102.97249998</v>
      </c>
      <c r="K34" s="95">
        <f t="shared" si="16"/>
        <v>16026655.7183</v>
      </c>
      <c r="L34" s="45">
        <f t="shared" si="16"/>
        <v>474022841.49769998</v>
      </c>
      <c r="M34" s="51">
        <f>+M35</f>
        <v>8467087723.4590988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2561022882.5188994</v>
      </c>
      <c r="F35" s="31">
        <v>0</v>
      </c>
      <c r="G35" s="86">
        <v>2155801448.4360008</v>
      </c>
      <c r="H35" s="86">
        <v>1349570832.3496983</v>
      </c>
      <c r="I35" s="21">
        <v>1796233959.9660001</v>
      </c>
      <c r="J35" s="102">
        <v>114409102.97249998</v>
      </c>
      <c r="K35" s="102">
        <v>16026655.7183</v>
      </c>
      <c r="L35" s="86">
        <v>474022841.49769998</v>
      </c>
      <c r="M35" s="50">
        <f>SUM(D35:L35)</f>
        <v>8467087723.4590988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E37</f>
        <v>80999441.100600004</v>
      </c>
      <c r="F36" s="31">
        <f>+F37</f>
        <v>0</v>
      </c>
      <c r="G36" s="31">
        <f t="shared" ref="G36:L36" si="17">+G37</f>
        <v>1016249250.9220001</v>
      </c>
      <c r="H36" s="45">
        <f t="shared" si="17"/>
        <v>1107057143.0906999</v>
      </c>
      <c r="I36" s="32">
        <f>+I37</f>
        <v>260756545.12120003</v>
      </c>
      <c r="J36" s="65">
        <f>+J37</f>
        <v>182241563.10570002</v>
      </c>
      <c r="K36" s="95">
        <f t="shared" si="17"/>
        <v>375612586.16909999</v>
      </c>
      <c r="L36" s="45">
        <f t="shared" si="17"/>
        <v>377590082.95730001</v>
      </c>
      <c r="M36" s="51">
        <f>+M37</f>
        <v>3400506612.4666004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80999441.100600004</v>
      </c>
      <c r="F37" s="31">
        <v>0</v>
      </c>
      <c r="G37" s="86">
        <v>1016249250.9220001</v>
      </c>
      <c r="H37" s="86">
        <v>1107057143.0906999</v>
      </c>
      <c r="I37" s="21">
        <v>260756545.12120003</v>
      </c>
      <c r="J37" s="102">
        <v>182241563.10570002</v>
      </c>
      <c r="K37" s="102">
        <v>375612586.16909999</v>
      </c>
      <c r="L37" s="86">
        <v>377590082.95730001</v>
      </c>
      <c r="M37" s="50">
        <f>SUM(D37:L37)</f>
        <v>3400506612.4666004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116246412.11410001</v>
      </c>
      <c r="E38" s="23">
        <f>+E39+E41+E45+E49+E51+E47+E44+E53</f>
        <v>6441898993.5720005</v>
      </c>
      <c r="F38" s="25">
        <f>+F39+F41+F45+F49+F51+F47+F44+F53+F55+F57</f>
        <v>276018042.76880002</v>
      </c>
      <c r="G38" s="23">
        <f t="shared" ref="G38:L38" si="18">+G39+G41+G45+G49+G51+G47+G44+G53</f>
        <v>8689829635.6343994</v>
      </c>
      <c r="H38" s="23">
        <f t="shared" si="18"/>
        <v>3100932973.2929993</v>
      </c>
      <c r="I38" s="23">
        <f t="shared" si="18"/>
        <v>3195581664.3592997</v>
      </c>
      <c r="J38" s="23">
        <f t="shared" si="18"/>
        <v>0</v>
      </c>
      <c r="K38" s="23">
        <f t="shared" si="18"/>
        <v>0</v>
      </c>
      <c r="L38" s="23">
        <f t="shared" si="18"/>
        <v>495496965.90950006</v>
      </c>
      <c r="M38" s="17">
        <f>+M39+M41+M43+P42+M45+M49+M51+M47+M53+M55+M57</f>
        <v>22316004687.651104</v>
      </c>
      <c r="N38" s="132">
        <f>+M38/$M$59</f>
        <v>0.10913298790535778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2763257259.7090001</v>
      </c>
      <c r="F39" s="63">
        <f>+F40</f>
        <v>0</v>
      </c>
      <c r="G39" s="45">
        <f t="shared" ref="G39:L39" si="19">+G40</f>
        <v>3507561893.5120997</v>
      </c>
      <c r="H39" s="45">
        <f t="shared" si="19"/>
        <v>1278311445.6355</v>
      </c>
      <c r="I39" s="32">
        <f t="shared" si="19"/>
        <v>1954725270.3443999</v>
      </c>
      <c r="J39" s="31">
        <f t="shared" si="19"/>
        <v>0</v>
      </c>
      <c r="K39" s="32">
        <f t="shared" si="19"/>
        <v>0</v>
      </c>
      <c r="L39" s="95">
        <f t="shared" si="19"/>
        <v>320669102.88680005</v>
      </c>
      <c r="M39" s="51">
        <f>+M40</f>
        <v>9824524972.087801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2763257259.7090001</v>
      </c>
      <c r="F40" s="65">
        <v>0</v>
      </c>
      <c r="G40" s="86">
        <v>3507561893.5120997</v>
      </c>
      <c r="H40" s="86">
        <v>1278311445.6355</v>
      </c>
      <c r="I40" s="78">
        <v>1954725270.3443999</v>
      </c>
      <c r="J40" s="19">
        <v>0</v>
      </c>
      <c r="K40" s="19">
        <v>0</v>
      </c>
      <c r="L40" s="86">
        <v>320669102.88680005</v>
      </c>
      <c r="M40" s="50">
        <f>SUM(D40:L40)</f>
        <v>9824524972.087801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1986611862.8381</v>
      </c>
      <c r="F41" s="65">
        <f>+F42</f>
        <v>0</v>
      </c>
      <c r="G41" s="45">
        <f t="shared" ref="G41:L41" si="20">+G42</f>
        <v>1293367098.2019</v>
      </c>
      <c r="H41" s="45">
        <f t="shared" si="20"/>
        <v>1293367098.2017999</v>
      </c>
      <c r="I41" s="32">
        <f t="shared" si="20"/>
        <v>1240856394.0149</v>
      </c>
      <c r="J41" s="31">
        <f t="shared" si="20"/>
        <v>0</v>
      </c>
      <c r="K41" s="32">
        <f t="shared" si="20"/>
        <v>0</v>
      </c>
      <c r="L41" s="65">
        <f t="shared" si="20"/>
        <v>0</v>
      </c>
      <c r="M41" s="51">
        <f>+M42</f>
        <v>5814202453.2567005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1986611862.8381</v>
      </c>
      <c r="F42" s="65">
        <v>0</v>
      </c>
      <c r="G42" s="127">
        <v>1293367098.2019</v>
      </c>
      <c r="H42" s="86">
        <v>1293367098.2017999</v>
      </c>
      <c r="I42" s="78">
        <v>1240856394.0149</v>
      </c>
      <c r="J42" s="19">
        <v>0</v>
      </c>
      <c r="K42" s="20">
        <v>0</v>
      </c>
      <c r="L42" s="69">
        <v>0</v>
      </c>
      <c r="M42" s="50">
        <f>SUM(D42:L42)</f>
        <v>5814202453.2567005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969845774.83809996</v>
      </c>
      <c r="F43" s="65">
        <f t="shared" ref="F43:M43" si="21">F44</f>
        <v>0</v>
      </c>
      <c r="G43" s="95">
        <f t="shared" si="21"/>
        <v>0</v>
      </c>
      <c r="H43" s="45">
        <f t="shared" si="21"/>
        <v>0</v>
      </c>
      <c r="I43" s="68">
        <f t="shared" si="21"/>
        <v>0</v>
      </c>
      <c r="J43" s="65">
        <f t="shared" si="21"/>
        <v>0</v>
      </c>
      <c r="K43" s="65">
        <f t="shared" si="21"/>
        <v>0</v>
      </c>
      <c r="L43" s="65">
        <f t="shared" si="21"/>
        <v>0</v>
      </c>
      <c r="M43" s="80">
        <f t="shared" si="21"/>
        <v>969845774.83809996</v>
      </c>
      <c r="N43" s="5"/>
      <c r="P43" s="81"/>
    </row>
    <row r="44" spans="2:16" x14ac:dyDescent="0.25">
      <c r="B44" s="10" t="s">
        <v>44</v>
      </c>
      <c r="C44" s="15" t="s">
        <v>45</v>
      </c>
      <c r="D44" s="19">
        <v>0</v>
      </c>
      <c r="E44" s="78">
        <v>969845774.83809996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969845774.83809996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2">+G46</f>
        <v>0</v>
      </c>
      <c r="H45" s="45">
        <f t="shared" si="22"/>
        <v>136475311.8752</v>
      </c>
      <c r="I45" s="32">
        <f t="shared" si="22"/>
        <v>0</v>
      </c>
      <c r="J45" s="31">
        <f t="shared" si="22"/>
        <v>0</v>
      </c>
      <c r="K45" s="32">
        <f t="shared" si="22"/>
        <v>0</v>
      </c>
      <c r="L45" s="65">
        <f t="shared" si="22"/>
        <v>174827863.02270001</v>
      </c>
      <c r="M45" s="51">
        <f>+M46</f>
        <v>311303174.89789999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136475311.8752</v>
      </c>
      <c r="I46" s="20">
        <v>0</v>
      </c>
      <c r="J46" s="19">
        <v>0</v>
      </c>
      <c r="K46" s="19">
        <v>0</v>
      </c>
      <c r="L46" s="93">
        <v>174827863.02270001</v>
      </c>
      <c r="M46" s="50">
        <f>SUM(D46:L46)</f>
        <v>311303174.89789999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57911546.750799999</v>
      </c>
      <c r="E47" s="32">
        <f>+E48</f>
        <v>0</v>
      </c>
      <c r="F47" s="95">
        <f>+F48</f>
        <v>147028401.41870001</v>
      </c>
      <c r="G47" s="45">
        <f t="shared" si="22"/>
        <v>0</v>
      </c>
      <c r="H47" s="45">
        <f t="shared" si="22"/>
        <v>283023791.59500003</v>
      </c>
      <c r="I47" s="32">
        <f t="shared" si="22"/>
        <v>0</v>
      </c>
      <c r="J47" s="31">
        <f t="shared" si="22"/>
        <v>0</v>
      </c>
      <c r="K47" s="32">
        <f t="shared" si="22"/>
        <v>0</v>
      </c>
      <c r="L47" s="65">
        <f t="shared" si="22"/>
        <v>0</v>
      </c>
      <c r="M47" s="51">
        <f>+M48</f>
        <v>487963739.76450002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57911546.750799999</v>
      </c>
      <c r="E48" s="19">
        <v>0</v>
      </c>
      <c r="F48" s="86">
        <v>147028401.41870001</v>
      </c>
      <c r="G48" s="44">
        <v>0</v>
      </c>
      <c r="H48" s="86">
        <v>283023791.59500003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487963739.76450002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3">+G50</f>
        <v>1807416168.9966002</v>
      </c>
      <c r="H49" s="45">
        <f t="shared" si="23"/>
        <v>0</v>
      </c>
      <c r="I49" s="32">
        <f t="shared" si="23"/>
        <v>0</v>
      </c>
      <c r="J49" s="31">
        <f t="shared" si="23"/>
        <v>0</v>
      </c>
      <c r="K49" s="32">
        <f t="shared" si="23"/>
        <v>0</v>
      </c>
      <c r="L49" s="65">
        <f t="shared" si="23"/>
        <v>0</v>
      </c>
      <c r="M49" s="51">
        <f>+M50</f>
        <v>1807416168.9966002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19">
        <v>1807416168.9966002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1807416168.9966002</v>
      </c>
      <c r="N50" s="3"/>
    </row>
    <row r="51" spans="2:14" ht="15" customHeight="1" x14ac:dyDescent="0.25">
      <c r="B51" s="33" t="s">
        <v>51</v>
      </c>
      <c r="C51" s="15" t="s">
        <v>18</v>
      </c>
      <c r="D51" s="19">
        <f>+D52</f>
        <v>0</v>
      </c>
      <c r="E51" s="32">
        <f>+E52</f>
        <v>722184096.1868</v>
      </c>
      <c r="F51" s="96">
        <f>+F52</f>
        <v>0</v>
      </c>
      <c r="G51" s="31">
        <f t="shared" ref="G51:L51" si="24">+G52</f>
        <v>2081484474.9238</v>
      </c>
      <c r="H51" s="31">
        <f t="shared" si="24"/>
        <v>109755325.98549999</v>
      </c>
      <c r="I51" s="32">
        <f t="shared" si="24"/>
        <v>0</v>
      </c>
      <c r="J51" s="31">
        <f t="shared" si="24"/>
        <v>0</v>
      </c>
      <c r="K51" s="32">
        <f t="shared" si="24"/>
        <v>0</v>
      </c>
      <c r="L51" s="65">
        <f t="shared" si="24"/>
        <v>0</v>
      </c>
      <c r="M51" s="51">
        <f>+M52</f>
        <v>2913423897.0960999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722184096.1868</v>
      </c>
      <c r="F52" s="96">
        <v>0</v>
      </c>
      <c r="G52" s="93">
        <v>2081484474.9238</v>
      </c>
      <c r="H52" s="93">
        <v>109755325.98549999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2913423897.0960999</v>
      </c>
      <c r="N52" s="3"/>
    </row>
    <row r="53" spans="2:14" ht="17.25" customHeight="1" x14ac:dyDescent="0.25">
      <c r="B53" s="33" t="s">
        <v>75</v>
      </c>
      <c r="C53" s="15"/>
      <c r="D53" s="31">
        <f>D54</f>
        <v>58334865.363300003</v>
      </c>
      <c r="E53" s="32">
        <v>0</v>
      </c>
      <c r="F53" s="95">
        <f>+F54</f>
        <v>46053841.076300003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104388706.43960001</v>
      </c>
      <c r="N53" s="3"/>
    </row>
    <row r="54" spans="2:14" ht="12.95" customHeight="1" x14ac:dyDescent="0.25">
      <c r="B54" s="10" t="s">
        <v>48</v>
      </c>
      <c r="C54" s="15" t="s">
        <v>45</v>
      </c>
      <c r="D54" s="93">
        <v>58334865.363300003</v>
      </c>
      <c r="E54" s="45">
        <v>0</v>
      </c>
      <c r="F54" s="96">
        <v>46053841.076300003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09">
        <f t="shared" ref="M54" si="25">SUM(D54:L54)</f>
        <v>104388706.43960001</v>
      </c>
      <c r="N54" s="108"/>
    </row>
    <row r="55" spans="2:14" ht="17.25" customHeight="1" x14ac:dyDescent="0.25">
      <c r="B55" s="33" t="s">
        <v>76</v>
      </c>
      <c r="C55" s="15"/>
      <c r="D55" s="19">
        <v>0</v>
      </c>
      <c r="E55" s="32">
        <v>0</v>
      </c>
      <c r="F55" s="95">
        <f>+F56</f>
        <v>63033783.8354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63033783.8354</v>
      </c>
      <c r="N55" s="3"/>
    </row>
    <row r="56" spans="2:14" ht="12.95" customHeight="1" x14ac:dyDescent="0.25">
      <c r="B56" s="10" t="s">
        <v>48</v>
      </c>
      <c r="C56" s="15" t="s">
        <v>45</v>
      </c>
      <c r="D56" s="19">
        <v>0</v>
      </c>
      <c r="E56" s="45">
        <v>0</v>
      </c>
      <c r="F56" s="96">
        <v>63033783.8354</v>
      </c>
      <c r="G56" s="87">
        <v>0</v>
      </c>
      <c r="H56" s="44">
        <v>0</v>
      </c>
      <c r="I56" s="19">
        <v>0</v>
      </c>
      <c r="J56" s="44">
        <v>0</v>
      </c>
      <c r="K56" s="44">
        <v>0</v>
      </c>
      <c r="L56" s="44">
        <v>0</v>
      </c>
      <c r="M56" s="109">
        <f t="shared" ref="M56" si="26">SUM(D56:L56)</f>
        <v>63033783.8354</v>
      </c>
      <c r="N56" s="108"/>
    </row>
    <row r="57" spans="2:14" ht="17.25" customHeight="1" x14ac:dyDescent="0.25">
      <c r="B57" s="33" t="s">
        <v>88</v>
      </c>
      <c r="C57" s="15"/>
      <c r="D57" s="19">
        <v>0</v>
      </c>
      <c r="E57" s="32">
        <v>0</v>
      </c>
      <c r="F57" s="95">
        <f>+F58</f>
        <v>19902016.4384</v>
      </c>
      <c r="G57" s="22">
        <v>0</v>
      </c>
      <c r="H57" s="19">
        <v>0</v>
      </c>
      <c r="I57" s="44">
        <v>0</v>
      </c>
      <c r="J57" s="19">
        <v>0</v>
      </c>
      <c r="K57" s="71">
        <v>0</v>
      </c>
      <c r="L57" s="69">
        <v>0</v>
      </c>
      <c r="M57" s="58">
        <f>SUM(D57:L57)</f>
        <v>19902016.4384</v>
      </c>
      <c r="N57" s="3"/>
    </row>
    <row r="58" spans="2:14" ht="12.95" customHeight="1" x14ac:dyDescent="0.25">
      <c r="B58" s="10" t="s">
        <v>48</v>
      </c>
      <c r="C58" s="15" t="s">
        <v>45</v>
      </c>
      <c r="D58" s="19">
        <v>0</v>
      </c>
      <c r="E58" s="45">
        <v>0</v>
      </c>
      <c r="F58" s="96">
        <v>19902016.4384</v>
      </c>
      <c r="G58" s="87">
        <v>0</v>
      </c>
      <c r="H58" s="44">
        <v>0</v>
      </c>
      <c r="I58" s="19">
        <v>0</v>
      </c>
      <c r="J58" s="44">
        <v>0</v>
      </c>
      <c r="K58" s="44">
        <v>0</v>
      </c>
      <c r="L58" s="44">
        <v>0</v>
      </c>
      <c r="M58" s="109">
        <f t="shared" ref="M58" si="27">SUM(D58:L58)</f>
        <v>19902016.4384</v>
      </c>
      <c r="N58" s="108"/>
    </row>
    <row r="59" spans="2:14" x14ac:dyDescent="0.25">
      <c r="B59" s="144" t="s">
        <v>53</v>
      </c>
      <c r="C59" s="145"/>
      <c r="D59" s="122">
        <f t="shared" ref="D59:L59" si="28">+D7+D10+D31+D38</f>
        <v>913455320.74369991</v>
      </c>
      <c r="E59" s="122">
        <f t="shared" si="28"/>
        <v>39569561507.431702</v>
      </c>
      <c r="F59" s="23">
        <f t="shared" si="28"/>
        <v>670823960.55739999</v>
      </c>
      <c r="G59" s="23">
        <f t="shared" si="28"/>
        <v>68275806790.52475</v>
      </c>
      <c r="H59" s="23">
        <f t="shared" si="28"/>
        <v>33229800815.822765</v>
      </c>
      <c r="I59" s="25">
        <f t="shared" si="28"/>
        <v>46698488068.830421</v>
      </c>
      <c r="J59" s="23">
        <f t="shared" si="28"/>
        <v>2401457818.0566998</v>
      </c>
      <c r="K59" s="23">
        <f t="shared" si="28"/>
        <v>1975720220.2801003</v>
      </c>
      <c r="L59" s="23">
        <f t="shared" si="28"/>
        <v>10749387534.881403</v>
      </c>
      <c r="M59" s="17">
        <f>+M38+M31+M10+M7</f>
        <v>204484502037.12897</v>
      </c>
      <c r="N59" s="156">
        <f>+M59/M60</f>
        <v>0.24393675415938923</v>
      </c>
    </row>
    <row r="60" spans="2:14" ht="15" customHeight="1" x14ac:dyDescent="0.25">
      <c r="B60" s="144" t="s">
        <v>54</v>
      </c>
      <c r="C60" s="145"/>
      <c r="D60" s="121">
        <v>8038756357.4533005</v>
      </c>
      <c r="E60" s="121">
        <v>177615050678.85101</v>
      </c>
      <c r="F60" s="23">
        <v>4294564377.3792</v>
      </c>
      <c r="G60" s="84">
        <v>257283579691.10199</v>
      </c>
      <c r="H60" s="23">
        <v>127485115398.795</v>
      </c>
      <c r="I60" s="121">
        <v>158517473420.12201</v>
      </c>
      <c r="J60" s="92">
        <v>25212266384.500301</v>
      </c>
      <c r="K60" s="23">
        <v>18922543495.124699</v>
      </c>
      <c r="L60" s="23">
        <v>53505873745.297302</v>
      </c>
      <c r="M60" s="23">
        <v>838268520632.68005</v>
      </c>
      <c r="N60" s="157"/>
    </row>
    <row r="61" spans="2:14" ht="15.75" customHeight="1" x14ac:dyDescent="0.25">
      <c r="B61" s="144" t="s">
        <v>55</v>
      </c>
      <c r="C61" s="145"/>
      <c r="D61" s="131">
        <f>+D59/D60</f>
        <v>0.11363142258898926</v>
      </c>
      <c r="E61" s="131">
        <f>+E59/E60</f>
        <v>0.22278270538558212</v>
      </c>
      <c r="F61" s="131">
        <f>+F59/F60</f>
        <v>0.15620302820254306</v>
      </c>
      <c r="G61" s="131">
        <f t="shared" ref="G61:L61" si="29">+G59/G60</f>
        <v>0.2653718005342493</v>
      </c>
      <c r="H61" s="131">
        <f t="shared" si="29"/>
        <v>0.26065631828370184</v>
      </c>
      <c r="I61" s="131">
        <f t="shared" si="29"/>
        <v>0.29459520809459594</v>
      </c>
      <c r="J61" s="131">
        <f>+J59/J60</f>
        <v>9.5249581351918425E-2</v>
      </c>
      <c r="K61" s="131">
        <f t="shared" si="29"/>
        <v>0.10441092238943116</v>
      </c>
      <c r="L61" s="131">
        <f t="shared" si="29"/>
        <v>0.2009010746381126</v>
      </c>
      <c r="M61" s="146" t="s">
        <v>56</v>
      </c>
      <c r="N61" s="147"/>
    </row>
    <row r="62" spans="2:14" s="120" customFormat="1" x14ac:dyDescent="0.25">
      <c r="B62" s="148" t="s">
        <v>92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r="63" spans="2:14" s="120" customFormat="1" ht="15" customHeight="1" x14ac:dyDescent="0.25">
      <c r="B63" s="149" t="s">
        <v>93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2:14" ht="15.75" x14ac:dyDescent="0.25">
      <c r="B64" s="34" t="s">
        <v>59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  <row r="65" spans="2:14" x14ac:dyDescent="0.25">
      <c r="B65" s="35"/>
      <c r="C65" s="35"/>
      <c r="D65" s="35"/>
      <c r="E65" s="47"/>
      <c r="F65" s="47"/>
      <c r="G65" s="35"/>
      <c r="H65" s="35"/>
      <c r="I65" s="35"/>
      <c r="J65" s="57"/>
      <c r="K65" s="35"/>
      <c r="L65" s="35"/>
      <c r="M65" s="36"/>
      <c r="N65" s="35"/>
    </row>
    <row r="66" spans="2:14" x14ac:dyDescent="0.25">
      <c r="D66" s="8"/>
      <c r="E66" s="8"/>
      <c r="F66" s="7"/>
      <c r="G66" s="41"/>
      <c r="H66" s="41"/>
      <c r="M66" s="55"/>
    </row>
    <row r="67" spans="2:14" x14ac:dyDescent="0.25">
      <c r="M67" s="56"/>
    </row>
  </sheetData>
  <mergeCells count="22"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  <mergeCell ref="B61:C61"/>
    <mergeCell ref="M61:N61"/>
    <mergeCell ref="B62:N62"/>
    <mergeCell ref="B63:N63"/>
    <mergeCell ref="I5:I6"/>
    <mergeCell ref="J5:J6"/>
    <mergeCell ref="K5:K6"/>
    <mergeCell ref="L5:L6"/>
    <mergeCell ref="M5:N5"/>
    <mergeCell ref="B59:C59"/>
    <mergeCell ref="N59:N60"/>
    <mergeCell ref="B60:C60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67"/>
  <sheetViews>
    <sheetView showGridLines="0" topLeftCell="B1" zoomScaleNormal="100" workbookViewId="0">
      <pane xSplit="2" ySplit="6" topLeftCell="F34" activePane="bottomRight" state="frozen"/>
      <selection pane="topRight" activeCell="D1" sqref="D1"/>
      <selection pane="bottomLeft" activeCell="B7" sqref="B7"/>
      <selection pane="bottomRight" activeCell="E12" sqref="E12"/>
    </sheetView>
  </sheetViews>
  <sheetFormatPr baseColWidth="10" defaultColWidth="11.42578125" defaultRowHeight="15" x14ac:dyDescent="0.25"/>
  <cols>
    <col min="1" max="1" width="11.42578125" style="6"/>
    <col min="2" max="2" width="78.28515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94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36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801937039.60259986</v>
      </c>
      <c r="E7" s="25">
        <f t="shared" si="0"/>
        <v>25484849887.8134</v>
      </c>
      <c r="F7" s="23">
        <f t="shared" si="0"/>
        <v>532103986.17159998</v>
      </c>
      <c r="G7" s="24">
        <f t="shared" si="0"/>
        <v>52155759735.647789</v>
      </c>
      <c r="H7" s="23">
        <f t="shared" si="0"/>
        <v>26960190568.007721</v>
      </c>
      <c r="I7" s="73">
        <f t="shared" si="0"/>
        <v>39014657119.531273</v>
      </c>
      <c r="J7" s="67">
        <f t="shared" si="0"/>
        <v>2037720069.1717</v>
      </c>
      <c r="K7" s="73">
        <f t="shared" si="0"/>
        <v>1427433963.6243</v>
      </c>
      <c r="L7" s="67">
        <f t="shared" si="0"/>
        <v>9170166553.094698</v>
      </c>
      <c r="M7" s="74">
        <f t="shared" si="0"/>
        <v>157584818922.66507</v>
      </c>
      <c r="N7" s="135">
        <f>+M7/$M$59</f>
        <v>0.76571721154079897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801937039.60259986</v>
      </c>
      <c r="E8" s="125">
        <f t="shared" si="1"/>
        <v>25484849887.8134</v>
      </c>
      <c r="F8" s="28">
        <f t="shared" si="1"/>
        <v>532103986.17159998</v>
      </c>
      <c r="G8" s="29">
        <f t="shared" si="1"/>
        <v>52155759735.647789</v>
      </c>
      <c r="H8" s="28">
        <f t="shared" si="1"/>
        <v>26960190568.007721</v>
      </c>
      <c r="I8" s="75">
        <f t="shared" si="1"/>
        <v>39014657119.531273</v>
      </c>
      <c r="J8" s="28">
        <f t="shared" si="1"/>
        <v>2037720069.1717</v>
      </c>
      <c r="K8" s="75">
        <f t="shared" si="1"/>
        <v>1427433963.6243</v>
      </c>
      <c r="L8" s="28">
        <f t="shared" si="1"/>
        <v>9170166553.094698</v>
      </c>
      <c r="M8" s="40">
        <f>+M9</f>
        <v>157584818922.66507</v>
      </c>
      <c r="N8" s="135"/>
      <c r="Q8" s="7"/>
      <c r="R8" s="7"/>
    </row>
    <row r="9" spans="2:18" x14ac:dyDescent="0.25">
      <c r="B9" s="77" t="s">
        <v>20</v>
      </c>
      <c r="C9" s="76" t="s">
        <v>21</v>
      </c>
      <c r="D9" s="85">
        <v>801937039.60259986</v>
      </c>
      <c r="E9" s="126">
        <v>25484849887.8134</v>
      </c>
      <c r="F9" s="39">
        <v>532103986.17159998</v>
      </c>
      <c r="G9" s="78">
        <v>52155759735.647789</v>
      </c>
      <c r="H9" s="38">
        <v>26960190568.007721</v>
      </c>
      <c r="I9" s="93">
        <v>39014657119.531273</v>
      </c>
      <c r="J9" s="93">
        <v>2037720069.1717</v>
      </c>
      <c r="K9" s="93">
        <v>1427433963.6243</v>
      </c>
      <c r="L9" s="86">
        <v>9170166553.094698</v>
      </c>
      <c r="M9" s="44">
        <f>SUM(D9:L9)</f>
        <v>157584818922.66507</v>
      </c>
      <c r="N9" s="3"/>
      <c r="Q9" s="7"/>
      <c r="R9" s="7"/>
    </row>
    <row r="10" spans="2:18" ht="16.5" customHeight="1" x14ac:dyDescent="0.25">
      <c r="B10" s="2" t="s">
        <v>22</v>
      </c>
      <c r="C10" s="16" t="s">
        <v>18</v>
      </c>
      <c r="D10" s="100">
        <f t="shared" ref="D10:M10" si="2">+D11+D13+D15+D17+D19+D21+D23+D25+D27+D29</f>
        <v>0</v>
      </c>
      <c r="E10" s="100">
        <f t="shared" si="2"/>
        <v>4296515020.4476995</v>
      </c>
      <c r="F10" s="100">
        <f t="shared" si="2"/>
        <v>46051892.310799994</v>
      </c>
      <c r="G10" s="100">
        <f t="shared" si="2"/>
        <v>3421802241.3140998</v>
      </c>
      <c r="H10" s="100">
        <f t="shared" si="2"/>
        <v>568660372.47530007</v>
      </c>
      <c r="I10" s="100">
        <f t="shared" si="2"/>
        <v>1395844274.4482002</v>
      </c>
      <c r="J10" s="100">
        <f t="shared" si="2"/>
        <v>65654933.869900003</v>
      </c>
      <c r="K10" s="100">
        <f t="shared" si="2"/>
        <v>71095070.456900001</v>
      </c>
      <c r="L10" s="100">
        <f t="shared" si="2"/>
        <v>299324494.7001</v>
      </c>
      <c r="M10" s="100">
        <f t="shared" si="2"/>
        <v>10164948300.022999</v>
      </c>
      <c r="N10" s="4">
        <f>+M10/$M$59</f>
        <v>4.9392295025384045E-2</v>
      </c>
      <c r="O10" s="41"/>
      <c r="P10" s="13"/>
      <c r="Q10" s="7"/>
      <c r="R10" s="7"/>
    </row>
    <row r="11" spans="2:18" ht="15" customHeight="1" x14ac:dyDescent="0.25">
      <c r="B11" s="79" t="s">
        <v>61</v>
      </c>
      <c r="C11" s="15" t="s">
        <v>18</v>
      </c>
      <c r="D11" s="45">
        <f t="shared" ref="D11:L11" si="3">D12</f>
        <v>0</v>
      </c>
      <c r="E11" s="45">
        <f t="shared" si="3"/>
        <v>0</v>
      </c>
      <c r="F11" s="31">
        <f t="shared" si="3"/>
        <v>0</v>
      </c>
      <c r="G11" s="31">
        <f t="shared" si="3"/>
        <v>0</v>
      </c>
      <c r="H11" s="19">
        <f t="shared" si="3"/>
        <v>0</v>
      </c>
      <c r="I11" s="45">
        <f t="shared" si="3"/>
        <v>0</v>
      </c>
      <c r="J11" s="19">
        <f t="shared" si="3"/>
        <v>0</v>
      </c>
      <c r="K11" s="19">
        <f t="shared" si="3"/>
        <v>0</v>
      </c>
      <c r="L11" s="44">
        <f t="shared" si="3"/>
        <v>0</v>
      </c>
      <c r="M11" s="51">
        <f>+M12</f>
        <v>0</v>
      </c>
      <c r="N11" s="3"/>
      <c r="P11" s="13"/>
    </row>
    <row r="12" spans="2:18" x14ac:dyDescent="0.25">
      <c r="B12" s="10" t="s">
        <v>24</v>
      </c>
      <c r="C12" s="15" t="s">
        <v>25</v>
      </c>
      <c r="D12" s="19">
        <v>0</v>
      </c>
      <c r="E12" s="19">
        <v>0</v>
      </c>
      <c r="F12" s="31">
        <v>0</v>
      </c>
      <c r="G12" s="20">
        <v>0</v>
      </c>
      <c r="H12" s="19">
        <v>0</v>
      </c>
      <c r="I12" s="19">
        <v>0</v>
      </c>
      <c r="J12" s="19">
        <v>0</v>
      </c>
      <c r="K12" s="19">
        <v>0</v>
      </c>
      <c r="L12" s="44">
        <v>0</v>
      </c>
      <c r="M12" s="44">
        <f>SUM(D12:L12)</f>
        <v>0</v>
      </c>
      <c r="N12" s="5"/>
      <c r="Q12" s="7"/>
      <c r="R12" s="7"/>
    </row>
    <row r="13" spans="2:18" s="42" customFormat="1" hidden="1" x14ac:dyDescent="0.25">
      <c r="B13" s="30" t="s">
        <v>23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 t="shared" ref="G13:L13" si="4">+G14</f>
        <v>0</v>
      </c>
      <c r="H13" s="31">
        <f t="shared" si="4"/>
        <v>0</v>
      </c>
      <c r="I13" s="29">
        <f t="shared" si="4"/>
        <v>0</v>
      </c>
      <c r="J13" s="28">
        <f t="shared" si="4"/>
        <v>0</v>
      </c>
      <c r="K13" s="28">
        <f t="shared" si="4"/>
        <v>0</v>
      </c>
      <c r="L13" s="45">
        <f t="shared" si="4"/>
        <v>0</v>
      </c>
      <c r="M13" s="51">
        <f>+M14</f>
        <v>0</v>
      </c>
      <c r="N13" s="5"/>
      <c r="Q13" s="43"/>
      <c r="R13" s="43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123">
        <f>+E16</f>
        <v>4296515020.4476995</v>
      </c>
      <c r="F15" s="31">
        <f>+F16</f>
        <v>0</v>
      </c>
      <c r="G15" s="45">
        <f t="shared" ref="G15:I15" si="5">+G16</f>
        <v>3157797819.9238</v>
      </c>
      <c r="H15" s="31">
        <f t="shared" si="5"/>
        <v>568660372.47530007</v>
      </c>
      <c r="I15" s="32">
        <f t="shared" si="5"/>
        <v>1395844274.4482002</v>
      </c>
      <c r="J15" s="31">
        <f>J16</f>
        <v>0</v>
      </c>
      <c r="K15" s="31">
        <f>+K16</f>
        <v>71095070.456900001</v>
      </c>
      <c r="L15" s="45">
        <f>L16</f>
        <v>299324494.7001</v>
      </c>
      <c r="M15" s="51">
        <f>+M16</f>
        <v>9789237052.4519997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124">
        <v>4296515020.4476995</v>
      </c>
      <c r="F16" s="44">
        <v>0</v>
      </c>
      <c r="G16" s="93">
        <v>3157797819.9238</v>
      </c>
      <c r="H16" s="93">
        <v>568660372.47530007</v>
      </c>
      <c r="I16" s="78">
        <v>1395844274.4482002</v>
      </c>
      <c r="J16" s="19">
        <v>0</v>
      </c>
      <c r="K16" s="93">
        <v>71095070.456900001</v>
      </c>
      <c r="L16" s="86">
        <v>299324494.7001</v>
      </c>
      <c r="M16" s="44">
        <f>SUM(D16:L16)</f>
        <v>9789237052.4519997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264004421.39030001</v>
      </c>
      <c r="H19" s="31">
        <f t="shared" si="7"/>
        <v>0</v>
      </c>
      <c r="I19" s="32">
        <f t="shared" si="7"/>
        <v>0</v>
      </c>
      <c r="J19" s="31">
        <f t="shared" si="7"/>
        <v>0</v>
      </c>
      <c r="K19" s="31">
        <f t="shared" si="7"/>
        <v>0</v>
      </c>
      <c r="L19" s="45">
        <f t="shared" si="7"/>
        <v>0</v>
      </c>
      <c r="M19" s="51">
        <f>+M20</f>
        <v>264004421.39030001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>
        <v>264004421.39030001</v>
      </c>
      <c r="H20" s="19">
        <v>0</v>
      </c>
      <c r="I20" s="60">
        <v>0</v>
      </c>
      <c r="J20" s="19">
        <v>0</v>
      </c>
      <c r="K20" s="19">
        <v>0</v>
      </c>
      <c r="L20" s="44">
        <v>0</v>
      </c>
      <c r="M20" s="44">
        <f>SUM(D20:L20)</f>
        <v>264004421.39030001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45088191.370399997</v>
      </c>
      <c r="G21" s="45">
        <v>0</v>
      </c>
      <c r="H21" s="31">
        <v>0</v>
      </c>
      <c r="I21" s="32">
        <v>0</v>
      </c>
      <c r="J21" s="31">
        <f>+J22</f>
        <v>65654933.869900003</v>
      </c>
      <c r="K21" s="31">
        <f t="shared" ref="K21:L21" si="8">+K22</f>
        <v>0</v>
      </c>
      <c r="L21" s="45">
        <f t="shared" si="8"/>
        <v>0</v>
      </c>
      <c r="M21" s="51">
        <f>M22</f>
        <v>110743125.2403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>
        <v>45088191.370399997</v>
      </c>
      <c r="G22" s="44">
        <v>0</v>
      </c>
      <c r="H22" s="19">
        <v>0</v>
      </c>
      <c r="I22" s="60">
        <v>0</v>
      </c>
      <c r="J22" s="19">
        <v>65654933.869900003</v>
      </c>
      <c r="K22" s="19">
        <v>0</v>
      </c>
      <c r="L22" s="44">
        <v>0</v>
      </c>
      <c r="M22" s="50">
        <f>SUM(D22:L22)</f>
        <v>110743125.2403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0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0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0">SUM(D24:L24)</f>
        <v>0</v>
      </c>
      <c r="N24" s="5"/>
    </row>
    <row r="25" spans="2:18" ht="19.5" customHeight="1" x14ac:dyDescent="0.25">
      <c r="B25" s="79" t="s">
        <v>87</v>
      </c>
      <c r="C25" s="15" t="s">
        <v>18</v>
      </c>
      <c r="D25" s="45">
        <f t="shared" ref="D25:L25" si="11">D26</f>
        <v>0</v>
      </c>
      <c r="E25" s="45">
        <f t="shared" si="11"/>
        <v>0</v>
      </c>
      <c r="F25" s="31">
        <f t="shared" si="11"/>
        <v>963700.94039999996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963700.94039999996</v>
      </c>
      <c r="N25" s="3"/>
      <c r="P25" s="13"/>
    </row>
    <row r="26" spans="2:18" ht="15" customHeight="1" x14ac:dyDescent="0.25">
      <c r="B26" s="10" t="s">
        <v>24</v>
      </c>
      <c r="C26" s="15" t="s">
        <v>27</v>
      </c>
      <c r="D26" s="44">
        <v>0</v>
      </c>
      <c r="E26" s="44">
        <v>0</v>
      </c>
      <c r="F26" s="44">
        <v>963700.94039999996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963700.94039999996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0</v>
      </c>
      <c r="H27" s="31">
        <v>0</v>
      </c>
      <c r="I27" s="31">
        <f>I26</f>
        <v>0</v>
      </c>
      <c r="J27" s="31">
        <f>J26</f>
        <v>0</v>
      </c>
      <c r="K27" s="31">
        <f>K26</f>
        <v>0</v>
      </c>
      <c r="L27" s="31">
        <f>L26</f>
        <v>0</v>
      </c>
      <c r="M27" s="51">
        <f>+M28</f>
        <v>0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50">
        <f t="shared" ref="M28" si="12">SUM(D28:L28)</f>
        <v>0</v>
      </c>
      <c r="N28" s="5"/>
    </row>
    <row r="29" spans="2:18" ht="15" hidden="1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3">I30</f>
        <v>0</v>
      </c>
      <c r="J29" s="19">
        <f t="shared" si="13"/>
        <v>0</v>
      </c>
      <c r="K29" s="19">
        <f t="shared" si="13"/>
        <v>0</v>
      </c>
      <c r="L29" s="19">
        <f t="shared" si="13"/>
        <v>0</v>
      </c>
      <c r="M29" s="51">
        <f>+M30</f>
        <v>0</v>
      </c>
      <c r="N29" s="3"/>
    </row>
    <row r="30" spans="2:18" ht="15" hidden="1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f>SUM(D30:L30)</f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4">+D32+D34+D36</f>
        <v>0</v>
      </c>
      <c r="E31" s="25">
        <f t="shared" si="14"/>
        <v>3139839475.3976989</v>
      </c>
      <c r="F31" s="23">
        <f t="shared" si="14"/>
        <v>0</v>
      </c>
      <c r="G31" s="25">
        <f t="shared" si="14"/>
        <v>4293152499.4281998</v>
      </c>
      <c r="H31" s="67">
        <f t="shared" si="14"/>
        <v>2968882773.6368995</v>
      </c>
      <c r="I31" s="25">
        <f t="shared" si="14"/>
        <v>3410065170.9308004</v>
      </c>
      <c r="J31" s="99">
        <f t="shared" si="14"/>
        <v>309058133.43199998</v>
      </c>
      <c r="K31" s="25">
        <f t="shared" si="14"/>
        <v>486624576.31860006</v>
      </c>
      <c r="L31" s="67">
        <f t="shared" si="14"/>
        <v>1033756298.5233998</v>
      </c>
      <c r="M31" s="17">
        <f>+M32+M36+M34</f>
        <v>15641378927.667599</v>
      </c>
      <c r="N31" s="4">
        <f>+M31/$M$59</f>
        <v>7.6002708503439723E-2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508680068.24999988</v>
      </c>
      <c r="F32" s="31">
        <f>+F33</f>
        <v>0</v>
      </c>
      <c r="G32" s="28">
        <f t="shared" ref="G32:L32" si="15">+G33</f>
        <v>1117361865.7114999</v>
      </c>
      <c r="H32" s="94">
        <f t="shared" si="15"/>
        <v>511753374.7166</v>
      </c>
      <c r="I32" s="29">
        <f>+I33</f>
        <v>1358431051.5787001</v>
      </c>
      <c r="J32" s="63">
        <f>+J33</f>
        <v>13327091.3168</v>
      </c>
      <c r="K32" s="101">
        <f t="shared" si="15"/>
        <v>94868664.460000008</v>
      </c>
      <c r="L32" s="94">
        <f t="shared" si="15"/>
        <v>184087036.75929999</v>
      </c>
      <c r="M32" s="51">
        <f>+M33</f>
        <v>3788509152.7929001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508680068.24999988</v>
      </c>
      <c r="F33" s="31">
        <v>0</v>
      </c>
      <c r="G33" s="86">
        <v>1117361865.7114999</v>
      </c>
      <c r="H33" s="86">
        <v>511753374.7166</v>
      </c>
      <c r="I33" s="86">
        <v>1358431051.5787001</v>
      </c>
      <c r="J33" s="86">
        <v>13327091.3168</v>
      </c>
      <c r="K33" s="102">
        <v>94868664.460000008</v>
      </c>
      <c r="L33" s="86">
        <v>184087036.75929999</v>
      </c>
      <c r="M33" s="50">
        <f>SUM(D33:L33)</f>
        <v>3788509152.7929001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2550103888.3048987</v>
      </c>
      <c r="F34" s="31">
        <f>+F35</f>
        <v>0</v>
      </c>
      <c r="G34" s="31">
        <f t="shared" ref="G34:L34" si="16">+G35</f>
        <v>2158718552.3741002</v>
      </c>
      <c r="H34" s="45">
        <f t="shared" si="16"/>
        <v>1349242608.5090997</v>
      </c>
      <c r="I34" s="32">
        <f>+I35</f>
        <v>1790705493.8499002</v>
      </c>
      <c r="J34" s="65">
        <f>+J35</f>
        <v>113368572.9069</v>
      </c>
      <c r="K34" s="95">
        <f t="shared" si="16"/>
        <v>15891042.3464</v>
      </c>
      <c r="L34" s="45">
        <f t="shared" si="16"/>
        <v>471825245.08999991</v>
      </c>
      <c r="M34" s="51">
        <f>+M35</f>
        <v>8449855403.3813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2550103888.3048987</v>
      </c>
      <c r="F35" s="31">
        <v>0</v>
      </c>
      <c r="G35" s="86">
        <v>2158718552.3741002</v>
      </c>
      <c r="H35" s="86">
        <v>1349242608.5090997</v>
      </c>
      <c r="I35" s="21">
        <v>1790705493.8499002</v>
      </c>
      <c r="J35" s="102">
        <v>113368572.9069</v>
      </c>
      <c r="K35" s="102">
        <v>15891042.3464</v>
      </c>
      <c r="L35" s="86">
        <v>471825245.08999991</v>
      </c>
      <c r="M35" s="50">
        <f>SUM(D35:L35)</f>
        <v>8449855403.3813</v>
      </c>
      <c r="N35" s="5"/>
    </row>
    <row r="36" spans="2:16" x14ac:dyDescent="0.25">
      <c r="B36" s="33" t="s">
        <v>40</v>
      </c>
      <c r="C36" s="27" t="s">
        <v>18</v>
      </c>
      <c r="D36" s="31">
        <f>+D37</f>
        <v>0</v>
      </c>
      <c r="E36" s="32">
        <f>E37</f>
        <v>81055518.842800006</v>
      </c>
      <c r="F36" s="31">
        <f>+F37</f>
        <v>0</v>
      </c>
      <c r="G36" s="31">
        <f t="shared" ref="G36:L36" si="17">+G37</f>
        <v>1017072081.3425999</v>
      </c>
      <c r="H36" s="45">
        <f t="shared" si="17"/>
        <v>1107886790.4111998</v>
      </c>
      <c r="I36" s="32">
        <f>+I37</f>
        <v>260928625.50219998</v>
      </c>
      <c r="J36" s="65">
        <f>+J37</f>
        <v>182362469.20829999</v>
      </c>
      <c r="K36" s="95">
        <f t="shared" si="17"/>
        <v>375864869.51220006</v>
      </c>
      <c r="L36" s="45">
        <f t="shared" si="17"/>
        <v>377844016.67409998</v>
      </c>
      <c r="M36" s="51">
        <f>+M37</f>
        <v>3403014371.4933996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81055518.842800006</v>
      </c>
      <c r="F37" s="31">
        <v>0</v>
      </c>
      <c r="G37" s="86">
        <v>1017072081.3425999</v>
      </c>
      <c r="H37" s="86">
        <v>1107886790.4111998</v>
      </c>
      <c r="I37" s="102">
        <v>260928625.50219998</v>
      </c>
      <c r="J37" s="102">
        <v>182362469.20829999</v>
      </c>
      <c r="K37" s="102">
        <v>375864869.51220006</v>
      </c>
      <c r="L37" s="86">
        <v>377844016.67409998</v>
      </c>
      <c r="M37" s="50">
        <f>SUM(D37:L37)</f>
        <v>3403014371.4933996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</f>
        <v>116923756.5721</v>
      </c>
      <c r="E38" s="23">
        <f>+E39+E41+E45+E49+E51+E47+E44+E53</f>
        <v>6458127702.6481009</v>
      </c>
      <c r="F38" s="25">
        <f>+F39+F41+F45+F49+F51+F47+F44+F53+F55+F57</f>
        <v>306659041.21849996</v>
      </c>
      <c r="G38" s="23">
        <f t="shared" ref="G38:L38" si="18">+G39+G41+G45+G49+G51+G47+G44+G53</f>
        <v>8721891306.0922012</v>
      </c>
      <c r="H38" s="23">
        <f t="shared" si="18"/>
        <v>3107286314.2233996</v>
      </c>
      <c r="I38" s="23">
        <f t="shared" si="18"/>
        <v>3200519869.4932003</v>
      </c>
      <c r="J38" s="23">
        <f t="shared" si="18"/>
        <v>0</v>
      </c>
      <c r="K38" s="23">
        <f t="shared" si="18"/>
        <v>0</v>
      </c>
      <c r="L38" s="23">
        <f t="shared" si="18"/>
        <v>497728976.4084</v>
      </c>
      <c r="M38" s="17">
        <f>+M39+M41+M43+P42+M45+M49+M51+M47+M53+M55+M57</f>
        <v>22409136966.655899</v>
      </c>
      <c r="N38" s="135">
        <f>+M38/$M$59</f>
        <v>0.10888778493037722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2771438487.5646</v>
      </c>
      <c r="F39" s="63">
        <f>+F40</f>
        <v>0</v>
      </c>
      <c r="G39" s="45">
        <f t="shared" ref="G39:L39" si="19">+G40</f>
        <v>3517946798.1273003</v>
      </c>
      <c r="H39" s="45">
        <f t="shared" si="19"/>
        <v>1282096166.4285998</v>
      </c>
      <c r="I39" s="32">
        <f t="shared" si="19"/>
        <v>1960512662.2986</v>
      </c>
      <c r="J39" s="31">
        <f t="shared" si="19"/>
        <v>0</v>
      </c>
      <c r="K39" s="32">
        <f t="shared" si="19"/>
        <v>0</v>
      </c>
      <c r="L39" s="95">
        <f t="shared" si="19"/>
        <v>321618513.9443</v>
      </c>
      <c r="M39" s="51">
        <f>+M40</f>
        <v>9853612628.3633995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2771438487.5646</v>
      </c>
      <c r="F40" s="65">
        <v>0</v>
      </c>
      <c r="G40" s="86">
        <v>3517946798.1273003</v>
      </c>
      <c r="H40" s="86">
        <v>1282096166.4285998</v>
      </c>
      <c r="I40" s="78">
        <v>1960512662.2986</v>
      </c>
      <c r="J40" s="19">
        <v>0</v>
      </c>
      <c r="K40" s="19">
        <v>0</v>
      </c>
      <c r="L40" s="86">
        <v>321618513.9443</v>
      </c>
      <c r="M40" s="50">
        <f>SUM(D40:L40)</f>
        <v>9853612628.3633995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1985252314.2077003</v>
      </c>
      <c r="F41" s="65">
        <f>+F42</f>
        <v>0</v>
      </c>
      <c r="G41" s="45">
        <f t="shared" ref="G41:L41" si="20">+G42</f>
        <v>1292481975.3956001</v>
      </c>
      <c r="H41" s="45">
        <f t="shared" si="20"/>
        <v>1292481975.3956001</v>
      </c>
      <c r="I41" s="32">
        <f t="shared" si="20"/>
        <v>1240007207.1946001</v>
      </c>
      <c r="J41" s="31">
        <f t="shared" si="20"/>
        <v>0</v>
      </c>
      <c r="K41" s="32">
        <f t="shared" si="20"/>
        <v>0</v>
      </c>
      <c r="L41" s="65">
        <f t="shared" si="20"/>
        <v>0</v>
      </c>
      <c r="M41" s="51">
        <f>+M42</f>
        <v>5810223472.1935005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1985252314.2077003</v>
      </c>
      <c r="F42" s="65">
        <v>0</v>
      </c>
      <c r="G42" s="102">
        <v>1292481975.3956001</v>
      </c>
      <c r="H42" s="86">
        <v>1292481975.3956001</v>
      </c>
      <c r="I42" s="78">
        <v>1240007207.1946001</v>
      </c>
      <c r="J42" s="19">
        <v>0</v>
      </c>
      <c r="K42" s="20">
        <v>0</v>
      </c>
      <c r="L42" s="69">
        <v>0</v>
      </c>
      <c r="M42" s="50">
        <f>SUM(D42:L42)</f>
        <v>5810223472.1935005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974726186.06480002</v>
      </c>
      <c r="F43" s="65">
        <f t="shared" ref="F43:M43" si="21">F44</f>
        <v>0</v>
      </c>
      <c r="G43" s="95">
        <f t="shared" si="21"/>
        <v>0</v>
      </c>
      <c r="H43" s="45">
        <f t="shared" si="21"/>
        <v>0</v>
      </c>
      <c r="I43" s="68">
        <f t="shared" si="21"/>
        <v>0</v>
      </c>
      <c r="J43" s="65">
        <f t="shared" si="21"/>
        <v>0</v>
      </c>
      <c r="K43" s="65">
        <f t="shared" si="21"/>
        <v>0</v>
      </c>
      <c r="L43" s="65">
        <f t="shared" si="21"/>
        <v>0</v>
      </c>
      <c r="M43" s="80">
        <f t="shared" si="21"/>
        <v>974726186.06480002</v>
      </c>
      <c r="N43" s="5"/>
      <c r="P43" s="81"/>
    </row>
    <row r="44" spans="2:16" x14ac:dyDescent="0.25">
      <c r="B44" s="10" t="s">
        <v>44</v>
      </c>
      <c r="C44" s="15" t="s">
        <v>45</v>
      </c>
      <c r="D44" s="19">
        <v>0</v>
      </c>
      <c r="E44" s="78">
        <v>974726186.06480002</v>
      </c>
      <c r="F44" s="69">
        <v>0</v>
      </c>
      <c r="G44" s="96">
        <v>0</v>
      </c>
      <c r="H44" s="44">
        <v>0</v>
      </c>
      <c r="I44" s="60">
        <v>0</v>
      </c>
      <c r="J44" s="69">
        <v>0</v>
      </c>
      <c r="K44" s="69">
        <v>0</v>
      </c>
      <c r="L44" s="69">
        <v>0</v>
      </c>
      <c r="M44" s="50">
        <f>SUM(D44:L44)</f>
        <v>974726186.06480002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2">+G46</f>
        <v>0</v>
      </c>
      <c r="H45" s="45">
        <f t="shared" si="22"/>
        <v>137476543.34799999</v>
      </c>
      <c r="I45" s="32">
        <f t="shared" si="22"/>
        <v>0</v>
      </c>
      <c r="J45" s="31">
        <f t="shared" si="22"/>
        <v>0</v>
      </c>
      <c r="K45" s="32">
        <f t="shared" si="22"/>
        <v>0</v>
      </c>
      <c r="L45" s="65">
        <f t="shared" si="22"/>
        <v>176110462.4641</v>
      </c>
      <c r="M45" s="51">
        <f>+M46</f>
        <v>313587005.81209999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137476543.34799999</v>
      </c>
      <c r="I46" s="20">
        <v>0</v>
      </c>
      <c r="J46" s="19">
        <v>0</v>
      </c>
      <c r="K46" s="19">
        <v>0</v>
      </c>
      <c r="L46" s="93">
        <v>176110462.4641</v>
      </c>
      <c r="M46" s="50">
        <f>SUM(D46:L46)</f>
        <v>313587005.81209999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58272608.159699999</v>
      </c>
      <c r="E47" s="32">
        <f>+E48</f>
        <v>0</v>
      </c>
      <c r="F47" s="95">
        <f>+F48</f>
        <v>147945080.12519997</v>
      </c>
      <c r="G47" s="45">
        <f t="shared" si="22"/>
        <v>0</v>
      </c>
      <c r="H47" s="45">
        <f t="shared" si="22"/>
        <v>284788361.43779999</v>
      </c>
      <c r="I47" s="32">
        <f t="shared" si="22"/>
        <v>0</v>
      </c>
      <c r="J47" s="31">
        <f t="shared" si="22"/>
        <v>0</v>
      </c>
      <c r="K47" s="32">
        <f t="shared" si="22"/>
        <v>0</v>
      </c>
      <c r="L47" s="65">
        <f t="shared" si="22"/>
        <v>0</v>
      </c>
      <c r="M47" s="51">
        <f>+M48</f>
        <v>491006049.7227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58272608.159699999</v>
      </c>
      <c r="E48" s="19">
        <v>0</v>
      </c>
      <c r="F48" s="86">
        <v>147945080.12519997</v>
      </c>
      <c r="G48" s="44">
        <v>0</v>
      </c>
      <c r="H48" s="86">
        <v>284788361.43779999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491006049.7227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3">+G50</f>
        <v>1816931403.1426001</v>
      </c>
      <c r="H49" s="45">
        <f t="shared" si="23"/>
        <v>0</v>
      </c>
      <c r="I49" s="32">
        <f t="shared" si="23"/>
        <v>0</v>
      </c>
      <c r="J49" s="31">
        <f t="shared" si="23"/>
        <v>0</v>
      </c>
      <c r="K49" s="32">
        <f t="shared" si="23"/>
        <v>0</v>
      </c>
      <c r="L49" s="65">
        <f t="shared" si="23"/>
        <v>0</v>
      </c>
      <c r="M49" s="51">
        <f>+M50</f>
        <v>1816931403.1426001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19">
        <v>1816931403.1426001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1816931403.1426001</v>
      </c>
      <c r="N50" s="3"/>
    </row>
    <row r="51" spans="2:14" ht="15" customHeight="1" x14ac:dyDescent="0.25">
      <c r="B51" s="33" t="s">
        <v>51</v>
      </c>
      <c r="C51" s="15" t="s">
        <v>18</v>
      </c>
      <c r="D51" s="19">
        <f>+D52</f>
        <v>0</v>
      </c>
      <c r="E51" s="32">
        <f>+E52</f>
        <v>726710714.81099999</v>
      </c>
      <c r="F51" s="96">
        <f>+F52</f>
        <v>0</v>
      </c>
      <c r="G51" s="31">
        <f t="shared" ref="G51:L51" si="24">+G52</f>
        <v>2094531129.4267001</v>
      </c>
      <c r="H51" s="31">
        <f t="shared" si="24"/>
        <v>110443267.6134</v>
      </c>
      <c r="I51" s="32">
        <f t="shared" si="24"/>
        <v>0</v>
      </c>
      <c r="J51" s="31">
        <f t="shared" si="24"/>
        <v>0</v>
      </c>
      <c r="K51" s="32">
        <f t="shared" si="24"/>
        <v>0</v>
      </c>
      <c r="L51" s="65">
        <f t="shared" si="24"/>
        <v>0</v>
      </c>
      <c r="M51" s="51">
        <f>+M52</f>
        <v>2931685111.8511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726710714.81099999</v>
      </c>
      <c r="F52" s="96">
        <v>0</v>
      </c>
      <c r="G52" s="93">
        <v>2094531129.4267001</v>
      </c>
      <c r="H52" s="93">
        <v>110443267.6134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2931685111.8511</v>
      </c>
      <c r="N52" s="108"/>
    </row>
    <row r="53" spans="2:14" ht="17.25" customHeight="1" x14ac:dyDescent="0.25">
      <c r="B53" s="33" t="s">
        <v>75</v>
      </c>
      <c r="C53" s="15"/>
      <c r="D53" s="31">
        <f>D54</f>
        <v>58651148.4124</v>
      </c>
      <c r="E53" s="32">
        <v>0</v>
      </c>
      <c r="F53" s="95">
        <f>+F54</f>
        <v>46303538.220400006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104954686.63280001</v>
      </c>
      <c r="N53" s="108"/>
    </row>
    <row r="54" spans="2:14" ht="16.5" customHeight="1" x14ac:dyDescent="0.25">
      <c r="B54" s="10" t="s">
        <v>48</v>
      </c>
      <c r="C54" s="15" t="s">
        <v>45</v>
      </c>
      <c r="D54" s="93">
        <v>58651148.4124</v>
      </c>
      <c r="E54" s="45">
        <v>0</v>
      </c>
      <c r="F54" s="96">
        <v>46303538.220400006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40">
        <f t="shared" ref="M54" si="25">SUM(D54:L54)</f>
        <v>104954686.63280001</v>
      </c>
      <c r="N54" s="108"/>
    </row>
    <row r="55" spans="2:14" ht="15" customHeight="1" x14ac:dyDescent="0.25">
      <c r="B55" s="33" t="s">
        <v>76</v>
      </c>
      <c r="C55" s="15"/>
      <c r="D55" s="19">
        <v>0</v>
      </c>
      <c r="E55" s="32">
        <v>0</v>
      </c>
      <c r="F55" s="95">
        <f>+F56</f>
        <v>63908404.969799995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63908404.969799995</v>
      </c>
      <c r="N55" s="108"/>
    </row>
    <row r="56" spans="2:14" ht="12.95" customHeight="1" x14ac:dyDescent="0.25">
      <c r="B56" s="10" t="s">
        <v>48</v>
      </c>
      <c r="C56" s="15" t="s">
        <v>45</v>
      </c>
      <c r="D56" s="19">
        <v>0</v>
      </c>
      <c r="E56" s="45">
        <v>0</v>
      </c>
      <c r="F56" s="96">
        <v>63908404.969799995</v>
      </c>
      <c r="G56" s="87">
        <v>0</v>
      </c>
      <c r="H56" s="44">
        <v>0</v>
      </c>
      <c r="I56" s="19">
        <v>0</v>
      </c>
      <c r="J56" s="44">
        <v>0</v>
      </c>
      <c r="K56" s="44">
        <v>0</v>
      </c>
      <c r="L56" s="44">
        <v>0</v>
      </c>
      <c r="M56" s="140">
        <f t="shared" ref="M56" si="26">SUM(D56:L56)</f>
        <v>63908404.969799995</v>
      </c>
      <c r="N56" s="108"/>
    </row>
    <row r="57" spans="2:14" ht="15" customHeight="1" x14ac:dyDescent="0.25">
      <c r="B57" s="33" t="s">
        <v>88</v>
      </c>
      <c r="C57" s="15"/>
      <c r="D57" s="19">
        <v>0</v>
      </c>
      <c r="E57" s="32">
        <v>0</v>
      </c>
      <c r="F57" s="95">
        <f>+F58</f>
        <v>48502017.903099999</v>
      </c>
      <c r="G57" s="22">
        <v>0</v>
      </c>
      <c r="H57" s="19">
        <v>0</v>
      </c>
      <c r="I57" s="44">
        <v>0</v>
      </c>
      <c r="J57" s="19">
        <v>0</v>
      </c>
      <c r="K57" s="71">
        <v>0</v>
      </c>
      <c r="L57" s="69">
        <v>0</v>
      </c>
      <c r="M57" s="58">
        <f>SUM(D57:L57)</f>
        <v>48502017.903099999</v>
      </c>
      <c r="N57" s="108"/>
    </row>
    <row r="58" spans="2:14" ht="15" customHeight="1" x14ac:dyDescent="0.25">
      <c r="B58" s="10" t="s">
        <v>48</v>
      </c>
      <c r="C58" s="15" t="s">
        <v>45</v>
      </c>
      <c r="D58" s="19">
        <v>0</v>
      </c>
      <c r="E58" s="45">
        <v>0</v>
      </c>
      <c r="F58" s="96">
        <v>48502017.903099999</v>
      </c>
      <c r="G58" s="87">
        <v>0</v>
      </c>
      <c r="H58" s="44">
        <v>0</v>
      </c>
      <c r="I58" s="19">
        <v>0</v>
      </c>
      <c r="J58" s="44">
        <v>0</v>
      </c>
      <c r="K58" s="44">
        <v>0</v>
      </c>
      <c r="L58" s="44">
        <v>0</v>
      </c>
      <c r="M58" s="141">
        <f t="shared" ref="M58" si="27">SUM(D58:L58)</f>
        <v>48502017.903099999</v>
      </c>
      <c r="N58" s="108"/>
    </row>
    <row r="59" spans="2:14" x14ac:dyDescent="0.25">
      <c r="B59" s="144" t="s">
        <v>53</v>
      </c>
      <c r="C59" s="145"/>
      <c r="D59" s="122">
        <f t="shared" ref="D59:L59" si="28">+D7+D10+D31+D38</f>
        <v>918860796.1746999</v>
      </c>
      <c r="E59" s="122">
        <f t="shared" si="28"/>
        <v>39379332086.3069</v>
      </c>
      <c r="F59" s="23">
        <f t="shared" si="28"/>
        <v>884814919.70089984</v>
      </c>
      <c r="G59" s="23">
        <f t="shared" si="28"/>
        <v>68592605782.482292</v>
      </c>
      <c r="H59" s="23">
        <f t="shared" si="28"/>
        <v>33605020028.343319</v>
      </c>
      <c r="I59" s="25">
        <f t="shared" si="28"/>
        <v>47021086434.403481</v>
      </c>
      <c r="J59" s="23">
        <f t="shared" si="28"/>
        <v>2412433136.4735999</v>
      </c>
      <c r="K59" s="23">
        <f t="shared" si="28"/>
        <v>1985153610.3998003</v>
      </c>
      <c r="L59" s="23">
        <f t="shared" si="28"/>
        <v>11000976322.726597</v>
      </c>
      <c r="M59" s="17">
        <f>+M38+M31+M10+M7</f>
        <v>205800283117.01157</v>
      </c>
      <c r="N59" s="156">
        <f>+M59/M60</f>
        <v>0.24550639568534027</v>
      </c>
    </row>
    <row r="60" spans="2:14" ht="15" customHeight="1" x14ac:dyDescent="0.25">
      <c r="B60" s="144" t="s">
        <v>54</v>
      </c>
      <c r="C60" s="145"/>
      <c r="D60" s="121">
        <v>8203953958</v>
      </c>
      <c r="E60" s="121">
        <v>179365748874.60001</v>
      </c>
      <c r="F60" s="23">
        <v>4396543465.5900002</v>
      </c>
      <c r="G60" s="84">
        <v>259847588684.62</v>
      </c>
      <c r="H60" s="23">
        <v>129134163603.08</v>
      </c>
      <c r="I60" s="121">
        <v>160229545992.69</v>
      </c>
      <c r="J60" s="92">
        <v>19013150495.689999</v>
      </c>
      <c r="K60" s="23">
        <v>25192520647.57</v>
      </c>
      <c r="L60" s="23">
        <v>54302978401.190002</v>
      </c>
      <c r="M60" s="23">
        <v>838268520632.68005</v>
      </c>
      <c r="N60" s="157"/>
    </row>
    <row r="61" spans="2:14" ht="15.75" customHeight="1" x14ac:dyDescent="0.25">
      <c r="B61" s="144" t="s">
        <v>55</v>
      </c>
      <c r="C61" s="145"/>
      <c r="D61" s="134">
        <f>+D59/D60</f>
        <v>0.11200218832026505</v>
      </c>
      <c r="E61" s="134">
        <f>+E59/E60</f>
        <v>0.21954766912515822</v>
      </c>
      <c r="F61" s="134">
        <f>+F59/F60</f>
        <v>0.20125239898706673</v>
      </c>
      <c r="G61" s="134">
        <f t="shared" ref="G61:L61" si="29">+G59/G60</f>
        <v>0.26397245450576001</v>
      </c>
      <c r="H61" s="134">
        <f t="shared" si="29"/>
        <v>0.26023338124243522</v>
      </c>
      <c r="I61" s="134">
        <f t="shared" si="29"/>
        <v>0.29346077306209606</v>
      </c>
      <c r="J61" s="134">
        <f>+J59/J60</f>
        <v>0.12688234582798169</v>
      </c>
      <c r="K61" s="134">
        <f t="shared" si="29"/>
        <v>7.8799324536478352E-2</v>
      </c>
      <c r="L61" s="134">
        <f t="shared" si="29"/>
        <v>0.20258513707022596</v>
      </c>
      <c r="M61" s="146" t="s">
        <v>56</v>
      </c>
      <c r="N61" s="147"/>
    </row>
    <row r="62" spans="2:14" s="120" customFormat="1" x14ac:dyDescent="0.25">
      <c r="B62" s="148" t="s">
        <v>95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r="63" spans="2:14" s="120" customFormat="1" ht="15" customHeight="1" x14ac:dyDescent="0.25">
      <c r="B63" s="149" t="s">
        <v>96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2:14" ht="15.75" x14ac:dyDescent="0.25">
      <c r="B64" s="34" t="s">
        <v>59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  <row r="65" spans="2:14" x14ac:dyDescent="0.25">
      <c r="B65" s="35"/>
      <c r="C65" s="35"/>
      <c r="D65" s="35"/>
      <c r="E65" s="47"/>
      <c r="F65" s="47"/>
      <c r="G65" s="35"/>
      <c r="H65" s="35"/>
      <c r="I65" s="35"/>
      <c r="J65" s="57"/>
      <c r="K65" s="35"/>
      <c r="L65" s="35"/>
      <c r="M65" s="36"/>
      <c r="N65" s="35"/>
    </row>
    <row r="66" spans="2:14" x14ac:dyDescent="0.25">
      <c r="D66" s="8"/>
      <c r="E66" s="8"/>
      <c r="F66" s="7"/>
      <c r="G66" s="41"/>
      <c r="H66" s="41"/>
      <c r="M66" s="55"/>
    </row>
    <row r="67" spans="2:14" x14ac:dyDescent="0.25">
      <c r="M67" s="56"/>
    </row>
  </sheetData>
  <mergeCells count="22"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  <mergeCell ref="B61:C61"/>
    <mergeCell ref="M61:N61"/>
    <mergeCell ref="B62:N62"/>
    <mergeCell ref="B63:N63"/>
    <mergeCell ref="I5:I6"/>
    <mergeCell ref="J5:J6"/>
    <mergeCell ref="K5:K6"/>
    <mergeCell ref="L5:L6"/>
    <mergeCell ref="M5:N5"/>
    <mergeCell ref="B59:C59"/>
    <mergeCell ref="N59:N60"/>
    <mergeCell ref="B60:C60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67"/>
  <sheetViews>
    <sheetView showGridLines="0" tabSelected="1" topLeftCell="B1" zoomScaleNormal="100" workbookViewId="0">
      <pane xSplit="2" ySplit="6" topLeftCell="M55" activePane="bottomRight" state="frozen"/>
      <selection pane="topRight" activeCell="D1" sqref="D1"/>
      <selection pane="bottomLeft" activeCell="B7" sqref="B7"/>
      <selection pane="bottomRight" activeCell="B63" sqref="B63:N63"/>
    </sheetView>
  </sheetViews>
  <sheetFormatPr baseColWidth="10" defaultColWidth="11.42578125" defaultRowHeight="15" x14ac:dyDescent="0.25"/>
  <cols>
    <col min="1" max="1" width="11.42578125" style="6"/>
    <col min="2" max="2" width="78.28515625" style="6" customWidth="1"/>
    <col min="3" max="4" width="16.28515625" style="6" customWidth="1"/>
    <col min="5" max="5" width="18.7109375" style="6" customWidth="1"/>
    <col min="6" max="6" width="18.28515625" style="6" customWidth="1"/>
    <col min="7" max="7" width="19" style="6" customWidth="1"/>
    <col min="8" max="8" width="19.28515625" style="6" customWidth="1"/>
    <col min="9" max="9" width="19" style="6" customWidth="1"/>
    <col min="10" max="10" width="18.28515625" style="6" customWidth="1"/>
    <col min="11" max="12" width="18" style="6" customWidth="1"/>
    <col min="13" max="13" width="21.28515625" style="6" customWidth="1"/>
    <col min="14" max="14" width="13.140625" style="6" customWidth="1"/>
    <col min="15" max="15" width="17.85546875" style="6" bestFit="1" customWidth="1"/>
    <col min="16" max="16" width="45" style="6" bestFit="1" customWidth="1"/>
    <col min="17" max="17" width="21.42578125" style="6" customWidth="1"/>
    <col min="18" max="18" width="17.85546875" style="6" bestFit="1" customWidth="1"/>
    <col min="19" max="16384" width="11.42578125" style="6"/>
  </cols>
  <sheetData>
    <row r="1" spans="2:18" x14ac:dyDescent="0.25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2:18" x14ac:dyDescent="0.25">
      <c r="B2" s="158" t="s">
        <v>97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2:18" x14ac:dyDescent="0.25">
      <c r="B3" s="158" t="s">
        <v>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8" x14ac:dyDescent="0.25">
      <c r="B5" s="159" t="s">
        <v>3</v>
      </c>
      <c r="C5" s="160" t="s">
        <v>4</v>
      </c>
      <c r="D5" s="152" t="s">
        <v>5</v>
      </c>
      <c r="E5" s="152" t="s">
        <v>6</v>
      </c>
      <c r="F5" s="152" t="s">
        <v>7</v>
      </c>
      <c r="G5" s="161" t="s">
        <v>8</v>
      </c>
      <c r="H5" s="152" t="s">
        <v>9</v>
      </c>
      <c r="I5" s="150" t="s">
        <v>10</v>
      </c>
      <c r="J5" s="152" t="s">
        <v>11</v>
      </c>
      <c r="K5" s="152" t="s">
        <v>12</v>
      </c>
      <c r="L5" s="152" t="s">
        <v>13</v>
      </c>
      <c r="M5" s="154" t="s">
        <v>14</v>
      </c>
      <c r="N5" s="155"/>
    </row>
    <row r="6" spans="2:18" ht="33" customHeight="1" x14ac:dyDescent="0.25">
      <c r="B6" s="159"/>
      <c r="C6" s="160"/>
      <c r="D6" s="153"/>
      <c r="E6" s="153"/>
      <c r="F6" s="153"/>
      <c r="G6" s="162"/>
      <c r="H6" s="153"/>
      <c r="I6" s="151"/>
      <c r="J6" s="153"/>
      <c r="K6" s="153"/>
      <c r="L6" s="153"/>
      <c r="M6" s="18" t="s">
        <v>15</v>
      </c>
      <c r="N6" s="139" t="s">
        <v>16</v>
      </c>
    </row>
    <row r="7" spans="2:18" x14ac:dyDescent="0.25">
      <c r="B7" s="9" t="s">
        <v>17</v>
      </c>
      <c r="C7" s="16" t="s">
        <v>18</v>
      </c>
      <c r="D7" s="23">
        <f t="shared" ref="D7:M7" si="0">D8</f>
        <v>819549365.14199996</v>
      </c>
      <c r="E7" s="25">
        <f t="shared" si="0"/>
        <v>26637853177.005295</v>
      </c>
      <c r="F7" s="23">
        <f t="shared" si="0"/>
        <v>543613419.18509996</v>
      </c>
      <c r="G7" s="24">
        <f t="shared" si="0"/>
        <v>53804550307.84185</v>
      </c>
      <c r="H7" s="23">
        <f t="shared" si="0"/>
        <v>27460366641.814571</v>
      </c>
      <c r="I7" s="73">
        <f t="shared" si="0"/>
        <v>39659231288.223373</v>
      </c>
      <c r="J7" s="67">
        <f t="shared" si="0"/>
        <v>2062812567.8517003</v>
      </c>
      <c r="K7" s="73">
        <f t="shared" si="0"/>
        <v>1446911395.2987001</v>
      </c>
      <c r="L7" s="67">
        <f t="shared" si="0"/>
        <v>9215301844.2802982</v>
      </c>
      <c r="M7" s="74">
        <f t="shared" si="0"/>
        <v>161650190006.64291</v>
      </c>
      <c r="N7" s="138">
        <f>+M7/$M$59</f>
        <v>0.77948106106882309</v>
      </c>
      <c r="Q7" s="7"/>
      <c r="R7" s="7"/>
    </row>
    <row r="8" spans="2:18" x14ac:dyDescent="0.25">
      <c r="B8" s="26" t="s">
        <v>19</v>
      </c>
      <c r="C8" s="48" t="s">
        <v>18</v>
      </c>
      <c r="D8" s="28">
        <f t="shared" ref="D8:L8" si="1">+D9</f>
        <v>819549365.14199996</v>
      </c>
      <c r="E8" s="125">
        <f t="shared" si="1"/>
        <v>26637853177.005295</v>
      </c>
      <c r="F8" s="28">
        <f t="shared" si="1"/>
        <v>543613419.18509996</v>
      </c>
      <c r="G8" s="29">
        <f t="shared" si="1"/>
        <v>53804550307.84185</v>
      </c>
      <c r="H8" s="28">
        <f t="shared" si="1"/>
        <v>27460366641.814571</v>
      </c>
      <c r="I8" s="75">
        <f t="shared" si="1"/>
        <v>39659231288.223373</v>
      </c>
      <c r="J8" s="28">
        <f t="shared" si="1"/>
        <v>2062812567.8517003</v>
      </c>
      <c r="K8" s="75">
        <f t="shared" si="1"/>
        <v>1446911395.2987001</v>
      </c>
      <c r="L8" s="28">
        <f t="shared" si="1"/>
        <v>9215301844.2802982</v>
      </c>
      <c r="M8" s="40">
        <f>+M9</f>
        <v>161650190006.64291</v>
      </c>
      <c r="N8" s="138"/>
      <c r="Q8" s="7"/>
      <c r="R8" s="7"/>
    </row>
    <row r="9" spans="2:18" x14ac:dyDescent="0.25">
      <c r="B9" s="77" t="s">
        <v>20</v>
      </c>
      <c r="C9" s="76" t="s">
        <v>21</v>
      </c>
      <c r="D9" s="85">
        <v>819549365.14199996</v>
      </c>
      <c r="E9" s="126">
        <v>26637853177.005295</v>
      </c>
      <c r="F9" s="39">
        <v>543613419.18509996</v>
      </c>
      <c r="G9" s="78">
        <v>53804550307.84185</v>
      </c>
      <c r="H9" s="38">
        <v>27460366641.814571</v>
      </c>
      <c r="I9" s="93">
        <v>39659231288.223373</v>
      </c>
      <c r="J9" s="93">
        <v>2062812567.8517003</v>
      </c>
      <c r="K9" s="93">
        <v>1446911395.2987001</v>
      </c>
      <c r="L9" s="86">
        <v>9215301844.2802982</v>
      </c>
      <c r="M9" s="44">
        <f>+SUM(D9:L9)</f>
        <v>161650190006.64291</v>
      </c>
      <c r="N9" s="3"/>
      <c r="Q9" s="7"/>
      <c r="R9" s="7"/>
    </row>
    <row r="10" spans="2:18" ht="16.5" customHeight="1" x14ac:dyDescent="0.25">
      <c r="B10" s="2" t="s">
        <v>22</v>
      </c>
      <c r="C10" s="16" t="s">
        <v>18</v>
      </c>
      <c r="D10" s="100">
        <f t="shared" ref="D10:L10" si="2">+D11+D13+D15+D17+D19+D21+D23+D25+D27+D29</f>
        <v>2194579.8165000002</v>
      </c>
      <c r="E10" s="100">
        <f t="shared" si="2"/>
        <v>112183361.20570001</v>
      </c>
      <c r="F10" s="100">
        <f t="shared" si="2"/>
        <v>8832323.1938000005</v>
      </c>
      <c r="G10" s="100">
        <f t="shared" si="2"/>
        <v>2764043504.8358998</v>
      </c>
      <c r="H10" s="100">
        <f t="shared" si="2"/>
        <v>1314286738.4323003</v>
      </c>
      <c r="I10" s="100">
        <f t="shared" si="2"/>
        <v>1295458175.9054</v>
      </c>
      <c r="J10" s="100">
        <f t="shared" si="2"/>
        <v>262074733.7112</v>
      </c>
      <c r="K10" s="100">
        <f t="shared" si="2"/>
        <v>466664352.97900003</v>
      </c>
      <c r="L10" s="100">
        <f t="shared" si="2"/>
        <v>556347808.92379987</v>
      </c>
      <c r="M10" s="100">
        <f>+M11+M13+M15+M17+M19+M21+M23+M25+M27+M29</f>
        <v>6782085579.0035992</v>
      </c>
      <c r="N10" s="4">
        <f>+M10/$M$59</f>
        <v>3.270337797415545E-2</v>
      </c>
      <c r="O10" s="41"/>
      <c r="P10" s="13"/>
      <c r="Q10" s="7"/>
      <c r="R10" s="7"/>
    </row>
    <row r="11" spans="2:18" ht="15" customHeight="1" x14ac:dyDescent="0.25">
      <c r="B11" s="79" t="s">
        <v>61</v>
      </c>
      <c r="C11" s="15" t="s">
        <v>18</v>
      </c>
      <c r="D11" s="45">
        <f t="shared" ref="D11:L11" si="3">D12</f>
        <v>2194579.8165000002</v>
      </c>
      <c r="E11" s="45">
        <f t="shared" si="3"/>
        <v>0</v>
      </c>
      <c r="F11" s="31">
        <f t="shared" si="3"/>
        <v>0</v>
      </c>
      <c r="G11" s="31">
        <f t="shared" si="3"/>
        <v>0</v>
      </c>
      <c r="H11" s="19">
        <f t="shared" si="3"/>
        <v>0</v>
      </c>
      <c r="I11" s="45">
        <f t="shared" si="3"/>
        <v>0</v>
      </c>
      <c r="J11" s="19">
        <f t="shared" si="3"/>
        <v>0</v>
      </c>
      <c r="K11" s="19">
        <f t="shared" si="3"/>
        <v>0</v>
      </c>
      <c r="L11" s="44">
        <f t="shared" si="3"/>
        <v>0</v>
      </c>
      <c r="M11" s="51">
        <f>+M12</f>
        <v>2194579.8165000002</v>
      </c>
      <c r="N11" s="3"/>
      <c r="P11" s="13"/>
    </row>
    <row r="12" spans="2:18" x14ac:dyDescent="0.25">
      <c r="B12" s="10" t="s">
        <v>24</v>
      </c>
      <c r="C12" s="15" t="s">
        <v>25</v>
      </c>
      <c r="D12" s="19">
        <v>2194579.8165000002</v>
      </c>
      <c r="E12" s="19">
        <v>0</v>
      </c>
      <c r="F12" s="31">
        <v>0</v>
      </c>
      <c r="G12" s="20">
        <v>0</v>
      </c>
      <c r="H12" s="19">
        <v>0</v>
      </c>
      <c r="I12" s="19">
        <v>0</v>
      </c>
      <c r="J12" s="19">
        <v>0</v>
      </c>
      <c r="K12" s="19">
        <v>0</v>
      </c>
      <c r="L12" s="44">
        <v>0</v>
      </c>
      <c r="M12" s="44">
        <f>SUM(D12:L12)</f>
        <v>2194579.8165000002</v>
      </c>
      <c r="N12" s="5"/>
      <c r="Q12" s="7"/>
      <c r="R12" s="7"/>
    </row>
    <row r="13" spans="2:18" s="42" customFormat="1" hidden="1" x14ac:dyDescent="0.25">
      <c r="B13" s="30" t="s">
        <v>23</v>
      </c>
      <c r="C13" s="27" t="s">
        <v>18</v>
      </c>
      <c r="D13" s="31">
        <f>+D14</f>
        <v>0</v>
      </c>
      <c r="E13" s="32">
        <f>+E14</f>
        <v>0</v>
      </c>
      <c r="F13" s="31">
        <f>+F14</f>
        <v>0</v>
      </c>
      <c r="G13" s="32">
        <f t="shared" ref="G13:L13" si="4">+G14</f>
        <v>0</v>
      </c>
      <c r="H13" s="31">
        <f t="shared" si="4"/>
        <v>0</v>
      </c>
      <c r="I13" s="29">
        <f t="shared" si="4"/>
        <v>0</v>
      </c>
      <c r="J13" s="28">
        <f t="shared" si="4"/>
        <v>0</v>
      </c>
      <c r="K13" s="28">
        <f t="shared" si="4"/>
        <v>0</v>
      </c>
      <c r="L13" s="45">
        <f t="shared" si="4"/>
        <v>0</v>
      </c>
      <c r="M13" s="51">
        <f>+M14</f>
        <v>0</v>
      </c>
      <c r="N13" s="5"/>
      <c r="Q13" s="43"/>
      <c r="R13" s="43"/>
    </row>
    <row r="14" spans="2:18" hidden="1" x14ac:dyDescent="0.25">
      <c r="B14" s="10" t="s">
        <v>24</v>
      </c>
      <c r="C14" s="15" t="s">
        <v>27</v>
      </c>
      <c r="D14" s="19">
        <v>0</v>
      </c>
      <c r="E14" s="20"/>
      <c r="F14" s="31">
        <v>0</v>
      </c>
      <c r="G14" s="20">
        <v>0</v>
      </c>
      <c r="H14" s="19">
        <v>0</v>
      </c>
      <c r="I14" s="20">
        <v>0</v>
      </c>
      <c r="J14" s="19">
        <v>0</v>
      </c>
      <c r="K14" s="19">
        <v>0</v>
      </c>
      <c r="L14" s="44">
        <v>0</v>
      </c>
      <c r="M14" s="52">
        <f>SUM(D14:L14)</f>
        <v>0</v>
      </c>
      <c r="N14" s="5"/>
      <c r="Q14" s="7"/>
      <c r="R14" s="7"/>
    </row>
    <row r="15" spans="2:18" x14ac:dyDescent="0.25">
      <c r="B15" s="30" t="s">
        <v>28</v>
      </c>
      <c r="C15" s="27" t="s">
        <v>18</v>
      </c>
      <c r="D15" s="31">
        <f>+D16</f>
        <v>0</v>
      </c>
      <c r="E15" s="123">
        <f>+E16</f>
        <v>112183361.20570001</v>
      </c>
      <c r="F15" s="31">
        <f>+F16</f>
        <v>0</v>
      </c>
      <c r="G15" s="45">
        <f t="shared" ref="G15:I15" si="5">+G16</f>
        <v>2737152794.6427999</v>
      </c>
      <c r="H15" s="31">
        <f t="shared" si="5"/>
        <v>1314286738.4323003</v>
      </c>
      <c r="I15" s="32">
        <f t="shared" si="5"/>
        <v>1295458175.9054</v>
      </c>
      <c r="J15" s="31">
        <f>J16</f>
        <v>0</v>
      </c>
      <c r="K15" s="31">
        <f>+K16</f>
        <v>466664352.97900003</v>
      </c>
      <c r="L15" s="45">
        <f>L16</f>
        <v>556347808.92379987</v>
      </c>
      <c r="M15" s="51">
        <f>+M16</f>
        <v>6482093232.0889997</v>
      </c>
      <c r="N15" s="3"/>
      <c r="Q15" s="7"/>
      <c r="R15" s="7"/>
    </row>
    <row r="16" spans="2:18" x14ac:dyDescent="0.25">
      <c r="B16" s="10" t="s">
        <v>24</v>
      </c>
      <c r="C16" s="15" t="s">
        <v>25</v>
      </c>
      <c r="D16" s="44">
        <v>0</v>
      </c>
      <c r="E16" s="124">
        <v>112183361.20570001</v>
      </c>
      <c r="F16" s="44">
        <v>0</v>
      </c>
      <c r="G16" s="93">
        <v>2737152794.6427999</v>
      </c>
      <c r="H16" s="93">
        <v>1314286738.4323003</v>
      </c>
      <c r="I16" s="78">
        <v>1295458175.9054</v>
      </c>
      <c r="J16" s="19">
        <v>0</v>
      </c>
      <c r="K16" s="93">
        <v>466664352.97900003</v>
      </c>
      <c r="L16" s="86">
        <v>556347808.92379987</v>
      </c>
      <c r="M16" s="44">
        <f>SUM(D16:L16)</f>
        <v>6482093232.0889997</v>
      </c>
      <c r="N16" s="5"/>
      <c r="Q16" s="7"/>
      <c r="R16" s="7"/>
    </row>
    <row r="17" spans="2:18" hidden="1" x14ac:dyDescent="0.25">
      <c r="B17" s="30" t="s">
        <v>29</v>
      </c>
      <c r="C17" s="27" t="s">
        <v>18</v>
      </c>
      <c r="D17" s="31">
        <f>+D18</f>
        <v>0</v>
      </c>
      <c r="E17" s="32">
        <f>+E18</f>
        <v>0</v>
      </c>
      <c r="F17" s="31">
        <f>+F18</f>
        <v>0</v>
      </c>
      <c r="G17" s="45">
        <f t="shared" ref="G17:L17" si="6">+G18</f>
        <v>0</v>
      </c>
      <c r="H17" s="31">
        <f t="shared" si="6"/>
        <v>0</v>
      </c>
      <c r="I17" s="32">
        <f t="shared" si="6"/>
        <v>0</v>
      </c>
      <c r="J17" s="31">
        <f t="shared" si="6"/>
        <v>0</v>
      </c>
      <c r="K17" s="31">
        <f t="shared" si="6"/>
        <v>0</v>
      </c>
      <c r="L17" s="45">
        <f t="shared" si="6"/>
        <v>0</v>
      </c>
      <c r="M17" s="51">
        <f>+M18</f>
        <v>0</v>
      </c>
      <c r="N17" s="3"/>
    </row>
    <row r="18" spans="2:18" hidden="1" x14ac:dyDescent="0.25">
      <c r="B18" s="10" t="s">
        <v>24</v>
      </c>
      <c r="C18" s="15" t="s">
        <v>27</v>
      </c>
      <c r="D18" s="19">
        <v>0</v>
      </c>
      <c r="E18" s="44">
        <v>0</v>
      </c>
      <c r="F18" s="31">
        <v>0</v>
      </c>
      <c r="G18" s="44">
        <v>0</v>
      </c>
      <c r="H18" s="19">
        <v>0</v>
      </c>
      <c r="I18" s="20">
        <v>0</v>
      </c>
      <c r="J18" s="19">
        <v>0</v>
      </c>
      <c r="K18" s="19">
        <v>0</v>
      </c>
      <c r="L18" s="44">
        <v>0</v>
      </c>
      <c r="M18" s="44">
        <f>SUM(D18:L18)</f>
        <v>0</v>
      </c>
      <c r="N18" s="5"/>
    </row>
    <row r="19" spans="2:18" x14ac:dyDescent="0.25">
      <c r="B19" s="30" t="s">
        <v>30</v>
      </c>
      <c r="C19" s="27" t="s">
        <v>18</v>
      </c>
      <c r="D19" s="31">
        <f>+D20</f>
        <v>0</v>
      </c>
      <c r="E19" s="32">
        <f>+E20</f>
        <v>0</v>
      </c>
      <c r="F19" s="31">
        <f>+F20</f>
        <v>0</v>
      </c>
      <c r="G19" s="45">
        <f t="shared" ref="G19:L19" si="7">+G20</f>
        <v>26890710.193100002</v>
      </c>
      <c r="H19" s="31">
        <f t="shared" si="7"/>
        <v>0</v>
      </c>
      <c r="I19" s="32">
        <f t="shared" si="7"/>
        <v>0</v>
      </c>
      <c r="J19" s="31">
        <f t="shared" si="7"/>
        <v>185429008.2274</v>
      </c>
      <c r="K19" s="31">
        <f t="shared" si="7"/>
        <v>0</v>
      </c>
      <c r="L19" s="45">
        <f t="shared" si="7"/>
        <v>0</v>
      </c>
      <c r="M19" s="51">
        <f>+M20</f>
        <v>212319718.42050001</v>
      </c>
      <c r="N19" s="3"/>
      <c r="R19" s="7"/>
    </row>
    <row r="20" spans="2:18" x14ac:dyDescent="0.25">
      <c r="B20" s="10" t="s">
        <v>24</v>
      </c>
      <c r="C20" s="15" t="s">
        <v>25</v>
      </c>
      <c r="D20" s="19">
        <v>0</v>
      </c>
      <c r="E20" s="44">
        <v>0</v>
      </c>
      <c r="F20" s="31">
        <v>0</v>
      </c>
      <c r="G20" s="86">
        <v>26890710.193100002</v>
      </c>
      <c r="H20" s="19">
        <v>0</v>
      </c>
      <c r="I20" s="60">
        <v>0</v>
      </c>
      <c r="J20" s="19">
        <v>185429008.2274</v>
      </c>
      <c r="K20" s="19">
        <v>0</v>
      </c>
      <c r="L20" s="44">
        <v>0</v>
      </c>
      <c r="M20" s="44">
        <f>SUM(D20:L20)</f>
        <v>212319718.42050001</v>
      </c>
      <c r="N20" s="5"/>
      <c r="O20" s="13"/>
    </row>
    <row r="21" spans="2:18" x14ac:dyDescent="0.25">
      <c r="B21" s="30" t="s">
        <v>31</v>
      </c>
      <c r="C21" s="27" t="s">
        <v>18</v>
      </c>
      <c r="D21" s="31">
        <v>0</v>
      </c>
      <c r="E21" s="32">
        <f>E22</f>
        <v>0</v>
      </c>
      <c r="F21" s="31">
        <f>+F22</f>
        <v>0</v>
      </c>
      <c r="G21" s="45">
        <v>0</v>
      </c>
      <c r="H21" s="31">
        <v>0</v>
      </c>
      <c r="I21" s="32">
        <v>0</v>
      </c>
      <c r="J21" s="31">
        <f>+J22</f>
        <v>76645725.483800009</v>
      </c>
      <c r="K21" s="31">
        <f t="shared" ref="K21:L21" si="8">+K22</f>
        <v>0</v>
      </c>
      <c r="L21" s="45">
        <f t="shared" si="8"/>
        <v>0</v>
      </c>
      <c r="M21" s="51">
        <f>M22</f>
        <v>76645725.483800009</v>
      </c>
      <c r="N21" s="3"/>
      <c r="P21" s="13"/>
    </row>
    <row r="22" spans="2:18" x14ac:dyDescent="0.25">
      <c r="B22" s="10" t="s">
        <v>24</v>
      </c>
      <c r="C22" s="15" t="s">
        <v>25</v>
      </c>
      <c r="D22" s="19">
        <v>0</v>
      </c>
      <c r="E22" s="44">
        <v>0</v>
      </c>
      <c r="F22" s="44"/>
      <c r="G22" s="44">
        <v>0</v>
      </c>
      <c r="H22" s="19">
        <v>0</v>
      </c>
      <c r="I22" s="60">
        <v>0</v>
      </c>
      <c r="J22" s="19">
        <v>76645725.483800009</v>
      </c>
      <c r="K22" s="19">
        <v>0</v>
      </c>
      <c r="L22" s="44">
        <v>0</v>
      </c>
      <c r="M22" s="50">
        <f>SUM(D22:L22)</f>
        <v>76645725.483800009</v>
      </c>
      <c r="N22" s="5"/>
    </row>
    <row r="23" spans="2:18" x14ac:dyDescent="0.25">
      <c r="B23" s="30" t="s">
        <v>69</v>
      </c>
      <c r="C23" s="15"/>
      <c r="D23" s="44">
        <f>D24</f>
        <v>0</v>
      </c>
      <c r="E23" s="44">
        <f t="shared" ref="E23:L23" si="9">E24</f>
        <v>0</v>
      </c>
      <c r="F23" s="45">
        <f t="shared" si="9"/>
        <v>7854216.1069</v>
      </c>
      <c r="G23" s="44">
        <f t="shared" si="9"/>
        <v>0</v>
      </c>
      <c r="H23" s="19">
        <f t="shared" si="9"/>
        <v>0</v>
      </c>
      <c r="I23" s="44">
        <f t="shared" si="9"/>
        <v>0</v>
      </c>
      <c r="J23" s="44">
        <f t="shared" si="9"/>
        <v>0</v>
      </c>
      <c r="K23" s="19">
        <f t="shared" si="9"/>
        <v>0</v>
      </c>
      <c r="L23" s="44">
        <f t="shared" si="9"/>
        <v>0</v>
      </c>
      <c r="M23" s="58">
        <f>M24</f>
        <v>7854216.1069</v>
      </c>
      <c r="N23" s="5"/>
    </row>
    <row r="24" spans="2:18" x14ac:dyDescent="0.25">
      <c r="B24" s="10" t="s">
        <v>24</v>
      </c>
      <c r="C24" s="15" t="s">
        <v>27</v>
      </c>
      <c r="D24" s="44">
        <v>0</v>
      </c>
      <c r="E24" s="44">
        <v>0</v>
      </c>
      <c r="F24" s="44">
        <v>7854216.1069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52">
        <f t="shared" ref="M24" si="10">SUM(D24:L24)</f>
        <v>7854216.1069</v>
      </c>
      <c r="N24" s="5"/>
    </row>
    <row r="25" spans="2:18" ht="15" customHeight="1" x14ac:dyDescent="0.25">
      <c r="B25" s="79" t="s">
        <v>87</v>
      </c>
      <c r="C25" s="15" t="s">
        <v>18</v>
      </c>
      <c r="D25" s="45">
        <f t="shared" ref="D25:L25" si="11">D26</f>
        <v>0</v>
      </c>
      <c r="E25" s="45">
        <f t="shared" si="11"/>
        <v>0</v>
      </c>
      <c r="F25" s="31">
        <f t="shared" si="11"/>
        <v>978107.08689999999</v>
      </c>
      <c r="G25" s="31">
        <f t="shared" si="11"/>
        <v>0</v>
      </c>
      <c r="H25" s="19">
        <f t="shared" si="11"/>
        <v>0</v>
      </c>
      <c r="I25" s="44">
        <f t="shared" si="11"/>
        <v>0</v>
      </c>
      <c r="J25" s="19">
        <f t="shared" si="11"/>
        <v>0</v>
      </c>
      <c r="K25" s="19">
        <f t="shared" si="11"/>
        <v>0</v>
      </c>
      <c r="L25" s="44">
        <f t="shared" si="11"/>
        <v>0</v>
      </c>
      <c r="M25" s="51">
        <f>+M26</f>
        <v>978107.08689999999</v>
      </c>
      <c r="N25" s="3"/>
      <c r="P25" s="13"/>
    </row>
    <row r="26" spans="2:18" ht="15" customHeight="1" x14ac:dyDescent="0.25">
      <c r="B26" s="10" t="s">
        <v>24</v>
      </c>
      <c r="C26" s="15" t="s">
        <v>27</v>
      </c>
      <c r="D26" s="44">
        <v>0</v>
      </c>
      <c r="E26" s="44">
        <v>0</v>
      </c>
      <c r="F26" s="44">
        <v>978107.08689999999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44">
        <v>0</v>
      </c>
      <c r="M26" s="52">
        <f>SUM(D26:L26)</f>
        <v>978107.08689999999</v>
      </c>
      <c r="N26" s="5"/>
    </row>
    <row r="27" spans="2:18" s="42" customFormat="1" ht="15" customHeight="1" x14ac:dyDescent="0.25">
      <c r="B27" s="30" t="s">
        <v>33</v>
      </c>
      <c r="C27" s="27" t="s">
        <v>18</v>
      </c>
      <c r="D27" s="106">
        <f>D28</f>
        <v>0</v>
      </c>
      <c r="E27" s="32">
        <f>E28</f>
        <v>0</v>
      </c>
      <c r="F27" s="31">
        <f>F28</f>
        <v>0</v>
      </c>
      <c r="G27" s="32">
        <f>G28</f>
        <v>0</v>
      </c>
      <c r="H27" s="31">
        <v>0</v>
      </c>
      <c r="I27" s="31">
        <f>I26</f>
        <v>0</v>
      </c>
      <c r="J27" s="31">
        <f>J26</f>
        <v>0</v>
      </c>
      <c r="K27" s="31">
        <f>K26</f>
        <v>0</v>
      </c>
      <c r="L27" s="31">
        <f>L26</f>
        <v>0</v>
      </c>
      <c r="M27" s="51">
        <f>+M28</f>
        <v>0</v>
      </c>
      <c r="N27" s="5"/>
    </row>
    <row r="28" spans="2:18" ht="15" customHeight="1" x14ac:dyDescent="0.25">
      <c r="B28" s="10" t="s">
        <v>24</v>
      </c>
      <c r="C28" s="15" t="s">
        <v>25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50">
        <f t="shared" ref="M28" si="12">SUM(D28:L28)</f>
        <v>0</v>
      </c>
      <c r="N28" s="5"/>
    </row>
    <row r="29" spans="2:18" ht="15" hidden="1" customHeight="1" x14ac:dyDescent="0.25">
      <c r="B29" s="30" t="s">
        <v>29</v>
      </c>
      <c r="C29" s="15" t="s">
        <v>18</v>
      </c>
      <c r="D29" s="107">
        <f>D30</f>
        <v>0</v>
      </c>
      <c r="E29" s="20">
        <f>E30</f>
        <v>0</v>
      </c>
      <c r="F29" s="31">
        <f>F30</f>
        <v>0</v>
      </c>
      <c r="G29" s="20">
        <f>G30</f>
        <v>0</v>
      </c>
      <c r="H29" s="19">
        <f>H30</f>
        <v>0</v>
      </c>
      <c r="I29" s="19">
        <f t="shared" ref="I29:L29" si="13">I30</f>
        <v>0</v>
      </c>
      <c r="J29" s="19">
        <f t="shared" si="13"/>
        <v>0</v>
      </c>
      <c r="K29" s="19">
        <f t="shared" si="13"/>
        <v>0</v>
      </c>
      <c r="L29" s="19">
        <f t="shared" si="13"/>
        <v>0</v>
      </c>
      <c r="M29" s="51">
        <f>+M30</f>
        <v>0</v>
      </c>
      <c r="N29" s="3"/>
    </row>
    <row r="30" spans="2:18" ht="15" hidden="1" customHeight="1" x14ac:dyDescent="0.25">
      <c r="B30" s="10" t="s">
        <v>24</v>
      </c>
      <c r="C30" s="15" t="s">
        <v>25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f>SUM(D30:L30)</f>
        <v>0</v>
      </c>
      <c r="N30" s="5"/>
    </row>
    <row r="31" spans="2:18" x14ac:dyDescent="0.25">
      <c r="B31" s="2" t="s">
        <v>34</v>
      </c>
      <c r="C31" s="16" t="s">
        <v>18</v>
      </c>
      <c r="D31" s="23">
        <f t="shared" ref="D31:L31" si="14">+D32+D34+D36</f>
        <v>0</v>
      </c>
      <c r="E31" s="25">
        <f t="shared" si="14"/>
        <v>3504759545.9167004</v>
      </c>
      <c r="F31" s="25">
        <f t="shared" si="14"/>
        <v>41690987.696500003</v>
      </c>
      <c r="G31" s="25">
        <f t="shared" si="14"/>
        <v>3310195369.0635004</v>
      </c>
      <c r="H31" s="25">
        <f t="shared" si="14"/>
        <v>1935018154.3477004</v>
      </c>
      <c r="I31" s="25">
        <f t="shared" si="14"/>
        <v>3289400832.9256001</v>
      </c>
      <c r="J31" s="25">
        <f t="shared" si="14"/>
        <v>137272811.18419996</v>
      </c>
      <c r="K31" s="25">
        <f t="shared" si="14"/>
        <v>129824392.72149999</v>
      </c>
      <c r="L31" s="25">
        <f t="shared" si="14"/>
        <v>680296640.18159997</v>
      </c>
      <c r="M31" s="17">
        <f>+M32+M36+M34</f>
        <v>13028458734.037302</v>
      </c>
      <c r="N31" s="4">
        <f>+M31/$M$59</f>
        <v>6.2823537897984782E-2</v>
      </c>
    </row>
    <row r="32" spans="2:18" x14ac:dyDescent="0.25">
      <c r="B32" s="33" t="s">
        <v>35</v>
      </c>
      <c r="C32" s="27" t="s">
        <v>18</v>
      </c>
      <c r="D32" s="31">
        <f>+D33</f>
        <v>0</v>
      </c>
      <c r="E32" s="32">
        <f>+E33</f>
        <v>515825929.68610013</v>
      </c>
      <c r="F32" s="31">
        <f>+F33</f>
        <v>0</v>
      </c>
      <c r="G32" s="28">
        <f t="shared" ref="G32:L32" si="15">+G33</f>
        <v>1134336013.5086</v>
      </c>
      <c r="H32" s="94">
        <f t="shared" si="15"/>
        <v>518921317.05030006</v>
      </c>
      <c r="I32" s="29">
        <f>+I33</f>
        <v>1378652658.5026002</v>
      </c>
      <c r="J32" s="63">
        <f>+J33</f>
        <v>13560431.3937</v>
      </c>
      <c r="K32" s="101">
        <f t="shared" si="15"/>
        <v>96478095.657399997</v>
      </c>
      <c r="L32" s="94">
        <f t="shared" si="15"/>
        <v>186921776.72239998</v>
      </c>
      <c r="M32" s="51">
        <f>+M33</f>
        <v>3844696222.521101</v>
      </c>
      <c r="N32" s="3"/>
    </row>
    <row r="33" spans="2:16" x14ac:dyDescent="0.25">
      <c r="B33" s="10" t="s">
        <v>36</v>
      </c>
      <c r="C33" s="15" t="s">
        <v>37</v>
      </c>
      <c r="D33" s="44">
        <v>0</v>
      </c>
      <c r="E33" s="78">
        <v>515825929.68610013</v>
      </c>
      <c r="F33" s="31">
        <v>0</v>
      </c>
      <c r="G33" s="86">
        <v>1134336013.5086</v>
      </c>
      <c r="H33" s="86">
        <v>518921317.05030006</v>
      </c>
      <c r="I33" s="86">
        <v>1378652658.5026002</v>
      </c>
      <c r="J33" s="86">
        <v>13560431.3937</v>
      </c>
      <c r="K33" s="102">
        <v>96478095.657399997</v>
      </c>
      <c r="L33" s="86">
        <v>186921776.72239998</v>
      </c>
      <c r="M33" s="50">
        <f>SUM(D33:L33)</f>
        <v>3844696222.521101</v>
      </c>
      <c r="N33" s="5"/>
    </row>
    <row r="34" spans="2:16" x14ac:dyDescent="0.25">
      <c r="B34" s="30" t="s">
        <v>38</v>
      </c>
      <c r="C34" s="27" t="s">
        <v>18</v>
      </c>
      <c r="D34" s="31">
        <f>+D35</f>
        <v>0</v>
      </c>
      <c r="E34" s="32">
        <f>E35</f>
        <v>2585163173.1603003</v>
      </c>
      <c r="F34" s="31">
        <f>+F35</f>
        <v>0</v>
      </c>
      <c r="G34" s="31">
        <f t="shared" ref="G34:L34" si="16">+G35</f>
        <v>2175859355.5549002</v>
      </c>
      <c r="H34" s="45">
        <f t="shared" si="16"/>
        <v>1362143838.0681002</v>
      </c>
      <c r="I34" s="32">
        <f>+I35</f>
        <v>1812651772.8168995</v>
      </c>
      <c r="J34" s="65">
        <f>+J35</f>
        <v>115425681.78399996</v>
      </c>
      <c r="K34" s="95">
        <f t="shared" si="16"/>
        <v>16179394.302000001</v>
      </c>
      <c r="L34" s="45">
        <f t="shared" si="16"/>
        <v>478660375.37740004</v>
      </c>
      <c r="M34" s="51">
        <f>+M35</f>
        <v>8546083591.0636005</v>
      </c>
      <c r="N34" s="5"/>
    </row>
    <row r="35" spans="2:16" ht="15" customHeight="1" x14ac:dyDescent="0.25">
      <c r="B35" s="10" t="s">
        <v>36</v>
      </c>
      <c r="C35" s="15" t="s">
        <v>39</v>
      </c>
      <c r="D35" s="19">
        <v>0</v>
      </c>
      <c r="E35" s="78">
        <v>2585163173.1603003</v>
      </c>
      <c r="F35" s="31">
        <v>0</v>
      </c>
      <c r="G35" s="86">
        <v>2175859355.5549002</v>
      </c>
      <c r="H35" s="86">
        <v>1362143838.0681002</v>
      </c>
      <c r="I35" s="21">
        <v>1812651772.8168995</v>
      </c>
      <c r="J35" s="102">
        <v>115425681.78399996</v>
      </c>
      <c r="K35" s="102">
        <v>16179394.302000001</v>
      </c>
      <c r="L35" s="86">
        <v>478660375.37740004</v>
      </c>
      <c r="M35" s="50">
        <f>SUM(D35:L35)</f>
        <v>8546083591.0636005</v>
      </c>
      <c r="N35" s="5"/>
    </row>
    <row r="36" spans="2:16" x14ac:dyDescent="0.25">
      <c r="B36" s="33" t="s">
        <v>99</v>
      </c>
      <c r="C36" s="27" t="s">
        <v>18</v>
      </c>
      <c r="D36" s="31">
        <f>+D37</f>
        <v>0</v>
      </c>
      <c r="E36" s="32">
        <f>E37</f>
        <v>403770443.07029998</v>
      </c>
      <c r="F36" s="31">
        <f>+F37</f>
        <v>41690987.696500003</v>
      </c>
      <c r="G36" s="31">
        <f t="shared" ref="G36:L36" si="17">+G37</f>
        <v>0</v>
      </c>
      <c r="H36" s="45">
        <f t="shared" si="17"/>
        <v>53952999.2293</v>
      </c>
      <c r="I36" s="32">
        <f>+I37</f>
        <v>98096401.606099993</v>
      </c>
      <c r="J36" s="65">
        <f>+J37</f>
        <v>8286698.0065000001</v>
      </c>
      <c r="K36" s="95">
        <f t="shared" si="17"/>
        <v>17166902.7621</v>
      </c>
      <c r="L36" s="45">
        <f t="shared" si="17"/>
        <v>14714488.081800001</v>
      </c>
      <c r="M36" s="51">
        <f>+M37</f>
        <v>637678920.4526</v>
      </c>
      <c r="N36" s="3"/>
    </row>
    <row r="37" spans="2:16" x14ac:dyDescent="0.25">
      <c r="B37" s="10" t="s">
        <v>36</v>
      </c>
      <c r="C37" s="15" t="s">
        <v>41</v>
      </c>
      <c r="D37" s="19">
        <v>0</v>
      </c>
      <c r="E37" s="78">
        <v>403770443.07029998</v>
      </c>
      <c r="F37" s="31">
        <v>41690987.696500003</v>
      </c>
      <c r="G37" s="86"/>
      <c r="H37" s="86">
        <v>53952999.2293</v>
      </c>
      <c r="I37" s="102">
        <v>98096401.606099993</v>
      </c>
      <c r="J37" s="102">
        <v>8286698.0065000001</v>
      </c>
      <c r="K37" s="102">
        <v>17166902.7621</v>
      </c>
      <c r="L37" s="86">
        <v>14714488.081800001</v>
      </c>
      <c r="M37" s="50">
        <f>SUM(D37:L37)</f>
        <v>637678920.4526</v>
      </c>
      <c r="N37" s="5"/>
      <c r="P37" s="8"/>
    </row>
    <row r="38" spans="2:16" x14ac:dyDescent="0.25">
      <c r="B38" s="2" t="s">
        <v>42</v>
      </c>
      <c r="C38" s="16" t="s">
        <v>18</v>
      </c>
      <c r="D38" s="23">
        <f>+D39+D41+D45+D49+D51+D47+D53+D43+D55+D57</f>
        <v>119115480.1849</v>
      </c>
      <c r="E38" s="23">
        <f t="shared" ref="E38:L38" si="18">+E39+E41+E45+E49+E51+E47+E53+E43+E55+E57</f>
        <v>6586604964.5049</v>
      </c>
      <c r="F38" s="23">
        <f t="shared" si="18"/>
        <v>358133562.55070007</v>
      </c>
      <c r="G38" s="23">
        <f t="shared" si="18"/>
        <v>10429114488.3183</v>
      </c>
      <c r="H38" s="23">
        <f t="shared" si="18"/>
        <v>3731673314.8425002</v>
      </c>
      <c r="I38" s="23">
        <f t="shared" si="18"/>
        <v>3897161945.8672004</v>
      </c>
      <c r="J38" s="23">
        <f t="shared" si="18"/>
        <v>0</v>
      </c>
      <c r="K38" s="23">
        <f t="shared" si="18"/>
        <v>0</v>
      </c>
      <c r="L38" s="23">
        <f t="shared" si="18"/>
        <v>799267692.34749997</v>
      </c>
      <c r="M38" s="17">
        <f>+M39+M41+M43+P42+M45+M49+M51+M47+M53+M55+M57</f>
        <v>25921071448.616001</v>
      </c>
      <c r="N38" s="138">
        <f>+M38/$M$59</f>
        <v>0.12499202305903671</v>
      </c>
      <c r="P38" s="8"/>
    </row>
    <row r="39" spans="2:16" ht="17.25" customHeight="1" x14ac:dyDescent="0.25">
      <c r="B39" s="33" t="s">
        <v>43</v>
      </c>
      <c r="C39" s="27" t="s">
        <v>18</v>
      </c>
      <c r="D39" s="28">
        <f>+D40</f>
        <v>0</v>
      </c>
      <c r="E39" s="32">
        <f>+E40</f>
        <v>2809911501.9538002</v>
      </c>
      <c r="F39" s="63">
        <f>+F40</f>
        <v>0</v>
      </c>
      <c r="G39" s="45">
        <f t="shared" ref="G39:L39" si="19">+G40</f>
        <v>3566782815.3767004</v>
      </c>
      <c r="H39" s="45">
        <f t="shared" si="19"/>
        <v>1299894181.6040001</v>
      </c>
      <c r="I39" s="32">
        <f t="shared" si="19"/>
        <v>1987728432.0893002</v>
      </c>
      <c r="J39" s="31">
        <f t="shared" si="19"/>
        <v>0</v>
      </c>
      <c r="K39" s="32">
        <f t="shared" si="19"/>
        <v>0</v>
      </c>
      <c r="L39" s="95">
        <f t="shared" si="19"/>
        <v>326083211.16570002</v>
      </c>
      <c r="M39" s="51">
        <f>+M40</f>
        <v>9990400142.1895008</v>
      </c>
      <c r="N39" s="14"/>
      <c r="O39" s="41"/>
      <c r="P39" s="41"/>
    </row>
    <row r="40" spans="2:16" x14ac:dyDescent="0.25">
      <c r="B40" s="10" t="s">
        <v>44</v>
      </c>
      <c r="C40" s="15" t="s">
        <v>45</v>
      </c>
      <c r="D40" s="19">
        <v>0</v>
      </c>
      <c r="E40" s="78">
        <v>2809911501.9538002</v>
      </c>
      <c r="F40" s="65">
        <v>0</v>
      </c>
      <c r="G40" s="86">
        <v>3566782815.3767004</v>
      </c>
      <c r="H40" s="86">
        <v>1299894181.6040001</v>
      </c>
      <c r="I40" s="78">
        <v>1987728432.0893002</v>
      </c>
      <c r="J40" s="19">
        <v>0</v>
      </c>
      <c r="K40" s="19">
        <v>0</v>
      </c>
      <c r="L40" s="86">
        <v>326083211.16570002</v>
      </c>
      <c r="M40" s="50">
        <f>SUM(D40:L40)</f>
        <v>9990400142.1895008</v>
      </c>
      <c r="N40" s="5"/>
      <c r="P40" s="8"/>
    </row>
    <row r="41" spans="2:16" x14ac:dyDescent="0.25">
      <c r="B41" s="33" t="s">
        <v>46</v>
      </c>
      <c r="C41" s="27"/>
      <c r="D41" s="31">
        <f>+D42</f>
        <v>0</v>
      </c>
      <c r="E41" s="32">
        <f>+E42</f>
        <v>2006901048.4217999</v>
      </c>
      <c r="F41" s="65">
        <f>+F42</f>
        <v>0</v>
      </c>
      <c r="G41" s="45">
        <f t="shared" ref="G41:L41" si="20">+G42</f>
        <v>1306576203.3997002</v>
      </c>
      <c r="H41" s="45">
        <f t="shared" si="20"/>
        <v>1306576203.3996999</v>
      </c>
      <c r="I41" s="32">
        <f t="shared" si="20"/>
        <v>1253529209.5416</v>
      </c>
      <c r="J41" s="31">
        <f t="shared" si="20"/>
        <v>0</v>
      </c>
      <c r="K41" s="32">
        <f t="shared" si="20"/>
        <v>0</v>
      </c>
      <c r="L41" s="65">
        <f t="shared" si="20"/>
        <v>0</v>
      </c>
      <c r="M41" s="51">
        <f>+M42</f>
        <v>5873582664.7628002</v>
      </c>
      <c r="N41" s="5"/>
      <c r="P41" s="8"/>
    </row>
    <row r="42" spans="2:16" x14ac:dyDescent="0.25">
      <c r="B42" s="10" t="s">
        <v>44</v>
      </c>
      <c r="C42" s="15" t="s">
        <v>45</v>
      </c>
      <c r="D42" s="19">
        <v>0</v>
      </c>
      <c r="E42" s="78">
        <v>2006901048.4217999</v>
      </c>
      <c r="F42" s="65">
        <v>0</v>
      </c>
      <c r="G42" s="102">
        <v>1306576203.3997002</v>
      </c>
      <c r="H42" s="86">
        <v>1306576203.3996999</v>
      </c>
      <c r="I42" s="78">
        <v>1253529209.5416</v>
      </c>
      <c r="J42" s="19">
        <v>0</v>
      </c>
      <c r="K42" s="20">
        <v>0</v>
      </c>
      <c r="L42" s="69">
        <v>0</v>
      </c>
      <c r="M42" s="50">
        <f>SUM(D42:L42)</f>
        <v>5873582664.7628002</v>
      </c>
      <c r="N42" s="5"/>
      <c r="P42" s="8"/>
    </row>
    <row r="43" spans="2:16" s="42" customFormat="1" x14ac:dyDescent="0.25">
      <c r="B43" s="33" t="s">
        <v>62</v>
      </c>
      <c r="C43" s="27"/>
      <c r="D43" s="31">
        <f>D44</f>
        <v>0</v>
      </c>
      <c r="E43" s="80">
        <f>E44</f>
        <v>999226917.46730006</v>
      </c>
      <c r="F43" s="65">
        <f t="shared" ref="F43:M43" si="21">F44</f>
        <v>0</v>
      </c>
      <c r="G43" s="95">
        <f t="shared" si="21"/>
        <v>1469451349.2167001</v>
      </c>
      <c r="H43" s="45">
        <f t="shared" si="21"/>
        <v>578434829.10570002</v>
      </c>
      <c r="I43" s="68">
        <f t="shared" si="21"/>
        <v>655904304.23629999</v>
      </c>
      <c r="J43" s="65">
        <f t="shared" si="21"/>
        <v>0</v>
      </c>
      <c r="K43" s="65">
        <f t="shared" si="21"/>
        <v>0</v>
      </c>
      <c r="L43" s="65">
        <f t="shared" si="21"/>
        <v>293890269.84329998</v>
      </c>
      <c r="M43" s="80">
        <f t="shared" si="21"/>
        <v>3996907669.8692999</v>
      </c>
      <c r="N43" s="5"/>
      <c r="P43" s="81"/>
    </row>
    <row r="44" spans="2:16" x14ac:dyDescent="0.25">
      <c r="B44" s="10" t="s">
        <v>44</v>
      </c>
      <c r="C44" s="15" t="s">
        <v>45</v>
      </c>
      <c r="D44" s="19">
        <v>0</v>
      </c>
      <c r="E44" s="78">
        <v>999226917.46730006</v>
      </c>
      <c r="F44" s="69">
        <v>0</v>
      </c>
      <c r="G44" s="96">
        <v>1469451349.2167001</v>
      </c>
      <c r="H44" s="44">
        <v>578434829.10570002</v>
      </c>
      <c r="I44" s="60">
        <v>655904304.23629999</v>
      </c>
      <c r="J44" s="69">
        <v>0</v>
      </c>
      <c r="K44" s="69">
        <v>0</v>
      </c>
      <c r="L44" s="69">
        <v>293890269.84329998</v>
      </c>
      <c r="M44" s="50">
        <f>SUM(D44:L44)</f>
        <v>3996907669.8692999</v>
      </c>
      <c r="N44" s="5"/>
      <c r="P44" s="8"/>
    </row>
    <row r="45" spans="2:16" ht="15" customHeight="1" x14ac:dyDescent="0.25">
      <c r="B45" s="33" t="s">
        <v>47</v>
      </c>
      <c r="C45" s="27" t="s">
        <v>18</v>
      </c>
      <c r="D45" s="31">
        <f>+D46</f>
        <v>0</v>
      </c>
      <c r="E45" s="32">
        <f>+E46</f>
        <v>0</v>
      </c>
      <c r="F45" s="65">
        <f>+F46</f>
        <v>0</v>
      </c>
      <c r="G45" s="45">
        <f t="shared" ref="G45:L47" si="22">+G46</f>
        <v>0</v>
      </c>
      <c r="H45" s="45">
        <f t="shared" si="22"/>
        <v>139961862.98210001</v>
      </c>
      <c r="I45" s="32">
        <f t="shared" si="22"/>
        <v>0</v>
      </c>
      <c r="J45" s="31">
        <f t="shared" si="22"/>
        <v>0</v>
      </c>
      <c r="K45" s="32">
        <f t="shared" si="22"/>
        <v>0</v>
      </c>
      <c r="L45" s="65">
        <f t="shared" si="22"/>
        <v>179294211.33849999</v>
      </c>
      <c r="M45" s="51">
        <f>+M46</f>
        <v>319256074.32060003</v>
      </c>
      <c r="N45" s="3"/>
    </row>
    <row r="46" spans="2:16" ht="17.25" customHeight="1" x14ac:dyDescent="0.25">
      <c r="B46" s="10" t="s">
        <v>48</v>
      </c>
      <c r="C46" s="15" t="s">
        <v>45</v>
      </c>
      <c r="D46" s="19">
        <v>0</v>
      </c>
      <c r="E46" s="20">
        <v>0</v>
      </c>
      <c r="F46" s="69">
        <v>0</v>
      </c>
      <c r="G46" s="44">
        <v>0</v>
      </c>
      <c r="H46" s="86">
        <v>139961862.98210001</v>
      </c>
      <c r="I46" s="20">
        <v>0</v>
      </c>
      <c r="J46" s="19">
        <v>0</v>
      </c>
      <c r="K46" s="19">
        <v>0</v>
      </c>
      <c r="L46" s="93">
        <v>179294211.33849999</v>
      </c>
      <c r="M46" s="50">
        <f>SUM(D46:L46)</f>
        <v>319256074.32060003</v>
      </c>
      <c r="N46" s="5"/>
    </row>
    <row r="47" spans="2:16" ht="15" customHeight="1" x14ac:dyDescent="0.25">
      <c r="B47" s="33" t="s">
        <v>49</v>
      </c>
      <c r="C47" s="27" t="s">
        <v>18</v>
      </c>
      <c r="D47" s="31">
        <f>+D48</f>
        <v>59277216.053500004</v>
      </c>
      <c r="E47" s="32">
        <f>+E48</f>
        <v>0</v>
      </c>
      <c r="F47" s="95">
        <f>+F48</f>
        <v>150495623.1681</v>
      </c>
      <c r="G47" s="45">
        <f t="shared" si="22"/>
        <v>0</v>
      </c>
      <c r="H47" s="45">
        <f t="shared" si="22"/>
        <v>289698054.77389997</v>
      </c>
      <c r="I47" s="32">
        <f t="shared" si="22"/>
        <v>0</v>
      </c>
      <c r="J47" s="31">
        <f t="shared" si="22"/>
        <v>0</v>
      </c>
      <c r="K47" s="32">
        <f t="shared" si="22"/>
        <v>0</v>
      </c>
      <c r="L47" s="65">
        <f t="shared" si="22"/>
        <v>0</v>
      </c>
      <c r="M47" s="51">
        <f>+M48</f>
        <v>499470893.99549997</v>
      </c>
      <c r="N47" s="3"/>
    </row>
    <row r="48" spans="2:16" ht="17.25" customHeight="1" x14ac:dyDescent="0.25">
      <c r="B48" s="10" t="s">
        <v>48</v>
      </c>
      <c r="C48" s="15" t="s">
        <v>45</v>
      </c>
      <c r="D48" s="19">
        <v>59277216.053500004</v>
      </c>
      <c r="E48" s="19">
        <v>0</v>
      </c>
      <c r="F48" s="86">
        <v>150495623.1681</v>
      </c>
      <c r="G48" s="44">
        <v>0</v>
      </c>
      <c r="H48" s="86">
        <v>289698054.77389997</v>
      </c>
      <c r="I48" s="20">
        <v>0</v>
      </c>
      <c r="J48" s="19">
        <v>0</v>
      </c>
      <c r="K48" s="19">
        <v>0</v>
      </c>
      <c r="L48" s="19">
        <v>0</v>
      </c>
      <c r="M48" s="53">
        <f>SUM(D48:L48)</f>
        <v>499470893.99549997</v>
      </c>
      <c r="N48" s="5"/>
    </row>
    <row r="49" spans="2:14" ht="15" customHeight="1" x14ac:dyDescent="0.25">
      <c r="B49" s="33" t="s">
        <v>50</v>
      </c>
      <c r="C49" s="27" t="s">
        <v>18</v>
      </c>
      <c r="D49" s="31">
        <f>+D50</f>
        <v>0</v>
      </c>
      <c r="E49" s="32">
        <f>+E50</f>
        <v>0</v>
      </c>
      <c r="F49" s="95">
        <f>+F50</f>
        <v>0</v>
      </c>
      <c r="G49" s="45">
        <f t="shared" ref="G49:L49" si="23">+G50</f>
        <v>1865374406.3050001</v>
      </c>
      <c r="H49" s="45">
        <f t="shared" si="23"/>
        <v>0</v>
      </c>
      <c r="I49" s="32">
        <f t="shared" si="23"/>
        <v>0</v>
      </c>
      <c r="J49" s="31">
        <f t="shared" si="23"/>
        <v>0</v>
      </c>
      <c r="K49" s="32">
        <f t="shared" si="23"/>
        <v>0</v>
      </c>
      <c r="L49" s="65">
        <f t="shared" si="23"/>
        <v>0</v>
      </c>
      <c r="M49" s="51">
        <f>+M50</f>
        <v>1865374406.3050001</v>
      </c>
      <c r="N49" s="3"/>
    </row>
    <row r="50" spans="2:14" ht="17.25" customHeight="1" x14ac:dyDescent="0.25">
      <c r="B50" s="10" t="s">
        <v>48</v>
      </c>
      <c r="C50" s="15" t="s">
        <v>45</v>
      </c>
      <c r="D50" s="19">
        <v>0</v>
      </c>
      <c r="E50" s="20">
        <v>0</v>
      </c>
      <c r="F50" s="96">
        <v>0</v>
      </c>
      <c r="G50" s="19">
        <v>1865374406.3050001</v>
      </c>
      <c r="H50" s="19">
        <v>0</v>
      </c>
      <c r="I50" s="20">
        <v>0</v>
      </c>
      <c r="J50" s="19">
        <v>0</v>
      </c>
      <c r="K50" s="20">
        <v>0</v>
      </c>
      <c r="L50" s="69">
        <v>0</v>
      </c>
      <c r="M50" s="53">
        <f>SUM(D50:L50)</f>
        <v>1865374406.3050001</v>
      </c>
      <c r="N50" s="3"/>
    </row>
    <row r="51" spans="2:14" ht="15" customHeight="1" x14ac:dyDescent="0.25">
      <c r="B51" s="33" t="s">
        <v>51</v>
      </c>
      <c r="C51" s="15" t="s">
        <v>18</v>
      </c>
      <c r="D51" s="19">
        <f>+D52</f>
        <v>0</v>
      </c>
      <c r="E51" s="32">
        <f>+E52</f>
        <v>770565496.66199994</v>
      </c>
      <c r="F51" s="96">
        <f>+F52</f>
        <v>0</v>
      </c>
      <c r="G51" s="31">
        <f t="shared" ref="G51:L51" si="24">+G52</f>
        <v>2220929714.0202003</v>
      </c>
      <c r="H51" s="31">
        <f t="shared" si="24"/>
        <v>117108182.9771</v>
      </c>
      <c r="I51" s="32">
        <f t="shared" si="24"/>
        <v>0</v>
      </c>
      <c r="J51" s="31">
        <f t="shared" si="24"/>
        <v>0</v>
      </c>
      <c r="K51" s="32">
        <f t="shared" si="24"/>
        <v>0</v>
      </c>
      <c r="L51" s="65">
        <f t="shared" si="24"/>
        <v>0</v>
      </c>
      <c r="M51" s="51">
        <f>+M52</f>
        <v>3108603393.6593003</v>
      </c>
      <c r="N51" s="3"/>
    </row>
    <row r="52" spans="2:14" ht="17.25" customHeight="1" x14ac:dyDescent="0.25">
      <c r="B52" s="10" t="s">
        <v>48</v>
      </c>
      <c r="C52" s="15" t="s">
        <v>45</v>
      </c>
      <c r="D52" s="19">
        <v>0</v>
      </c>
      <c r="E52" s="78">
        <v>770565496.66199994</v>
      </c>
      <c r="F52" s="96">
        <v>0</v>
      </c>
      <c r="G52" s="93">
        <v>2220929714.0202003</v>
      </c>
      <c r="H52" s="86">
        <v>117108182.9771</v>
      </c>
      <c r="I52" s="44">
        <v>0</v>
      </c>
      <c r="J52" s="19">
        <v>0</v>
      </c>
      <c r="K52" s="71">
        <v>0</v>
      </c>
      <c r="L52" s="69">
        <v>0</v>
      </c>
      <c r="M52" s="53">
        <f>SUM(D52:L52)</f>
        <v>3108603393.6593003</v>
      </c>
      <c r="N52" s="108"/>
    </row>
    <row r="53" spans="2:14" ht="17.25" customHeight="1" x14ac:dyDescent="0.25">
      <c r="B53" s="33" t="s">
        <v>75</v>
      </c>
      <c r="C53" s="15"/>
      <c r="D53" s="31">
        <f>D54</f>
        <v>59838264.131399997</v>
      </c>
      <c r="E53" s="32">
        <v>0</v>
      </c>
      <c r="F53" s="95">
        <f>+F54</f>
        <v>47240734.840599999</v>
      </c>
      <c r="G53" s="22">
        <v>0</v>
      </c>
      <c r="H53" s="19">
        <v>0</v>
      </c>
      <c r="I53" s="44">
        <v>0</v>
      </c>
      <c r="J53" s="19">
        <v>0</v>
      </c>
      <c r="K53" s="71">
        <v>0</v>
      </c>
      <c r="L53" s="69">
        <v>0</v>
      </c>
      <c r="M53" s="58">
        <f>SUM(D53:L53)</f>
        <v>107078998.972</v>
      </c>
      <c r="N53" s="108"/>
    </row>
    <row r="54" spans="2:14" ht="16.5" customHeight="1" x14ac:dyDescent="0.25">
      <c r="B54" s="10" t="s">
        <v>48</v>
      </c>
      <c r="C54" s="15" t="s">
        <v>45</v>
      </c>
      <c r="D54" s="93">
        <v>59838264.131399997</v>
      </c>
      <c r="E54" s="45">
        <v>0</v>
      </c>
      <c r="F54" s="96">
        <v>47240734.840599999</v>
      </c>
      <c r="G54" s="87">
        <v>0</v>
      </c>
      <c r="H54" s="44">
        <v>0</v>
      </c>
      <c r="I54" s="19">
        <v>0</v>
      </c>
      <c r="J54" s="44">
        <v>0</v>
      </c>
      <c r="K54" s="44">
        <v>0</v>
      </c>
      <c r="L54" s="44">
        <v>0</v>
      </c>
      <c r="M54" s="140">
        <f t="shared" ref="M54" si="25">SUM(D54:L54)</f>
        <v>107078998.972</v>
      </c>
      <c r="N54" s="108"/>
    </row>
    <row r="55" spans="2:14" ht="15" customHeight="1" x14ac:dyDescent="0.25">
      <c r="B55" s="33" t="s">
        <v>76</v>
      </c>
      <c r="C55" s="15"/>
      <c r="D55" s="19">
        <v>0</v>
      </c>
      <c r="E55" s="32">
        <v>0</v>
      </c>
      <c r="F55" s="95">
        <f>+F56</f>
        <v>111158058.493</v>
      </c>
      <c r="G55" s="22">
        <v>0</v>
      </c>
      <c r="H55" s="19">
        <v>0</v>
      </c>
      <c r="I55" s="44">
        <v>0</v>
      </c>
      <c r="J55" s="19">
        <v>0</v>
      </c>
      <c r="K55" s="71">
        <v>0</v>
      </c>
      <c r="L55" s="69">
        <v>0</v>
      </c>
      <c r="M55" s="58">
        <f>SUM(D55:L55)</f>
        <v>111158058.493</v>
      </c>
      <c r="N55" s="108"/>
    </row>
    <row r="56" spans="2:14" ht="12.95" customHeight="1" x14ac:dyDescent="0.25">
      <c r="B56" s="10" t="s">
        <v>48</v>
      </c>
      <c r="C56" s="15" t="s">
        <v>45</v>
      </c>
      <c r="D56" s="19">
        <v>0</v>
      </c>
      <c r="E56" s="45">
        <v>0</v>
      </c>
      <c r="F56" s="96">
        <v>111158058.493</v>
      </c>
      <c r="G56" s="87">
        <v>0</v>
      </c>
      <c r="H56" s="44">
        <v>0</v>
      </c>
      <c r="I56" s="19">
        <v>0</v>
      </c>
      <c r="J56" s="44">
        <v>0</v>
      </c>
      <c r="K56" s="44">
        <v>0</v>
      </c>
      <c r="L56" s="44">
        <v>0</v>
      </c>
      <c r="M56" s="140">
        <f t="shared" ref="M56" si="26">SUM(D56:L56)</f>
        <v>111158058.493</v>
      </c>
      <c r="N56" s="108"/>
    </row>
    <row r="57" spans="2:14" ht="15" customHeight="1" x14ac:dyDescent="0.25">
      <c r="B57" s="33" t="s">
        <v>88</v>
      </c>
      <c r="C57" s="15"/>
      <c r="D57" s="19">
        <v>0</v>
      </c>
      <c r="E57" s="32">
        <v>0</v>
      </c>
      <c r="F57" s="95">
        <f>+F58</f>
        <v>49239146.049000002</v>
      </c>
      <c r="G57" s="22">
        <v>0</v>
      </c>
      <c r="H57" s="19">
        <v>0</v>
      </c>
      <c r="I57" s="44">
        <v>0</v>
      </c>
      <c r="J57" s="19">
        <v>0</v>
      </c>
      <c r="K57" s="71">
        <v>0</v>
      </c>
      <c r="L57" s="69">
        <v>0</v>
      </c>
      <c r="M57" s="58">
        <f>SUM(D57:L57)</f>
        <v>49239146.049000002</v>
      </c>
      <c r="N57" s="108"/>
    </row>
    <row r="58" spans="2:14" ht="15" customHeight="1" x14ac:dyDescent="0.25">
      <c r="B58" s="10" t="s">
        <v>48</v>
      </c>
      <c r="C58" s="15" t="s">
        <v>45</v>
      </c>
      <c r="D58" s="19">
        <v>0</v>
      </c>
      <c r="E58" s="45">
        <v>0</v>
      </c>
      <c r="F58" s="96">
        <v>49239146.049000002</v>
      </c>
      <c r="G58" s="87">
        <v>0</v>
      </c>
      <c r="H58" s="44">
        <v>0</v>
      </c>
      <c r="I58" s="19">
        <v>0</v>
      </c>
      <c r="J58" s="44">
        <v>0</v>
      </c>
      <c r="K58" s="44">
        <v>0</v>
      </c>
      <c r="L58" s="44">
        <v>0</v>
      </c>
      <c r="M58" s="141">
        <f t="shared" ref="M58" si="27">SUM(D58:L58)</f>
        <v>49239146.049000002</v>
      </c>
      <c r="N58" s="108"/>
    </row>
    <row r="59" spans="2:14" x14ac:dyDescent="0.25">
      <c r="B59" s="144" t="s">
        <v>53</v>
      </c>
      <c r="C59" s="145"/>
      <c r="D59" s="122">
        <f t="shared" ref="D59:L59" si="28">+D7+D10+D31+D38</f>
        <v>940859425.14339995</v>
      </c>
      <c r="E59" s="122">
        <f t="shared" si="28"/>
        <v>36841401048.632591</v>
      </c>
      <c r="F59" s="23">
        <f t="shared" si="28"/>
        <v>952270292.62609994</v>
      </c>
      <c r="G59" s="23">
        <f t="shared" si="28"/>
        <v>70307903670.059555</v>
      </c>
      <c r="H59" s="23">
        <f t="shared" si="28"/>
        <v>34441344849.437073</v>
      </c>
      <c r="I59" s="25">
        <f t="shared" si="28"/>
        <v>48141252242.921577</v>
      </c>
      <c r="J59" s="23">
        <f t="shared" si="28"/>
        <v>2462160112.7471004</v>
      </c>
      <c r="K59" s="23">
        <f t="shared" si="28"/>
        <v>2043400140.9992001</v>
      </c>
      <c r="L59" s="23">
        <f t="shared" si="28"/>
        <v>11251213985.733198</v>
      </c>
      <c r="M59" s="17">
        <f>+M38+M31+M10+M7</f>
        <v>207381805768.2998</v>
      </c>
      <c r="N59" s="156">
        <f>+M59/M60</f>
        <v>0.24171935344968898</v>
      </c>
    </row>
    <row r="60" spans="2:14" ht="15" customHeight="1" x14ac:dyDescent="0.25">
      <c r="B60" s="144" t="s">
        <v>54</v>
      </c>
      <c r="C60" s="145"/>
      <c r="D60" s="143">
        <v>8386643094.5</v>
      </c>
      <c r="E60" s="143">
        <v>181431461275.91</v>
      </c>
      <c r="F60" s="143">
        <v>4597863197.2700005</v>
      </c>
      <c r="G60" s="143">
        <v>263258396002.73001</v>
      </c>
      <c r="H60" s="143">
        <v>130876672260.82001</v>
      </c>
      <c r="I60" s="143">
        <v>162328782895.76001</v>
      </c>
      <c r="J60" s="143">
        <v>25386426991.779999</v>
      </c>
      <c r="K60" s="143">
        <v>19120082547.700001</v>
      </c>
      <c r="L60" s="143">
        <v>55037316620.550003</v>
      </c>
      <c r="M60" s="23">
        <v>857944565913.56006</v>
      </c>
      <c r="N60" s="157"/>
    </row>
    <row r="61" spans="2:14" ht="15.75" customHeight="1" x14ac:dyDescent="0.25">
      <c r="B61" s="144" t="s">
        <v>55</v>
      </c>
      <c r="C61" s="145"/>
      <c r="D61" s="137">
        <f>+D59/D60</f>
        <v>0.11218546139878302</v>
      </c>
      <c r="E61" s="137">
        <f>+E59/E60</f>
        <v>0.20305960603275092</v>
      </c>
      <c r="F61" s="137">
        <f>+F59/F60</f>
        <v>0.20711148891761594</v>
      </c>
      <c r="G61" s="137">
        <f t="shared" ref="G61:L61" si="29">+G59/G60</f>
        <v>0.26706803937729096</v>
      </c>
      <c r="H61" s="137">
        <f t="shared" si="29"/>
        <v>0.26315877577327151</v>
      </c>
      <c r="I61" s="137">
        <f t="shared" si="29"/>
        <v>0.29656633521262615</v>
      </c>
      <c r="J61" s="137">
        <f>+J59/J60</f>
        <v>9.6987264633354497E-2</v>
      </c>
      <c r="K61" s="137">
        <f t="shared" si="29"/>
        <v>0.1068719309083216</v>
      </c>
      <c r="L61" s="137">
        <f t="shared" si="29"/>
        <v>0.20442882532416534</v>
      </c>
      <c r="M61" s="146" t="s">
        <v>56</v>
      </c>
      <c r="N61" s="147"/>
    </row>
    <row r="62" spans="2:14" s="120" customFormat="1" x14ac:dyDescent="0.25">
      <c r="B62" s="148" t="s">
        <v>100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r="63" spans="2:14" s="120" customFormat="1" ht="15" customHeight="1" x14ac:dyDescent="0.25">
      <c r="B63" s="149" t="s">
        <v>98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2:14" ht="15.75" x14ac:dyDescent="0.25">
      <c r="B64" s="34" t="s">
        <v>59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142"/>
      <c r="N64" s="34"/>
    </row>
    <row r="65" spans="2:14" x14ac:dyDescent="0.25">
      <c r="B65" s="35"/>
      <c r="C65" s="35"/>
      <c r="D65" s="35"/>
      <c r="E65" s="47"/>
      <c r="F65" s="47"/>
      <c r="G65" s="35"/>
      <c r="H65" s="35"/>
      <c r="I65" s="35"/>
      <c r="J65" s="57"/>
      <c r="K65" s="35"/>
      <c r="L65" s="35"/>
      <c r="M65" s="36"/>
      <c r="N65" s="35"/>
    </row>
    <row r="66" spans="2:14" x14ac:dyDescent="0.25">
      <c r="D66" s="8" t="e">
        <f>+D59-GETPIVOTDATA("Valor Instrumento",[1]Hoja2!$A$3,"Tipo de Fondo",1,"Nombre AFP","AFP ATLANTICO")</f>
        <v>#REF!</v>
      </c>
      <c r="E66" s="8"/>
      <c r="F66" s="7"/>
      <c r="G66" s="41"/>
      <c r="H66" s="41"/>
      <c r="I66" s="41"/>
      <c r="J66" s="41"/>
      <c r="K66" s="41"/>
      <c r="L66" s="41"/>
      <c r="M66" s="55"/>
    </row>
    <row r="67" spans="2:14" x14ac:dyDescent="0.25">
      <c r="M67" s="56"/>
    </row>
  </sheetData>
  <mergeCells count="22">
    <mergeCell ref="B1:N1"/>
    <mergeCell ref="B2:N2"/>
    <mergeCell ref="B3:N3"/>
    <mergeCell ref="B5:B6"/>
    <mergeCell ref="C5:C6"/>
    <mergeCell ref="D5:D6"/>
    <mergeCell ref="E5:E6"/>
    <mergeCell ref="F5:F6"/>
    <mergeCell ref="G5:G6"/>
    <mergeCell ref="H5:H6"/>
    <mergeCell ref="B61:C61"/>
    <mergeCell ref="M61:N61"/>
    <mergeCell ref="B62:N62"/>
    <mergeCell ref="B63:N63"/>
    <mergeCell ref="I5:I6"/>
    <mergeCell ref="J5:J6"/>
    <mergeCell ref="K5:K6"/>
    <mergeCell ref="L5:L6"/>
    <mergeCell ref="M5:N5"/>
    <mergeCell ref="B59:C59"/>
    <mergeCell ref="N59:N60"/>
    <mergeCell ref="B60:C60"/>
  </mergeCells>
  <printOptions horizontalCentered="1"/>
  <pageMargins left="0.15748031496062992" right="0.19685039370078741" top="0.74803149606299213" bottom="0.74803149606299213" header="0.31496062992125984" footer="0.31496062992125984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9" ma:contentTypeDescription="Crear nuevo documento." ma:contentTypeScope="" ma:versionID="97933b393e49022de7e3fb232a3f6372">
  <xsd:schema xmlns:xsd="http://www.w3.org/2001/XMLSchema" xmlns:xs="http://www.w3.org/2001/XMLSchema" xmlns:p="http://schemas.microsoft.com/office/2006/metadata/properties" xmlns:ns2="3d356bbc-c7e3-4705-a35e-a22d7fa248ea" targetNamespace="http://schemas.microsoft.com/office/2006/metadata/properties" ma:root="true" ma:fieldsID="6748c35f8d97a798a7749d5640898e13" ns2:_="">
    <xsd:import namespace="3d356bbc-c7e3-4705-a35e-a22d7fa2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BFEC01-2491-4C1B-8486-73BC0E9DB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EED82F-A6AD-4DD5-AEEF-C0BE4EED37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D7246D-9B35-42B5-B0CA-C72B92050A7C}">
  <ds:schemaRefs>
    <ds:schemaRef ds:uri="http://schemas.microsoft.com/office/2006/documentManagement/types"/>
    <ds:schemaRef ds:uri="http://purl.org/dc/terms/"/>
    <ds:schemaRef ds:uri="http://purl.org/dc/elements/1.1/"/>
    <ds:schemaRef ds:uri="3d356bbc-c7e3-4705-a35e-a22d7fa248ea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Fernandez Brea</dc:creator>
  <cp:keywords/>
  <dc:description/>
  <cp:lastModifiedBy>Indhira Alvarez</cp:lastModifiedBy>
  <cp:revision/>
  <dcterms:created xsi:type="dcterms:W3CDTF">2016-07-11T15:42:24Z</dcterms:created>
  <dcterms:modified xsi:type="dcterms:W3CDTF">2022-01-20T13:56:58Z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</Properties>
</file>