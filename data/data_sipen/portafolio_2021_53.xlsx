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05" yWindow="-105" windowWidth="19425" windowHeight="10425" firstSheet="3" activeTab="11"/>
  </bookViews>
  <sheets>
    <sheet name="Enero" sheetId="15" r:id="rId1"/>
    <sheet name="Febrero" sheetId="16" r:id="rId2"/>
    <sheet name="Marzo" sheetId="17" r:id="rId3"/>
    <sheet name="Abril" sheetId="18" r:id="rId4"/>
    <sheet name="Mayo" sheetId="19" r:id="rId5"/>
    <sheet name="Junio" sheetId="20" r:id="rId6"/>
    <sheet name="Julio" sheetId="21" r:id="rId7"/>
    <sheet name="Agosto" sheetId="22" r:id="rId8"/>
    <sheet name="Septiembre" sheetId="23" r:id="rId9"/>
    <sheet name="Octubre" sheetId="24" r:id="rId10"/>
    <sheet name="Noviembre" sheetId="25" r:id="rId11"/>
    <sheet name="Diciembre" sheetId="26" r:id="rId12"/>
  </sheets>
  <definedNames>
    <definedName name="SegmentaciónDeDatos_Calificación_de_Riesgo">#N/A</definedName>
    <definedName name="SegmentaciónDeDatos_Nombre_AFP">#N/A</definedName>
    <definedName name="SegmentaciónDeDatos_Tipo_Moneda">#N/A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26" l="1"/>
  <c r="O11" i="26" l="1"/>
  <c r="M11" i="26"/>
  <c r="K11" i="26"/>
  <c r="I11" i="26"/>
  <c r="G11" i="26"/>
  <c r="E11" i="26"/>
  <c r="C11" i="26"/>
  <c r="Q10" i="26"/>
  <c r="L10" i="26" s="1"/>
  <c r="Q9" i="26"/>
  <c r="L9" i="26" s="1"/>
  <c r="Q8" i="26"/>
  <c r="L8" i="26" s="1"/>
  <c r="O11" i="25"/>
  <c r="M11" i="25"/>
  <c r="K11" i="25"/>
  <c r="I11" i="25"/>
  <c r="G11" i="25"/>
  <c r="E11" i="25"/>
  <c r="C11" i="25"/>
  <c r="Q10" i="25"/>
  <c r="P10" i="25" s="1"/>
  <c r="Q9" i="25"/>
  <c r="P9" i="25" s="1"/>
  <c r="Q8" i="25"/>
  <c r="N10" i="26" l="1"/>
  <c r="H9" i="26"/>
  <c r="P10" i="26"/>
  <c r="F10" i="26"/>
  <c r="H10" i="26"/>
  <c r="F8" i="26"/>
  <c r="N8" i="26"/>
  <c r="P8" i="26"/>
  <c r="H8" i="26"/>
  <c r="N9" i="26"/>
  <c r="J9" i="26"/>
  <c r="J8" i="26"/>
  <c r="F9" i="26"/>
  <c r="P9" i="26"/>
  <c r="J10" i="26"/>
  <c r="D8" i="26"/>
  <c r="D9" i="26"/>
  <c r="D10" i="26"/>
  <c r="J11" i="26"/>
  <c r="D10" i="25"/>
  <c r="H9" i="25"/>
  <c r="H10" i="25"/>
  <c r="J9" i="25"/>
  <c r="J10" i="25"/>
  <c r="L10" i="25"/>
  <c r="F9" i="25"/>
  <c r="N9" i="25"/>
  <c r="D9" i="25"/>
  <c r="L9" i="25"/>
  <c r="F10" i="25"/>
  <c r="N10" i="25"/>
  <c r="L8" i="25"/>
  <c r="D8" i="25"/>
  <c r="H8" i="25"/>
  <c r="F8" i="25"/>
  <c r="J8" i="25"/>
  <c r="N8" i="25"/>
  <c r="P8" i="25"/>
  <c r="Q11" i="25"/>
  <c r="P11" i="25" s="1"/>
  <c r="O8" i="24"/>
  <c r="F11" i="26" l="1"/>
  <c r="P11" i="26"/>
  <c r="D11" i="26"/>
  <c r="L11" i="26"/>
  <c r="H11" i="26"/>
  <c r="N11" i="26"/>
  <c r="L11" i="25"/>
  <c r="N11" i="25"/>
  <c r="H11" i="25"/>
  <c r="J11" i="25"/>
  <c r="F11" i="25"/>
  <c r="D11" i="25"/>
  <c r="O11" i="24"/>
  <c r="M11" i="24"/>
  <c r="K11" i="24"/>
  <c r="I11" i="24"/>
  <c r="G11" i="24"/>
  <c r="E11" i="24"/>
  <c r="C11" i="24"/>
  <c r="Q10" i="24"/>
  <c r="L10" i="24" s="1"/>
  <c r="Q9" i="24"/>
  <c r="L9" i="24" s="1"/>
  <c r="Q8" i="24"/>
  <c r="Q11" i="24" l="1"/>
  <c r="L8" i="24"/>
  <c r="P8" i="24"/>
  <c r="N10" i="24"/>
  <c r="F10" i="24"/>
  <c r="F8" i="24"/>
  <c r="P9" i="24"/>
  <c r="P10" i="24"/>
  <c r="N9" i="24"/>
  <c r="H10" i="24"/>
  <c r="F9" i="24"/>
  <c r="H8" i="24"/>
  <c r="N8" i="24"/>
  <c r="H9" i="24"/>
  <c r="J9" i="24"/>
  <c r="J8" i="24"/>
  <c r="J10" i="24"/>
  <c r="D8" i="24"/>
  <c r="D9" i="24"/>
  <c r="D10" i="24"/>
  <c r="C11" i="23"/>
  <c r="E11" i="23"/>
  <c r="G11" i="23"/>
  <c r="I11" i="23"/>
  <c r="K11" i="23"/>
  <c r="M11" i="23"/>
  <c r="O11" i="23"/>
  <c r="Q10" i="23"/>
  <c r="Q9" i="23"/>
  <c r="Q8" i="23"/>
  <c r="P8" i="23" s="1"/>
  <c r="C11" i="22"/>
  <c r="Q11" i="22" s="1"/>
  <c r="E11" i="22"/>
  <c r="G11" i="22"/>
  <c r="I11" i="22"/>
  <c r="K11" i="22"/>
  <c r="L11" i="22" s="1"/>
  <c r="M11" i="22"/>
  <c r="O11" i="22"/>
  <c r="Q10" i="22"/>
  <c r="L10" i="22" s="1"/>
  <c r="P10" i="22"/>
  <c r="N10" i="22"/>
  <c r="J10" i="22"/>
  <c r="H10" i="22"/>
  <c r="F10" i="22"/>
  <c r="Q9" i="22"/>
  <c r="L9" i="22" s="1"/>
  <c r="P9" i="22"/>
  <c r="N9" i="22"/>
  <c r="J9" i="22"/>
  <c r="H9" i="22"/>
  <c r="F9" i="22"/>
  <c r="Q8" i="22"/>
  <c r="L8" i="22" s="1"/>
  <c r="N8" i="22"/>
  <c r="J8" i="22"/>
  <c r="F8" i="22"/>
  <c r="O11" i="21"/>
  <c r="M11" i="21"/>
  <c r="K11" i="21"/>
  <c r="I11" i="21"/>
  <c r="G11" i="21"/>
  <c r="E11" i="21"/>
  <c r="C11" i="21"/>
  <c r="Q11" i="21" s="1"/>
  <c r="Q10" i="21"/>
  <c r="N10" i="21"/>
  <c r="Q9" i="21"/>
  <c r="J9" i="21" s="1"/>
  <c r="N9" i="21"/>
  <c r="Q8" i="21"/>
  <c r="N8" i="21"/>
  <c r="P8" i="21"/>
  <c r="P9" i="21"/>
  <c r="H10" i="21"/>
  <c r="P10" i="21"/>
  <c r="H9" i="21"/>
  <c r="H8" i="21"/>
  <c r="J10" i="21"/>
  <c r="D8" i="21"/>
  <c r="L8" i="21"/>
  <c r="L9" i="21"/>
  <c r="D10" i="21"/>
  <c r="L10" i="21"/>
  <c r="J8" i="21"/>
  <c r="F8" i="21"/>
  <c r="F10" i="21"/>
  <c r="O11" i="20"/>
  <c r="M11" i="20"/>
  <c r="K11" i="20"/>
  <c r="I11" i="20"/>
  <c r="G11" i="20"/>
  <c r="E11" i="20"/>
  <c r="Q11" i="20" s="1"/>
  <c r="C11" i="20"/>
  <c r="Q10" i="20"/>
  <c r="P10" i="20"/>
  <c r="Q9" i="20"/>
  <c r="P9" i="20" s="1"/>
  <c r="Q8" i="20"/>
  <c r="P8" i="20"/>
  <c r="N8" i="20"/>
  <c r="N10" i="20"/>
  <c r="H10" i="20"/>
  <c r="H8" i="20"/>
  <c r="J8" i="20"/>
  <c r="D8" i="20"/>
  <c r="L8" i="20"/>
  <c r="D10" i="20"/>
  <c r="L10" i="20"/>
  <c r="J10" i="20"/>
  <c r="F8" i="20"/>
  <c r="F9" i="20"/>
  <c r="F10" i="20"/>
  <c r="Q10" i="19"/>
  <c r="H10" i="19" s="1"/>
  <c r="Q8" i="19"/>
  <c r="F8" i="19" s="1"/>
  <c r="O11" i="19"/>
  <c r="M11" i="19"/>
  <c r="K11" i="19"/>
  <c r="I11" i="19"/>
  <c r="G11" i="19"/>
  <c r="E11" i="19"/>
  <c r="C11" i="19"/>
  <c r="Q11" i="19" s="1"/>
  <c r="Q9" i="19"/>
  <c r="F9" i="19"/>
  <c r="Q8" i="18"/>
  <c r="P8" i="18"/>
  <c r="O11" i="18"/>
  <c r="M11" i="18"/>
  <c r="K11" i="18"/>
  <c r="I11" i="18"/>
  <c r="Q11" i="18" s="1"/>
  <c r="G11" i="18"/>
  <c r="E11" i="18"/>
  <c r="C11" i="18"/>
  <c r="Q10" i="18"/>
  <c r="P10" i="18" s="1"/>
  <c r="Q9" i="18"/>
  <c r="P9" i="18" s="1"/>
  <c r="Q8" i="17"/>
  <c r="J8" i="17" s="1"/>
  <c r="O11" i="17"/>
  <c r="M11" i="17"/>
  <c r="K11" i="17"/>
  <c r="L11" i="17" s="1"/>
  <c r="I11" i="17"/>
  <c r="G11" i="17"/>
  <c r="E11" i="17"/>
  <c r="C11" i="17"/>
  <c r="Q10" i="17"/>
  <c r="P10" i="17" s="1"/>
  <c r="Q9" i="17"/>
  <c r="P9" i="17"/>
  <c r="N10" i="19"/>
  <c r="J8" i="19"/>
  <c r="N9" i="19"/>
  <c r="P8" i="19"/>
  <c r="P9" i="19"/>
  <c r="H9" i="19"/>
  <c r="J9" i="19"/>
  <c r="H8" i="19"/>
  <c r="L9" i="19"/>
  <c r="P10" i="19"/>
  <c r="J10" i="19"/>
  <c r="L10" i="19"/>
  <c r="D9" i="19"/>
  <c r="D10" i="19"/>
  <c r="F10" i="19"/>
  <c r="D8" i="18"/>
  <c r="H9" i="18"/>
  <c r="H10" i="18"/>
  <c r="J8" i="18"/>
  <c r="F9" i="18"/>
  <c r="J10" i="18"/>
  <c r="L8" i="18"/>
  <c r="N8" i="18"/>
  <c r="N9" i="18"/>
  <c r="N10" i="18"/>
  <c r="D9" i="18"/>
  <c r="F8" i="18"/>
  <c r="H8" i="18"/>
  <c r="J9" i="18"/>
  <c r="L9" i="18"/>
  <c r="F10" i="17"/>
  <c r="J10" i="17"/>
  <c r="F9" i="17"/>
  <c r="L10" i="17"/>
  <c r="Q11" i="17"/>
  <c r="F11" i="17" s="1"/>
  <c r="D9" i="17"/>
  <c r="N9" i="17"/>
  <c r="L9" i="17"/>
  <c r="J9" i="17"/>
  <c r="D10" i="17"/>
  <c r="N10" i="17"/>
  <c r="P8" i="17"/>
  <c r="H9" i="17"/>
  <c r="H10" i="17"/>
  <c r="O11" i="16"/>
  <c r="M11" i="16"/>
  <c r="K11" i="16"/>
  <c r="I11" i="16"/>
  <c r="G11" i="16"/>
  <c r="E11" i="16"/>
  <c r="F11" i="16" s="1"/>
  <c r="C11" i="16"/>
  <c r="Q10" i="16"/>
  <c r="H10" i="16" s="1"/>
  <c r="Q9" i="16"/>
  <c r="H9" i="16" s="1"/>
  <c r="Q8" i="16"/>
  <c r="H8" i="16" s="1"/>
  <c r="O11" i="15"/>
  <c r="M11" i="15"/>
  <c r="K11" i="15"/>
  <c r="G11" i="15"/>
  <c r="E11" i="15"/>
  <c r="Q11" i="15" s="1"/>
  <c r="C11" i="15"/>
  <c r="Q10" i="15"/>
  <c r="F10" i="15" s="1"/>
  <c r="Q9" i="15"/>
  <c r="F9" i="15" s="1"/>
  <c r="D11" i="17"/>
  <c r="L10" i="16"/>
  <c r="P8" i="16"/>
  <c r="N9" i="16"/>
  <c r="P10" i="16"/>
  <c r="J8" i="16"/>
  <c r="L8" i="16"/>
  <c r="N8" i="16"/>
  <c r="J10" i="16"/>
  <c r="N10" i="16"/>
  <c r="Q11" i="16"/>
  <c r="D11" i="16" s="1"/>
  <c r="D8" i="16"/>
  <c r="D10" i="16"/>
  <c r="F8" i="16"/>
  <c r="F10" i="16"/>
  <c r="H10" i="15"/>
  <c r="J10" i="15"/>
  <c r="L10" i="15"/>
  <c r="N10" i="15"/>
  <c r="P9" i="15"/>
  <c r="P10" i="15"/>
  <c r="L9" i="15"/>
  <c r="D10" i="15"/>
  <c r="I11" i="15"/>
  <c r="Q8" i="15"/>
  <c r="J8" i="15" s="1"/>
  <c r="N11" i="16"/>
  <c r="H11" i="16"/>
  <c r="P8" i="15"/>
  <c r="F8" i="15"/>
  <c r="N11" i="21" l="1"/>
  <c r="D11" i="21"/>
  <c r="J11" i="21"/>
  <c r="H11" i="21"/>
  <c r="F11" i="21"/>
  <c r="P11" i="21"/>
  <c r="L11" i="21"/>
  <c r="L11" i="19"/>
  <c r="L11" i="20"/>
  <c r="D11" i="20"/>
  <c r="J11" i="20"/>
  <c r="H11" i="20"/>
  <c r="P11" i="20"/>
  <c r="N11" i="20"/>
  <c r="D11" i="22"/>
  <c r="F11" i="22"/>
  <c r="J11" i="22"/>
  <c r="N11" i="22"/>
  <c r="P11" i="22"/>
  <c r="H11" i="22"/>
  <c r="D11" i="18"/>
  <c r="N11" i="18"/>
  <c r="J11" i="18"/>
  <c r="F11" i="18"/>
  <c r="L11" i="18"/>
  <c r="P11" i="18"/>
  <c r="H11" i="18"/>
  <c r="N11" i="15"/>
  <c r="L11" i="15"/>
  <c r="J11" i="15"/>
  <c r="P11" i="15"/>
  <c r="D11" i="15"/>
  <c r="H11" i="15"/>
  <c r="N11" i="19"/>
  <c r="H11" i="19"/>
  <c r="J11" i="19"/>
  <c r="P11" i="19"/>
  <c r="F11" i="19"/>
  <c r="H8" i="15"/>
  <c r="J11" i="16"/>
  <c r="F11" i="15"/>
  <c r="J9" i="15"/>
  <c r="P9" i="16"/>
  <c r="L9" i="16"/>
  <c r="N11" i="17"/>
  <c r="D11" i="19"/>
  <c r="H8" i="17"/>
  <c r="N8" i="17"/>
  <c r="F8" i="17"/>
  <c r="D8" i="19"/>
  <c r="H9" i="20"/>
  <c r="N9" i="20"/>
  <c r="H8" i="22"/>
  <c r="P8" i="22"/>
  <c r="L8" i="15"/>
  <c r="L11" i="16"/>
  <c r="P11" i="16"/>
  <c r="H9" i="15"/>
  <c r="N9" i="15"/>
  <c r="D9" i="16"/>
  <c r="J9" i="16"/>
  <c r="P11" i="17"/>
  <c r="H11" i="17"/>
  <c r="L8" i="17"/>
  <c r="D10" i="18"/>
  <c r="L10" i="18"/>
  <c r="F10" i="18"/>
  <c r="N8" i="19"/>
  <c r="F11" i="20"/>
  <c r="L9" i="20"/>
  <c r="D8" i="15"/>
  <c r="N8" i="15"/>
  <c r="D9" i="15"/>
  <c r="F9" i="16"/>
  <c r="J11" i="17"/>
  <c r="D8" i="17"/>
  <c r="L8" i="19"/>
  <c r="J9" i="20"/>
  <c r="D9" i="20"/>
  <c r="F9" i="21"/>
  <c r="D9" i="21"/>
  <c r="D8" i="22"/>
  <c r="D9" i="22"/>
  <c r="D10" i="22"/>
  <c r="H11" i="24"/>
  <c r="L11" i="24"/>
  <c r="J11" i="24"/>
  <c r="D11" i="24"/>
  <c r="N11" i="24"/>
  <c r="P11" i="24"/>
  <c r="F11" i="24"/>
  <c r="P9" i="23"/>
  <c r="P10" i="23"/>
  <c r="Q11" i="23"/>
  <c r="D11" i="23" s="1"/>
  <c r="J8" i="23"/>
  <c r="D8" i="23"/>
  <c r="L8" i="23"/>
  <c r="D9" i="23"/>
  <c r="L9" i="23"/>
  <c r="D10" i="23"/>
  <c r="L10" i="23"/>
  <c r="J9" i="23"/>
  <c r="F8" i="23"/>
  <c r="N8" i="23"/>
  <c r="F9" i="23"/>
  <c r="N9" i="23"/>
  <c r="F10" i="23"/>
  <c r="N10" i="23"/>
  <c r="J10" i="23"/>
  <c r="H8" i="23"/>
  <c r="H9" i="23"/>
  <c r="H10" i="23"/>
  <c r="P11" i="23" l="1"/>
  <c r="H11" i="23"/>
  <c r="F11" i="23"/>
  <c r="L11" i="23"/>
  <c r="J11" i="23"/>
  <c r="N11" i="23"/>
</calcChain>
</file>

<file path=xl/sharedStrings.xml><?xml version="1.0" encoding="utf-8"?>
<sst xmlns="http://schemas.openxmlformats.org/spreadsheetml/2006/main" count="204" uniqueCount="28">
  <si>
    <t>Inversiones de los Fondos de Pensiones por plazo de instrumentos</t>
  </si>
  <si>
    <t>RD$</t>
  </si>
  <si>
    <t>Al 31 de enero de 2021</t>
  </si>
  <si>
    <t xml:space="preserve">FONDO  </t>
  </si>
  <si>
    <t>Años</t>
  </si>
  <si>
    <t>TOTAL</t>
  </si>
  <si>
    <t>&lt; 1</t>
  </si>
  <si>
    <t>1-3</t>
  </si>
  <si>
    <t>3-5</t>
  </si>
  <si>
    <t>5-7</t>
  </si>
  <si>
    <t>7-10</t>
  </si>
  <si>
    <t>10-15</t>
  </si>
  <si>
    <t>15 en adelante</t>
  </si>
  <si>
    <t>CCI</t>
  </si>
  <si>
    <t>REPARTO INDIVIDUALIZADO</t>
  </si>
  <si>
    <t>FONDO DE SOLIDARIDAD SOCIAL</t>
  </si>
  <si>
    <t xml:space="preserve">TOTAL </t>
  </si>
  <si>
    <t>Al 28 de febrero de 2021</t>
  </si>
  <si>
    <t>Al 31 de Marzo de 2021</t>
  </si>
  <si>
    <t>Al 30 de Abril de 2021</t>
  </si>
  <si>
    <t>Al 31 de Mayo de 2021</t>
  </si>
  <si>
    <t>Al 30 de Junio de 2021</t>
  </si>
  <si>
    <t>Al 31 de Julio de 2021</t>
  </si>
  <si>
    <t>Al 31 de Agosto de 2021</t>
  </si>
  <si>
    <t>Al 30 de Septiembre de 2021</t>
  </si>
  <si>
    <t>Al 31 de Octubre de 2021</t>
  </si>
  <si>
    <t>Al 30 de Noviembre de 2021</t>
  </si>
  <si>
    <t>Al 31 de Diciembre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</si>
</sst>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0"/>
      </left>
      <right/>
      <top style="medium">
        <color indexed="64"/>
      </top>
      <bottom style="thick">
        <color theme="0"/>
      </bottom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thick">
        <color theme="0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164" fontId="5" fillId="0" borderId="0" xfId="2" applyFont="1" applyAlignment="1">
      <alignment horizontal="center"/>
    </xf>
    <xf numFmtId="164" fontId="4" fillId="0" borderId="0" xfId="2" applyFont="1" applyFill="1" applyBorder="1" applyAlignment="1">
      <alignment horizontal="center"/>
    </xf>
    <xf numFmtId="164" fontId="6" fillId="0" borderId="0" xfId="2" applyFont="1" applyFill="1" applyBorder="1" applyAlignment="1">
      <alignment horizontal="center" vertical="center"/>
    </xf>
    <xf numFmtId="0" fontId="3" fillId="0" borderId="0" xfId="5" applyFont="1"/>
    <xf numFmtId="0" fontId="4" fillId="0" borderId="0" xfId="5" applyFont="1"/>
    <xf numFmtId="164" fontId="4" fillId="3" borderId="6" xfId="2" applyFont="1" applyFill="1" applyBorder="1" applyAlignment="1">
      <alignment horizontal="center"/>
    </xf>
    <xf numFmtId="164" fontId="6" fillId="3" borderId="7" xfId="2" applyFont="1" applyFill="1" applyBorder="1" applyAlignment="1">
      <alignment horizontal="center" vertical="center"/>
    </xf>
    <xf numFmtId="164" fontId="6" fillId="3" borderId="6" xfId="2" applyFont="1" applyFill="1" applyBorder="1" applyAlignment="1">
      <alignment horizontal="center" vertical="center"/>
    </xf>
    <xf numFmtId="10" fontId="6" fillId="3" borderId="1" xfId="4" applyNumberFormat="1" applyFont="1" applyFill="1" applyBorder="1" applyAlignment="1">
      <alignment horizontal="center" vertical="center"/>
    </xf>
    <xf numFmtId="0" fontId="4" fillId="3" borderId="8" xfId="2" applyNumberFormat="1" applyFont="1" applyFill="1" applyBorder="1" applyAlignment="1">
      <alignment horizontal="center" vertical="center" wrapText="1"/>
    </xf>
    <xf numFmtId="0" fontId="4" fillId="3" borderId="9" xfId="2" applyNumberFormat="1" applyFont="1" applyFill="1" applyBorder="1" applyAlignment="1">
      <alignment horizontal="center" vertical="center" wrapText="1"/>
    </xf>
    <xf numFmtId="0" fontId="4" fillId="3" borderId="10" xfId="2" applyNumberFormat="1" applyFont="1" applyFill="1" applyBorder="1" applyAlignment="1">
      <alignment horizontal="center" vertical="center" wrapText="1"/>
    </xf>
    <xf numFmtId="164" fontId="6" fillId="3" borderId="1" xfId="2" applyFont="1" applyFill="1" applyBorder="1" applyAlignment="1">
      <alignment horizontal="center" vertical="center"/>
    </xf>
    <xf numFmtId="0" fontId="4" fillId="0" borderId="0" xfId="1" applyFont="1" applyAlignment="1"/>
    <xf numFmtId="164" fontId="5" fillId="0" borderId="15" xfId="2" applyFont="1" applyFill="1" applyBorder="1" applyAlignment="1">
      <alignment horizontal="center" vertical="center"/>
    </xf>
    <xf numFmtId="164" fontId="5" fillId="0" borderId="15" xfId="2" applyFont="1" applyBorder="1" applyAlignment="1">
      <alignment horizontal="center" vertical="center"/>
    </xf>
    <xf numFmtId="164" fontId="5" fillId="0" borderId="16" xfId="2" applyFont="1" applyBorder="1" applyAlignment="1">
      <alignment horizontal="center" vertical="center"/>
    </xf>
    <xf numFmtId="164" fontId="6" fillId="3" borderId="17" xfId="2" applyFont="1" applyFill="1" applyBorder="1" applyAlignment="1">
      <alignment horizontal="center" vertical="center"/>
    </xf>
    <xf numFmtId="10" fontId="6" fillId="0" borderId="8" xfId="3" applyNumberFormat="1" applyFont="1" applyBorder="1" applyAlignment="1">
      <alignment horizontal="center" vertical="center"/>
    </xf>
    <xf numFmtId="10" fontId="6" fillId="0" borderId="9" xfId="3" applyNumberFormat="1" applyFont="1" applyBorder="1" applyAlignment="1">
      <alignment horizontal="center" vertical="center"/>
    </xf>
    <xf numFmtId="10" fontId="6" fillId="0" borderId="10" xfId="3" applyNumberFormat="1" applyFont="1" applyBorder="1" applyAlignment="1">
      <alignment horizontal="center" vertical="center"/>
    </xf>
    <xf numFmtId="43" fontId="3" fillId="0" borderId="0" xfId="1" applyNumberFormat="1" applyFont="1"/>
    <xf numFmtId="164" fontId="3" fillId="0" borderId="0" xfId="1" applyNumberFormat="1" applyFont="1"/>
    <xf numFmtId="10" fontId="3" fillId="0" borderId="0" xfId="1" applyNumberFormat="1" applyFont="1"/>
    <xf numFmtId="43" fontId="3" fillId="0" borderId="0" xfId="6" applyFont="1" applyAlignment="1">
      <alignment horizontal="center"/>
    </xf>
    <xf numFmtId="43" fontId="3" fillId="0" borderId="0" xfId="6" applyFont="1"/>
    <xf numFmtId="164" fontId="3" fillId="0" borderId="0" xfId="1" applyNumberFormat="1" applyFont="1" applyAlignment="1">
      <alignment horizontal="center"/>
    </xf>
    <xf numFmtId="10" fontId="5" fillId="0" borderId="0" xfId="2" applyNumberFormat="1" applyFont="1" applyAlignment="1">
      <alignment horizontal="center"/>
    </xf>
    <xf numFmtId="10" fontId="3" fillId="0" borderId="0" xfId="5" applyNumberFormat="1" applyFont="1"/>
    <xf numFmtId="10" fontId="3" fillId="0" borderId="0" xfId="1" applyNumberFormat="1" applyFont="1" applyAlignment="1">
      <alignment horizontal="center"/>
    </xf>
    <xf numFmtId="4" fontId="3" fillId="0" borderId="0" xfId="1" applyNumberFormat="1" applyFont="1"/>
    <xf numFmtId="43" fontId="3" fillId="0" borderId="0" xfId="6" applyNumberFormat="1" applyFont="1"/>
    <xf numFmtId="49" fontId="7" fillId="2" borderId="5" xfId="5" applyNumberFormat="1" applyFont="1" applyFill="1" applyBorder="1" applyAlignment="1">
      <alignment horizontal="center"/>
    </xf>
    <xf numFmtId="0" fontId="7" fillId="2" borderId="5" xfId="5" applyFont="1" applyFill="1" applyBorder="1" applyAlignment="1">
      <alignment horizontal="center"/>
    </xf>
    <xf numFmtId="0" fontId="4" fillId="0" borderId="0" xfId="1" applyFont="1" applyAlignment="1">
      <alignment horizontal="center"/>
    </xf>
    <xf numFmtId="164" fontId="7" fillId="2" borderId="2" xfId="2" applyFont="1" applyFill="1" applyBorder="1" applyAlignment="1">
      <alignment horizontal="center" vertical="center" wrapText="1"/>
    </xf>
    <xf numFmtId="164" fontId="7" fillId="2" borderId="4" xfId="2" applyFont="1" applyFill="1" applyBorder="1" applyAlignment="1">
      <alignment horizontal="center" vertical="center" wrapText="1"/>
    </xf>
    <xf numFmtId="0" fontId="7" fillId="2" borderId="11" xfId="5" applyFont="1" applyFill="1" applyBorder="1" applyAlignment="1">
      <alignment horizontal="center"/>
    </xf>
    <xf numFmtId="0" fontId="7" fillId="2" borderId="12" xfId="5" applyFont="1" applyFill="1" applyBorder="1" applyAlignment="1">
      <alignment horizontal="center"/>
    </xf>
    <xf numFmtId="0" fontId="7" fillId="2" borderId="13" xfId="5" applyFont="1" applyFill="1" applyBorder="1" applyAlignment="1">
      <alignment horizontal="center"/>
    </xf>
    <xf numFmtId="164" fontId="7" fillId="2" borderId="3" xfId="2" applyFont="1" applyFill="1" applyBorder="1" applyAlignment="1">
      <alignment horizontal="center" vertical="center" wrapText="1"/>
    </xf>
    <xf numFmtId="164" fontId="7" fillId="2" borderId="14" xfId="2" applyFont="1" applyFill="1" applyBorder="1" applyAlignment="1">
      <alignment horizontal="center" vertical="center" wrapText="1"/>
    </xf>
    <xf numFmtId="164" fontId="7" fillId="2" borderId="5" xfId="2" applyFont="1" applyFill="1" applyBorder="1" applyAlignment="1">
      <alignment horizontal="center"/>
    </xf>
  </cellXfs>
  <cellStyles count="7">
    <cellStyle name="Millares" xfId="6" builtinId="3"/>
    <cellStyle name="Millares 2" xfId="2"/>
    <cellStyle name="Normal" xfId="0" builtinId="0"/>
    <cellStyle name="Normal 2" xfId="1"/>
    <cellStyle name="Normal 2 2" xfId="5"/>
    <cellStyle name="Porcentaje" xfId="4" builtinId="5"/>
    <cellStyle name="Porcentua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zoomScale="90" zoomScaleNormal="90" workbookViewId="0">
      <selection activeCell="D15" sqref="D15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2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x14ac:dyDescent="0.25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x14ac:dyDescent="0.25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x14ac:dyDescent="0.25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x14ac:dyDescent="0.25">
      <c r="B8" s="12" t="s">
        <v>13</v>
      </c>
      <c r="C8" s="17">
        <v>47495270689.291275</v>
      </c>
      <c r="D8" s="21">
        <f>+C8/Q8</f>
        <v>7.2667443290229242E-2</v>
      </c>
      <c r="E8" s="18">
        <v>129138881925.74063</v>
      </c>
      <c r="F8" s="21">
        <f>+E8/Q8</f>
        <v>0.19758161692124462</v>
      </c>
      <c r="G8" s="18">
        <v>103609310561.59067</v>
      </c>
      <c r="H8" s="21">
        <f>+G8/Q8</f>
        <v>0.15852154520453554</v>
      </c>
      <c r="I8" s="18">
        <v>112726319780.27959</v>
      </c>
      <c r="J8" s="21">
        <f>+I8/Q8</f>
        <v>0.17247050771723788</v>
      </c>
      <c r="K8" s="18">
        <v>105904342669.37544</v>
      </c>
      <c r="L8" s="21">
        <f>+K8/Q8</f>
        <v>0.1620329288248695</v>
      </c>
      <c r="M8" s="18">
        <v>77566766121.610107</v>
      </c>
      <c r="N8" s="21">
        <f>+M8/Q8</f>
        <v>0.11867662814730419</v>
      </c>
      <c r="O8" s="18">
        <v>77156765453.252533</v>
      </c>
      <c r="P8" s="21">
        <f>+O8/Q8</f>
        <v>0.11804932989456368</v>
      </c>
      <c r="Q8" s="20">
        <f>+C8+E8+G8+I8+K8+M8+O8+0.01</f>
        <v>653597657201.15027</v>
      </c>
    </row>
    <row r="9" spans="2:19" ht="36" customHeight="1" x14ac:dyDescent="0.25">
      <c r="B9" s="13" t="s">
        <v>14</v>
      </c>
      <c r="C9" s="18">
        <v>10954576100.492599</v>
      </c>
      <c r="D9" s="22">
        <f t="shared" ref="D9:D11" si="0">+C9/Q9</f>
        <v>0.26672536316382062</v>
      </c>
      <c r="E9" s="18">
        <v>9454681700.5848999</v>
      </c>
      <c r="F9" s="22">
        <f t="shared" ref="F9:F11" si="1">+E9/Q9</f>
        <v>0.23020547641943329</v>
      </c>
      <c r="G9" s="18">
        <v>6162444799.822401</v>
      </c>
      <c r="H9" s="22">
        <f t="shared" ref="H9:H11" si="2">+G9/Q9</f>
        <v>0.15004508728874644</v>
      </c>
      <c r="I9" s="18">
        <v>7811969375.5611019</v>
      </c>
      <c r="J9" s="22">
        <f t="shared" ref="J9:J11" si="3">+I9/Q9</f>
        <v>0.19020821523413248</v>
      </c>
      <c r="K9" s="18">
        <v>6320131841.806201</v>
      </c>
      <c r="L9" s="22">
        <f t="shared" ref="L9:L10" si="4">+K9/Q9</f>
        <v>0.15388449952647479</v>
      </c>
      <c r="M9" s="18">
        <v>189334155.3301</v>
      </c>
      <c r="N9" s="22">
        <f t="shared" ref="N9:N10" si="5">+M9/Q9</f>
        <v>4.6099658148766962E-3</v>
      </c>
      <c r="O9" s="18">
        <v>177482272.4585</v>
      </c>
      <c r="P9" s="22">
        <f>+O9/Q9</f>
        <v>4.3213925525155518E-3</v>
      </c>
      <c r="Q9" s="20">
        <f t="shared" ref="Q9:Q10" si="6">+C9+E9+G9+I9+K9+M9+O9</f>
        <v>41070620246.055809</v>
      </c>
    </row>
    <row r="10" spans="2:19" ht="34.5" customHeight="1" x14ac:dyDescent="0.25">
      <c r="B10" s="14" t="s">
        <v>15</v>
      </c>
      <c r="C10" s="19">
        <v>3435208176.0818</v>
      </c>
      <c r="D10" s="23">
        <f t="shared" si="0"/>
        <v>7.4344090357129883E-2</v>
      </c>
      <c r="E10" s="19">
        <v>12654743165.892494</v>
      </c>
      <c r="F10" s="23">
        <f t="shared" si="1"/>
        <v>0.27387142820685367</v>
      </c>
      <c r="G10" s="19">
        <v>7150963115.2966995</v>
      </c>
      <c r="H10" s="23">
        <f t="shared" si="2"/>
        <v>0.15475971782021675</v>
      </c>
      <c r="I10" s="19">
        <v>11161814474.053196</v>
      </c>
      <c r="J10" s="23">
        <f t="shared" si="3"/>
        <v>0.24156176315201319</v>
      </c>
      <c r="K10" s="19">
        <v>6324040069.4111996</v>
      </c>
      <c r="L10" s="23">
        <f t="shared" si="4"/>
        <v>0.136863614151814</v>
      </c>
      <c r="M10" s="19">
        <v>1824511002.3277001</v>
      </c>
      <c r="N10" s="23">
        <f t="shared" si="5"/>
        <v>3.9485703300037277E-2</v>
      </c>
      <c r="O10" s="19">
        <v>3655596153.1982002</v>
      </c>
      <c r="P10" s="23">
        <f>+O10/Q10</f>
        <v>7.9113683011935151E-2</v>
      </c>
      <c r="Q10" s="20">
        <f t="shared" si="6"/>
        <v>46206876156.261292</v>
      </c>
    </row>
    <row r="11" spans="2:19" x14ac:dyDescent="0.25">
      <c r="B11" s="8" t="s">
        <v>16</v>
      </c>
      <c r="C11" s="10">
        <f>SUM(C8:C10)</f>
        <v>61885054965.865677</v>
      </c>
      <c r="D11" s="11">
        <f t="shared" si="0"/>
        <v>8.3529667130649604E-2</v>
      </c>
      <c r="E11" s="10">
        <f t="shared" ref="E11:G11" si="7">SUM(E8:E10)</f>
        <v>151248306792.21802</v>
      </c>
      <c r="F11" s="11">
        <f t="shared" si="1"/>
        <v>0.20414816998056801</v>
      </c>
      <c r="G11" s="10">
        <f t="shared" si="7"/>
        <v>116922718476.70978</v>
      </c>
      <c r="H11" s="11">
        <f t="shared" si="2"/>
        <v>0.15781703288067206</v>
      </c>
      <c r="I11" s="9">
        <f>SUM(I8:I10)</f>
        <v>131700103629.89388</v>
      </c>
      <c r="J11" s="11">
        <f t="shared" si="3"/>
        <v>0.17776288351597827</v>
      </c>
      <c r="K11" s="9">
        <f>SUM(K8:K10)</f>
        <v>118548514580.59283</v>
      </c>
      <c r="L11" s="11">
        <f>+K11/Q11</f>
        <v>0.1600114594260563</v>
      </c>
      <c r="M11" s="9">
        <f>SUM(M8:M10)</f>
        <v>79580611279.267899</v>
      </c>
      <c r="N11" s="11">
        <f>+M11/Q11</f>
        <v>0.10741433410501747</v>
      </c>
      <c r="O11" s="9">
        <f>SUM(O8:O10)</f>
        <v>80989843878.909225</v>
      </c>
      <c r="P11" s="11">
        <f>+O11/Q11</f>
        <v>0.10931645296105837</v>
      </c>
      <c r="Q11" s="15">
        <f>+C11+E11+G11+I11+K11+M11+O11</f>
        <v>740875153603.45728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"/>
      <c r="F13" s="3"/>
      <c r="G13" s="3"/>
      <c r="H13" s="3"/>
      <c r="I13" s="6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"/>
      <c r="D14" s="2"/>
      <c r="I14" s="2"/>
      <c r="J14" s="2"/>
      <c r="K14" s="2"/>
      <c r="L14" s="2"/>
      <c r="M14" s="2"/>
      <c r="N14" s="2"/>
      <c r="O14" s="2"/>
      <c r="P14" s="2"/>
      <c r="Q14" s="27"/>
    </row>
    <row r="15" spans="2:19" x14ac:dyDescent="0.25">
      <c r="C15" s="24"/>
      <c r="F15" s="26"/>
      <c r="G15" s="25"/>
      <c r="K15" s="25"/>
      <c r="Q15" s="24"/>
    </row>
    <row r="16" spans="2:19" x14ac:dyDescent="0.25">
      <c r="C16" s="24"/>
      <c r="F16" s="26"/>
      <c r="G16" s="25"/>
      <c r="K16" s="25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zoomScale="90" zoomScaleNormal="90" workbookViewId="0">
      <selection activeCell="P17" sqref="P17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17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ht="17.25" thickTop="1" thickBot="1" x14ac:dyDescent="0.3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ht="16.5" thickBot="1" x14ac:dyDescent="0.3">
      <c r="B8" s="12" t="s">
        <v>13</v>
      </c>
      <c r="C8" s="17">
        <v>52765089382.821777</v>
      </c>
      <c r="D8" s="21">
        <f>+C8/Q8</f>
        <v>7.901603469840672E-2</v>
      </c>
      <c r="E8" s="18">
        <v>131207692884.84393</v>
      </c>
      <c r="F8" s="21">
        <f>+E8/Q8</f>
        <v>0.19648429927727881</v>
      </c>
      <c r="G8" s="18">
        <v>96754321486.620529</v>
      </c>
      <c r="H8" s="21">
        <f>+G8/Q8</f>
        <v>0.14489017100569079</v>
      </c>
      <c r="I8" s="18">
        <v>115384998750.81422</v>
      </c>
      <c r="J8" s="21">
        <f>+I8/Q8</f>
        <v>0.17278972084785615</v>
      </c>
      <c r="K8" s="18">
        <v>95256540479.806717</v>
      </c>
      <c r="L8" s="21">
        <f>+K8/Q8</f>
        <v>0.14264723505335364</v>
      </c>
      <c r="M8" s="18">
        <v>81562176898.268097</v>
      </c>
      <c r="N8" s="21">
        <f>+M8/Q8</f>
        <v>0.122139844265464</v>
      </c>
      <c r="O8" s="18">
        <v>94846164677.212189</v>
      </c>
      <c r="P8" s="21">
        <f>+O8/Q8</f>
        <v>0.14203269485193493</v>
      </c>
      <c r="Q8" s="20">
        <f>+C8+E8+G8+I8+K8+M8+O8+0.01</f>
        <v>667776984560.39746</v>
      </c>
    </row>
    <row r="9" spans="2:19" ht="36" customHeight="1" thickBot="1" x14ac:dyDescent="0.3">
      <c r="B9" s="13" t="s">
        <v>14</v>
      </c>
      <c r="C9" s="18">
        <v>10219805349.081093</v>
      </c>
      <c r="D9" s="22">
        <f t="shared" ref="D9:D11" si="0">+C9/Q9</f>
        <v>0.24613594781100792</v>
      </c>
      <c r="E9" s="18">
        <v>10912389601.238304</v>
      </c>
      <c r="F9" s="22">
        <f t="shared" ref="F9:F11" si="1">+E9/Q9</f>
        <v>0.26281629303490406</v>
      </c>
      <c r="G9" s="18">
        <v>5425879605.5449009</v>
      </c>
      <c r="H9" s="22">
        <f t="shared" ref="H9:H11" si="2">+G9/Q9</f>
        <v>0.13067802896454314</v>
      </c>
      <c r="I9" s="18">
        <v>8548687023.8143005</v>
      </c>
      <c r="J9" s="22">
        <f t="shared" ref="J9:J11" si="3">+I9/Q9</f>
        <v>0.20588838155663988</v>
      </c>
      <c r="K9" s="18">
        <v>5932161999.1771994</v>
      </c>
      <c r="L9" s="22">
        <f t="shared" ref="L9:L10" si="4">+K9/Q9</f>
        <v>0.14287144092888315</v>
      </c>
      <c r="M9" s="18">
        <v>303059870.2999</v>
      </c>
      <c r="N9" s="22">
        <f t="shared" ref="N9:N10" si="5">+M9/Q9</f>
        <v>7.2989578442855642E-3</v>
      </c>
      <c r="O9" s="18">
        <v>178994855.59900001</v>
      </c>
      <c r="P9" s="22">
        <f>+O9/Q9</f>
        <v>4.310949859736392E-3</v>
      </c>
      <c r="Q9" s="20">
        <f t="shared" ref="Q9:Q10" si="6">+C9+E9+G9+I9+K9+M9+O9</f>
        <v>41520978304.754692</v>
      </c>
    </row>
    <row r="10" spans="2:19" ht="34.5" customHeight="1" thickBot="1" x14ac:dyDescent="0.3">
      <c r="B10" s="14" t="s">
        <v>15</v>
      </c>
      <c r="C10" s="19">
        <v>2564880166.4840007</v>
      </c>
      <c r="D10" s="23">
        <f t="shared" si="0"/>
        <v>5.4340463527257916E-2</v>
      </c>
      <c r="E10" s="19">
        <v>13420400034.502697</v>
      </c>
      <c r="F10" s="23">
        <f t="shared" si="1"/>
        <v>0.28432936872672948</v>
      </c>
      <c r="G10" s="19">
        <v>5436733782.1984997</v>
      </c>
      <c r="H10" s="23">
        <f t="shared" si="2"/>
        <v>0.11518457573944182</v>
      </c>
      <c r="I10" s="19">
        <v>10962005318.074902</v>
      </c>
      <c r="J10" s="23">
        <f t="shared" si="3"/>
        <v>0.23224494382091526</v>
      </c>
      <c r="K10" s="19">
        <v>7401891704.9461994</v>
      </c>
      <c r="L10" s="23">
        <f t="shared" si="4"/>
        <v>0.15681911049151187</v>
      </c>
      <c r="M10" s="19">
        <v>3561303560.0633998</v>
      </c>
      <c r="N10" s="23">
        <f t="shared" si="5"/>
        <v>7.5451043968422421E-2</v>
      </c>
      <c r="O10" s="19">
        <v>3852974758.5309997</v>
      </c>
      <c r="P10" s="23">
        <f>+O10/Q10</f>
        <v>8.1630493725721273E-2</v>
      </c>
      <c r="Q10" s="20">
        <f t="shared" si="6"/>
        <v>47200189324.800697</v>
      </c>
    </row>
    <row r="11" spans="2:19" ht="16.5" thickBot="1" x14ac:dyDescent="0.3">
      <c r="B11" s="8" t="s">
        <v>16</v>
      </c>
      <c r="C11" s="10">
        <f>SUM(C8:C10)</f>
        <v>65549774898.386871</v>
      </c>
      <c r="D11" s="11">
        <f t="shared" si="0"/>
        <v>8.6648955729277888E-2</v>
      </c>
      <c r="E11" s="10">
        <f t="shared" ref="E11:G11" si="7">SUM(E8:E10)</f>
        <v>155540482520.58493</v>
      </c>
      <c r="F11" s="11">
        <f t="shared" si="1"/>
        <v>0.20560589879872115</v>
      </c>
      <c r="G11" s="10">
        <f t="shared" si="7"/>
        <v>107616934874.36394</v>
      </c>
      <c r="H11" s="11">
        <f t="shared" si="2"/>
        <v>0.14225670553567105</v>
      </c>
      <c r="I11" s="9">
        <f>SUM(I8:I10)</f>
        <v>134895691092.70343</v>
      </c>
      <c r="J11" s="11">
        <f t="shared" si="3"/>
        <v>0.17831595583175147</v>
      </c>
      <c r="K11" s="9">
        <f>SUM(K8:K10)</f>
        <v>108590594183.93011</v>
      </c>
      <c r="L11" s="11">
        <f>+K11/Q11</f>
        <v>0.14354376659027848</v>
      </c>
      <c r="M11" s="9">
        <f>SUM(M8:M10)</f>
        <v>85426540328.631393</v>
      </c>
      <c r="N11" s="11">
        <f>+M11/Q11</f>
        <v>0.11292366026451624</v>
      </c>
      <c r="O11" s="9">
        <f>SUM(O8:O10)</f>
        <v>98878134291.342194</v>
      </c>
      <c r="P11" s="11">
        <f>+O11/Q11</f>
        <v>0.1307050572497839</v>
      </c>
      <c r="Q11" s="15">
        <f>+C11+E11+G11+I11+K11+M11+O11</f>
        <v>756498152189.94275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"/>
      <c r="F13" s="3"/>
      <c r="G13" s="3"/>
      <c r="H13" s="3"/>
      <c r="I13" s="6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"/>
      <c r="D14" s="2"/>
      <c r="I14" s="2"/>
      <c r="J14" s="2"/>
      <c r="K14" s="2"/>
      <c r="L14" s="2"/>
      <c r="M14" s="2"/>
      <c r="N14" s="2"/>
      <c r="O14" s="2"/>
      <c r="P14" s="2"/>
      <c r="Q14" s="27"/>
    </row>
    <row r="15" spans="2:19" x14ac:dyDescent="0.25">
      <c r="C15" s="24"/>
      <c r="F15" s="26"/>
      <c r="G15" s="25"/>
      <c r="K15" s="25"/>
      <c r="Q15" s="24"/>
    </row>
    <row r="16" spans="2:19" x14ac:dyDescent="0.25">
      <c r="C16" s="24"/>
      <c r="F16" s="26"/>
      <c r="G16" s="25"/>
      <c r="K16" s="25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zoomScale="90" zoomScaleNormal="90" workbookViewId="0">
      <selection activeCell="G13" sqref="G13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18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ht="17.25" thickTop="1" thickBot="1" x14ac:dyDescent="0.3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ht="16.5" thickBot="1" x14ac:dyDescent="0.3">
      <c r="B8" s="12" t="s">
        <v>13</v>
      </c>
      <c r="C8" s="17">
        <v>50908482923.398979</v>
      </c>
      <c r="D8" s="21">
        <f>+C8/Q8</f>
        <v>7.5446319325351618E-2</v>
      </c>
      <c r="E8" s="18">
        <v>130130053484.36</v>
      </c>
      <c r="F8" s="21">
        <f>+E8/Q8</f>
        <v>0.19285260540524879</v>
      </c>
      <c r="G8" s="18">
        <v>98636624824.332397</v>
      </c>
      <c r="H8" s="21">
        <f>+G8/Q8</f>
        <v>0.14617937652687424</v>
      </c>
      <c r="I8" s="18">
        <v>107433258647.35997</v>
      </c>
      <c r="J8" s="21">
        <f>+I8/Q8</f>
        <v>0.15921597880392391</v>
      </c>
      <c r="K8" s="18">
        <v>95630441908.891556</v>
      </c>
      <c r="L8" s="21">
        <f>+K8/Q8</f>
        <v>0.14172421653850775</v>
      </c>
      <c r="M8" s="18">
        <v>85817389487.467209</v>
      </c>
      <c r="N8" s="21">
        <f>+M8/Q8</f>
        <v>0.12718128294417536</v>
      </c>
      <c r="O8" s="18">
        <v>106208049734.85381</v>
      </c>
      <c r="P8" s="21">
        <f>+O8/Q8</f>
        <v>0.15740022045590368</v>
      </c>
      <c r="Q8" s="20">
        <f>+C8+E8+G8+I8+K8+M8+O8+0.01</f>
        <v>674764301010.67383</v>
      </c>
    </row>
    <row r="9" spans="2:19" ht="36" customHeight="1" thickBot="1" x14ac:dyDescent="0.3">
      <c r="B9" s="13" t="s">
        <v>14</v>
      </c>
      <c r="C9" s="18">
        <v>11093036623.166697</v>
      </c>
      <c r="D9" s="22">
        <f t="shared" ref="D9:D11" si="0">+C9/Q9</f>
        <v>0.26496732292408365</v>
      </c>
      <c r="E9" s="18">
        <v>10496856547.6175</v>
      </c>
      <c r="F9" s="22">
        <f t="shared" ref="F9:F11" si="1">+E9/Q9</f>
        <v>0.25072701668827374</v>
      </c>
      <c r="G9" s="18">
        <v>6002325508.1189003</v>
      </c>
      <c r="H9" s="22">
        <f t="shared" ref="H9:H11" si="2">+G9/Q9</f>
        <v>0.1433710331293572</v>
      </c>
      <c r="I9" s="18">
        <v>6660527992.2856998</v>
      </c>
      <c r="J9" s="22">
        <f t="shared" ref="J9:J11" si="3">+I9/Q9</f>
        <v>0.15909280130665113</v>
      </c>
      <c r="K9" s="18">
        <v>6426169045.6101999</v>
      </c>
      <c r="L9" s="22">
        <f t="shared" ref="L9:L10" si="4">+K9/Q9</f>
        <v>0.15349492357367486</v>
      </c>
      <c r="M9" s="18">
        <v>933178109.79939997</v>
      </c>
      <c r="N9" s="22">
        <f t="shared" ref="N9:N10" si="5">+M9/Q9</f>
        <v>2.228981242597922E-2</v>
      </c>
      <c r="O9" s="18">
        <v>253584177.57190001</v>
      </c>
      <c r="P9" s="22">
        <f>+O9/Q9</f>
        <v>6.0570899519802393E-3</v>
      </c>
      <c r="Q9" s="20">
        <f t="shared" ref="Q9:Q10" si="6">+C9+E9+G9+I9+K9+M9+O9</f>
        <v>41865678004.170296</v>
      </c>
    </row>
    <row r="10" spans="2:19" ht="34.5" customHeight="1" thickBot="1" x14ac:dyDescent="0.3">
      <c r="B10" s="14" t="s">
        <v>15</v>
      </c>
      <c r="C10" s="19">
        <v>2977895865.1001997</v>
      </c>
      <c r="D10" s="23">
        <f t="shared" si="0"/>
        <v>6.2285937029091118E-2</v>
      </c>
      <c r="E10" s="19">
        <v>11761223019.403801</v>
      </c>
      <c r="F10" s="23">
        <f t="shared" si="1"/>
        <v>0.24599879564527119</v>
      </c>
      <c r="G10" s="19">
        <v>5355780435.9473</v>
      </c>
      <c r="H10" s="23">
        <f t="shared" si="2"/>
        <v>0.11202198400709594</v>
      </c>
      <c r="I10" s="19">
        <v>9540477184.1604004</v>
      </c>
      <c r="J10" s="23">
        <f t="shared" si="3"/>
        <v>0.19954947655636052</v>
      </c>
      <c r="K10" s="19">
        <v>8002732184.212101</v>
      </c>
      <c r="L10" s="23">
        <f t="shared" si="4"/>
        <v>0.16738586420305995</v>
      </c>
      <c r="M10" s="19">
        <v>4225498837.4914999</v>
      </c>
      <c r="N10" s="23">
        <f t="shared" si="5"/>
        <v>8.8380912708523315E-2</v>
      </c>
      <c r="O10" s="19">
        <v>5946476212.3197994</v>
      </c>
      <c r="P10" s="23">
        <f>+O10/Q10</f>
        <v>0.1243770298505978</v>
      </c>
      <c r="Q10" s="20">
        <f t="shared" si="6"/>
        <v>47810083738.635109</v>
      </c>
    </row>
    <row r="11" spans="2:19" ht="16.5" thickBot="1" x14ac:dyDescent="0.3">
      <c r="B11" s="8" t="s">
        <v>16</v>
      </c>
      <c r="C11" s="10">
        <f>SUM(C8:C10)</f>
        <v>64979415411.665871</v>
      </c>
      <c r="D11" s="11">
        <f t="shared" si="0"/>
        <v>8.5002629477076E-2</v>
      </c>
      <c r="E11" s="10">
        <f t="shared" ref="E11:G11" si="7">SUM(E8:E10)</f>
        <v>152388133051.38132</v>
      </c>
      <c r="F11" s="11">
        <f t="shared" si="1"/>
        <v>0.19934608411611501</v>
      </c>
      <c r="G11" s="10">
        <f t="shared" si="7"/>
        <v>109994730768.39859</v>
      </c>
      <c r="H11" s="11">
        <f t="shared" si="2"/>
        <v>0.14388928070070514</v>
      </c>
      <c r="I11" s="9">
        <f>SUM(I8:I10)</f>
        <v>123634263823.80608</v>
      </c>
      <c r="J11" s="11">
        <f t="shared" si="3"/>
        <v>0.16173179539869031</v>
      </c>
      <c r="K11" s="9">
        <f>SUM(K8:K10)</f>
        <v>110059343138.71385</v>
      </c>
      <c r="L11" s="11">
        <f>+K11/Q11</f>
        <v>0.14397380318122838</v>
      </c>
      <c r="M11" s="9">
        <f>SUM(M8:M10)</f>
        <v>90976066434.758102</v>
      </c>
      <c r="N11" s="11">
        <f>+M11/Q11</f>
        <v>0.11901007138096285</v>
      </c>
      <c r="O11" s="9">
        <f>SUM(O8:O10)</f>
        <v>112408110124.7455</v>
      </c>
      <c r="P11" s="11">
        <f>+O11/Q11</f>
        <v>0.14704633574522238</v>
      </c>
      <c r="Q11" s="15">
        <f>+C11+E11+G11+I11+K11+M11+O11</f>
        <v>764440062753.46924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0"/>
      <c r="F13" s="3"/>
      <c r="G13" s="3"/>
      <c r="H13" s="3"/>
      <c r="I13" s="31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9"/>
      <c r="D14" s="2"/>
      <c r="E14" s="25"/>
      <c r="G14" s="25"/>
      <c r="I14" s="29"/>
      <c r="J14" s="2"/>
      <c r="K14" s="29"/>
      <c r="L14" s="32"/>
      <c r="M14" s="29"/>
      <c r="N14" s="2"/>
      <c r="O14" s="2"/>
      <c r="P14" s="2"/>
      <c r="Q14" s="27"/>
    </row>
    <row r="15" spans="2:19" x14ac:dyDescent="0.25">
      <c r="C15" s="24"/>
      <c r="E15" s="25"/>
      <c r="F15" s="26"/>
      <c r="G15" s="25"/>
      <c r="I15" s="29"/>
      <c r="K15" s="25"/>
      <c r="M15" s="29"/>
      <c r="Q15" s="24"/>
    </row>
    <row r="16" spans="2:19" x14ac:dyDescent="0.25">
      <c r="C16" s="24"/>
      <c r="E16" s="25"/>
      <c r="F16" s="26"/>
      <c r="G16" s="25"/>
      <c r="I16" s="29"/>
      <c r="K16" s="25"/>
      <c r="M16" s="29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topLeftCell="A6" zoomScale="90" zoomScaleNormal="90" workbookViewId="0">
      <selection activeCell="G17" sqref="G17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19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ht="17.25" thickTop="1" thickBot="1" x14ac:dyDescent="0.3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ht="16.5" thickBot="1" x14ac:dyDescent="0.3">
      <c r="B8" s="12" t="s">
        <v>13</v>
      </c>
      <c r="C8" s="17">
        <v>49579822618.861008</v>
      </c>
      <c r="D8" s="21">
        <f>+C8/Q8</f>
        <v>7.2888115693200597E-2</v>
      </c>
      <c r="E8" s="18">
        <v>131698450594.26132</v>
      </c>
      <c r="F8" s="21">
        <f>+E8/Q8</f>
        <v>0.19361206629000852</v>
      </c>
      <c r="G8" s="18">
        <v>99846306786.845947</v>
      </c>
      <c r="H8" s="21">
        <f>+G8/Q8</f>
        <v>0.14678570386514253</v>
      </c>
      <c r="I8" s="18">
        <v>104553575307.86293</v>
      </c>
      <c r="J8" s="21">
        <f>+I8/Q8</f>
        <v>0.1537059370252411</v>
      </c>
      <c r="K8" s="18">
        <v>96979820756.681992</v>
      </c>
      <c r="L8" s="21">
        <f>+K8/Q8</f>
        <v>0.14257163543239157</v>
      </c>
      <c r="M8" s="18">
        <v>89373896690.267395</v>
      </c>
      <c r="N8" s="21">
        <f>+M8/Q8</f>
        <v>0.13139004090414433</v>
      </c>
      <c r="O8" s="18">
        <v>108186323961.28696</v>
      </c>
      <c r="P8" s="21">
        <f>+O8/Q8</f>
        <v>0.15904650078987145</v>
      </c>
      <c r="Q8" s="20">
        <f>+C8+E8+G8+I8+K8+M8+O8</f>
        <v>680218196716.0675</v>
      </c>
    </row>
    <row r="9" spans="2:19" ht="36" customHeight="1" thickBot="1" x14ac:dyDescent="0.3">
      <c r="B9" s="13" t="s">
        <v>14</v>
      </c>
      <c r="C9" s="18">
        <v>10025486112.777699</v>
      </c>
      <c r="D9" s="22">
        <f t="shared" ref="D9:D11" si="0">+C9/Q9</f>
        <v>0.23903340551580091</v>
      </c>
      <c r="E9" s="18">
        <v>10612294700.928497</v>
      </c>
      <c r="F9" s="22">
        <f t="shared" ref="F9:F11" si="1">+E9/Q9</f>
        <v>0.25302443334564662</v>
      </c>
      <c r="G9" s="18">
        <v>6873860091.4825983</v>
      </c>
      <c r="H9" s="22">
        <f t="shared" ref="H9:H11" si="2">+G9/Q9</f>
        <v>0.16389052542919555</v>
      </c>
      <c r="I9" s="18">
        <v>6648512475.229001</v>
      </c>
      <c r="J9" s="22">
        <f t="shared" ref="J9:J11" si="3">+I9/Q9</f>
        <v>0.15851765796600967</v>
      </c>
      <c r="K9" s="18">
        <v>6466626419.7602997</v>
      </c>
      <c r="L9" s="22">
        <f t="shared" ref="L9:L10" si="4">+K9/Q9</f>
        <v>0.15418102602961833</v>
      </c>
      <c r="M9" s="18">
        <v>1062644022.8255</v>
      </c>
      <c r="N9" s="22">
        <f t="shared" ref="N9:N10" si="5">+M9/Q9</f>
        <v>2.5336169914319848E-2</v>
      </c>
      <c r="O9" s="18">
        <v>252354528.62090001</v>
      </c>
      <c r="P9" s="22">
        <f>+O9/Q9</f>
        <v>6.016781799408984E-3</v>
      </c>
      <c r="Q9" s="20">
        <f t="shared" ref="Q9:Q10" si="6">+C9+E9+G9+I9+K9+M9+O9</f>
        <v>41941778351.624496</v>
      </c>
    </row>
    <row r="10" spans="2:19" ht="34.5" customHeight="1" thickBot="1" x14ac:dyDescent="0.3">
      <c r="B10" s="14" t="s">
        <v>15</v>
      </c>
      <c r="C10" s="19">
        <v>2149004337.4640007</v>
      </c>
      <c r="D10" s="23">
        <f t="shared" si="0"/>
        <v>4.4503005425728187E-2</v>
      </c>
      <c r="E10" s="19">
        <v>11776475289.4216</v>
      </c>
      <c r="F10" s="23">
        <f t="shared" si="1"/>
        <v>0.24387505160624773</v>
      </c>
      <c r="G10" s="19">
        <v>6403166918.2199993</v>
      </c>
      <c r="H10" s="23">
        <f t="shared" si="2"/>
        <v>0.13260102231327459</v>
      </c>
      <c r="I10" s="19">
        <v>9455717633.0277004</v>
      </c>
      <c r="J10" s="23">
        <f t="shared" si="3"/>
        <v>0.19581526467432486</v>
      </c>
      <c r="K10" s="19">
        <v>8057727968.5115004</v>
      </c>
      <c r="L10" s="23">
        <f t="shared" si="4"/>
        <v>0.16686476860483121</v>
      </c>
      <c r="M10" s="19">
        <v>4498010625.4696999</v>
      </c>
      <c r="N10" s="23">
        <f t="shared" si="5"/>
        <v>9.3147783734342668E-2</v>
      </c>
      <c r="O10" s="19">
        <v>5948868206.4975004</v>
      </c>
      <c r="P10" s="23">
        <f>+O10/Q10</f>
        <v>0.1231931036412508</v>
      </c>
      <c r="Q10" s="20">
        <f t="shared" si="6"/>
        <v>48288970978.612</v>
      </c>
    </row>
    <row r="11" spans="2:19" ht="16.5" thickBot="1" x14ac:dyDescent="0.3">
      <c r="B11" s="8" t="s">
        <v>16</v>
      </c>
      <c r="C11" s="10">
        <f>SUM(C8:C10)</f>
        <v>61754313069.102707</v>
      </c>
      <c r="D11" s="11">
        <f t="shared" si="0"/>
        <v>8.0153673239487119E-2</v>
      </c>
      <c r="E11" s="10">
        <f t="shared" ref="E11:G11" si="7">SUM(E8:E10)</f>
        <v>154087220584.61142</v>
      </c>
      <c r="F11" s="11">
        <f t="shared" si="1"/>
        <v>0.19999666606767055</v>
      </c>
      <c r="G11" s="10">
        <f t="shared" si="7"/>
        <v>113123333796.54855</v>
      </c>
      <c r="H11" s="11">
        <f t="shared" si="2"/>
        <v>0.14682781302649717</v>
      </c>
      <c r="I11" s="9">
        <f>SUM(I8:I10)</f>
        <v>120657805416.11963</v>
      </c>
      <c r="J11" s="11">
        <f t="shared" si="3"/>
        <v>0.15660713929884207</v>
      </c>
      <c r="K11" s="9">
        <f>SUM(K8:K10)</f>
        <v>111504175144.9538</v>
      </c>
      <c r="L11" s="11">
        <f>+K11/Q11</f>
        <v>0.14472623490129657</v>
      </c>
      <c r="M11" s="9">
        <f>SUM(M8:M10)</f>
        <v>94934551338.562592</v>
      </c>
      <c r="N11" s="11">
        <f>+M11/Q11</f>
        <v>0.12321978221365106</v>
      </c>
      <c r="O11" s="9">
        <f>SUM(O8:O10)</f>
        <v>114387546696.40535</v>
      </c>
      <c r="P11" s="11">
        <f>+O11/Q11</f>
        <v>0.14846869125255527</v>
      </c>
      <c r="Q11" s="15">
        <f>+C11+E11+G11+I11+K11+M11+O11</f>
        <v>770448946046.3042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0"/>
      <c r="F13" s="3"/>
      <c r="G13" s="3"/>
      <c r="H13" s="3"/>
      <c r="I13" s="31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9"/>
      <c r="D14" s="2"/>
      <c r="E14" s="25"/>
      <c r="G14" s="25"/>
      <c r="I14" s="29"/>
      <c r="J14" s="2"/>
      <c r="K14" s="29"/>
      <c r="L14" s="32"/>
      <c r="M14" s="29"/>
      <c r="N14" s="2"/>
      <c r="O14" s="2"/>
      <c r="P14" s="2"/>
      <c r="Q14" s="27"/>
    </row>
    <row r="15" spans="2:19" x14ac:dyDescent="0.25">
      <c r="C15" s="24"/>
      <c r="E15" s="25"/>
      <c r="F15" s="26"/>
      <c r="G15" s="25"/>
      <c r="I15" s="29"/>
      <c r="K15" s="25"/>
      <c r="M15" s="29"/>
      <c r="Q15" s="24"/>
    </row>
    <row r="16" spans="2:19" x14ac:dyDescent="0.25">
      <c r="C16" s="24"/>
      <c r="E16" s="25"/>
      <c r="F16" s="26"/>
      <c r="G16" s="25"/>
      <c r="I16" s="29"/>
      <c r="K16" s="25"/>
      <c r="M16" s="29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zoomScale="90" zoomScaleNormal="90" workbookViewId="0">
      <selection activeCell="O46" sqref="O46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20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ht="17.25" thickTop="1" thickBot="1" x14ac:dyDescent="0.3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ht="16.5" thickBot="1" x14ac:dyDescent="0.3">
      <c r="B8" s="12" t="s">
        <v>13</v>
      </c>
      <c r="C8" s="17">
        <v>56335254674.617386</v>
      </c>
      <c r="D8" s="21">
        <f>+C8/Q8</f>
        <v>8.1685756948599975E-2</v>
      </c>
      <c r="E8" s="18">
        <v>136692955598.686</v>
      </c>
      <c r="F8" s="21">
        <f>+E8/Q8</f>
        <v>0.19820390645453081</v>
      </c>
      <c r="G8" s="18">
        <v>88514435018.444763</v>
      </c>
      <c r="H8" s="21">
        <f>+G8/Q8</f>
        <v>0.12834536148137921</v>
      </c>
      <c r="I8" s="18">
        <v>102678779715.72606</v>
      </c>
      <c r="J8" s="21">
        <f>+I8/Q8</f>
        <v>0.1488835701920895</v>
      </c>
      <c r="K8" s="18">
        <v>96795473130.627914</v>
      </c>
      <c r="L8" s="21">
        <f>+K8/Q8</f>
        <v>0.14035281348316569</v>
      </c>
      <c r="M8" s="18">
        <v>90116346836.656586</v>
      </c>
      <c r="N8" s="21">
        <f>+M8/Q8</f>
        <v>0.13066812331482305</v>
      </c>
      <c r="O8" s="18">
        <v>118524986509.41327</v>
      </c>
      <c r="P8" s="21">
        <f>+O8/Q8</f>
        <v>0.17186046812541156</v>
      </c>
      <c r="Q8" s="20">
        <f>+C8+E8+G8+I8+K8+M8+O8</f>
        <v>689658231484.17212</v>
      </c>
    </row>
    <row r="9" spans="2:19" ht="36" customHeight="1" thickBot="1" x14ac:dyDescent="0.3">
      <c r="B9" s="13" t="s">
        <v>14</v>
      </c>
      <c r="C9" s="18">
        <v>10030601949.569296</v>
      </c>
      <c r="D9" s="22">
        <f t="shared" ref="D9:D11" si="0">+C9/Q9</f>
        <v>0.23746892590297569</v>
      </c>
      <c r="E9" s="18">
        <v>12083543797.793198</v>
      </c>
      <c r="F9" s="22">
        <f t="shared" ref="F9:F11" si="1">+E9/Q9</f>
        <v>0.2860711830845532</v>
      </c>
      <c r="G9" s="18">
        <v>5675833151.9524994</v>
      </c>
      <c r="H9" s="22">
        <f t="shared" ref="H9:H11" si="2">+G9/Q9</f>
        <v>0.134372195106051</v>
      </c>
      <c r="I9" s="18">
        <v>6612064296.2839985</v>
      </c>
      <c r="J9" s="22">
        <f t="shared" ref="J9:J11" si="3">+I9/Q9</f>
        <v>0.15653694706800692</v>
      </c>
      <c r="K9" s="18">
        <v>6514294167.1506004</v>
      </c>
      <c r="L9" s="22">
        <f t="shared" ref="L9:L10" si="4">+K9/Q9</f>
        <v>0.1542222936037948</v>
      </c>
      <c r="M9" s="18">
        <v>1069378764.6362</v>
      </c>
      <c r="N9" s="22">
        <f t="shared" ref="N9:N10" si="5">+M9/Q9</f>
        <v>2.5316947865976634E-2</v>
      </c>
      <c r="O9" s="18">
        <v>253923907.31739998</v>
      </c>
      <c r="P9" s="22">
        <f>+O9/Q9</f>
        <v>6.0115073686419088E-3</v>
      </c>
      <c r="Q9" s="20">
        <f t="shared" ref="Q9:Q10" si="6">+C9+E9+G9+I9+K9+M9+O9</f>
        <v>42239640034.703186</v>
      </c>
    </row>
    <row r="10" spans="2:19" ht="34.5" customHeight="1" thickBot="1" x14ac:dyDescent="0.3">
      <c r="B10" s="14" t="s">
        <v>15</v>
      </c>
      <c r="C10" s="19">
        <v>2769083334.1386995</v>
      </c>
      <c r="D10" s="23">
        <f t="shared" si="0"/>
        <v>5.6630252420293098E-2</v>
      </c>
      <c r="E10" s="19">
        <v>13074883473.6054</v>
      </c>
      <c r="F10" s="23">
        <f t="shared" si="1"/>
        <v>0.26739316305426331</v>
      </c>
      <c r="G10" s="19">
        <v>5315670909.7018003</v>
      </c>
      <c r="H10" s="23">
        <f t="shared" si="2"/>
        <v>0.10871026584443844</v>
      </c>
      <c r="I10" s="19">
        <v>9096603522.8849983</v>
      </c>
      <c r="J10" s="23">
        <f t="shared" si="3"/>
        <v>0.18603374890071189</v>
      </c>
      <c r="K10" s="19">
        <v>8132520223.8162003</v>
      </c>
      <c r="L10" s="23">
        <f t="shared" si="4"/>
        <v>0.16631737564918722</v>
      </c>
      <c r="M10" s="19">
        <v>4526877439.2737999</v>
      </c>
      <c r="N10" s="23">
        <f t="shared" si="5"/>
        <v>9.2578727733213351E-2</v>
      </c>
      <c r="O10" s="19">
        <v>5981959390.6388998</v>
      </c>
      <c r="P10" s="23">
        <f>+O10/Q10</f>
        <v>0.12233646639789265</v>
      </c>
      <c r="Q10" s="20">
        <f t="shared" si="6"/>
        <v>48897598294.059799</v>
      </c>
    </row>
    <row r="11" spans="2:19" ht="16.5" thickBot="1" x14ac:dyDescent="0.3">
      <c r="B11" s="8" t="s">
        <v>16</v>
      </c>
      <c r="C11" s="10">
        <f>SUM(C8:C10)</f>
        <v>69134939958.325378</v>
      </c>
      <c r="D11" s="11">
        <f t="shared" si="0"/>
        <v>8.8544238063892583E-2</v>
      </c>
      <c r="E11" s="10">
        <f t="shared" ref="E11:G11" si="7">SUM(E8:E10)</f>
        <v>161851382870.08459</v>
      </c>
      <c r="F11" s="11">
        <f t="shared" si="1"/>
        <v>0.20729037132971756</v>
      </c>
      <c r="G11" s="10">
        <f t="shared" si="7"/>
        <v>99505939080.09906</v>
      </c>
      <c r="H11" s="11">
        <f t="shared" si="2"/>
        <v>0.12744174745780601</v>
      </c>
      <c r="I11" s="9">
        <f>SUM(I8:I10)</f>
        <v>118387447534.89505</v>
      </c>
      <c r="J11" s="11">
        <f t="shared" si="3"/>
        <v>0.15162414756742712</v>
      </c>
      <c r="K11" s="9">
        <f>SUM(K8:K10)</f>
        <v>111442287521.59473</v>
      </c>
      <c r="L11" s="11">
        <f>+K11/Q11</f>
        <v>0.14272916766319654</v>
      </c>
      <c r="M11" s="9">
        <f>SUM(M8:M10)</f>
        <v>95712603040.566589</v>
      </c>
      <c r="N11" s="11">
        <f>+M11/Q11</f>
        <v>0.12258345077680542</v>
      </c>
      <c r="O11" s="9">
        <f>SUM(O8:O10)</f>
        <v>124760869807.36957</v>
      </c>
      <c r="P11" s="11">
        <f>+O11/Q11</f>
        <v>0.15978687714115464</v>
      </c>
      <c r="Q11" s="15">
        <f>+C11+E11+G11+I11+K11+M11+O11</f>
        <v>780795469812.93506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0"/>
      <c r="F13" s="3"/>
      <c r="G13" s="3"/>
      <c r="H13" s="3"/>
      <c r="I13" s="31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9"/>
      <c r="D14" s="2"/>
      <c r="E14" s="25"/>
      <c r="G14" s="25"/>
      <c r="I14" s="29"/>
      <c r="J14" s="2"/>
      <c r="K14" s="29"/>
      <c r="L14" s="32"/>
      <c r="M14" s="29"/>
      <c r="N14" s="2"/>
      <c r="O14" s="2"/>
      <c r="P14" s="2"/>
      <c r="Q14" s="27"/>
    </row>
    <row r="15" spans="2:19" x14ac:dyDescent="0.25">
      <c r="C15" s="24"/>
      <c r="E15" s="25"/>
      <c r="F15" s="26"/>
      <c r="G15" s="25"/>
      <c r="I15" s="29"/>
      <c r="K15" s="25"/>
      <c r="M15" s="29"/>
      <c r="Q15" s="24"/>
    </row>
    <row r="16" spans="2:19" x14ac:dyDescent="0.25">
      <c r="C16" s="24"/>
      <c r="E16" s="25"/>
      <c r="F16" s="26"/>
      <c r="G16" s="25"/>
      <c r="I16" s="29"/>
      <c r="K16" s="25"/>
      <c r="M16" s="29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topLeftCell="F1" zoomScale="90" zoomScaleNormal="90" workbookViewId="0">
      <selection activeCell="O9" sqref="O9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21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ht="17.25" thickTop="1" thickBot="1" x14ac:dyDescent="0.3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ht="16.5" thickBot="1" x14ac:dyDescent="0.3">
      <c r="B8" s="12" t="s">
        <v>13</v>
      </c>
      <c r="C8" s="17">
        <v>67083502274.119774</v>
      </c>
      <c r="D8" s="21">
        <f>+C8/Q8</f>
        <v>9.5891735389835822E-2</v>
      </c>
      <c r="E8" s="18">
        <v>123699294363.60104</v>
      </c>
      <c r="F8" s="21">
        <f>+E8/Q8</f>
        <v>0.17682052368932435</v>
      </c>
      <c r="G8" s="18">
        <v>82901279478.565262</v>
      </c>
      <c r="H8" s="21">
        <f>+G8/Q8</f>
        <v>0.1185022738191812</v>
      </c>
      <c r="I8" s="18">
        <v>75693442823.243454</v>
      </c>
      <c r="J8" s="21">
        <f>+I8/Q8</f>
        <v>0.10819911519068595</v>
      </c>
      <c r="K8" s="18">
        <v>131170386368.49039</v>
      </c>
      <c r="L8" s="21">
        <f>+K8/Q8</f>
        <v>0.18749998962833445</v>
      </c>
      <c r="M8" s="18">
        <v>96019751441.377701</v>
      </c>
      <c r="N8" s="21">
        <f>+M8/Q8</f>
        <v>0.1372543216332128</v>
      </c>
      <c r="O8" s="18">
        <v>123007775913.284</v>
      </c>
      <c r="P8" s="21">
        <f>+O8/Q8</f>
        <v>0.1758320406494254</v>
      </c>
      <c r="Q8" s="20">
        <f>+C8+E8+G8+I8+K8+M8+O8</f>
        <v>699575432662.68164</v>
      </c>
      <c r="R8" s="33"/>
    </row>
    <row r="9" spans="2:19" ht="36" customHeight="1" thickBot="1" x14ac:dyDescent="0.3">
      <c r="B9" s="13" t="s">
        <v>14</v>
      </c>
      <c r="C9" s="18">
        <v>9789115225.4176941</v>
      </c>
      <c r="D9" s="22">
        <f t="shared" ref="D9:D11" si="0">+C9/Q9</f>
        <v>0.22974623688854881</v>
      </c>
      <c r="E9" s="18">
        <v>12288122814.400501</v>
      </c>
      <c r="F9" s="22">
        <f t="shared" ref="F9:F11" si="1">+E9/Q9</f>
        <v>0.28839684792987785</v>
      </c>
      <c r="G9" s="18">
        <v>5434600068.6930008</v>
      </c>
      <c r="H9" s="22">
        <f t="shared" ref="H9:H11" si="2">+G9/Q9</f>
        <v>0.12754767780590609</v>
      </c>
      <c r="I9" s="18">
        <v>6787900675.5833998</v>
      </c>
      <c r="J9" s="22">
        <f t="shared" ref="J9:J11" si="3">+I9/Q9</f>
        <v>0.15930904894645181</v>
      </c>
      <c r="K9" s="18">
        <v>6977540504.4769001</v>
      </c>
      <c r="L9" s="22">
        <f t="shared" ref="L9:L10" si="4">+K9/Q9</f>
        <v>0.16375981247810806</v>
      </c>
      <c r="M9" s="18">
        <v>1075797528.4737999</v>
      </c>
      <c r="N9" s="22">
        <f t="shared" ref="N9:N10" si="5">+M9/Q9</f>
        <v>2.5248495714821951E-2</v>
      </c>
      <c r="O9" s="18">
        <v>255304316.8161</v>
      </c>
      <c r="P9" s="22">
        <f>+O9/Q9</f>
        <v>5.9918802362854042E-3</v>
      </c>
      <c r="Q9" s="20">
        <f t="shared" ref="Q9:Q10" si="6">+C9+E9+G9+I9+K9+M9+O9</f>
        <v>42608381133.861397</v>
      </c>
      <c r="R9" s="33"/>
    </row>
    <row r="10" spans="2:19" ht="34.5" customHeight="1" thickBot="1" x14ac:dyDescent="0.3">
      <c r="B10" s="14" t="s">
        <v>15</v>
      </c>
      <c r="C10" s="19">
        <v>2701459086.3304996</v>
      </c>
      <c r="D10" s="23">
        <f t="shared" si="0"/>
        <v>5.4347183893349145E-2</v>
      </c>
      <c r="E10" s="19">
        <v>13226439960.082199</v>
      </c>
      <c r="F10" s="23">
        <f t="shared" si="1"/>
        <v>0.26608574914281991</v>
      </c>
      <c r="G10" s="19">
        <v>5189267336.9654016</v>
      </c>
      <c r="H10" s="23">
        <f t="shared" si="2"/>
        <v>0.1043962011717493</v>
      </c>
      <c r="I10" s="19">
        <v>9511074512.3850994</v>
      </c>
      <c r="J10" s="23">
        <f t="shared" si="3"/>
        <v>0.19134108606844211</v>
      </c>
      <c r="K10" s="19">
        <v>8575986039.0785999</v>
      </c>
      <c r="L10" s="23">
        <f t="shared" si="4"/>
        <v>0.17252924269369402</v>
      </c>
      <c r="M10" s="19">
        <v>4553964155.6105995</v>
      </c>
      <c r="N10" s="23">
        <f t="shared" si="5"/>
        <v>9.1615352851733278E-2</v>
      </c>
      <c r="O10" s="19">
        <v>5949243459.0882006</v>
      </c>
      <c r="P10" s="23">
        <f>+O10/Q10</f>
        <v>0.11968518417821232</v>
      </c>
      <c r="Q10" s="20">
        <f t="shared" si="6"/>
        <v>49707434549.540596</v>
      </c>
      <c r="R10" s="33"/>
    </row>
    <row r="11" spans="2:19" ht="16.5" thickBot="1" x14ac:dyDescent="0.3">
      <c r="B11" s="8" t="s">
        <v>16</v>
      </c>
      <c r="C11" s="10">
        <f>SUM(C8:C10)</f>
        <v>79574076585.867981</v>
      </c>
      <c r="D11" s="11">
        <f t="shared" si="0"/>
        <v>0.10048611694101128</v>
      </c>
      <c r="E11" s="10">
        <f t="shared" ref="E11:G11" si="7">SUM(E8:E10)</f>
        <v>149213857138.08374</v>
      </c>
      <c r="F11" s="11">
        <f t="shared" si="1"/>
        <v>0.18842720821795489</v>
      </c>
      <c r="G11" s="10">
        <f t="shared" si="7"/>
        <v>93525146884.223679</v>
      </c>
      <c r="H11" s="11">
        <f t="shared" si="2"/>
        <v>0.11810352378506142</v>
      </c>
      <c r="I11" s="9">
        <f>SUM(I8:I10)</f>
        <v>91992418011.21196</v>
      </c>
      <c r="J11" s="11">
        <f t="shared" si="3"/>
        <v>0.11616799428374047</v>
      </c>
      <c r="K11" s="9">
        <f>SUM(K8:K10)</f>
        <v>146723912912.0459</v>
      </c>
      <c r="L11" s="11">
        <f>+K11/Q11</f>
        <v>0.18528290749328055</v>
      </c>
      <c r="M11" s="9">
        <f>SUM(M8:M10)</f>
        <v>101649513125.4621</v>
      </c>
      <c r="N11" s="11">
        <f>+M11/Q11</f>
        <v>0.12836297072074443</v>
      </c>
      <c r="O11" s="9">
        <f>SUM(O8:O10)</f>
        <v>129212323689.18829</v>
      </c>
      <c r="P11" s="11">
        <f>+O11/Q11</f>
        <v>0.16316927855820684</v>
      </c>
      <c r="Q11" s="15">
        <f>+C11+E11+G11+I11+K11+M11+O11</f>
        <v>791891248346.08374</v>
      </c>
      <c r="R11" s="33"/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0"/>
      <c r="F13" s="3"/>
      <c r="G13" s="3"/>
      <c r="H13" s="3"/>
      <c r="I13" s="31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9"/>
      <c r="D14" s="2"/>
      <c r="E14" s="25"/>
      <c r="G14" s="25"/>
      <c r="I14" s="29"/>
      <c r="J14" s="2"/>
      <c r="K14" s="29"/>
      <c r="L14" s="32"/>
      <c r="M14" s="29"/>
      <c r="N14" s="2"/>
      <c r="O14" s="2"/>
      <c r="P14" s="2"/>
      <c r="Q14" s="27"/>
    </row>
    <row r="15" spans="2:19" x14ac:dyDescent="0.25">
      <c r="C15" s="24"/>
      <c r="E15" s="25"/>
      <c r="F15" s="26"/>
      <c r="G15" s="25"/>
      <c r="I15" s="29"/>
      <c r="K15" s="25"/>
      <c r="M15" s="29"/>
      <c r="Q15" s="24"/>
    </row>
    <row r="16" spans="2:19" x14ac:dyDescent="0.25">
      <c r="C16" s="24"/>
      <c r="E16" s="25"/>
      <c r="F16" s="26"/>
      <c r="G16" s="25"/>
      <c r="I16" s="29"/>
      <c r="K16" s="25"/>
      <c r="M16" s="29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topLeftCell="F1" zoomScale="90" zoomScaleNormal="90" workbookViewId="0">
      <selection activeCell="Q12" sqref="Q12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22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ht="17.25" thickTop="1" thickBot="1" x14ac:dyDescent="0.3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ht="16.5" thickBot="1" x14ac:dyDescent="0.3">
      <c r="B8" s="12" t="s">
        <v>13</v>
      </c>
      <c r="C8" s="17">
        <v>67133350407.694191</v>
      </c>
      <c r="D8" s="21">
        <f>+C8/Q8</f>
        <v>9.4850583924407358E-2</v>
      </c>
      <c r="E8" s="18">
        <v>120351115684.88115</v>
      </c>
      <c r="F8" s="21">
        <f>+E8/Q8</f>
        <v>0.17004027848067235</v>
      </c>
      <c r="G8" s="18">
        <v>82840646816.489365</v>
      </c>
      <c r="H8" s="21">
        <f>+G8/Q8</f>
        <v>0.11704292539403878</v>
      </c>
      <c r="I8" s="18">
        <v>75206447699.306015</v>
      </c>
      <c r="J8" s="21">
        <f>+I8/Q8</f>
        <v>0.10625680732213268</v>
      </c>
      <c r="K8" s="18">
        <v>137402300048.69852</v>
      </c>
      <c r="L8" s="21">
        <f>+K8/Q8</f>
        <v>0.19413135666594106</v>
      </c>
      <c r="M8" s="18">
        <v>99768497032.671204</v>
      </c>
      <c r="N8" s="21">
        <f>+M8/Q8</f>
        <v>0.14095974866948985</v>
      </c>
      <c r="O8" s="18">
        <v>125077685722.50826</v>
      </c>
      <c r="P8" s="21">
        <f>+O8/Q8</f>
        <v>0.1767182995433178</v>
      </c>
      <c r="Q8" s="20">
        <f>+C8+E8+G8+I8+K8+M8+O8</f>
        <v>707780043412.24878</v>
      </c>
      <c r="R8" s="33"/>
    </row>
    <row r="9" spans="2:19" ht="36" customHeight="1" thickBot="1" x14ac:dyDescent="0.3">
      <c r="B9" s="13" t="s">
        <v>14</v>
      </c>
      <c r="C9" s="18">
        <v>9915960249.999094</v>
      </c>
      <c r="D9" s="22">
        <f t="shared" ref="D9:D11" si="0">+C9/Q9</f>
        <v>0.23081953782193906</v>
      </c>
      <c r="E9" s="18">
        <v>11852005019.293499</v>
      </c>
      <c r="F9" s="22">
        <f t="shared" ref="F9:F11" si="1">+E9/Q9</f>
        <v>0.27588597088384631</v>
      </c>
      <c r="G9" s="18">
        <v>5196011275.8023996</v>
      </c>
      <c r="H9" s="22">
        <f t="shared" ref="H9:H11" si="2">+G9/Q9</f>
        <v>0.12095055758199549</v>
      </c>
      <c r="I9" s="18">
        <v>6931634086.0234985</v>
      </c>
      <c r="J9" s="22">
        <f t="shared" ref="J9:J11" si="3">+I9/Q9</f>
        <v>0.16135165286557993</v>
      </c>
      <c r="K9" s="18">
        <v>7744587839.6455002</v>
      </c>
      <c r="L9" s="22">
        <f t="shared" ref="L9:L10" si="4">+K9/Q9</f>
        <v>0.18027524724784444</v>
      </c>
      <c r="M9" s="18">
        <v>1075654905.6292</v>
      </c>
      <c r="N9" s="22">
        <f t="shared" ref="N9:N10" si="5">+M9/Q9</f>
        <v>2.5038640929733066E-2</v>
      </c>
      <c r="O9" s="18">
        <v>243942590.48270002</v>
      </c>
      <c r="P9" s="22">
        <f>+O9/Q9</f>
        <v>5.6783926690618302E-3</v>
      </c>
      <c r="Q9" s="20">
        <f t="shared" ref="Q9:Q10" si="6">+C9+E9+G9+I9+K9+M9+O9</f>
        <v>42959795966.875885</v>
      </c>
      <c r="R9" s="33"/>
    </row>
    <row r="10" spans="2:19" ht="34.5" customHeight="1" thickBot="1" x14ac:dyDescent="0.3">
      <c r="B10" s="14" t="s">
        <v>15</v>
      </c>
      <c r="C10" s="19">
        <v>3548987859.6518998</v>
      </c>
      <c r="D10" s="23">
        <f t="shared" si="0"/>
        <v>7.0179787774456284E-2</v>
      </c>
      <c r="E10" s="19">
        <v>12288283029.4893</v>
      </c>
      <c r="F10" s="23">
        <f t="shared" si="1"/>
        <v>0.24299578618637449</v>
      </c>
      <c r="G10" s="19">
        <v>5116883946.5602999</v>
      </c>
      <c r="H10" s="23">
        <f t="shared" si="2"/>
        <v>0.10118429356119196</v>
      </c>
      <c r="I10" s="19">
        <v>8697959808.1509991</v>
      </c>
      <c r="J10" s="23">
        <f t="shared" si="3"/>
        <v>0.1719986084896499</v>
      </c>
      <c r="K10" s="19">
        <v>8632116077.9890995</v>
      </c>
      <c r="L10" s="23">
        <f t="shared" si="4"/>
        <v>0.17069657557441362</v>
      </c>
      <c r="M10" s="19">
        <v>6245039800.0268993</v>
      </c>
      <c r="N10" s="23">
        <f t="shared" si="5"/>
        <v>0.12349311554193615</v>
      </c>
      <c r="O10" s="19">
        <v>6040672366.2125006</v>
      </c>
      <c r="P10" s="23">
        <f>+O10/Q10</f>
        <v>0.11945183287197753</v>
      </c>
      <c r="Q10" s="20">
        <f t="shared" si="6"/>
        <v>50569942888.081001</v>
      </c>
      <c r="R10" s="33"/>
    </row>
    <row r="11" spans="2:19" ht="16.5" thickBot="1" x14ac:dyDescent="0.3">
      <c r="B11" s="8" t="s">
        <v>16</v>
      </c>
      <c r="C11" s="10">
        <f>SUM(C8:C10)</f>
        <v>80598298517.345184</v>
      </c>
      <c r="D11" s="11">
        <f t="shared" si="0"/>
        <v>0.10058319553931115</v>
      </c>
      <c r="E11" s="10">
        <f t="shared" ref="E11:G11" si="7">SUM(E8:E10)</f>
        <v>144491403733.66394</v>
      </c>
      <c r="F11" s="11">
        <f t="shared" si="1"/>
        <v>0.18031903132998531</v>
      </c>
      <c r="G11" s="10">
        <f t="shared" si="7"/>
        <v>93153542038.852066</v>
      </c>
      <c r="H11" s="11">
        <f t="shared" si="2"/>
        <v>0.11625159719788494</v>
      </c>
      <c r="I11" s="9">
        <f>SUM(I8:I10)</f>
        <v>90836041593.480515</v>
      </c>
      <c r="J11" s="11">
        <f t="shared" si="3"/>
        <v>0.11335945673403777</v>
      </c>
      <c r="K11" s="9">
        <f>SUM(K8:K10)</f>
        <v>153779003966.33313</v>
      </c>
      <c r="L11" s="11">
        <f>+K11/Q11</f>
        <v>0.19190955529237982</v>
      </c>
      <c r="M11" s="9">
        <f>SUM(M8:M10)</f>
        <v>107089191738.3273</v>
      </c>
      <c r="N11" s="11">
        <f>+M11/Q11</f>
        <v>0.13364268614733724</v>
      </c>
      <c r="O11" s="9">
        <f>SUM(O8:O10)</f>
        <v>131362300679.20345</v>
      </c>
      <c r="P11" s="11">
        <f>+O11/Q11</f>
        <v>0.16393447775906378</v>
      </c>
      <c r="Q11" s="15">
        <f>+C11+E11+G11+I11+K11+M11+O11</f>
        <v>801309782267.20557</v>
      </c>
      <c r="R11" s="33"/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0"/>
      <c r="F13" s="3"/>
      <c r="G13" s="3"/>
      <c r="H13" s="3"/>
      <c r="I13" s="31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9"/>
      <c r="D14" s="2"/>
      <c r="E14" s="25"/>
      <c r="G14" s="25"/>
      <c r="I14" s="29"/>
      <c r="J14" s="2"/>
      <c r="K14" s="29"/>
      <c r="L14" s="32"/>
      <c r="M14" s="29"/>
      <c r="N14" s="2"/>
      <c r="O14" s="2"/>
      <c r="P14" s="2"/>
      <c r="Q14" s="27"/>
    </row>
    <row r="15" spans="2:19" x14ac:dyDescent="0.25">
      <c r="C15" s="24"/>
      <c r="E15" s="25"/>
      <c r="F15" s="26"/>
      <c r="G15" s="25"/>
      <c r="I15" s="29"/>
      <c r="K15" s="25"/>
      <c r="M15" s="29"/>
      <c r="Q15" s="24"/>
    </row>
    <row r="16" spans="2:19" x14ac:dyDescent="0.25">
      <c r="C16" s="24"/>
      <c r="E16" s="25"/>
      <c r="F16" s="26"/>
      <c r="G16" s="25"/>
      <c r="I16" s="29"/>
      <c r="K16" s="25"/>
      <c r="M16" s="29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topLeftCell="E1" zoomScale="90" zoomScaleNormal="90" workbookViewId="0">
      <selection activeCell="Q19" sqref="Q19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23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ht="17.25" thickTop="1" thickBot="1" x14ac:dyDescent="0.3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ht="16.5" thickBot="1" x14ac:dyDescent="0.3">
      <c r="B8" s="12" t="s">
        <v>13</v>
      </c>
      <c r="C8" s="17">
        <v>71600029884.569412</v>
      </c>
      <c r="D8" s="21">
        <f>+C8/Q8</f>
        <v>9.913395360552163E-2</v>
      </c>
      <c r="E8" s="18">
        <v>119818616185.42786</v>
      </c>
      <c r="F8" s="21">
        <f>+E8/Q8</f>
        <v>0.16589508631705008</v>
      </c>
      <c r="G8" s="18">
        <v>84657886247.567703</v>
      </c>
      <c r="H8" s="21">
        <f>+G8/Q8</f>
        <v>0.11721323274777813</v>
      </c>
      <c r="I8" s="18">
        <v>97165659491.308563</v>
      </c>
      <c r="J8" s="21">
        <f>+I8/Q8</f>
        <v>0.13453089329138934</v>
      </c>
      <c r="K8" s="18">
        <v>120763051231.44</v>
      </c>
      <c r="L8" s="21">
        <f>+K8/Q8</f>
        <v>0.16720270560416123</v>
      </c>
      <c r="M8" s="18">
        <v>105117195268.08209</v>
      </c>
      <c r="N8" s="21">
        <f>+M8/Q8</f>
        <v>0.14554020683578484</v>
      </c>
      <c r="O8" s="18">
        <v>123132927088.24265</v>
      </c>
      <c r="P8" s="21">
        <f>+O8/Q8</f>
        <v>0.17048392159831474</v>
      </c>
      <c r="Q8" s="20">
        <f>+C8+E8+G8+I8+K8+M8+O8</f>
        <v>722255365396.63831</v>
      </c>
      <c r="R8" s="28"/>
    </row>
    <row r="9" spans="2:19" ht="36" customHeight="1" thickBot="1" x14ac:dyDescent="0.3">
      <c r="B9" s="13" t="s">
        <v>14</v>
      </c>
      <c r="C9" s="18">
        <v>7732321952.3608017</v>
      </c>
      <c r="D9" s="22">
        <f t="shared" ref="D9:D11" si="0">+C9/Q9</f>
        <v>0.17807264417794808</v>
      </c>
      <c r="E9" s="18">
        <v>11738774259.0324</v>
      </c>
      <c r="F9" s="22">
        <f t="shared" ref="F9:F11" si="1">+E9/Q9</f>
        <v>0.27033982606941426</v>
      </c>
      <c r="G9" s="18">
        <v>5316304216.4461002</v>
      </c>
      <c r="H9" s="22">
        <f t="shared" ref="H9:H11" si="2">+G9/Q9</f>
        <v>0.1224326088475781</v>
      </c>
      <c r="I9" s="18">
        <v>9078462704.6916962</v>
      </c>
      <c r="J9" s="22">
        <f t="shared" ref="J9:J11" si="3">+I9/Q9</f>
        <v>0.20907379036406454</v>
      </c>
      <c r="K9" s="18">
        <v>5732264208.0679998</v>
      </c>
      <c r="L9" s="22">
        <f t="shared" ref="L9:L10" si="4">+K9/Q9</f>
        <v>0.13201202057366818</v>
      </c>
      <c r="M9" s="18">
        <v>2719313964.4040999</v>
      </c>
      <c r="N9" s="22">
        <f t="shared" ref="N9:N10" si="5">+M9/Q9</f>
        <v>6.262484037458009E-2</v>
      </c>
      <c r="O9" s="18">
        <v>1104848446.7786999</v>
      </c>
      <c r="P9" s="22">
        <f>+O9/Q9</f>
        <v>2.5444269592746736E-2</v>
      </c>
      <c r="Q9" s="20">
        <f t="shared" ref="Q9:Q10" si="6">+C9+E9+G9+I9+K9+M9+O9</f>
        <v>43422289751.781799</v>
      </c>
      <c r="R9" s="28"/>
    </row>
    <row r="10" spans="2:19" ht="34.5" customHeight="1" thickBot="1" x14ac:dyDescent="0.3">
      <c r="B10" s="14" t="s">
        <v>15</v>
      </c>
      <c r="C10" s="19">
        <v>1068330952.2773999</v>
      </c>
      <c r="D10" s="23">
        <f t="shared" si="0"/>
        <v>2.0652316686922585E-2</v>
      </c>
      <c r="E10" s="19">
        <v>11108395858.9604</v>
      </c>
      <c r="F10" s="23">
        <f t="shared" si="1"/>
        <v>0.21474067438924169</v>
      </c>
      <c r="G10" s="19">
        <v>5200787960.1722002</v>
      </c>
      <c r="H10" s="23">
        <f t="shared" si="2"/>
        <v>0.10053843310075795</v>
      </c>
      <c r="I10" s="19">
        <v>10986550641.629501</v>
      </c>
      <c r="J10" s="23">
        <f t="shared" si="3"/>
        <v>0.21238523761214526</v>
      </c>
      <c r="K10" s="19">
        <v>6765736111.9099998</v>
      </c>
      <c r="L10" s="23">
        <f t="shared" si="4"/>
        <v>0.13079104794768898</v>
      </c>
      <c r="M10" s="19">
        <v>9030862210.6306</v>
      </c>
      <c r="N10" s="23">
        <f t="shared" si="5"/>
        <v>0.17457907208652765</v>
      </c>
      <c r="O10" s="19">
        <v>7568687914.0527983</v>
      </c>
      <c r="P10" s="23">
        <f>+O10/Q10</f>
        <v>0.14631321817671594</v>
      </c>
      <c r="Q10" s="20">
        <f t="shared" si="6"/>
        <v>51729351649.632896</v>
      </c>
      <c r="R10" s="28"/>
    </row>
    <row r="11" spans="2:19" ht="16.5" thickBot="1" x14ac:dyDescent="0.3">
      <c r="B11" s="8" t="s">
        <v>16</v>
      </c>
      <c r="C11" s="10">
        <f>SUM(C8:C10)</f>
        <v>80400682789.207611</v>
      </c>
      <c r="D11" s="11">
        <f t="shared" si="0"/>
        <v>9.8360647903121351E-2</v>
      </c>
      <c r="E11" s="10">
        <f t="shared" ref="E11:G11" si="7">SUM(E8:E10)</f>
        <v>142665786303.42065</v>
      </c>
      <c r="F11" s="11">
        <f t="shared" si="1"/>
        <v>0.17453457716526205</v>
      </c>
      <c r="G11" s="10">
        <f t="shared" si="7"/>
        <v>95174978424.186005</v>
      </c>
      <c r="H11" s="11">
        <f t="shared" si="2"/>
        <v>0.11643523683141091</v>
      </c>
      <c r="I11" s="9">
        <f>SUM(I8:I10)</f>
        <v>117230672837.62976</v>
      </c>
      <c r="J11" s="11">
        <f t="shared" si="3"/>
        <v>0.1434177488847885</v>
      </c>
      <c r="K11" s="9">
        <f>SUM(K8:K10)</f>
        <v>133261051551.418</v>
      </c>
      <c r="L11" s="11">
        <f>+K11/Q11</f>
        <v>0.16302900567665579</v>
      </c>
      <c r="M11" s="9">
        <f>SUM(M8:M10)</f>
        <v>116867371443.11679</v>
      </c>
      <c r="N11" s="11">
        <f>+M11/Q11</f>
        <v>0.14297329295097397</v>
      </c>
      <c r="O11" s="9">
        <f>SUM(O8:O10)</f>
        <v>131806463449.07414</v>
      </c>
      <c r="P11" s="11">
        <f>+O11/Q11</f>
        <v>0.16124949058778743</v>
      </c>
      <c r="Q11" s="15">
        <f>+C11+E11+G11+I11+K11+M11+O11</f>
        <v>817407006798.05298</v>
      </c>
      <c r="R11" s="28"/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0"/>
      <c r="F13" s="3"/>
      <c r="G13" s="3"/>
      <c r="H13" s="3"/>
      <c r="I13" s="31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9"/>
      <c r="D14" s="2"/>
      <c r="E14" s="25"/>
      <c r="G14" s="25"/>
      <c r="I14" s="29"/>
      <c r="J14" s="2"/>
      <c r="K14" s="29"/>
      <c r="L14" s="32"/>
      <c r="M14" s="29"/>
      <c r="N14" s="2"/>
      <c r="O14" s="2"/>
      <c r="P14" s="2"/>
      <c r="Q14" s="27"/>
    </row>
    <row r="15" spans="2:19" x14ac:dyDescent="0.25">
      <c r="C15" s="24"/>
      <c r="E15" s="25"/>
      <c r="F15" s="26"/>
      <c r="G15" s="25"/>
      <c r="I15" s="29"/>
      <c r="K15" s="25"/>
      <c r="M15" s="29"/>
      <c r="Q15" s="24"/>
    </row>
    <row r="16" spans="2:19" x14ac:dyDescent="0.25">
      <c r="C16" s="24"/>
      <c r="E16" s="25"/>
      <c r="F16" s="26"/>
      <c r="G16" s="25"/>
      <c r="I16" s="29"/>
      <c r="K16" s="25"/>
      <c r="M16" s="29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topLeftCell="E1" zoomScale="90" zoomScaleNormal="90" workbookViewId="0">
      <selection activeCell="I15" sqref="I15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24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ht="17.25" thickTop="1" thickBot="1" x14ac:dyDescent="0.3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ht="16.5" thickBot="1" x14ac:dyDescent="0.3">
      <c r="B8" s="12" t="s">
        <v>13</v>
      </c>
      <c r="C8" s="17">
        <v>78900354730.573654</v>
      </c>
      <c r="D8" s="21">
        <f>+C8/Q8</f>
        <v>0.1082107729884641</v>
      </c>
      <c r="E8" s="18">
        <v>115996920777.38675</v>
      </c>
      <c r="F8" s="21">
        <f>+E8/Q8</f>
        <v>0.15908821328453096</v>
      </c>
      <c r="G8" s="18">
        <v>87008599705.203064</v>
      </c>
      <c r="H8" s="21">
        <f>+G8/Q8</f>
        <v>0.11933112167739703</v>
      </c>
      <c r="I8" s="18">
        <v>94221840657.843048</v>
      </c>
      <c r="J8" s="21">
        <f>+I8/Q8</f>
        <v>0.12922398441423283</v>
      </c>
      <c r="K8" s="18">
        <v>124655490467.59393</v>
      </c>
      <c r="L8" s="21">
        <f>+K8/Q8</f>
        <v>0.17096332490286617</v>
      </c>
      <c r="M8" s="18">
        <v>104785771993.71933</v>
      </c>
      <c r="N8" s="21">
        <f>+M8/Q8</f>
        <v>0.14371227384659035</v>
      </c>
      <c r="O8" s="18">
        <v>123566878954.13452</v>
      </c>
      <c r="P8" s="21">
        <f>+O8/Q8</f>
        <v>0.16947030888591869</v>
      </c>
      <c r="Q8" s="20">
        <f>+C8+E8+G8+I8+K8+M8+O8</f>
        <v>729135857286.45422</v>
      </c>
      <c r="R8" s="34"/>
    </row>
    <row r="9" spans="2:19" ht="36" customHeight="1" thickBot="1" x14ac:dyDescent="0.3">
      <c r="B9" s="13" t="s">
        <v>14</v>
      </c>
      <c r="C9" s="18">
        <v>8056459567.9677992</v>
      </c>
      <c r="D9" s="22">
        <f t="shared" ref="D9:D11" si="0">+C9/Q9</f>
        <v>0.18490504221143911</v>
      </c>
      <c r="E9" s="18">
        <v>11437003786.419399</v>
      </c>
      <c r="F9" s="22">
        <f t="shared" ref="F9:F11" si="1">+E9/Q9</f>
        <v>0.26249243232206837</v>
      </c>
      <c r="G9" s="18">
        <v>5688257941.4348011</v>
      </c>
      <c r="H9" s="22">
        <f t="shared" ref="H9:H11" si="2">+G9/Q9</f>
        <v>0.13055208257389214</v>
      </c>
      <c r="I9" s="18">
        <v>8730199010.4497013</v>
      </c>
      <c r="J9" s="22">
        <f t="shared" ref="J9:J11" si="3">+I9/Q9</f>
        <v>0.20036813974213913</v>
      </c>
      <c r="K9" s="18">
        <v>5826500710.6111002</v>
      </c>
      <c r="L9" s="22">
        <f t="shared" ref="L9:L10" si="4">+K9/Q9</f>
        <v>0.13372491362384895</v>
      </c>
      <c r="M9" s="18">
        <v>2724242767.8655</v>
      </c>
      <c r="N9" s="22">
        <f t="shared" ref="N9:N10" si="5">+M9/Q9</f>
        <v>6.2524514612991508E-2</v>
      </c>
      <c r="O9" s="18">
        <v>1108130562.5211999</v>
      </c>
      <c r="P9" s="22">
        <f>+O9/Q9</f>
        <v>2.5432874913620767E-2</v>
      </c>
      <c r="Q9" s="20">
        <f t="shared" ref="Q9:Q10" si="6">+C9+E9+G9+I9+K9+M9+O9</f>
        <v>43570794347.269501</v>
      </c>
      <c r="R9" s="34"/>
    </row>
    <row r="10" spans="2:19" ht="34.5" customHeight="1" thickBot="1" x14ac:dyDescent="0.3">
      <c r="B10" s="14" t="s">
        <v>15</v>
      </c>
      <c r="C10" s="19">
        <v>869895236.28240013</v>
      </c>
      <c r="D10" s="23">
        <f t="shared" si="0"/>
        <v>1.6610175672337291E-2</v>
      </c>
      <c r="E10" s="19">
        <v>11194951026.9687</v>
      </c>
      <c r="F10" s="23">
        <f t="shared" si="1"/>
        <v>0.21376149155137644</v>
      </c>
      <c r="G10" s="19">
        <v>5253581283.3827</v>
      </c>
      <c r="H10" s="23">
        <f t="shared" si="2"/>
        <v>0.10031427278394831</v>
      </c>
      <c r="I10" s="19">
        <v>10983769507.398996</v>
      </c>
      <c r="J10" s="23">
        <f t="shared" si="3"/>
        <v>0.20972909547366628</v>
      </c>
      <c r="K10" s="19">
        <v>7638818052.8779001</v>
      </c>
      <c r="L10" s="23">
        <f t="shared" si="4"/>
        <v>0.14585906956976691</v>
      </c>
      <c r="M10" s="19">
        <v>8877878514.2614002</v>
      </c>
      <c r="N10" s="23">
        <f t="shared" si="5"/>
        <v>0.16951825411730231</v>
      </c>
      <c r="O10" s="19">
        <v>7552330707.9678993</v>
      </c>
      <c r="P10" s="23">
        <f>+O10/Q10</f>
        <v>0.14420764083160242</v>
      </c>
      <c r="Q10" s="20">
        <f t="shared" si="6"/>
        <v>52371224329.139999</v>
      </c>
      <c r="R10" s="34"/>
    </row>
    <row r="11" spans="2:19" ht="16.5" thickBot="1" x14ac:dyDescent="0.3">
      <c r="B11" s="8" t="s">
        <v>16</v>
      </c>
      <c r="C11" s="10">
        <f>SUM(C8:C10)</f>
        <v>87826709534.823853</v>
      </c>
      <c r="D11" s="11">
        <f t="shared" si="0"/>
        <v>0.10644656958269581</v>
      </c>
      <c r="E11" s="10">
        <f t="shared" ref="E11:G11" si="7">SUM(E8:E10)</f>
        <v>138628875590.77484</v>
      </c>
      <c r="F11" s="11">
        <f t="shared" si="1"/>
        <v>0.16801914053142594</v>
      </c>
      <c r="G11" s="10">
        <f t="shared" si="7"/>
        <v>97950438930.020569</v>
      </c>
      <c r="H11" s="11">
        <f t="shared" si="2"/>
        <v>0.11871659849770258</v>
      </c>
      <c r="I11" s="9">
        <f>SUM(I8:I10)</f>
        <v>113935809175.69176</v>
      </c>
      <c r="J11" s="11">
        <f t="shared" si="3"/>
        <v>0.13809097600966327</v>
      </c>
      <c r="K11" s="9">
        <f>SUM(K8:K10)</f>
        <v>138120809231.08295</v>
      </c>
      <c r="L11" s="11">
        <f>+K11/Q11</f>
        <v>0.16740336064628603</v>
      </c>
      <c r="M11" s="9">
        <f>SUM(M8:M10)</f>
        <v>116387893275.84622</v>
      </c>
      <c r="N11" s="11">
        <f>+M11/Q11</f>
        <v>0.141062918624526</v>
      </c>
      <c r="O11" s="9">
        <f>SUM(O8:O10)</f>
        <v>132227340224.62361</v>
      </c>
      <c r="P11" s="11">
        <f>+O11/Q11</f>
        <v>0.1602604361077003</v>
      </c>
      <c r="Q11" s="15">
        <f>+C11+E11+G11+I11+K11+M11+O11</f>
        <v>825077875962.86389</v>
      </c>
      <c r="R11" s="34"/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0"/>
      <c r="F13" s="3"/>
      <c r="G13" s="3"/>
      <c r="H13" s="3"/>
      <c r="I13" s="31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9"/>
      <c r="D14" s="2"/>
      <c r="E14" s="25"/>
      <c r="G14" s="25"/>
      <c r="I14" s="29"/>
      <c r="J14" s="2"/>
      <c r="K14" s="29"/>
      <c r="L14" s="32"/>
      <c r="M14" s="29"/>
      <c r="N14" s="2"/>
      <c r="O14" s="2"/>
      <c r="P14" s="2"/>
      <c r="Q14" s="27"/>
    </row>
    <row r="15" spans="2:19" x14ac:dyDescent="0.25">
      <c r="C15" s="24"/>
      <c r="E15" s="25"/>
      <c r="F15" s="26"/>
      <c r="G15" s="25"/>
      <c r="I15" s="29"/>
      <c r="K15" s="25"/>
      <c r="M15" s="29"/>
      <c r="Q15" s="24"/>
    </row>
    <row r="16" spans="2:19" x14ac:dyDescent="0.25">
      <c r="C16" s="24"/>
      <c r="E16" s="25"/>
      <c r="F16" s="26"/>
      <c r="G16" s="25"/>
      <c r="I16" s="29"/>
      <c r="K16" s="25"/>
      <c r="M16" s="29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topLeftCell="D1" zoomScale="90" zoomScaleNormal="90" workbookViewId="0">
      <selection activeCell="Q20" sqref="Q20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25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ht="17.25" thickTop="1" thickBot="1" x14ac:dyDescent="0.3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ht="16.5" thickBot="1" x14ac:dyDescent="0.3">
      <c r="B8" s="12" t="s">
        <v>13</v>
      </c>
      <c r="C8" s="17">
        <v>73972734881.794876</v>
      </c>
      <c r="D8" s="21">
        <f>+C8/Q8</f>
        <v>9.9878415562488304E-2</v>
      </c>
      <c r="E8" s="18">
        <v>123218001123.40523</v>
      </c>
      <c r="F8" s="21">
        <f>+E8/Q8</f>
        <v>0.16636965958671618</v>
      </c>
      <c r="G8" s="18">
        <v>73379090513.327026</v>
      </c>
      <c r="H8" s="21">
        <f>+G8/Q8</f>
        <v>9.9076873493982809E-2</v>
      </c>
      <c r="I8" s="18">
        <v>93309366715.141266</v>
      </c>
      <c r="J8" s="21">
        <f>+I8/Q8</f>
        <v>0.12598684798581242</v>
      </c>
      <c r="K8" s="18">
        <v>141228205984.46899</v>
      </c>
      <c r="L8" s="21">
        <f>+K8/Q8</f>
        <v>0.19068714262088174</v>
      </c>
      <c r="M8" s="18">
        <v>111076781034.2052</v>
      </c>
      <c r="N8" s="21">
        <f>+M8/Q8</f>
        <v>0.14997651382236793</v>
      </c>
      <c r="O8" s="18">
        <f>124443656755.287</f>
        <v>124443656755.287</v>
      </c>
      <c r="P8" s="21">
        <f>+O8/Q8</f>
        <v>0.16802454692775079</v>
      </c>
      <c r="Q8" s="20">
        <f>+C8+E8+G8+I8+K8+M8+O8</f>
        <v>740627837007.62952</v>
      </c>
      <c r="R8" s="34"/>
    </row>
    <row r="9" spans="2:19" ht="36" customHeight="1" thickBot="1" x14ac:dyDescent="0.3">
      <c r="B9" s="13" t="s">
        <v>14</v>
      </c>
      <c r="C9" s="18">
        <v>8062673844.8833027</v>
      </c>
      <c r="D9" s="22">
        <f t="shared" ref="D9:D11" si="0">+C9/Q9</f>
        <v>0.18268287247337067</v>
      </c>
      <c r="E9" s="18">
        <v>12863790123.930401</v>
      </c>
      <c r="F9" s="22">
        <f t="shared" ref="F9:F11" si="1">+E9/Q9</f>
        <v>0.29146585561383276</v>
      </c>
      <c r="G9" s="18">
        <v>4514048237.8127003</v>
      </c>
      <c r="H9" s="22">
        <f t="shared" ref="H9:H11" si="2">+G9/Q9</f>
        <v>0.10227863788516138</v>
      </c>
      <c r="I9" s="18">
        <v>8811560877.4227028</v>
      </c>
      <c r="J9" s="22">
        <f t="shared" ref="J9:J11" si="3">+I9/Q9</f>
        <v>0.19965104418593191</v>
      </c>
      <c r="K9" s="18">
        <v>5920167298.7677994</v>
      </c>
      <c r="L9" s="22">
        <f t="shared" ref="L9:L10" si="4">+K9/Q9</f>
        <v>0.13413827577164891</v>
      </c>
      <c r="M9" s="18">
        <v>2848325425.6595001</v>
      </c>
      <c r="N9" s="22">
        <f t="shared" ref="N9:N10" si="5">+M9/Q9</f>
        <v>6.4536936568335784E-2</v>
      </c>
      <c r="O9" s="18">
        <v>1114244071.1886001</v>
      </c>
      <c r="P9" s="22">
        <f>+O9/Q9</f>
        <v>2.5246377501718546E-2</v>
      </c>
      <c r="Q9" s="20">
        <f t="shared" ref="Q9:Q10" si="6">+C9+E9+G9+I9+K9+M9+O9</f>
        <v>44134809879.665009</v>
      </c>
      <c r="R9" s="34"/>
    </row>
    <row r="10" spans="2:19" ht="34.5" customHeight="1" thickBot="1" x14ac:dyDescent="0.3">
      <c r="B10" s="14" t="s">
        <v>15</v>
      </c>
      <c r="C10" s="19">
        <v>1530793319.9005995</v>
      </c>
      <c r="D10" s="23">
        <f t="shared" si="0"/>
        <v>2.8609818189032854E-2</v>
      </c>
      <c r="E10" s="19">
        <v>11915989285.4571</v>
      </c>
      <c r="F10" s="23">
        <f t="shared" si="1"/>
        <v>0.2227043210650593</v>
      </c>
      <c r="G10" s="19">
        <v>4221633627.6940999</v>
      </c>
      <c r="H10" s="23">
        <f t="shared" si="2"/>
        <v>7.8900377326495089E-2</v>
      </c>
      <c r="I10" s="19">
        <v>11054436330.206301</v>
      </c>
      <c r="J10" s="23">
        <f t="shared" si="3"/>
        <v>0.20660229534446764</v>
      </c>
      <c r="K10" s="19">
        <v>7922795652.1114006</v>
      </c>
      <c r="L10" s="23">
        <f t="shared" si="4"/>
        <v>0.14807338143498414</v>
      </c>
      <c r="M10" s="19">
        <v>9271580719.7168007</v>
      </c>
      <c r="N10" s="23">
        <f t="shared" si="5"/>
        <v>0.17328154968252951</v>
      </c>
      <c r="O10" s="19">
        <v>7588644810.2912998</v>
      </c>
      <c r="P10" s="23">
        <f>+O10/Q10</f>
        <v>0.14182825695743145</v>
      </c>
      <c r="Q10" s="20">
        <f t="shared" si="6"/>
        <v>53505873745.377602</v>
      </c>
      <c r="R10" s="34"/>
    </row>
    <row r="11" spans="2:19" ht="16.5" thickBot="1" x14ac:dyDescent="0.3">
      <c r="B11" s="8" t="s">
        <v>16</v>
      </c>
      <c r="C11" s="10">
        <f>SUM(C8:C10)</f>
        <v>83566202046.578781</v>
      </c>
      <c r="D11" s="11">
        <f t="shared" si="0"/>
        <v>9.9689061428081885E-2</v>
      </c>
      <c r="E11" s="10">
        <f t="shared" ref="E11:G11" si="7">SUM(E8:E10)</f>
        <v>147997780532.79272</v>
      </c>
      <c r="F11" s="11">
        <f t="shared" si="1"/>
        <v>0.17655175745009677</v>
      </c>
      <c r="G11" s="10">
        <f t="shared" si="7"/>
        <v>82114772378.833832</v>
      </c>
      <c r="H11" s="11">
        <f t="shared" si="2"/>
        <v>9.7957599930935987E-2</v>
      </c>
      <c r="I11" s="9">
        <f>SUM(I8:I10)</f>
        <v>113175363922.77026</v>
      </c>
      <c r="J11" s="11">
        <f t="shared" si="3"/>
        <v>0.13501087197852937</v>
      </c>
      <c r="K11" s="9">
        <f>SUM(K8:K10)</f>
        <v>155071168935.34818</v>
      </c>
      <c r="L11" s="11">
        <f>+K11/Q11</f>
        <v>0.18498985124516951</v>
      </c>
      <c r="M11" s="9">
        <f>SUM(M8:M10)</f>
        <v>123196687179.5815</v>
      </c>
      <c r="N11" s="11">
        <f>+M11/Q11</f>
        <v>0.14696566093952682</v>
      </c>
      <c r="O11" s="9">
        <f>SUM(O8:O10)</f>
        <v>133146545636.76691</v>
      </c>
      <c r="P11" s="11">
        <f>+O11/Q11</f>
        <v>0.15883519702764778</v>
      </c>
      <c r="Q11" s="15">
        <f>+C11+E11+G11+I11+K11+M11+O11+0.01</f>
        <v>838268520632.68213</v>
      </c>
      <c r="R11" s="34"/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0"/>
      <c r="F13" s="3"/>
      <c r="G13" s="3"/>
      <c r="H13" s="3"/>
      <c r="I13" s="31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9"/>
      <c r="D14" s="2"/>
      <c r="E14" s="25"/>
      <c r="G14" s="25"/>
      <c r="I14" s="29"/>
      <c r="J14" s="2"/>
      <c r="K14" s="29"/>
      <c r="L14" s="32"/>
      <c r="M14" s="29"/>
      <c r="N14" s="2"/>
      <c r="O14" s="2"/>
      <c r="P14" s="2"/>
      <c r="Q14" s="27"/>
    </row>
    <row r="15" spans="2:19" x14ac:dyDescent="0.25">
      <c r="C15" s="24"/>
      <c r="E15" s="25"/>
      <c r="F15" s="26"/>
      <c r="G15" s="25"/>
      <c r="I15" s="29"/>
      <c r="K15" s="25"/>
      <c r="M15" s="29"/>
      <c r="Q15" s="24"/>
    </row>
    <row r="16" spans="2:19" x14ac:dyDescent="0.25">
      <c r="C16" s="24"/>
      <c r="E16" s="25"/>
      <c r="F16" s="26"/>
      <c r="G16" s="25"/>
      <c r="I16" s="29"/>
      <c r="K16" s="25"/>
      <c r="M16" s="29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topLeftCell="B1" zoomScale="90" zoomScaleNormal="90" workbookViewId="0">
      <selection activeCell="P21" sqref="P21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26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ht="17.25" thickTop="1" thickBot="1" x14ac:dyDescent="0.3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ht="16.5" thickBot="1" x14ac:dyDescent="0.3">
      <c r="B8" s="12" t="s">
        <v>13</v>
      </c>
      <c r="C8" s="17">
        <v>75194986783.654282</v>
      </c>
      <c r="D8" s="21">
        <f>+C8/Q8</f>
        <v>0.1004415940400904</v>
      </c>
      <c r="E8" s="18">
        <v>123502458858.1214</v>
      </c>
      <c r="F8" s="21">
        <f>+E8/Q8</f>
        <v>0.1649682294814489</v>
      </c>
      <c r="G8" s="18">
        <v>76643697879.940903</v>
      </c>
      <c r="H8" s="21">
        <f>+G8/Q8</f>
        <v>0.10237670777623945</v>
      </c>
      <c r="I8" s="18">
        <v>88184154118.02803</v>
      </c>
      <c r="J8" s="21">
        <f>+I8/Q8</f>
        <v>0.11779185538226772</v>
      </c>
      <c r="K8" s="18">
        <v>143948525308.23746</v>
      </c>
      <c r="L8" s="21">
        <f>+K8/Q8</f>
        <v>0.19227903295306656</v>
      </c>
      <c r="M8" s="18">
        <v>115284506233.29941</v>
      </c>
      <c r="N8" s="21">
        <f>+M8/Q8</f>
        <v>0.15399111123608078</v>
      </c>
      <c r="O8" s="18">
        <v>125885571806.99684</v>
      </c>
      <c r="P8" s="21">
        <f>+O8/Q8</f>
        <v>0.16815146913080622</v>
      </c>
      <c r="Q8" s="20">
        <f>+C8+E8+G8+I8+K8+M8+O8</f>
        <v>748643900988.27832</v>
      </c>
      <c r="R8" s="34"/>
    </row>
    <row r="9" spans="2:19" ht="36" customHeight="1" thickBot="1" x14ac:dyDescent="0.3">
      <c r="B9" s="13" t="s">
        <v>14</v>
      </c>
      <c r="C9" s="18">
        <v>8795485296.2665997</v>
      </c>
      <c r="D9" s="22">
        <f t="shared" ref="D9:D11" si="0">+C9/Q9</f>
        <v>0.1989673512197096</v>
      </c>
      <c r="E9" s="18">
        <v>12630534065.134098</v>
      </c>
      <c r="F9" s="22">
        <f t="shared" ref="F9:F11" si="1">+E9/Q9</f>
        <v>0.28572202928890772</v>
      </c>
      <c r="G9" s="18">
        <v>4366739991.2294989</v>
      </c>
      <c r="H9" s="22">
        <f t="shared" ref="H9:H11" si="2">+G9/Q9</f>
        <v>9.8782348017670538E-2</v>
      </c>
      <c r="I9" s="18">
        <v>7337672859.8368998</v>
      </c>
      <c r="J9" s="22">
        <f t="shared" ref="J9:J11" si="3">+I9/Q9</f>
        <v>0.16598940068243925</v>
      </c>
      <c r="K9" s="18">
        <v>5930799250.9876003</v>
      </c>
      <c r="L9" s="22">
        <f t="shared" ref="L9:L10" si="4">+K9/Q9</f>
        <v>0.13416376445830994</v>
      </c>
      <c r="M9" s="18">
        <v>4025587727.1785002</v>
      </c>
      <c r="N9" s="22">
        <f t="shared" ref="N9:N10" si="5">+M9/Q9</f>
        <v>9.1064961193131566E-2</v>
      </c>
      <c r="O9" s="18">
        <v>1118851952.6399</v>
      </c>
      <c r="P9" s="22">
        <f>+O9/Q9</f>
        <v>2.531014513983143E-2</v>
      </c>
      <c r="Q9" s="20">
        <f t="shared" ref="Q9:Q10" si="6">+C9+E9+G9+I9+K9+M9+O9</f>
        <v>44205671143.273094</v>
      </c>
      <c r="R9" s="34"/>
    </row>
    <row r="10" spans="2:19" ht="34.5" customHeight="1" thickBot="1" x14ac:dyDescent="0.3">
      <c r="B10" s="14" t="s">
        <v>15</v>
      </c>
      <c r="C10" s="19">
        <v>1773519429.7543001</v>
      </c>
      <c r="D10" s="23">
        <f t="shared" si="0"/>
        <v>3.2659708214392597E-2</v>
      </c>
      <c r="E10" s="19">
        <v>11434590278.876699</v>
      </c>
      <c r="F10" s="23">
        <f t="shared" si="1"/>
        <v>0.21057022313591464</v>
      </c>
      <c r="G10" s="19">
        <v>4880793044.132</v>
      </c>
      <c r="H10" s="23">
        <f t="shared" si="2"/>
        <v>8.9880761384312446E-2</v>
      </c>
      <c r="I10" s="19">
        <v>10209604662.536604</v>
      </c>
      <c r="J10" s="23">
        <f t="shared" si="3"/>
        <v>0.18801187270270966</v>
      </c>
      <c r="K10" s="19">
        <v>7891665710.9554996</v>
      </c>
      <c r="L10" s="23">
        <f t="shared" si="4"/>
        <v>0.14532657219382167</v>
      </c>
      <c r="M10" s="19">
        <v>10506843124.7743</v>
      </c>
      <c r="N10" s="23">
        <f t="shared" si="5"/>
        <v>0.19348557729478327</v>
      </c>
      <c r="O10" s="19">
        <v>7605962150.1290998</v>
      </c>
      <c r="P10" s="23">
        <f>+O10/Q10</f>
        <v>0.14006528507406574</v>
      </c>
      <c r="Q10" s="20">
        <f t="shared" si="6"/>
        <v>54302978401.158501</v>
      </c>
      <c r="R10" s="34"/>
    </row>
    <row r="11" spans="2:19" ht="16.5" thickBot="1" x14ac:dyDescent="0.3">
      <c r="B11" s="8" t="s">
        <v>16</v>
      </c>
      <c r="C11" s="10">
        <f>SUM(C8:C10)</f>
        <v>85763991509.675186</v>
      </c>
      <c r="D11" s="11">
        <f t="shared" si="0"/>
        <v>0.10123795467031729</v>
      </c>
      <c r="E11" s="10">
        <f t="shared" ref="E11:G11" si="7">SUM(E8:E10)</f>
        <v>147567583202.1322</v>
      </c>
      <c r="F11" s="11">
        <f t="shared" si="1"/>
        <v>0.17419245578536757</v>
      </c>
      <c r="G11" s="10">
        <f t="shared" si="7"/>
        <v>85891230915.302399</v>
      </c>
      <c r="H11" s="11">
        <f t="shared" si="2"/>
        <v>0.10138815123827569</v>
      </c>
      <c r="I11" s="9">
        <f>SUM(I8:I10)</f>
        <v>105731431640.40154</v>
      </c>
      <c r="J11" s="11">
        <f t="shared" si="3"/>
        <v>0.12480801902079361</v>
      </c>
      <c r="K11" s="9">
        <f>SUM(K8:K10)</f>
        <v>157770990270.18057</v>
      </c>
      <c r="L11" s="11">
        <f>+K11/Q11</f>
        <v>0.18623681197792358</v>
      </c>
      <c r="M11" s="9">
        <f>SUM(M8:M10)</f>
        <v>129816937085.2522</v>
      </c>
      <c r="N11" s="11">
        <f>+M11/Q11</f>
        <v>0.15323915037925417</v>
      </c>
      <c r="O11" s="9">
        <f>SUM(O8:O10)</f>
        <v>134610385909.76584</v>
      </c>
      <c r="P11" s="11">
        <f>+O11/Q11</f>
        <v>0.15889745692805621</v>
      </c>
      <c r="Q11" s="15">
        <f>+C11+E11+G11+I11+K11+M11+O11+0.01</f>
        <v>847152550532.71997</v>
      </c>
      <c r="R11" s="34"/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0"/>
      <c r="F13" s="3"/>
      <c r="G13" s="3"/>
      <c r="H13" s="3"/>
      <c r="I13" s="31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9"/>
      <c r="D14" s="2"/>
      <c r="E14" s="25"/>
      <c r="G14" s="25"/>
      <c r="I14" s="29"/>
      <c r="J14" s="2"/>
      <c r="K14" s="29"/>
      <c r="L14" s="32"/>
      <c r="M14" s="29"/>
      <c r="N14" s="2"/>
      <c r="O14" s="2"/>
      <c r="P14" s="2"/>
      <c r="Q14" s="27"/>
    </row>
    <row r="15" spans="2:19" x14ac:dyDescent="0.25">
      <c r="C15" s="24"/>
      <c r="E15" s="25"/>
      <c r="F15" s="26"/>
      <c r="G15" s="25"/>
      <c r="I15" s="29"/>
      <c r="K15" s="25"/>
      <c r="M15" s="29"/>
      <c r="Q15" s="24"/>
    </row>
    <row r="16" spans="2:19" x14ac:dyDescent="0.25">
      <c r="C16" s="24"/>
      <c r="E16" s="25"/>
      <c r="F16" s="26"/>
      <c r="G16" s="25"/>
      <c r="I16" s="29"/>
      <c r="K16" s="25"/>
      <c r="M16" s="29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tabSelected="1" topLeftCell="B1" zoomScale="90" zoomScaleNormal="90" workbookViewId="0">
      <selection activeCell="I32" sqref="I32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0.855468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16"/>
      <c r="S2" s="16"/>
    </row>
    <row r="3" spans="2:19" x14ac:dyDescent="0.25">
      <c r="B3" s="37" t="s">
        <v>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6"/>
      <c r="S3" s="16"/>
    </row>
    <row r="4" spans="2:19" x14ac:dyDescent="0.25">
      <c r="B4" s="37" t="s">
        <v>27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43" t="s">
        <v>5</v>
      </c>
    </row>
    <row r="7" spans="2:19" ht="17.25" thickTop="1" thickBot="1" x14ac:dyDescent="0.3">
      <c r="B7" s="39"/>
      <c r="C7" s="45" t="s">
        <v>6</v>
      </c>
      <c r="D7" s="45"/>
      <c r="E7" s="35" t="s">
        <v>7</v>
      </c>
      <c r="F7" s="35"/>
      <c r="G7" s="36" t="s">
        <v>8</v>
      </c>
      <c r="H7" s="36"/>
      <c r="I7" s="35" t="s">
        <v>9</v>
      </c>
      <c r="J7" s="35"/>
      <c r="K7" s="35" t="s">
        <v>10</v>
      </c>
      <c r="L7" s="35"/>
      <c r="M7" s="35" t="s">
        <v>11</v>
      </c>
      <c r="N7" s="35"/>
      <c r="O7" s="36" t="s">
        <v>12</v>
      </c>
      <c r="P7" s="36"/>
      <c r="Q7" s="44"/>
    </row>
    <row r="8" spans="2:19" ht="16.5" thickBot="1" x14ac:dyDescent="0.3">
      <c r="B8" s="12" t="s">
        <v>13</v>
      </c>
      <c r="C8" s="17">
        <v>65420852954.003349</v>
      </c>
      <c r="D8" s="21">
        <f>+C8/Q8</f>
        <v>8.6261589058134344E-2</v>
      </c>
      <c r="E8" s="18">
        <v>128872508838.05603</v>
      </c>
      <c r="F8" s="21">
        <f>+E8/Q8</f>
        <v>0.16992666552506175</v>
      </c>
      <c r="G8" s="18">
        <v>78573011560.048676</v>
      </c>
      <c r="H8" s="21">
        <f>+G8/Q8</f>
        <v>0.10360355342689241</v>
      </c>
      <c r="I8" s="18">
        <v>71266081138.058289</v>
      </c>
      <c r="J8" s="21">
        <f>+I8/Q8</f>
        <v>9.3968897183855093E-2</v>
      </c>
      <c r="K8" s="18">
        <v>146675440023.2514</v>
      </c>
      <c r="L8" s="21">
        <f>+K8/Q8</f>
        <v>0.19340097172231216</v>
      </c>
      <c r="M8" s="18">
        <v>125898945143.26259</v>
      </c>
      <c r="N8" s="21">
        <f>+M8/Q8</f>
        <v>0.16600583114433601</v>
      </c>
      <c r="O8" s="18">
        <v>141693900096.84091</v>
      </c>
      <c r="P8" s="21">
        <f>+O8/Q8</f>
        <v>0.1868324919394081</v>
      </c>
      <c r="Q8" s="20">
        <f>+C8+E8+G8+I8+K8+M8+O8</f>
        <v>758400739753.52136</v>
      </c>
      <c r="R8" s="34"/>
    </row>
    <row r="9" spans="2:19" ht="36" customHeight="1" thickBot="1" x14ac:dyDescent="0.3">
      <c r="B9" s="13" t="s">
        <v>14</v>
      </c>
      <c r="C9" s="18">
        <v>9461588803.2348003</v>
      </c>
      <c r="D9" s="22">
        <f t="shared" ref="D9:D11" si="0">+C9/Q9</f>
        <v>0.21258887522603437</v>
      </c>
      <c r="E9" s="18">
        <v>12809379146.9464</v>
      </c>
      <c r="F9" s="22">
        <f t="shared" ref="F9:F11" si="1">+E9/Q9</f>
        <v>0.28780911555384331</v>
      </c>
      <c r="G9" s="18">
        <v>5271052154.9701977</v>
      </c>
      <c r="H9" s="22">
        <f t="shared" ref="H9:H11" si="2">+G9/Q9</f>
        <v>0.1184332855915035</v>
      </c>
      <c r="I9" s="18">
        <v>5546995462.6774006</v>
      </c>
      <c r="J9" s="22">
        <f t="shared" ref="J9:J11" si="3">+I9/Q9</f>
        <v>0.12463335184164215</v>
      </c>
      <c r="K9" s="18">
        <v>6107795818.1021996</v>
      </c>
      <c r="L9" s="22">
        <f t="shared" ref="L9:L10" si="4">+K9/Q9</f>
        <v>0.1372337638089598</v>
      </c>
      <c r="M9" s="18">
        <v>4177469453.8330998</v>
      </c>
      <c r="N9" s="22">
        <f t="shared" ref="N9:N10" si="5">+M9/Q9</f>
        <v>9.3861987764451357E-2</v>
      </c>
      <c r="O9" s="18">
        <v>1132228699.7158</v>
      </c>
      <c r="P9" s="22">
        <f>+O9/Q9</f>
        <v>2.5439620213565533E-2</v>
      </c>
      <c r="Q9" s="20">
        <f t="shared" ref="Q9:Q10" si="6">+C9+E9+G9+I9+K9+M9+O9</f>
        <v>44506509539.479897</v>
      </c>
      <c r="R9" s="34"/>
    </row>
    <row r="10" spans="2:19" ht="34.5" customHeight="1" thickBot="1" x14ac:dyDescent="0.3">
      <c r="B10" s="14" t="s">
        <v>15</v>
      </c>
      <c r="C10" s="19">
        <v>3962364919.4533005</v>
      </c>
      <c r="D10" s="23">
        <f t="shared" si="0"/>
        <v>7.1994151654793184E-2</v>
      </c>
      <c r="E10" s="19">
        <v>9930057648.5342999</v>
      </c>
      <c r="F10" s="23">
        <f t="shared" si="1"/>
        <v>0.18042408784197875</v>
      </c>
      <c r="G10" s="19">
        <v>8258158927.5206013</v>
      </c>
      <c r="H10" s="23">
        <f t="shared" si="2"/>
        <v>0.15004653995859946</v>
      </c>
      <c r="I10" s="19">
        <v>5770311595.7761002</v>
      </c>
      <c r="J10" s="23">
        <f t="shared" si="3"/>
        <v>0.10484362156604045</v>
      </c>
      <c r="K10" s="19">
        <v>8212996319.2929001</v>
      </c>
      <c r="L10" s="23">
        <f t="shared" si="4"/>
        <v>0.1492259583786677</v>
      </c>
      <c r="M10" s="19">
        <v>11195674577.6495</v>
      </c>
      <c r="N10" s="23">
        <f t="shared" si="5"/>
        <v>0.20341970257808059</v>
      </c>
      <c r="O10" s="19">
        <v>7707752632.3309994</v>
      </c>
      <c r="P10" s="23">
        <f>+O10/Q10</f>
        <v>0.14004593802183984</v>
      </c>
      <c r="Q10" s="20">
        <f t="shared" si="6"/>
        <v>55037316620.557701</v>
      </c>
      <c r="R10" s="34"/>
    </row>
    <row r="11" spans="2:19" ht="16.5" thickBot="1" x14ac:dyDescent="0.3">
      <c r="B11" s="8" t="s">
        <v>16</v>
      </c>
      <c r="C11" s="10">
        <f>SUM(C8:C10)</f>
        <v>78844806676.691437</v>
      </c>
      <c r="D11" s="11">
        <f t="shared" si="0"/>
        <v>9.1899651573334115E-2</v>
      </c>
      <c r="E11" s="10">
        <f t="shared" ref="E11:G11" si="7">SUM(E8:E10)</f>
        <v>151611945633.53674</v>
      </c>
      <c r="F11" s="11">
        <f t="shared" si="1"/>
        <v>0.17671531664997131</v>
      </c>
      <c r="G11" s="10">
        <f t="shared" si="7"/>
        <v>92102222642.539474</v>
      </c>
      <c r="H11" s="11">
        <f t="shared" si="2"/>
        <v>0.10735218369786741</v>
      </c>
      <c r="I11" s="9">
        <f>SUM(I8:I10)</f>
        <v>82583388196.51178</v>
      </c>
      <c r="J11" s="11">
        <f t="shared" si="3"/>
        <v>9.6257254230143779E-2</v>
      </c>
      <c r="K11" s="9">
        <f>SUM(K8:K10)</f>
        <v>160996232160.64651</v>
      </c>
      <c r="L11" s="11">
        <f>+K11/Q11</f>
        <v>0.18765342022909612</v>
      </c>
      <c r="M11" s="9">
        <f>SUM(M8:M10)</f>
        <v>141272089174.74518</v>
      </c>
      <c r="N11" s="11">
        <f>+M11/Q11</f>
        <v>0.16466342324147185</v>
      </c>
      <c r="O11" s="9">
        <f>SUM(O8:O10)</f>
        <v>150533881428.8877</v>
      </c>
      <c r="P11" s="11">
        <f>+O11/Q11</f>
        <v>0.1754587503781154</v>
      </c>
      <c r="Q11" s="15">
        <f>+C11+E11+G11+I11+K11+M11+O11</f>
        <v>857944565913.55884</v>
      </c>
      <c r="R11" s="34"/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0"/>
      <c r="F13" s="3"/>
      <c r="G13" s="3"/>
      <c r="H13" s="3"/>
      <c r="I13" s="31"/>
      <c r="J13" s="6"/>
      <c r="K13" s="6"/>
      <c r="L13" s="6"/>
      <c r="M13" s="6"/>
      <c r="N13" s="6"/>
      <c r="O13" s="6"/>
      <c r="P13" s="6"/>
      <c r="Q13" s="28"/>
    </row>
    <row r="14" spans="2:19" x14ac:dyDescent="0.25">
      <c r="B14" s="2"/>
      <c r="C14" s="29"/>
      <c r="D14" s="2"/>
      <c r="E14" s="25"/>
      <c r="G14" s="25"/>
      <c r="I14" s="29"/>
      <c r="J14" s="2"/>
      <c r="K14" s="29"/>
      <c r="L14" s="32"/>
      <c r="M14" s="29"/>
      <c r="N14" s="2"/>
      <c r="O14" s="2"/>
      <c r="P14" s="2"/>
      <c r="Q14" s="27"/>
    </row>
    <row r="15" spans="2:19" x14ac:dyDescent="0.25">
      <c r="C15" s="24"/>
      <c r="E15" s="25"/>
      <c r="F15" s="26"/>
      <c r="G15" s="25"/>
      <c r="I15" s="29"/>
      <c r="K15" s="25"/>
      <c r="M15" s="29"/>
      <c r="Q15" s="24"/>
    </row>
    <row r="16" spans="2:19" x14ac:dyDescent="0.25">
      <c r="C16" s="24"/>
      <c r="E16" s="25"/>
      <c r="F16" s="26"/>
      <c r="G16" s="25"/>
      <c r="I16" s="29"/>
      <c r="K16" s="25"/>
      <c r="M16" s="29"/>
    </row>
    <row r="17" spans="3:17" x14ac:dyDescent="0.25">
      <c r="C17" s="24"/>
      <c r="F17" s="26"/>
      <c r="G17" s="25"/>
      <c r="K17" s="25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/>
  <colBreaks count="1" manualBreakCount="1">
    <brk id="18" min="2" max="5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9" ma:contentTypeDescription="Crear nuevo documento." ma:contentTypeScope="" ma:versionID="97933b393e49022de7e3fb232a3f6372">
  <xsd:schema xmlns:xsd="http://www.w3.org/2001/XMLSchema" xmlns:xs="http://www.w3.org/2001/XMLSchema" xmlns:p="http://schemas.microsoft.com/office/2006/metadata/properties" xmlns:ns2="3d356bbc-c7e3-4705-a35e-a22d7fa248ea" targetNamespace="http://schemas.microsoft.com/office/2006/metadata/properties" ma:root="true" ma:fieldsID="6748c35f8d97a798a7749d5640898e13" ns2:_="">
    <xsd:import namespace="3d356bbc-c7e3-4705-a35e-a22d7fa248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CEDE6E-C29C-4B0C-963A-D596AB7E23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68F5A7-6073-45E1-8F01-61D97209A915}">
  <ds:schemaRefs>
    <ds:schemaRef ds:uri="3d356bbc-c7e3-4705-a35e-a22d7fa248ea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EA7E43A-5E26-4B32-81A8-C9AF7BAA65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>Microsoft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nurena</cp:lastModifiedBy>
  <cp:revision/>
  <dcterms:created xsi:type="dcterms:W3CDTF">2017-07-07T13:58:58Z</dcterms:created>
  <dcterms:modified xsi:type="dcterms:W3CDTF">2022-01-19T19:33:53Z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</Properties>
</file>