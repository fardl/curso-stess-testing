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05" yWindow="-105" windowWidth="19425" windowHeight="10425" firstSheet="2" activeTab="11"/>
  </bookViews>
  <sheets>
    <sheet name="Enero" sheetId="41" r:id="rId1"/>
    <sheet name="Febrero" sheetId="42" r:id="rId2"/>
    <sheet name="Marzo" sheetId="43" r:id="rId3"/>
    <sheet name="Abril" sheetId="44" r:id="rId4"/>
    <sheet name="Mayo" sheetId="45" r:id="rId5"/>
    <sheet name="Junio" sheetId="46" r:id="rId6"/>
    <sheet name="Julio" sheetId="47" r:id="rId7"/>
    <sheet name="Agosto" sheetId="48" r:id="rId8"/>
    <sheet name="Septiembre" sheetId="49" r:id="rId9"/>
    <sheet name="Octubre" sheetId="50" r:id="rId10"/>
    <sheet name="Noviembre" sheetId="51" r:id="rId11"/>
    <sheet name="Diciembre" sheetId="52" r:id="rId12"/>
  </sheets>
  <externalReferences>
    <externalReference r:id="rId13"/>
  </externalReferenc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" i="52" l="1"/>
  <c r="U12" i="52"/>
  <c r="T12" i="52"/>
  <c r="R12" i="52"/>
  <c r="N12" i="52"/>
  <c r="L12" i="52"/>
  <c r="J12" i="52"/>
  <c r="H12" i="52"/>
  <c r="F12" i="52"/>
  <c r="D12" i="52"/>
  <c r="B12" i="52"/>
  <c r="V11" i="52"/>
  <c r="P11" i="52"/>
  <c r="V10" i="52"/>
  <c r="P10" i="52"/>
  <c r="M12" i="52"/>
  <c r="E12" i="52"/>
  <c r="Y12" i="52"/>
  <c r="V9" i="52"/>
  <c r="P9" i="52"/>
  <c r="V8" i="52"/>
  <c r="P8" i="52"/>
  <c r="V7" i="52"/>
  <c r="P7" i="52"/>
  <c r="V6" i="52"/>
  <c r="P6" i="52"/>
  <c r="I12" i="52"/>
  <c r="X12" i="51"/>
  <c r="Y11" i="51" s="1"/>
  <c r="T12" i="51"/>
  <c r="U8" i="51" s="1"/>
  <c r="R12" i="51"/>
  <c r="S6" i="51" s="1"/>
  <c r="N12" i="51"/>
  <c r="O8" i="51" s="1"/>
  <c r="L12" i="51"/>
  <c r="M6" i="51" s="1"/>
  <c r="J12" i="51"/>
  <c r="K11" i="51" s="1"/>
  <c r="H12" i="51"/>
  <c r="I11" i="51" s="1"/>
  <c r="F12" i="51"/>
  <c r="G9" i="51" s="1"/>
  <c r="D12" i="51"/>
  <c r="E7" i="51" s="1"/>
  <c r="B12" i="51"/>
  <c r="C11" i="51" s="1"/>
  <c r="V11" i="51"/>
  <c r="P11" i="51"/>
  <c r="Y10" i="51"/>
  <c r="V10" i="51"/>
  <c r="P10" i="51"/>
  <c r="O10" i="51"/>
  <c r="Y9" i="51"/>
  <c r="V9" i="51"/>
  <c r="P9" i="51"/>
  <c r="V8" i="51"/>
  <c r="P8" i="51"/>
  <c r="I8" i="51"/>
  <c r="V7" i="51"/>
  <c r="P7" i="51"/>
  <c r="V6" i="51"/>
  <c r="P6" i="51"/>
  <c r="Z11" i="52" l="1"/>
  <c r="Z10" i="52"/>
  <c r="Z8" i="52"/>
  <c r="Z9" i="52"/>
  <c r="V12" i="52"/>
  <c r="W6" i="52" s="1"/>
  <c r="Z7" i="52"/>
  <c r="P12" i="52"/>
  <c r="Q7" i="52" s="1"/>
  <c r="K12" i="52"/>
  <c r="S12" i="52"/>
  <c r="O12" i="52"/>
  <c r="Z6" i="52"/>
  <c r="C12" i="52"/>
  <c r="K6" i="51"/>
  <c r="Y7" i="51"/>
  <c r="Y8" i="51"/>
  <c r="U9" i="51"/>
  <c r="U6" i="51"/>
  <c r="Z8" i="51"/>
  <c r="Z10" i="51"/>
  <c r="S8" i="51"/>
  <c r="S7" i="51"/>
  <c r="V12" i="51"/>
  <c r="W10" i="51" s="1"/>
  <c r="O9" i="51"/>
  <c r="I9" i="51"/>
  <c r="I6" i="51"/>
  <c r="G11" i="51"/>
  <c r="G10" i="51"/>
  <c r="E8" i="51"/>
  <c r="C6" i="51"/>
  <c r="C7" i="51"/>
  <c r="U10" i="51"/>
  <c r="Z7" i="51"/>
  <c r="Z9" i="51"/>
  <c r="M8" i="51"/>
  <c r="M10" i="51"/>
  <c r="K7" i="51"/>
  <c r="I7" i="51"/>
  <c r="E9" i="51"/>
  <c r="E10" i="51"/>
  <c r="E11" i="51"/>
  <c r="P12" i="51"/>
  <c r="Q11" i="51" s="1"/>
  <c r="C8" i="51"/>
  <c r="K8" i="51"/>
  <c r="C9" i="51"/>
  <c r="K9" i="51"/>
  <c r="S9" i="51"/>
  <c r="S10" i="51"/>
  <c r="O11" i="51"/>
  <c r="G6" i="51"/>
  <c r="O6" i="51"/>
  <c r="Z6" i="51"/>
  <c r="G7" i="51"/>
  <c r="C10" i="51"/>
  <c r="K10" i="51"/>
  <c r="S11" i="51"/>
  <c r="Z11" i="51"/>
  <c r="E6" i="51"/>
  <c r="Y6" i="51"/>
  <c r="O7" i="51"/>
  <c r="U7" i="51"/>
  <c r="G8" i="51"/>
  <c r="I10" i="51"/>
  <c r="W7" i="52" l="1"/>
  <c r="W12" i="52" s="1"/>
  <c r="W9" i="52"/>
  <c r="W8" i="52"/>
  <c r="W10" i="52"/>
  <c r="W11" i="52"/>
  <c r="Q8" i="52"/>
  <c r="Q9" i="52"/>
  <c r="Q11" i="52"/>
  <c r="Q6" i="52"/>
  <c r="Q10" i="52"/>
  <c r="Z12" i="52"/>
  <c r="AA6" i="52" s="1"/>
  <c r="G12" i="52"/>
  <c r="Y12" i="51"/>
  <c r="C12" i="51"/>
  <c r="W9" i="51"/>
  <c r="U12" i="51"/>
  <c r="W11" i="51"/>
  <c r="S12" i="51"/>
  <c r="W8" i="51"/>
  <c r="W7" i="51"/>
  <c r="W6" i="51"/>
  <c r="K12" i="51"/>
  <c r="I12" i="51"/>
  <c r="E12" i="51"/>
  <c r="M12" i="51"/>
  <c r="Q7" i="51"/>
  <c r="Q6" i="51"/>
  <c r="Q10" i="51"/>
  <c r="Q9" i="51"/>
  <c r="Q8" i="51"/>
  <c r="Z12" i="51"/>
  <c r="G12" i="51"/>
  <c r="O12" i="51"/>
  <c r="X12" i="50"/>
  <c r="T12" i="50"/>
  <c r="U9" i="50" s="1"/>
  <c r="R12" i="50"/>
  <c r="S11" i="50" s="1"/>
  <c r="N12" i="50"/>
  <c r="O9" i="50" s="1"/>
  <c r="L12" i="50"/>
  <c r="M10" i="50" s="1"/>
  <c r="J12" i="50"/>
  <c r="K9" i="50" s="1"/>
  <c r="H12" i="50"/>
  <c r="I6" i="50" s="1"/>
  <c r="F12" i="50"/>
  <c r="G7" i="50" s="1"/>
  <c r="D12" i="50"/>
  <c r="E8" i="50" s="1"/>
  <c r="B12" i="50"/>
  <c r="C9" i="50" s="1"/>
  <c r="V11" i="50"/>
  <c r="P11" i="50"/>
  <c r="V10" i="50"/>
  <c r="U10" i="50"/>
  <c r="S10" i="50"/>
  <c r="P10" i="50"/>
  <c r="V9" i="50"/>
  <c r="P9" i="50"/>
  <c r="V8" i="50"/>
  <c r="P8" i="50"/>
  <c r="O8" i="50"/>
  <c r="V7" i="50"/>
  <c r="P7" i="50"/>
  <c r="V6" i="50"/>
  <c r="P6" i="50"/>
  <c r="Q12" i="52" l="1"/>
  <c r="AA10" i="52"/>
  <c r="AA9" i="52"/>
  <c r="AA8" i="52"/>
  <c r="AA7" i="52"/>
  <c r="AA11" i="52"/>
  <c r="Y8" i="50"/>
  <c r="Y6" i="50"/>
  <c r="Y7" i="50"/>
  <c r="Y9" i="50"/>
  <c r="Y10" i="50"/>
  <c r="Y11" i="50"/>
  <c r="S8" i="50"/>
  <c r="W12" i="51"/>
  <c r="Q12" i="51"/>
  <c r="AA8" i="51"/>
  <c r="AA9" i="51"/>
  <c r="AA7" i="51"/>
  <c r="AA10" i="51"/>
  <c r="AA11" i="51"/>
  <c r="AA6" i="51"/>
  <c r="U8" i="50"/>
  <c r="U7" i="50"/>
  <c r="Z11" i="50"/>
  <c r="S7" i="50"/>
  <c r="O11" i="50"/>
  <c r="K8" i="50"/>
  <c r="K6" i="50"/>
  <c r="I8" i="50"/>
  <c r="G10" i="50"/>
  <c r="G6" i="50"/>
  <c r="C8" i="50"/>
  <c r="C10" i="50"/>
  <c r="C11" i="50"/>
  <c r="C6" i="50"/>
  <c r="V12" i="50"/>
  <c r="W7" i="50" s="1"/>
  <c r="Z10" i="50"/>
  <c r="Z7" i="50"/>
  <c r="Z6" i="50"/>
  <c r="Z8" i="50"/>
  <c r="Z9" i="50"/>
  <c r="M6" i="50"/>
  <c r="M12" i="50" s="1"/>
  <c r="M8" i="50"/>
  <c r="K11" i="50"/>
  <c r="K7" i="50"/>
  <c r="K12" i="50" s="1"/>
  <c r="K10" i="50"/>
  <c r="I9" i="50"/>
  <c r="C7" i="50"/>
  <c r="E11" i="50"/>
  <c r="E7" i="50"/>
  <c r="E10" i="50"/>
  <c r="G9" i="50"/>
  <c r="E6" i="50"/>
  <c r="I11" i="50"/>
  <c r="E9" i="50"/>
  <c r="G8" i="50"/>
  <c r="I7" i="50"/>
  <c r="G11" i="50"/>
  <c r="I10" i="50"/>
  <c r="W8" i="50"/>
  <c r="W11" i="50"/>
  <c r="S6" i="50"/>
  <c r="O7" i="50"/>
  <c r="S9" i="50"/>
  <c r="O10" i="50"/>
  <c r="P12" i="50"/>
  <c r="Q8" i="50" s="1"/>
  <c r="O6" i="50"/>
  <c r="U6" i="50"/>
  <c r="U12" i="50" s="1"/>
  <c r="AA12" i="52" l="1"/>
  <c r="W9" i="50"/>
  <c r="Y12" i="50"/>
  <c r="C12" i="50"/>
  <c r="AA12" i="51"/>
  <c r="W10" i="50"/>
  <c r="I12" i="50"/>
  <c r="E12" i="50"/>
  <c r="W6" i="50"/>
  <c r="W12" i="50" s="1"/>
  <c r="Z12" i="50"/>
  <c r="AA10" i="50" s="1"/>
  <c r="Q6" i="50"/>
  <c r="Q10" i="50"/>
  <c r="Q7" i="50"/>
  <c r="S12" i="50"/>
  <c r="O12" i="50"/>
  <c r="Q11" i="50"/>
  <c r="Q9" i="50"/>
  <c r="G12" i="50"/>
  <c r="AA9" i="50" l="1"/>
  <c r="AA7" i="50"/>
  <c r="AA8" i="50"/>
  <c r="AA6" i="50"/>
  <c r="AA11" i="50"/>
  <c r="Q12" i="50"/>
  <c r="X12" i="49"/>
  <c r="Y6" i="49" s="1"/>
  <c r="Y12" i="49" s="1"/>
  <c r="T12" i="49"/>
  <c r="R12" i="49"/>
  <c r="N12" i="49"/>
  <c r="L12" i="49"/>
  <c r="J12" i="49"/>
  <c r="F12" i="49"/>
  <c r="D12" i="49"/>
  <c r="B12" i="49"/>
  <c r="V11" i="49"/>
  <c r="P11" i="49"/>
  <c r="V10" i="49"/>
  <c r="P10" i="49"/>
  <c r="Z10" i="49" s="1"/>
  <c r="V9" i="49"/>
  <c r="H12" i="49"/>
  <c r="V8" i="49"/>
  <c r="P8" i="49"/>
  <c r="V7" i="49"/>
  <c r="P7" i="49"/>
  <c r="V6" i="49"/>
  <c r="P6" i="49"/>
  <c r="G7" i="49" l="1"/>
  <c r="G11" i="49"/>
  <c r="G8" i="49"/>
  <c r="G6" i="49"/>
  <c r="G12" i="49" s="1"/>
  <c r="G10" i="49"/>
  <c r="G9" i="49"/>
  <c r="M8" i="49"/>
  <c r="M6" i="49"/>
  <c r="M12" i="49" s="1"/>
  <c r="M10" i="49"/>
  <c r="S8" i="49"/>
  <c r="S6" i="49"/>
  <c r="S9" i="49"/>
  <c r="S7" i="49"/>
  <c r="S11" i="49"/>
  <c r="S10" i="49"/>
  <c r="E9" i="49"/>
  <c r="E8" i="49"/>
  <c r="E10" i="49"/>
  <c r="E6" i="49"/>
  <c r="E7" i="49"/>
  <c r="E11" i="49"/>
  <c r="K9" i="49"/>
  <c r="K6" i="49"/>
  <c r="K10" i="49"/>
  <c r="K7" i="49"/>
  <c r="K11" i="49"/>
  <c r="K8" i="49"/>
  <c r="O10" i="49"/>
  <c r="O9" i="49"/>
  <c r="O7" i="49"/>
  <c r="O11" i="49"/>
  <c r="O8" i="49"/>
  <c r="O6" i="49"/>
  <c r="U9" i="49"/>
  <c r="U8" i="49"/>
  <c r="U10" i="49"/>
  <c r="U7" i="49"/>
  <c r="U6" i="49"/>
  <c r="B17" i="49"/>
  <c r="C7" i="49"/>
  <c r="C11" i="49"/>
  <c r="C8" i="49"/>
  <c r="C6" i="49"/>
  <c r="C9" i="49"/>
  <c r="C10" i="49"/>
  <c r="AA12" i="50"/>
  <c r="I8" i="49"/>
  <c r="I6" i="49"/>
  <c r="I9" i="49"/>
  <c r="I10" i="49"/>
  <c r="I7" i="49"/>
  <c r="I11" i="49"/>
  <c r="V12" i="49"/>
  <c r="W9" i="49" s="1"/>
  <c r="W11" i="49"/>
  <c r="W8" i="49"/>
  <c r="Z7" i="49"/>
  <c r="P9" i="49"/>
  <c r="P12" i="49" s="1"/>
  <c r="Z11" i="49"/>
  <c r="Z6" i="49"/>
  <c r="Z8" i="49"/>
  <c r="H9" i="48"/>
  <c r="Y12" i="48"/>
  <c r="X12" i="48"/>
  <c r="U12" i="48"/>
  <c r="T12" i="48"/>
  <c r="S12" i="48"/>
  <c r="R12" i="48"/>
  <c r="O12" i="48"/>
  <c r="N12" i="48"/>
  <c r="M12" i="48"/>
  <c r="L12" i="48"/>
  <c r="K12" i="48"/>
  <c r="J12" i="48"/>
  <c r="H12" i="48"/>
  <c r="G12" i="48"/>
  <c r="F12" i="48"/>
  <c r="E12" i="48"/>
  <c r="D12" i="48"/>
  <c r="C12" i="48"/>
  <c r="B12" i="48"/>
  <c r="V11" i="48"/>
  <c r="P11" i="48"/>
  <c r="V10" i="48"/>
  <c r="P10" i="48"/>
  <c r="V9" i="48"/>
  <c r="P9" i="48"/>
  <c r="V8" i="48"/>
  <c r="P8" i="48"/>
  <c r="V7" i="48"/>
  <c r="P7" i="48"/>
  <c r="V6" i="48"/>
  <c r="P6" i="48"/>
  <c r="I12" i="49" l="1"/>
  <c r="C12" i="49"/>
  <c r="E12" i="49"/>
  <c r="S12" i="49"/>
  <c r="U12" i="49"/>
  <c r="K12" i="49"/>
  <c r="O12" i="49"/>
  <c r="W10" i="49"/>
  <c r="W7" i="49"/>
  <c r="W6" i="49"/>
  <c r="Q10" i="49"/>
  <c r="Q8" i="49"/>
  <c r="Q6" i="49"/>
  <c r="Q7" i="49"/>
  <c r="Q11" i="49"/>
  <c r="Q9" i="49"/>
  <c r="Z9" i="49"/>
  <c r="Z12" i="49" s="1"/>
  <c r="Z7" i="48"/>
  <c r="Z9" i="48"/>
  <c r="I12" i="48"/>
  <c r="V12" i="48"/>
  <c r="W8" i="48" s="1"/>
  <c r="Z11" i="48"/>
  <c r="P12" i="48"/>
  <c r="Q8" i="48" s="1"/>
  <c r="Z6" i="48"/>
  <c r="Z8" i="48"/>
  <c r="Z10" i="48"/>
  <c r="Y12" i="47"/>
  <c r="X12" i="47"/>
  <c r="T12" i="47"/>
  <c r="R12" i="47"/>
  <c r="O12" i="47"/>
  <c r="N12" i="47"/>
  <c r="M12" i="47"/>
  <c r="L12" i="47"/>
  <c r="J12" i="47"/>
  <c r="H12" i="47"/>
  <c r="F12" i="47"/>
  <c r="E12" i="47"/>
  <c r="D12" i="47"/>
  <c r="B12" i="47"/>
  <c r="V11" i="47"/>
  <c r="P11" i="47"/>
  <c r="C12" i="47"/>
  <c r="V10" i="47"/>
  <c r="P10" i="47"/>
  <c r="V9" i="47"/>
  <c r="P9" i="47"/>
  <c r="V8" i="47"/>
  <c r="P8" i="47"/>
  <c r="K12" i="47"/>
  <c r="V7" i="47"/>
  <c r="U12" i="47"/>
  <c r="S12" i="47"/>
  <c r="P7" i="47"/>
  <c r="V6" i="47"/>
  <c r="P6" i="47"/>
  <c r="I12" i="47"/>
  <c r="G12" i="47"/>
  <c r="W12" i="49" l="1"/>
  <c r="Z10" i="47"/>
  <c r="AA10" i="49"/>
  <c r="AA11" i="49"/>
  <c r="AA6" i="49"/>
  <c r="Q12" i="49"/>
  <c r="AA7" i="49"/>
  <c r="AA9" i="49"/>
  <c r="AA8" i="49"/>
  <c r="W7" i="48"/>
  <c r="W10" i="48"/>
  <c r="W11" i="48"/>
  <c r="W6" i="48"/>
  <c r="W9" i="48"/>
  <c r="Q10" i="48"/>
  <c r="Z12" i="48"/>
  <c r="Q11" i="48"/>
  <c r="Q9" i="48"/>
  <c r="Q7" i="48"/>
  <c r="Q6" i="48"/>
  <c r="Z6" i="47"/>
  <c r="Z9" i="47"/>
  <c r="V12" i="47"/>
  <c r="W11" i="47" s="1"/>
  <c r="Z11" i="47"/>
  <c r="Z7" i="47"/>
  <c r="Z8" i="47"/>
  <c r="P12" i="47"/>
  <c r="AA12" i="49" l="1"/>
  <c r="W12" i="48"/>
  <c r="AA11" i="48"/>
  <c r="AA7" i="48"/>
  <c r="AA9" i="48"/>
  <c r="AA6" i="48"/>
  <c r="AA8" i="48"/>
  <c r="Q12" i="48"/>
  <c r="AA10" i="48"/>
  <c r="W9" i="47"/>
  <c r="W10" i="47"/>
  <c r="W8" i="47"/>
  <c r="W6" i="47"/>
  <c r="W7" i="47"/>
  <c r="Q8" i="47"/>
  <c r="Q11" i="47"/>
  <c r="Z12" i="47"/>
  <c r="AA8" i="47" s="1"/>
  <c r="Q7" i="47"/>
  <c r="Q10" i="47"/>
  <c r="Q9" i="47"/>
  <c r="Q6" i="47"/>
  <c r="Y13" i="46"/>
  <c r="X13" i="46"/>
  <c r="T13" i="46"/>
  <c r="R13" i="46"/>
  <c r="O13" i="46"/>
  <c r="N13" i="46"/>
  <c r="M13" i="46"/>
  <c r="L13" i="46"/>
  <c r="J13" i="46"/>
  <c r="H13" i="46"/>
  <c r="F13" i="46"/>
  <c r="E13" i="46"/>
  <c r="D13" i="46"/>
  <c r="B13" i="46"/>
  <c r="V12" i="46"/>
  <c r="P12" i="46"/>
  <c r="V11" i="46"/>
  <c r="P11" i="46"/>
  <c r="V10" i="46"/>
  <c r="P10" i="46"/>
  <c r="V9" i="46"/>
  <c r="P9" i="46"/>
  <c r="P8" i="46"/>
  <c r="V7" i="46"/>
  <c r="P7" i="46"/>
  <c r="V6" i="46"/>
  <c r="P6" i="46"/>
  <c r="K8" i="46" l="1"/>
  <c r="K12" i="46"/>
  <c r="K9" i="46"/>
  <c r="K6" i="46"/>
  <c r="K13" i="46" s="1"/>
  <c r="K10" i="46"/>
  <c r="K7" i="46"/>
  <c r="K11" i="46"/>
  <c r="AA12" i="48"/>
  <c r="W12" i="47"/>
  <c r="Q12" i="47"/>
  <c r="AA11" i="47"/>
  <c r="AA6" i="47"/>
  <c r="AA10" i="47"/>
  <c r="AA7" i="47"/>
  <c r="AA9" i="47"/>
  <c r="U7" i="46"/>
  <c r="U13" i="46" s="1"/>
  <c r="C11" i="46"/>
  <c r="C10" i="46"/>
  <c r="G10" i="46"/>
  <c r="G6" i="46"/>
  <c r="G9" i="46"/>
  <c r="G12" i="46"/>
  <c r="G8" i="46"/>
  <c r="G11" i="46"/>
  <c r="G7" i="46"/>
  <c r="S10" i="46"/>
  <c r="I7" i="46"/>
  <c r="I10" i="46"/>
  <c r="I6" i="46"/>
  <c r="I9" i="46"/>
  <c r="I12" i="46"/>
  <c r="I8" i="46"/>
  <c r="I11" i="46"/>
  <c r="S6" i="46"/>
  <c r="S9" i="46"/>
  <c r="S12" i="46"/>
  <c r="S11" i="46"/>
  <c r="S7" i="46"/>
  <c r="C6" i="46"/>
  <c r="C9" i="46"/>
  <c r="C12" i="46"/>
  <c r="C7" i="46"/>
  <c r="Z6" i="46"/>
  <c r="Z10" i="46"/>
  <c r="Z12" i="46"/>
  <c r="P13" i="46"/>
  <c r="Z7" i="46"/>
  <c r="Z11" i="46"/>
  <c r="Z9" i="46"/>
  <c r="V13" i="46"/>
  <c r="W9" i="46" s="1"/>
  <c r="Y13" i="45"/>
  <c r="X13" i="45"/>
  <c r="U13" i="45"/>
  <c r="T13" i="45"/>
  <c r="S13" i="45"/>
  <c r="R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B13" i="45"/>
  <c r="V12" i="45"/>
  <c r="P12" i="45"/>
  <c r="V11" i="45"/>
  <c r="P11" i="45"/>
  <c r="V10" i="45"/>
  <c r="P10" i="45"/>
  <c r="V9" i="45"/>
  <c r="P9" i="45"/>
  <c r="P8" i="45"/>
  <c r="V7" i="45"/>
  <c r="P7" i="45"/>
  <c r="V6" i="45"/>
  <c r="P6" i="45"/>
  <c r="B13" i="44"/>
  <c r="C13" i="44"/>
  <c r="O13" i="44"/>
  <c r="Y13" i="44"/>
  <c r="X13" i="44"/>
  <c r="U13" i="44"/>
  <c r="T13" i="44"/>
  <c r="S13" i="44"/>
  <c r="R13" i="44"/>
  <c r="N13" i="44"/>
  <c r="M13" i="44"/>
  <c r="L13" i="44"/>
  <c r="K13" i="44"/>
  <c r="J13" i="44"/>
  <c r="I13" i="44"/>
  <c r="H13" i="44"/>
  <c r="G13" i="44"/>
  <c r="F13" i="44"/>
  <c r="E13" i="44"/>
  <c r="D13" i="44"/>
  <c r="V12" i="44"/>
  <c r="P12" i="44"/>
  <c r="V11" i="44"/>
  <c r="P11" i="44"/>
  <c r="V10" i="44"/>
  <c r="P10" i="44"/>
  <c r="V9" i="44"/>
  <c r="P9" i="44"/>
  <c r="P8" i="44"/>
  <c r="V7" i="44"/>
  <c r="P7" i="44"/>
  <c r="V6" i="44"/>
  <c r="P6" i="44"/>
  <c r="Y13" i="43"/>
  <c r="X13" i="43"/>
  <c r="U13" i="43"/>
  <c r="T13" i="43"/>
  <c r="S13" i="43"/>
  <c r="R13" i="43"/>
  <c r="O13" i="43"/>
  <c r="N13" i="43"/>
  <c r="M13" i="43"/>
  <c r="L13" i="43"/>
  <c r="K13" i="43"/>
  <c r="J13" i="43"/>
  <c r="I13" i="43"/>
  <c r="H13" i="43"/>
  <c r="G13" i="43"/>
  <c r="F13" i="43"/>
  <c r="D13" i="43"/>
  <c r="C13" i="43"/>
  <c r="B13" i="43"/>
  <c r="V12" i="43"/>
  <c r="P12" i="43"/>
  <c r="V11" i="43"/>
  <c r="P11" i="43"/>
  <c r="V10" i="43"/>
  <c r="P10" i="43"/>
  <c r="V9" i="43"/>
  <c r="P9" i="43"/>
  <c r="P8" i="43"/>
  <c r="V7" i="43"/>
  <c r="P7" i="43"/>
  <c r="V6" i="43"/>
  <c r="P6" i="43"/>
  <c r="AA12" i="47" l="1"/>
  <c r="Q11" i="46"/>
  <c r="G13" i="46"/>
  <c r="S13" i="46"/>
  <c r="I13" i="46"/>
  <c r="C13" i="46"/>
  <c r="Q6" i="46"/>
  <c r="Q10" i="46"/>
  <c r="Q9" i="46"/>
  <c r="W7" i="46"/>
  <c r="W10" i="46"/>
  <c r="W11" i="46"/>
  <c r="Q8" i="46"/>
  <c r="Q7" i="46"/>
  <c r="Z13" i="46"/>
  <c r="W6" i="46"/>
  <c r="W12" i="46"/>
  <c r="Q12" i="46"/>
  <c r="Z7" i="45"/>
  <c r="V13" i="45"/>
  <c r="W11" i="45" s="1"/>
  <c r="Z11" i="45"/>
  <c r="Z12" i="45"/>
  <c r="P13" i="45"/>
  <c r="Q9" i="45" s="1"/>
  <c r="Z9" i="45"/>
  <c r="Z10" i="45"/>
  <c r="Z6" i="45"/>
  <c r="Z9" i="44"/>
  <c r="V13" i="44"/>
  <c r="W6" i="44" s="1"/>
  <c r="Z7" i="44"/>
  <c r="P13" i="44"/>
  <c r="Q11" i="44" s="1"/>
  <c r="Z10" i="44"/>
  <c r="Z11" i="44"/>
  <c r="Z6" i="44"/>
  <c r="Z12" i="44"/>
  <c r="E13" i="43"/>
  <c r="V13" i="43"/>
  <c r="W10" i="43" s="1"/>
  <c r="Z9" i="43"/>
  <c r="Z11" i="43"/>
  <c r="Z7" i="43"/>
  <c r="Z6" i="43"/>
  <c r="Z10" i="43"/>
  <c r="Z12" i="43"/>
  <c r="P13" i="43"/>
  <c r="Q8" i="43" s="1"/>
  <c r="O13" i="42"/>
  <c r="Y13" i="42"/>
  <c r="X13" i="42"/>
  <c r="U13" i="42"/>
  <c r="T13" i="42"/>
  <c r="S13" i="42"/>
  <c r="R13" i="42"/>
  <c r="N13" i="42"/>
  <c r="M13" i="42"/>
  <c r="L13" i="42"/>
  <c r="K13" i="42"/>
  <c r="J13" i="42"/>
  <c r="H13" i="42"/>
  <c r="G13" i="42"/>
  <c r="F13" i="42"/>
  <c r="E13" i="42"/>
  <c r="D13" i="42"/>
  <c r="C13" i="42"/>
  <c r="B13" i="42"/>
  <c r="V12" i="42"/>
  <c r="P12" i="42"/>
  <c r="V11" i="42"/>
  <c r="P11" i="42"/>
  <c r="V10" i="42"/>
  <c r="P10" i="42"/>
  <c r="V9" i="42"/>
  <c r="P9" i="42"/>
  <c r="Z9" i="42" s="1"/>
  <c r="P8" i="42"/>
  <c r="V7" i="42"/>
  <c r="P7" i="42"/>
  <c r="V6" i="42"/>
  <c r="P6" i="42"/>
  <c r="N13" i="41"/>
  <c r="Z7" i="42" l="1"/>
  <c r="W13" i="46"/>
  <c r="AA9" i="46"/>
  <c r="Q13" i="46"/>
  <c r="AA7" i="46"/>
  <c r="AA10" i="46"/>
  <c r="AA6" i="46"/>
  <c r="AA12" i="46"/>
  <c r="AA11" i="46"/>
  <c r="W9" i="45"/>
  <c r="Q8" i="45"/>
  <c r="Q12" i="45"/>
  <c r="Q7" i="45"/>
  <c r="W7" i="45"/>
  <c r="W12" i="45"/>
  <c r="W6" i="45"/>
  <c r="W10" i="45"/>
  <c r="Q6" i="45"/>
  <c r="Q10" i="45"/>
  <c r="Q11" i="45"/>
  <c r="Z13" i="45"/>
  <c r="AA6" i="45" s="1"/>
  <c r="W12" i="44"/>
  <c r="W11" i="44"/>
  <c r="W9" i="44"/>
  <c r="W10" i="44"/>
  <c r="W7" i="44"/>
  <c r="Q6" i="44"/>
  <c r="Q8" i="44"/>
  <c r="Q9" i="44"/>
  <c r="Q7" i="44"/>
  <c r="Q12" i="44"/>
  <c r="Q10" i="44"/>
  <c r="Z13" i="44"/>
  <c r="AA11" i="44" s="1"/>
  <c r="W6" i="43"/>
  <c r="W12" i="43"/>
  <c r="W7" i="43"/>
  <c r="W9" i="43"/>
  <c r="W11" i="43"/>
  <c r="Q11" i="43"/>
  <c r="Q10" i="43"/>
  <c r="Q7" i="43"/>
  <c r="Q12" i="43"/>
  <c r="Z13" i="43"/>
  <c r="AA6" i="43" s="1"/>
  <c r="Q6" i="43"/>
  <c r="Q9" i="43"/>
  <c r="I13" i="42"/>
  <c r="Z10" i="42"/>
  <c r="Z12" i="42"/>
  <c r="Z6" i="42"/>
  <c r="V13" i="42"/>
  <c r="W10" i="42" s="1"/>
  <c r="P13" i="42"/>
  <c r="Q11" i="42" s="1"/>
  <c r="Z11" i="42"/>
  <c r="P6" i="41"/>
  <c r="V6" i="41"/>
  <c r="P7" i="41"/>
  <c r="V7" i="41"/>
  <c r="P8" i="41"/>
  <c r="P9" i="41"/>
  <c r="V9" i="41"/>
  <c r="P10" i="41"/>
  <c r="V10" i="41"/>
  <c r="P11" i="41"/>
  <c r="V11" i="41"/>
  <c r="P12" i="41"/>
  <c r="V12" i="41"/>
  <c r="B13" i="41"/>
  <c r="C13" i="41"/>
  <c r="D13" i="41"/>
  <c r="E13" i="41"/>
  <c r="F13" i="41"/>
  <c r="G13" i="41"/>
  <c r="H13" i="41"/>
  <c r="J13" i="41"/>
  <c r="K13" i="41"/>
  <c r="L13" i="41"/>
  <c r="M13" i="41"/>
  <c r="R13" i="41"/>
  <c r="S13" i="41"/>
  <c r="T13" i="41"/>
  <c r="U13" i="41"/>
  <c r="X13" i="41"/>
  <c r="Y13" i="41"/>
  <c r="AA13" i="46" l="1"/>
  <c r="W13" i="45"/>
  <c r="Q13" i="45"/>
  <c r="AA10" i="45"/>
  <c r="AA11" i="45"/>
  <c r="AA9" i="45"/>
  <c r="AA7" i="45"/>
  <c r="AA12" i="45"/>
  <c r="W13" i="44"/>
  <c r="Q13" i="44"/>
  <c r="AA12" i="44"/>
  <c r="AA9" i="44"/>
  <c r="AA7" i="44"/>
  <c r="AA6" i="44"/>
  <c r="AA10" i="44"/>
  <c r="AA10" i="43"/>
  <c r="W13" i="43"/>
  <c r="AA7" i="43"/>
  <c r="AA11" i="43"/>
  <c r="AA9" i="43"/>
  <c r="AA12" i="43"/>
  <c r="Q13" i="43"/>
  <c r="W6" i="42"/>
  <c r="W12" i="42"/>
  <c r="W11" i="42"/>
  <c r="Q8" i="42"/>
  <c r="W9" i="42"/>
  <c r="W7" i="42"/>
  <c r="Q12" i="42"/>
  <c r="Q6" i="42"/>
  <c r="Q7" i="42"/>
  <c r="Z13" i="42"/>
  <c r="Q9" i="42"/>
  <c r="Q10" i="42"/>
  <c r="Z10" i="41"/>
  <c r="Z9" i="41"/>
  <c r="Z11" i="41"/>
  <c r="Z7" i="41"/>
  <c r="O13" i="41"/>
  <c r="I13" i="41"/>
  <c r="Z6" i="41"/>
  <c r="P13" i="41"/>
  <c r="Q12" i="41" s="1"/>
  <c r="Z12" i="41"/>
  <c r="V13" i="41"/>
  <c r="W11" i="41" s="1"/>
  <c r="AA13" i="45" l="1"/>
  <c r="AA13" i="44"/>
  <c r="AA13" i="43"/>
  <c r="W13" i="42"/>
  <c r="AA10" i="42"/>
  <c r="AA7" i="42"/>
  <c r="AA12" i="42"/>
  <c r="AA9" i="42"/>
  <c r="AA6" i="42"/>
  <c r="Q13" i="42"/>
  <c r="AA11" i="42"/>
  <c r="W9" i="41"/>
  <c r="W7" i="41"/>
  <c r="Z13" i="41"/>
  <c r="Q10" i="41"/>
  <c r="Q7" i="41"/>
  <c r="Q9" i="41"/>
  <c r="Q6" i="41"/>
  <c r="W6" i="41"/>
  <c r="W12" i="41"/>
  <c r="W10" i="41"/>
  <c r="Q8" i="41"/>
  <c r="Q11" i="41"/>
  <c r="AA13" i="42" l="1"/>
  <c r="AA12" i="41"/>
  <c r="AA6" i="41"/>
  <c r="Q13" i="41"/>
  <c r="W13" i="41"/>
  <c r="AA7" i="41"/>
  <c r="AA9" i="41"/>
  <c r="AA10" i="41"/>
  <c r="AA11" i="41"/>
  <c r="AA13" i="41" l="1"/>
</calcChain>
</file>

<file path=xl/sharedStrings.xml><?xml version="1.0" encoding="utf-8"?>
<sst xmlns="http://schemas.openxmlformats.org/spreadsheetml/2006/main" count="632" uniqueCount="41">
  <si>
    <t>Inversiones de los Fondos de Pensiones Por Calificación de Riesgo</t>
  </si>
  <si>
    <t>Al 31 de Enero 2021</t>
  </si>
  <si>
    <r>
      <t>CALIFICACIÓN RIESGO</t>
    </r>
    <r>
      <rPr>
        <b/>
        <vertAlign val="superscript"/>
        <sz val="11"/>
        <color rgb="FFFFFFFF"/>
        <rFont val="Calibri"/>
        <family val="2"/>
      </rPr>
      <t>1</t>
    </r>
  </si>
  <si>
    <t xml:space="preserve"> ATLÁNTICO</t>
  </si>
  <si>
    <t>CRECER</t>
  </si>
  <si>
    <t>JMMB- BDI</t>
  </si>
  <si>
    <t xml:space="preserve"> POPULAR</t>
  </si>
  <si>
    <t xml:space="preserve"> RESERVAS</t>
  </si>
  <si>
    <t xml:space="preserve"> ROMANA</t>
  </si>
  <si>
    <t xml:space="preserve"> SIEMBRA</t>
  </si>
  <si>
    <t>TOTAL CCI</t>
  </si>
  <si>
    <t xml:space="preserve"> FONDO BANCO DE RESERVAS</t>
  </si>
  <si>
    <t>FONDO BANCO CENTRAL</t>
  </si>
  <si>
    <t>TOTAL FONDOS DE REPARTO INDIVIDUALIZADO</t>
  </si>
  <si>
    <t>FONDO DE SOLIDARIDAD SOCIAL</t>
  </si>
  <si>
    <t>TOTAL GENERAL</t>
  </si>
  <si>
    <t>VALOR MERCADO</t>
  </si>
  <si>
    <t>%</t>
  </si>
  <si>
    <t>C-1</t>
  </si>
  <si>
    <t>C-2</t>
  </si>
  <si>
    <t>C-3</t>
  </si>
  <si>
    <t>-</t>
  </si>
  <si>
    <t>AAA</t>
  </si>
  <si>
    <t xml:space="preserve">AA </t>
  </si>
  <si>
    <t xml:space="preserve">A  </t>
  </si>
  <si>
    <t>BBB</t>
  </si>
  <si>
    <t>TOTAL</t>
  </si>
  <si>
    <t>Nota: No incluye Fondos Complementarios.</t>
  </si>
  <si>
    <t>1/Las Calificaciones C-1, C-2 y C-3 corresponden a instrumentos de corto plazo.</t>
  </si>
  <si>
    <t>Al 28 de Febrero 2021</t>
  </si>
  <si>
    <t>Al 31 de Marzo 2021</t>
  </si>
  <si>
    <t>Al 30 de Abril 2021</t>
  </si>
  <si>
    <t>Al 31 de Mayo 2021</t>
  </si>
  <si>
    <t>Al 30 de Junio 2021</t>
  </si>
  <si>
    <t/>
  </si>
  <si>
    <t>Al 31 de Julio 2021</t>
  </si>
  <si>
    <t>Al 31 de Agosto 2021</t>
  </si>
  <si>
    <t>Al 30 de Septiembre 2021</t>
  </si>
  <si>
    <t>Al 31 de Octubre 2021</t>
  </si>
  <si>
    <t>Al 30 de Noviembre 2021</t>
  </si>
  <si>
    <t>Al 31 de Diciembre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</si>
</sst>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#0.00%"/>
    <numFmt numFmtId="165" formatCode="0.0%"/>
  </numFmts>
  <fonts count="9">
    <font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vertAlign val="superscript"/>
      <sz val="11"/>
      <color rgb="FFFFFFFF"/>
      <name val="Calibri"/>
      <family val="2"/>
    </font>
    <font>
      <sz val="11"/>
      <name val="Calibri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54">
    <xf numFmtId="0" fontId="0" fillId="0" borderId="0" xfId="0"/>
    <xf numFmtId="4" fontId="0" fillId="0" borderId="1" xfId="0" applyNumberFormat="1" applyBorder="1"/>
    <xf numFmtId="16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 vertical="center" wrapText="1"/>
    </xf>
    <xf numFmtId="0" fontId="5" fillId="0" borderId="0" xfId="1" applyFont="1"/>
    <xf numFmtId="43" fontId="0" fillId="0" borderId="1" xfId="2" applyFont="1" applyBorder="1" applyAlignment="1">
      <alignment horizontal="center"/>
    </xf>
    <xf numFmtId="9" fontId="1" fillId="2" borderId="1" xfId="3" applyFont="1" applyFill="1" applyBorder="1" applyAlignment="1">
      <alignment horizontal="center"/>
    </xf>
    <xf numFmtId="43" fontId="1" fillId="2" borderId="1" xfId="2" applyFont="1" applyFill="1" applyBorder="1" applyAlignment="1">
      <alignment horizontal="center"/>
    </xf>
    <xf numFmtId="164" fontId="0" fillId="0" borderId="1" xfId="0" applyNumberFormat="1" applyBorder="1"/>
    <xf numFmtId="0" fontId="8" fillId="0" borderId="0" xfId="0" applyFont="1"/>
    <xf numFmtId="43" fontId="0" fillId="2" borderId="1" xfId="2" applyFont="1" applyFill="1" applyBorder="1" applyAlignment="1">
      <alignment horizontal="center"/>
    </xf>
    <xf numFmtId="4" fontId="2" fillId="3" borderId="4" xfId="1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0" fillId="0" borderId="0" xfId="1" applyFont="1"/>
    <xf numFmtId="0" fontId="0" fillId="0" borderId="0" xfId="1" applyFont="1" applyAlignment="1">
      <alignment horizontal="center"/>
    </xf>
    <xf numFmtId="4" fontId="0" fillId="0" borderId="0" xfId="1" applyNumberFormat="1" applyFont="1"/>
    <xf numFmtId="4" fontId="0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3" fontId="0" fillId="0" borderId="1" xfId="2" applyFont="1" applyBorder="1"/>
    <xf numFmtId="0" fontId="1" fillId="0" borderId="0" xfId="0" applyFont="1" applyAlignment="1">
      <alignment horizontal="center"/>
    </xf>
    <xf numFmtId="10" fontId="0" fillId="0" borderId="1" xfId="3" applyNumberFormat="1" applyFont="1" applyBorder="1"/>
    <xf numFmtId="165" fontId="1" fillId="2" borderId="1" xfId="3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43" fontId="0" fillId="2" borderId="1" xfId="2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0" fillId="0" borderId="1" xfId="0" applyNumberFormat="1" applyBorder="1" applyAlignment="1">
      <alignment horizontal="right"/>
    </xf>
    <xf numFmtId="43" fontId="0" fillId="0" borderId="1" xfId="2" applyFont="1" applyBorder="1" applyAlignment="1">
      <alignment horizontal="right"/>
    </xf>
    <xf numFmtId="4" fontId="0" fillId="0" borderId="1" xfId="0" applyNumberFormat="1" applyBorder="1" applyAlignment="1"/>
    <xf numFmtId="164" fontId="0" fillId="0" borderId="1" xfId="0" applyNumberFormat="1" applyBorder="1" applyAlignment="1">
      <alignment horizontal="right"/>
    </xf>
    <xf numFmtId="10" fontId="0" fillId="0" borderId="1" xfId="3" applyNumberFormat="1" applyFont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43" fontId="1" fillId="2" borderId="1" xfId="2" applyFont="1" applyFill="1" applyBorder="1" applyAlignment="1">
      <alignment horizontal="right"/>
    </xf>
    <xf numFmtId="9" fontId="1" fillId="2" borderId="1" xfId="3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3" xfId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4">
    <cellStyle name="Millares" xfId="2" builtinId="3"/>
    <cellStyle name="Normal" xfId="0" builtinId="0"/>
    <cellStyle name="Normal 2" xfId="1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posici&#243;n%20de%20Cartera%202021-%20Mensual_a%20public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 2021"/>
      <sheetName val="Febrero 2021"/>
      <sheetName val="Marzo 2021"/>
      <sheetName val="Abril 2021"/>
      <sheetName val="Mayo 2021"/>
      <sheetName val="Junio 2021"/>
      <sheetName val="Julio 2021"/>
      <sheetName val="Agosto 2021"/>
      <sheetName val="Septiembre 2021"/>
      <sheetName val="Octubre 2021"/>
      <sheetName val="Noviembre 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39">
          <cell r="C139">
            <v>7870381956.0900002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7" sqref="D7:E7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7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7.85546875" style="16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65166096.159999996</v>
      </c>
      <c r="C6" s="9">
        <v>9.9468100000000004E-3</v>
      </c>
      <c r="D6" s="1">
        <v>2707789506.8499999</v>
      </c>
      <c r="E6" s="9">
        <v>1.7596279999999999E-2</v>
      </c>
      <c r="F6" s="1">
        <v>105074601.55</v>
      </c>
      <c r="G6" s="9">
        <v>3.4487360000000002E-2</v>
      </c>
      <c r="H6" s="1">
        <v>3216012050.0300002</v>
      </c>
      <c r="I6" s="9">
        <v>1.4045885921508109E-2</v>
      </c>
      <c r="J6" s="1">
        <v>1748827674.24</v>
      </c>
      <c r="K6" s="9">
        <v>1.531336E-2</v>
      </c>
      <c r="L6" s="1">
        <v>1296396419.4400001</v>
      </c>
      <c r="M6" s="9">
        <v>0.20428708000000001</v>
      </c>
      <c r="N6" s="1">
        <v>9497741014.2999992</v>
      </c>
      <c r="O6" s="9">
        <v>6.7550637924348289E-2</v>
      </c>
      <c r="P6" s="3">
        <f t="shared" ref="P6:P12" si="0">+B6+D6+F6+H6+J6+L6+N6</f>
        <v>18637007362.57</v>
      </c>
      <c r="Q6" s="2">
        <f t="shared" ref="Q6:Q12" si="1">+P6/$P$13</f>
        <v>2.8514495358479285E-2</v>
      </c>
      <c r="R6" s="1">
        <v>1161314916.8299999</v>
      </c>
      <c r="S6" s="9">
        <v>6.766606E-2</v>
      </c>
      <c r="T6" s="1">
        <v>1496015409.0899999</v>
      </c>
      <c r="U6" s="9">
        <v>6.2573379999999998E-2</v>
      </c>
      <c r="V6" s="3">
        <f>R6+T6</f>
        <v>2657330325.9200001</v>
      </c>
      <c r="W6" s="2">
        <f>V6/$V$13</f>
        <v>6.470149001868343E-2</v>
      </c>
      <c r="X6" s="1">
        <v>1121376720.48</v>
      </c>
      <c r="Y6" s="9">
        <v>2.4268609999999999E-2</v>
      </c>
      <c r="Z6" s="3">
        <f>P6+V6+X6</f>
        <v>22415714408.969997</v>
      </c>
      <c r="AA6" s="2">
        <f>Z6/$Z$13</f>
        <v>3.0255724328106703E-2</v>
      </c>
      <c r="AB6" s="18"/>
    </row>
    <row r="7" spans="1:28">
      <c r="A7" s="14" t="s">
        <v>19</v>
      </c>
      <c r="B7" s="1">
        <v>213049758.09</v>
      </c>
      <c r="C7" s="9">
        <v>3.2519439999999997E-2</v>
      </c>
      <c r="D7" s="6">
        <v>0</v>
      </c>
      <c r="E7" s="6">
        <v>0</v>
      </c>
      <c r="F7" s="1">
        <v>191965048.94</v>
      </c>
      <c r="G7" s="9">
        <v>6.3006359999999997E-2</v>
      </c>
      <c r="H7" s="1">
        <v>1463850785.6500001</v>
      </c>
      <c r="I7" s="9">
        <v>6.3933470464322788E-3</v>
      </c>
      <c r="J7" s="1">
        <v>26331548.18</v>
      </c>
      <c r="K7" s="9">
        <v>2.3057000000000001E-4</v>
      </c>
      <c r="L7" s="6">
        <v>0</v>
      </c>
      <c r="M7" s="6">
        <v>0</v>
      </c>
      <c r="N7" s="1">
        <v>278560353.38999999</v>
      </c>
      <c r="O7" s="9">
        <v>1.9812005342739109E-3</v>
      </c>
      <c r="P7" s="3">
        <f t="shared" si="0"/>
        <v>2173757494.25</v>
      </c>
      <c r="Q7" s="2">
        <f t="shared" si="1"/>
        <v>3.3258342809230823E-3</v>
      </c>
      <c r="R7" s="1">
        <v>680005262.09000003</v>
      </c>
      <c r="S7" s="9">
        <v>3.9621709999999997E-2</v>
      </c>
      <c r="T7" s="1">
        <v>920031670.45000005</v>
      </c>
      <c r="U7" s="9">
        <v>3.8481880000000003E-2</v>
      </c>
      <c r="V7" s="3">
        <f>R7+T7</f>
        <v>1600036932.54</v>
      </c>
      <c r="W7" s="2">
        <f>V7/$V$13</f>
        <v>3.8958187700815904E-2</v>
      </c>
      <c r="X7" s="1">
        <v>462231820.41000003</v>
      </c>
      <c r="Y7" s="9">
        <v>1.000353E-2</v>
      </c>
      <c r="Z7" s="3">
        <f>P7+V7+X7</f>
        <v>4236026247.1999998</v>
      </c>
      <c r="AA7" s="2">
        <f>Z7/$Z$13</f>
        <v>5.7175979334667436E-3</v>
      </c>
      <c r="AB7" s="18"/>
    </row>
    <row r="8" spans="1:28" hidden="1">
      <c r="A8" s="14" t="s">
        <v>20</v>
      </c>
      <c r="B8" s="6"/>
      <c r="C8" s="6"/>
      <c r="D8" s="6"/>
      <c r="E8" s="6"/>
      <c r="F8" s="6"/>
      <c r="G8" s="6"/>
      <c r="H8" s="6"/>
      <c r="I8" s="9"/>
      <c r="J8" s="6"/>
      <c r="K8" s="6"/>
      <c r="L8" s="6"/>
      <c r="M8" s="6"/>
      <c r="N8" s="6"/>
      <c r="O8" s="9"/>
      <c r="P8" s="11">
        <f t="shared" si="0"/>
        <v>0</v>
      </c>
      <c r="Q8" s="11">
        <f t="shared" si="1"/>
        <v>0</v>
      </c>
      <c r="R8" s="6"/>
      <c r="S8" s="6"/>
      <c r="T8" s="6"/>
      <c r="U8" s="6"/>
      <c r="V8" s="3" t="s">
        <v>21</v>
      </c>
      <c r="W8" s="8">
        <v>0</v>
      </c>
      <c r="X8" s="6"/>
      <c r="Y8" s="8"/>
      <c r="Z8" s="3" t="s">
        <v>21</v>
      </c>
      <c r="AA8" s="8">
        <v>0</v>
      </c>
      <c r="AB8" s="18"/>
    </row>
    <row r="9" spans="1:28">
      <c r="A9" s="14" t="s">
        <v>22</v>
      </c>
      <c r="B9" s="1">
        <v>4952562372.6400003</v>
      </c>
      <c r="C9" s="9">
        <v>0.75594812</v>
      </c>
      <c r="D9" s="1">
        <v>131025289845.08</v>
      </c>
      <c r="E9" s="9">
        <v>0.85145369000000004</v>
      </c>
      <c r="F9" s="1">
        <v>1728716420.78</v>
      </c>
      <c r="G9" s="9">
        <v>0.56739565000000003</v>
      </c>
      <c r="H9" s="1">
        <v>171215266306.81</v>
      </c>
      <c r="I9" s="9">
        <v>0.74778018899016585</v>
      </c>
      <c r="J9" s="1">
        <v>93277942972.270004</v>
      </c>
      <c r="K9" s="9">
        <v>0.81677478999999997</v>
      </c>
      <c r="L9" s="1">
        <v>5001879128.0299997</v>
      </c>
      <c r="M9" s="9">
        <v>0.78819969999999995</v>
      </c>
      <c r="N9" s="1">
        <v>105988898133.77</v>
      </c>
      <c r="O9" s="9">
        <v>0.75382321660016416</v>
      </c>
      <c r="P9" s="3">
        <f t="shared" si="0"/>
        <v>513190555179.38007</v>
      </c>
      <c r="Q9" s="2">
        <f t="shared" si="1"/>
        <v>0.78517808245690002</v>
      </c>
      <c r="R9" s="1">
        <v>13379764340.16</v>
      </c>
      <c r="S9" s="9">
        <v>0.77959560000000006</v>
      </c>
      <c r="T9" s="1">
        <v>19068283152.5</v>
      </c>
      <c r="U9" s="9">
        <v>0.79756320000000003</v>
      </c>
      <c r="V9" s="3">
        <f>R9+T9</f>
        <v>32448047492.66</v>
      </c>
      <c r="W9" s="2">
        <f>V9/$V$13</f>
        <v>0.79005496625462113</v>
      </c>
      <c r="X9" s="1">
        <v>37416661140.589996</v>
      </c>
      <c r="Y9" s="9">
        <v>0.80976391999999997</v>
      </c>
      <c r="Z9" s="3">
        <f>P9+V9+X9</f>
        <v>583055263812.63</v>
      </c>
      <c r="AA9" s="2">
        <f>Z9/$Z$13</f>
        <v>0.78698180250312422</v>
      </c>
      <c r="AB9" s="18"/>
    </row>
    <row r="10" spans="1:28">
      <c r="A10" s="14" t="s">
        <v>23</v>
      </c>
      <c r="B10" s="1">
        <v>45630606.75</v>
      </c>
      <c r="C10" s="9">
        <v>6.9649500000000001E-3</v>
      </c>
      <c r="D10" s="1">
        <v>9737598338.1399994</v>
      </c>
      <c r="E10" s="9">
        <v>6.3278730000000005E-2</v>
      </c>
      <c r="F10" s="1">
        <v>23221461.02</v>
      </c>
      <c r="G10" s="9">
        <v>7.6217000000000003E-3</v>
      </c>
      <c r="H10" s="1">
        <v>19880499224.860001</v>
      </c>
      <c r="I10" s="9">
        <v>8.6827791634800963E-2</v>
      </c>
      <c r="J10" s="1">
        <v>8812303853.75</v>
      </c>
      <c r="K10" s="9">
        <v>7.7163659999999995E-2</v>
      </c>
      <c r="L10" s="6">
        <v>0</v>
      </c>
      <c r="M10" s="6">
        <v>0</v>
      </c>
      <c r="N10" s="1">
        <v>13598710087.67</v>
      </c>
      <c r="O10" s="9">
        <v>9.6717897443961975E-2</v>
      </c>
      <c r="P10" s="3">
        <f t="shared" si="0"/>
        <v>52097963572.190002</v>
      </c>
      <c r="Q10" s="2">
        <f t="shared" si="1"/>
        <v>7.9709532306617134E-2</v>
      </c>
      <c r="R10" s="1">
        <v>714661538.04999995</v>
      </c>
      <c r="S10" s="9">
        <v>4.1641020000000001E-2</v>
      </c>
      <c r="T10" s="1">
        <v>132482668.73999999</v>
      </c>
      <c r="U10" s="9">
        <v>5.5413099999999998E-3</v>
      </c>
      <c r="V10" s="3">
        <f>R10+T10</f>
        <v>847144206.78999996</v>
      </c>
      <c r="W10" s="2">
        <f>V10/$V$13</f>
        <v>2.0626525767372287E-2</v>
      </c>
      <c r="X10" s="1">
        <v>5025388537.1800003</v>
      </c>
      <c r="Y10" s="9">
        <v>0.10875846</v>
      </c>
      <c r="Z10" s="3">
        <f>P10+V10+X10</f>
        <v>57970496316.160004</v>
      </c>
      <c r="AA10" s="2">
        <f>Z10/$Z$13</f>
        <v>7.8245971718991753E-2</v>
      </c>
      <c r="AB10" s="18"/>
    </row>
    <row r="11" spans="1:28">
      <c r="A11" s="14" t="s">
        <v>24</v>
      </c>
      <c r="B11" s="1">
        <v>1053749614.3200001</v>
      </c>
      <c r="C11" s="9">
        <v>0.16084200000000001</v>
      </c>
      <c r="D11" s="1">
        <v>2486296990.4499998</v>
      </c>
      <c r="E11" s="9">
        <v>1.615693E-2</v>
      </c>
      <c r="F11" s="1">
        <v>734748468.60000002</v>
      </c>
      <c r="G11" s="9">
        <v>0.24115759000000001</v>
      </c>
      <c r="H11" s="1">
        <v>10005919058.6</v>
      </c>
      <c r="I11" s="9">
        <v>4.3700706169813135E-2</v>
      </c>
      <c r="J11" s="1">
        <v>4713390912.8299999</v>
      </c>
      <c r="K11" s="9">
        <v>4.1272120000000002E-2</v>
      </c>
      <c r="L11" s="1">
        <v>47678596.920000002</v>
      </c>
      <c r="M11" s="9">
        <v>7.5132300000000001E-3</v>
      </c>
      <c r="N11" s="1">
        <v>6506191286.460001</v>
      </c>
      <c r="O11" s="9">
        <v>4.6273884621247596E-2</v>
      </c>
      <c r="P11" s="3">
        <f t="shared" si="0"/>
        <v>25547974928.18</v>
      </c>
      <c r="Q11" s="2">
        <f t="shared" si="1"/>
        <v>3.9088229045356616E-2</v>
      </c>
      <c r="R11" s="1">
        <v>819641474.07000005</v>
      </c>
      <c r="S11" s="9">
        <v>4.7757859999999999E-2</v>
      </c>
      <c r="T11" s="1">
        <v>2291365274.71</v>
      </c>
      <c r="U11" s="9">
        <v>9.5840229999999998E-2</v>
      </c>
      <c r="V11" s="3">
        <f>R11+T11</f>
        <v>3111006748.7800002</v>
      </c>
      <c r="W11" s="2">
        <f>V11/$V$13</f>
        <v>7.5747742063101642E-2</v>
      </c>
      <c r="X11" s="1">
        <v>1322062884.3399999</v>
      </c>
      <c r="Y11" s="9">
        <v>2.861182E-2</v>
      </c>
      <c r="Z11" s="3">
        <f>P11+V11+X11</f>
        <v>29981044561.299999</v>
      </c>
      <c r="AA11" s="2">
        <f>Z11/$Z$13</f>
        <v>4.0467067110401177E-2</v>
      </c>
      <c r="AB11" s="18"/>
    </row>
    <row r="12" spans="1:28">
      <c r="A12" s="14" t="s">
        <v>25</v>
      </c>
      <c r="B12" s="1">
        <v>221299544.80000001</v>
      </c>
      <c r="C12" s="9">
        <v>3.3778669999999997E-2</v>
      </c>
      <c r="D12" s="1">
        <v>7927248586.0699997</v>
      </c>
      <c r="E12" s="9">
        <v>5.1514369999999997E-2</v>
      </c>
      <c r="F12" s="1">
        <v>263030551.59</v>
      </c>
      <c r="G12" s="9">
        <v>8.6331329999999998E-2</v>
      </c>
      <c r="H12" s="1">
        <v>23183152131.049999</v>
      </c>
      <c r="I12" s="9">
        <v>0.10125208023727968</v>
      </c>
      <c r="J12" s="1">
        <v>5623972708.8500004</v>
      </c>
      <c r="K12" s="9">
        <v>4.9245499999999998E-2</v>
      </c>
      <c r="L12" s="6">
        <v>0</v>
      </c>
      <c r="M12" s="6">
        <v>0</v>
      </c>
      <c r="N12" s="1">
        <v>4731695142.04</v>
      </c>
      <c r="O12" s="9">
        <v>3.3653162876004047E-2</v>
      </c>
      <c r="P12" s="3">
        <f t="shared" si="0"/>
        <v>41950398664.400002</v>
      </c>
      <c r="Q12" s="2">
        <f t="shared" si="1"/>
        <v>6.4183826551723652E-2</v>
      </c>
      <c r="R12" s="1">
        <v>407054539.5</v>
      </c>
      <c r="S12" s="9">
        <v>2.3717749999999999E-2</v>
      </c>
      <c r="T12" s="6">
        <v>0</v>
      </c>
      <c r="U12" s="6">
        <v>0</v>
      </c>
      <c r="V12" s="3">
        <f>R12+T12</f>
        <v>407054539.5</v>
      </c>
      <c r="W12" s="2">
        <f>V12/$V$13</f>
        <v>9.9110881954055999E-3</v>
      </c>
      <c r="X12" s="1">
        <v>859155053.29999995</v>
      </c>
      <c r="Y12" s="9">
        <v>1.8593660000000001E-2</v>
      </c>
      <c r="Z12" s="3">
        <f>P12+V12+X12</f>
        <v>43216608257.200005</v>
      </c>
      <c r="AA12" s="2">
        <f>Z12/$Z$13</f>
        <v>5.8331836405909367E-2</v>
      </c>
      <c r="AB12" s="18"/>
    </row>
    <row r="13" spans="1:28">
      <c r="A13" s="15" t="s">
        <v>26</v>
      </c>
      <c r="B13" s="3">
        <f t="shared" ref="B13:AA13" si="2">SUM(B6:B12)</f>
        <v>6551457992.7600002</v>
      </c>
      <c r="C13" s="7">
        <f t="shared" si="2"/>
        <v>0.99999999000000006</v>
      </c>
      <c r="D13" s="3">
        <f t="shared" si="2"/>
        <v>153884223266.59003</v>
      </c>
      <c r="E13" s="7">
        <f t="shared" si="2"/>
        <v>1</v>
      </c>
      <c r="F13" s="3">
        <f t="shared" si="2"/>
        <v>3046756552.48</v>
      </c>
      <c r="G13" s="7">
        <f t="shared" si="2"/>
        <v>0.99999999000000006</v>
      </c>
      <c r="H13" s="3">
        <f t="shared" si="2"/>
        <v>228964699556.99997</v>
      </c>
      <c r="I13" s="7">
        <f t="shared" si="2"/>
        <v>1</v>
      </c>
      <c r="J13" s="3">
        <f t="shared" si="2"/>
        <v>114202769670.12001</v>
      </c>
      <c r="K13" s="7">
        <f t="shared" si="2"/>
        <v>1</v>
      </c>
      <c r="L13" s="3">
        <f t="shared" si="2"/>
        <v>6345954144.3899994</v>
      </c>
      <c r="M13" s="7">
        <f t="shared" si="2"/>
        <v>1.0000000099999999</v>
      </c>
      <c r="N13" s="3">
        <f>SUM(N6:N12)</f>
        <v>140601796017.63</v>
      </c>
      <c r="O13" s="7">
        <f t="shared" si="2"/>
        <v>1</v>
      </c>
      <c r="P13" s="3">
        <f t="shared" si="2"/>
        <v>653597657200.97021</v>
      </c>
      <c r="Q13" s="7">
        <f t="shared" si="2"/>
        <v>0.99999999999999978</v>
      </c>
      <c r="R13" s="3">
        <f t="shared" si="2"/>
        <v>17162442070.699999</v>
      </c>
      <c r="S13" s="7">
        <f t="shared" si="2"/>
        <v>1.0000000000000002</v>
      </c>
      <c r="T13" s="3">
        <f t="shared" si="2"/>
        <v>23908178175.490002</v>
      </c>
      <c r="U13" s="7">
        <f t="shared" si="2"/>
        <v>1</v>
      </c>
      <c r="V13" s="3">
        <f t="shared" si="2"/>
        <v>41070620246.190002</v>
      </c>
      <c r="W13" s="7">
        <f t="shared" si="2"/>
        <v>1</v>
      </c>
      <c r="X13" s="3">
        <f t="shared" si="2"/>
        <v>46206876156.299995</v>
      </c>
      <c r="Y13" s="7">
        <f t="shared" si="2"/>
        <v>0.99999999999999989</v>
      </c>
      <c r="Z13" s="3">
        <f t="shared" si="2"/>
        <v>740875153603.46008</v>
      </c>
      <c r="AA13" s="7">
        <f t="shared" si="2"/>
        <v>0.99999999999999989</v>
      </c>
    </row>
    <row r="14" spans="1:28">
      <c r="B14" s="18"/>
      <c r="F14" s="18"/>
      <c r="H14" s="18"/>
      <c r="J14" s="18"/>
      <c r="L14" s="18"/>
      <c r="N14" s="18"/>
      <c r="P14" s="18"/>
      <c r="R14" s="18"/>
      <c r="T14" s="18"/>
      <c r="V14" s="18"/>
      <c r="X14" s="18"/>
      <c r="Z14" s="18"/>
    </row>
    <row r="15" spans="1:28">
      <c r="A15" s="5" t="s">
        <v>27</v>
      </c>
      <c r="P15" s="18"/>
      <c r="R15" s="18"/>
      <c r="T15" s="18"/>
    </row>
    <row r="16" spans="1:28">
      <c r="A16" s="5" t="s">
        <v>28</v>
      </c>
      <c r="L16" s="18"/>
      <c r="P16" s="18"/>
    </row>
    <row r="17" spans="1:26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>
      <c r="B18" s="18"/>
      <c r="D18" s="19"/>
      <c r="F18" s="18"/>
      <c r="H18" s="18"/>
      <c r="J18" s="18"/>
      <c r="L18" s="18"/>
      <c r="N18" s="18"/>
      <c r="P18" s="18"/>
      <c r="R18" s="18"/>
      <c r="T18" s="18"/>
      <c r="V18" s="18"/>
      <c r="X18" s="18"/>
      <c r="Z18" s="18"/>
    </row>
    <row r="27" spans="1:26">
      <c r="H27" s="10"/>
    </row>
    <row r="28" spans="1:26">
      <c r="H28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5" sqref="H25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7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7.85546875" style="16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29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65048469.950000003</v>
      </c>
      <c r="C6" s="9">
        <v>9.5121100000000007E-3</v>
      </c>
      <c r="D6" s="1">
        <v>4928372983.6700001</v>
      </c>
      <c r="E6" s="9">
        <v>3.1341389999999997E-2</v>
      </c>
      <c r="F6" s="1">
        <v>221981668.22999999</v>
      </c>
      <c r="G6" s="9">
        <v>7.1291069999999998E-2</v>
      </c>
      <c r="H6" s="1">
        <v>4868369182.5699997</v>
      </c>
      <c r="I6" s="9">
        <v>2.0812830848455886E-2</v>
      </c>
      <c r="J6" s="1">
        <v>331276087.33999997</v>
      </c>
      <c r="K6" s="9">
        <v>2.8533999999999999E-3</v>
      </c>
      <c r="L6" s="1">
        <v>1354913159.1700001</v>
      </c>
      <c r="M6" s="9">
        <v>0.20698533</v>
      </c>
      <c r="N6" s="1">
        <v>7969705325.0500002</v>
      </c>
      <c r="O6" s="9">
        <v>5.5337460359855262E-2</v>
      </c>
      <c r="P6" s="3">
        <f t="shared" ref="P6:P12" si="0">+B6+D6+F6+H6+J6+L6+N6</f>
        <v>19739666875.98</v>
      </c>
      <c r="Q6" s="2">
        <f t="shared" ref="Q6:Q12" si="1">+P6/$P$13</f>
        <v>2.9560268371600498E-2</v>
      </c>
      <c r="R6" s="1">
        <v>403022620.81999999</v>
      </c>
      <c r="S6" s="9">
        <v>2.3176929999999998E-2</v>
      </c>
      <c r="T6" s="1">
        <v>1483923944.97</v>
      </c>
      <c r="U6" s="9">
        <v>6.1491900000000002E-2</v>
      </c>
      <c r="V6" s="3">
        <f>R6+T6</f>
        <v>1886946565.79</v>
      </c>
      <c r="W6" s="2">
        <f>V6/$V$13</f>
        <v>4.5445619126191918E-2</v>
      </c>
      <c r="X6" s="1">
        <v>369731350.64999998</v>
      </c>
      <c r="Y6" s="9">
        <v>7.8332599999999999E-3</v>
      </c>
      <c r="Z6" s="3">
        <f>P6+V6+X6</f>
        <v>21996344792.420002</v>
      </c>
      <c r="AA6" s="2">
        <f>Z6/$Z$13</f>
        <v>2.9076534726151192E-2</v>
      </c>
      <c r="AB6" s="18"/>
    </row>
    <row r="7" spans="1:28">
      <c r="A7" s="14" t="s">
        <v>19</v>
      </c>
      <c r="B7" s="1">
        <v>152535612.94</v>
      </c>
      <c r="C7" s="9">
        <v>2.2305459999999999E-2</v>
      </c>
      <c r="D7" s="6">
        <v>0</v>
      </c>
      <c r="E7" s="6">
        <v>0</v>
      </c>
      <c r="F7" s="1">
        <v>132585214.92</v>
      </c>
      <c r="G7" s="9">
        <v>4.2580729999999997E-2</v>
      </c>
      <c r="H7" s="1">
        <v>1243623494.72</v>
      </c>
      <c r="I7" s="9">
        <v>5.3166315996415851E-3</v>
      </c>
      <c r="J7" s="1">
        <v>290964736.06</v>
      </c>
      <c r="K7" s="9">
        <v>2.5061800000000002E-3</v>
      </c>
      <c r="L7" s="6">
        <v>0</v>
      </c>
      <c r="M7" s="6">
        <v>0</v>
      </c>
      <c r="N7" s="1">
        <v>138352922.41</v>
      </c>
      <c r="O7" s="9">
        <v>9.6065024329936217E-4</v>
      </c>
      <c r="P7" s="3">
        <f t="shared" si="0"/>
        <v>1958061981.05</v>
      </c>
      <c r="Q7" s="2">
        <f t="shared" si="1"/>
        <v>2.9322094446536683E-3</v>
      </c>
      <c r="R7" s="1">
        <v>168928505.56</v>
      </c>
      <c r="S7" s="9">
        <v>9.7146999999999997E-3</v>
      </c>
      <c r="T7" s="1">
        <v>1000086239.84</v>
      </c>
      <c r="U7" s="9">
        <v>4.1442279999999998E-2</v>
      </c>
      <c r="V7" s="3">
        <f>R7+T7</f>
        <v>1169014745.4000001</v>
      </c>
      <c r="W7" s="2">
        <f>V7/$V$13</f>
        <v>2.8154797722164608E-2</v>
      </c>
      <c r="X7" s="1">
        <v>277872690.77999997</v>
      </c>
      <c r="Y7" s="9">
        <v>5.8871100000000001E-3</v>
      </c>
      <c r="Z7" s="3">
        <f>P7+V7+X7</f>
        <v>3404949417.2299995</v>
      </c>
      <c r="AA7" s="2">
        <f>Z7/$Z$13</f>
        <v>4.5009355374804562E-3</v>
      </c>
      <c r="AB7" s="18"/>
    </row>
    <row r="8" spans="1:28" hidden="1">
      <c r="A8" s="14" t="s">
        <v>20</v>
      </c>
      <c r="B8" s="6"/>
      <c r="C8" s="6"/>
      <c r="D8" s="6"/>
      <c r="E8" s="6"/>
      <c r="F8" s="6"/>
      <c r="G8" s="6"/>
      <c r="H8" s="6"/>
      <c r="I8" s="9">
        <v>0</v>
      </c>
      <c r="J8" s="6"/>
      <c r="K8" s="6"/>
      <c r="L8" s="6"/>
      <c r="M8" s="6"/>
      <c r="N8" s="6"/>
      <c r="O8" s="9">
        <v>0</v>
      </c>
      <c r="P8" s="11">
        <f t="shared" si="0"/>
        <v>0</v>
      </c>
      <c r="Q8" s="11">
        <f t="shared" si="1"/>
        <v>0</v>
      </c>
      <c r="R8" s="6"/>
      <c r="S8" s="6"/>
      <c r="T8" s="6"/>
      <c r="U8" s="6"/>
      <c r="V8" s="3" t="s">
        <v>21</v>
      </c>
      <c r="W8" s="8">
        <v>0</v>
      </c>
      <c r="X8" s="6"/>
      <c r="Y8" s="8"/>
      <c r="Z8" s="3" t="s">
        <v>21</v>
      </c>
      <c r="AA8" s="8">
        <v>0</v>
      </c>
      <c r="AB8" s="18"/>
    </row>
    <row r="9" spans="1:28">
      <c r="A9" s="14" t="s">
        <v>22</v>
      </c>
      <c r="B9" s="1">
        <v>5324021590.9099998</v>
      </c>
      <c r="C9" s="9">
        <v>0.77853793999999998</v>
      </c>
      <c r="D9" s="1">
        <v>131248653161.49001</v>
      </c>
      <c r="E9" s="9">
        <v>0.83465990000000001</v>
      </c>
      <c r="F9" s="1">
        <v>1738616438.05</v>
      </c>
      <c r="G9" s="9">
        <v>0.55836969000000003</v>
      </c>
      <c r="H9" s="1">
        <v>174715080203.34</v>
      </c>
      <c r="I9" s="9">
        <v>0.74692679921758054</v>
      </c>
      <c r="J9" s="1">
        <v>96340468375.559998</v>
      </c>
      <c r="K9" s="9">
        <v>0.82981477000000003</v>
      </c>
      <c r="L9" s="1">
        <v>5142988047.6999998</v>
      </c>
      <c r="M9" s="9">
        <v>0.78567624999999996</v>
      </c>
      <c r="N9" s="1">
        <v>111087034904.16</v>
      </c>
      <c r="O9" s="9">
        <v>0.77133019851825513</v>
      </c>
      <c r="P9" s="3">
        <f t="shared" si="0"/>
        <v>525596862721.21008</v>
      </c>
      <c r="Q9" s="2">
        <f t="shared" si="1"/>
        <v>0.78708442320351435</v>
      </c>
      <c r="R9" s="1">
        <v>14871163267.309999</v>
      </c>
      <c r="S9" s="9">
        <v>0.85520748000000002</v>
      </c>
      <c r="T9" s="1">
        <v>19221313365.720001</v>
      </c>
      <c r="U9" s="9">
        <v>0.79650644999999998</v>
      </c>
      <c r="V9" s="3">
        <f>R9+T9</f>
        <v>34092476633.029999</v>
      </c>
      <c r="W9" s="2">
        <f>V9/$V$13</f>
        <v>0.82109039875467693</v>
      </c>
      <c r="X9" s="1">
        <v>39355979723.470001</v>
      </c>
      <c r="Y9" s="9">
        <v>0.83380979</v>
      </c>
      <c r="Z9" s="3">
        <f>P9+V9+X9</f>
        <v>599045319077.71008</v>
      </c>
      <c r="AA9" s="2">
        <f>Z9/$Z$13</f>
        <v>0.79186620263852669</v>
      </c>
      <c r="AB9" s="18"/>
    </row>
    <row r="10" spans="1:28">
      <c r="A10" s="14" t="s">
        <v>23</v>
      </c>
      <c r="B10" s="1">
        <v>44711148.969999999</v>
      </c>
      <c r="C10" s="9">
        <v>6.5381600000000003E-3</v>
      </c>
      <c r="D10" s="1">
        <v>9652243184.9899998</v>
      </c>
      <c r="E10" s="9">
        <v>6.1382270000000003E-2</v>
      </c>
      <c r="F10" s="1">
        <v>23060860.969999999</v>
      </c>
      <c r="G10" s="9">
        <v>7.4061700000000001E-3</v>
      </c>
      <c r="H10" s="1">
        <v>19830740673.389999</v>
      </c>
      <c r="I10" s="9">
        <v>8.4778667302502955E-2</v>
      </c>
      <c r="J10" s="1">
        <v>8779814227.9099998</v>
      </c>
      <c r="K10" s="9">
        <v>7.5623670000000004E-2</v>
      </c>
      <c r="L10" s="6">
        <v>0</v>
      </c>
      <c r="M10" s="6">
        <v>0</v>
      </c>
      <c r="N10" s="1">
        <v>13561067735.73</v>
      </c>
      <c r="O10" s="9">
        <v>9.4160952965793993E-2</v>
      </c>
      <c r="P10" s="3">
        <f t="shared" si="0"/>
        <v>51891637831.959991</v>
      </c>
      <c r="Q10" s="2">
        <f t="shared" si="1"/>
        <v>7.7708035813977283E-2</v>
      </c>
      <c r="R10" s="1">
        <v>716474744.47000003</v>
      </c>
      <c r="S10" s="9">
        <v>4.1202870000000003E-2</v>
      </c>
      <c r="T10" s="1">
        <v>130755169.56999999</v>
      </c>
      <c r="U10" s="9">
        <v>5.4183299999999998E-3</v>
      </c>
      <c r="V10" s="3">
        <f>R10+T10</f>
        <v>847229914.03999996</v>
      </c>
      <c r="W10" s="2">
        <f>V10/$V$13</f>
        <v>2.0404863965852851E-2</v>
      </c>
      <c r="X10" s="1">
        <v>5008169945.8999996</v>
      </c>
      <c r="Y10" s="9">
        <v>0.10610487</v>
      </c>
      <c r="Z10" s="3">
        <f>P10+V10+X10</f>
        <v>57747037691.899994</v>
      </c>
      <c r="AA10" s="2">
        <f>Z10/$Z$13</f>
        <v>7.6334671174981245E-2</v>
      </c>
      <c r="AB10" s="18"/>
    </row>
    <row r="11" spans="1:28">
      <c r="A11" s="14" t="s">
        <v>24</v>
      </c>
      <c r="B11" s="1">
        <v>1050090766.49</v>
      </c>
      <c r="C11" s="9">
        <v>0.15355600999999999</v>
      </c>
      <c r="D11" s="1">
        <v>2486495684.5100002</v>
      </c>
      <c r="E11" s="9">
        <v>1.5812570000000001E-2</v>
      </c>
      <c r="F11" s="1">
        <v>733833576.97000003</v>
      </c>
      <c r="G11" s="9">
        <v>0.23567615</v>
      </c>
      <c r="H11" s="1">
        <v>10037467917.089998</v>
      </c>
      <c r="I11" s="9">
        <v>4.2911314666344777E-2</v>
      </c>
      <c r="J11" s="1">
        <v>4716424978.8900003</v>
      </c>
      <c r="K11" s="9">
        <v>4.0624250000000001E-2</v>
      </c>
      <c r="L11" s="1">
        <v>48036833.479999997</v>
      </c>
      <c r="M11" s="9">
        <v>7.33842E-3</v>
      </c>
      <c r="N11" s="1">
        <v>6517886621.6599998</v>
      </c>
      <c r="O11" s="9">
        <v>4.5256791543152611E-2</v>
      </c>
      <c r="P11" s="3">
        <f t="shared" si="0"/>
        <v>25590236379.089996</v>
      </c>
      <c r="Q11" s="2">
        <f t="shared" si="1"/>
        <v>3.8321530946354404E-2</v>
      </c>
      <c r="R11" s="1">
        <v>820601005.17999995</v>
      </c>
      <c r="S11" s="9">
        <v>4.7190940000000001E-2</v>
      </c>
      <c r="T11" s="1">
        <v>2295945885.4299998</v>
      </c>
      <c r="U11" s="9">
        <v>9.5141039999999996E-2</v>
      </c>
      <c r="V11" s="3">
        <f>R11+T11</f>
        <v>3116546890.6099997</v>
      </c>
      <c r="W11" s="2">
        <f>V11/$V$13</f>
        <v>7.5059572723132573E-2</v>
      </c>
      <c r="X11" s="1">
        <v>1325935559.5</v>
      </c>
      <c r="Y11" s="9">
        <v>2.809174E-2</v>
      </c>
      <c r="Z11" s="3">
        <f>P11+V11+X11</f>
        <v>30032718829.199997</v>
      </c>
      <c r="AA11" s="2">
        <f>Z11/$Z$13</f>
        <v>3.9699659202418566E-2</v>
      </c>
      <c r="AB11" s="18"/>
    </row>
    <row r="12" spans="1:28">
      <c r="A12" s="14" t="s">
        <v>25</v>
      </c>
      <c r="B12" s="1">
        <v>202079412.19</v>
      </c>
      <c r="C12" s="9">
        <v>2.955031E-2</v>
      </c>
      <c r="D12" s="1">
        <v>8932299175.6599998</v>
      </c>
      <c r="E12" s="9">
        <v>5.6803869999999999E-2</v>
      </c>
      <c r="F12" s="1">
        <v>263659387.03</v>
      </c>
      <c r="G12" s="9">
        <v>8.4676189999999998E-2</v>
      </c>
      <c r="H12" s="1">
        <v>23216636519.189999</v>
      </c>
      <c r="I12" s="9">
        <v>9.9253756365474108E-2</v>
      </c>
      <c r="J12" s="1">
        <v>5639814369.5900002</v>
      </c>
      <c r="K12" s="9">
        <v>4.857773E-2</v>
      </c>
      <c r="L12" s="6">
        <v>0</v>
      </c>
      <c r="M12" s="6">
        <v>0</v>
      </c>
      <c r="N12" s="1">
        <v>4746029907.3299999</v>
      </c>
      <c r="O12" s="9">
        <v>3.2953946369643689E-2</v>
      </c>
      <c r="P12" s="3">
        <f t="shared" si="0"/>
        <v>43000518770.990005</v>
      </c>
      <c r="Q12" s="2">
        <f t="shared" si="1"/>
        <v>6.4393532219899921E-2</v>
      </c>
      <c r="R12" s="1">
        <v>408763556</v>
      </c>
      <c r="S12" s="9">
        <v>2.350708E-2</v>
      </c>
      <c r="T12" s="6">
        <v>0</v>
      </c>
      <c r="U12" s="6">
        <v>0</v>
      </c>
      <c r="V12" s="3">
        <f>R12+T12</f>
        <v>408763556</v>
      </c>
      <c r="W12" s="2">
        <f>V12/$V$13</f>
        <v>9.8447477079810532E-3</v>
      </c>
      <c r="X12" s="1">
        <v>862500054.49000001</v>
      </c>
      <c r="Y12" s="9">
        <v>1.8273230000000001E-2</v>
      </c>
      <c r="Z12" s="3">
        <f>P12+V12+X12</f>
        <v>44271782381.480003</v>
      </c>
      <c r="AA12" s="2">
        <f>Z12/$Z$13</f>
        <v>5.8521996720441866E-2</v>
      </c>
      <c r="AB12" s="18"/>
    </row>
    <row r="13" spans="1:28">
      <c r="A13" s="15" t="s">
        <v>26</v>
      </c>
      <c r="B13" s="3">
        <f t="shared" ref="B13:AA13" si="2">SUM(B6:B12)</f>
        <v>6838487001.4499998</v>
      </c>
      <c r="C13" s="7">
        <f t="shared" si="2"/>
        <v>0.99999998999999984</v>
      </c>
      <c r="D13" s="3">
        <f t="shared" si="2"/>
        <v>157248064190.32001</v>
      </c>
      <c r="E13" s="7">
        <f t="shared" si="2"/>
        <v>1</v>
      </c>
      <c r="F13" s="3">
        <f t="shared" si="2"/>
        <v>3113737146.1700001</v>
      </c>
      <c r="G13" s="7">
        <f t="shared" si="2"/>
        <v>1</v>
      </c>
      <c r="H13" s="3">
        <f t="shared" si="2"/>
        <v>233911917990.30002</v>
      </c>
      <c r="I13" s="7">
        <f t="shared" si="2"/>
        <v>0.99999999999999978</v>
      </c>
      <c r="J13" s="3">
        <f t="shared" si="2"/>
        <v>116098762775.34999</v>
      </c>
      <c r="K13" s="7">
        <f t="shared" si="2"/>
        <v>1.0000000000000002</v>
      </c>
      <c r="L13" s="3">
        <f t="shared" si="2"/>
        <v>6545938040.3499994</v>
      </c>
      <c r="M13" s="7">
        <f t="shared" si="2"/>
        <v>0.99999999999999989</v>
      </c>
      <c r="N13" s="3">
        <f>SUM(N6:N12)</f>
        <v>144020077416.34</v>
      </c>
      <c r="O13" s="7">
        <f t="shared" si="2"/>
        <v>1</v>
      </c>
      <c r="P13" s="3">
        <f t="shared" si="2"/>
        <v>667776984560.28003</v>
      </c>
      <c r="Q13" s="7">
        <f t="shared" si="2"/>
        <v>1.0000000000000002</v>
      </c>
      <c r="R13" s="3">
        <f t="shared" si="2"/>
        <v>17388953699.339996</v>
      </c>
      <c r="S13" s="7">
        <f t="shared" si="2"/>
        <v>1</v>
      </c>
      <c r="T13" s="3">
        <f t="shared" si="2"/>
        <v>24132024605.530003</v>
      </c>
      <c r="U13" s="7">
        <f t="shared" si="2"/>
        <v>1</v>
      </c>
      <c r="V13" s="3">
        <f t="shared" si="2"/>
        <v>41520978304.870003</v>
      </c>
      <c r="W13" s="7">
        <f t="shared" si="2"/>
        <v>0.99999999999999989</v>
      </c>
      <c r="X13" s="3">
        <f t="shared" si="2"/>
        <v>47200189324.790001</v>
      </c>
      <c r="Y13" s="7">
        <f t="shared" si="2"/>
        <v>1</v>
      </c>
      <c r="Z13" s="3">
        <f t="shared" si="2"/>
        <v>756498152189.94006</v>
      </c>
      <c r="AA13" s="7">
        <f t="shared" si="2"/>
        <v>1</v>
      </c>
    </row>
    <row r="14" spans="1:28">
      <c r="B14" s="18"/>
      <c r="F14" s="18"/>
      <c r="H14" s="18"/>
      <c r="J14" s="18"/>
      <c r="L14" s="18"/>
      <c r="N14" s="18"/>
      <c r="P14" s="18"/>
      <c r="R14" s="18"/>
      <c r="T14" s="18"/>
      <c r="V14" s="18"/>
      <c r="X14" s="18"/>
      <c r="Z14" s="18"/>
    </row>
    <row r="15" spans="1:28">
      <c r="A15" s="5" t="s">
        <v>27</v>
      </c>
      <c r="P15" s="18"/>
      <c r="R15" s="18"/>
      <c r="T15" s="18"/>
    </row>
    <row r="16" spans="1:28">
      <c r="A16" s="5" t="s">
        <v>28</v>
      </c>
      <c r="L16" s="18"/>
      <c r="P16" s="18"/>
    </row>
    <row r="17" spans="1:26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>
      <c r="B18" s="18"/>
      <c r="D18" s="19"/>
      <c r="F18" s="18"/>
      <c r="H18" s="18"/>
      <c r="J18" s="18"/>
      <c r="L18" s="18"/>
      <c r="N18" s="18"/>
      <c r="P18" s="18"/>
      <c r="R18" s="18"/>
      <c r="T18" s="18"/>
      <c r="V18" s="18"/>
      <c r="X18" s="18"/>
      <c r="Z18" s="18"/>
    </row>
    <row r="27" spans="1:26">
      <c r="H27" s="10"/>
    </row>
    <row r="28" spans="1:26">
      <c r="H28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showGridLines="0" workbookViewId="0">
      <pane xSplit="1" ySplit="5" topLeftCell="G6" activePane="bottomRight" state="frozen"/>
      <selection pane="topRight" activeCell="B1" sqref="B1"/>
      <selection pane="bottomLeft" activeCell="A6" sqref="A6"/>
      <selection pane="bottomRight" activeCell="L7" sqref="L7:M7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7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7.85546875" style="16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30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63761709.460000001</v>
      </c>
      <c r="C6" s="9">
        <v>9.2053800000000009E-3</v>
      </c>
      <c r="D6" s="1">
        <v>4091100805.9699998</v>
      </c>
      <c r="E6" s="9">
        <v>2.5732693729914637E-2</v>
      </c>
      <c r="F6" s="1">
        <v>176999529.19</v>
      </c>
      <c r="G6" s="9">
        <v>5.568476E-2</v>
      </c>
      <c r="H6" s="1">
        <v>4341593646.4399996</v>
      </c>
      <c r="I6" s="9">
        <v>1.83604118973714E-2</v>
      </c>
      <c r="J6" s="1">
        <v>605469741.37</v>
      </c>
      <c r="K6" s="9">
        <v>5.17908E-3</v>
      </c>
      <c r="L6" s="1">
        <v>1077243988.3599999</v>
      </c>
      <c r="M6" s="9">
        <v>0.16174139000000001</v>
      </c>
      <c r="N6" s="1">
        <v>7400757100.4799995</v>
      </c>
      <c r="O6" s="9">
        <v>5.0814510621355155E-2</v>
      </c>
      <c r="P6" s="3">
        <f t="shared" ref="P6:P12" si="0">+B6+D6+F6+H6+J6+L6+N6</f>
        <v>17756926521.27</v>
      </c>
      <c r="Q6" s="2">
        <f t="shared" ref="Q6:Q12" si="1">+P6/$P$13</f>
        <v>2.6315746838826839E-2</v>
      </c>
      <c r="R6" s="1">
        <v>231817697.50999999</v>
      </c>
      <c r="S6" s="9">
        <v>1.326478E-2</v>
      </c>
      <c r="T6" s="1">
        <v>1557583882.1099999</v>
      </c>
      <c r="U6" s="9">
        <v>6.38629E-2</v>
      </c>
      <c r="V6" s="3">
        <f>R6+T6</f>
        <v>1789401579.6199999</v>
      </c>
      <c r="W6" s="2">
        <f>V6/$V$13</f>
        <v>4.2741492910672405E-2</v>
      </c>
      <c r="X6" s="1">
        <v>234427813.68000001</v>
      </c>
      <c r="Y6" s="9">
        <v>4.9033100000000001E-3</v>
      </c>
      <c r="Z6" s="3">
        <f>P6+V6+X6</f>
        <v>19780755914.57</v>
      </c>
      <c r="AA6" s="2">
        <f>Z6/$Z$13</f>
        <v>2.5876137160212188E-2</v>
      </c>
      <c r="AB6" s="18"/>
    </row>
    <row r="7" spans="1:28">
      <c r="A7" s="14" t="s">
        <v>19</v>
      </c>
      <c r="B7" s="1">
        <v>149184355.55000001</v>
      </c>
      <c r="C7" s="9">
        <v>2.1537980000000002E-2</v>
      </c>
      <c r="D7" s="6">
        <v>171620729.06999999</v>
      </c>
      <c r="E7" s="9">
        <v>1.0794805281792296E-3</v>
      </c>
      <c r="F7" s="1">
        <v>95891086.769999996</v>
      </c>
      <c r="G7" s="9">
        <v>3.0167719999999999E-2</v>
      </c>
      <c r="H7" s="1">
        <v>803275851.99000001</v>
      </c>
      <c r="I7" s="9">
        <v>3.3970188623805762E-3</v>
      </c>
      <c r="J7" s="1">
        <v>18380055.23</v>
      </c>
      <c r="K7" s="9">
        <v>1.5721999999999999E-4</v>
      </c>
      <c r="L7" s="6">
        <v>0</v>
      </c>
      <c r="M7" s="6">
        <v>0</v>
      </c>
      <c r="N7" s="1">
        <v>139032851.33000001</v>
      </c>
      <c r="O7" s="9">
        <v>9.5461669727916912E-4</v>
      </c>
      <c r="P7" s="3">
        <f t="shared" si="0"/>
        <v>1377384929.9400001</v>
      </c>
      <c r="Q7" s="2">
        <f t="shared" si="1"/>
        <v>2.0412830493215248E-3</v>
      </c>
      <c r="R7" s="1">
        <v>73382902.769999996</v>
      </c>
      <c r="S7" s="9">
        <v>4.1990200000000004E-3</v>
      </c>
      <c r="T7" s="1">
        <v>1007481625.4400001</v>
      </c>
      <c r="U7" s="9">
        <v>4.1308009999999999E-2</v>
      </c>
      <c r="V7" s="3">
        <f>R7+T7</f>
        <v>1080864528.21</v>
      </c>
      <c r="W7" s="2">
        <f>V7/$V$13</f>
        <v>2.5817437570215856E-2</v>
      </c>
      <c r="X7" s="1">
        <v>216097667.37</v>
      </c>
      <c r="Y7" s="9">
        <v>4.5199200000000002E-3</v>
      </c>
      <c r="Z7" s="3">
        <f>P7+V7+X7</f>
        <v>2674347125.52</v>
      </c>
      <c r="AA7" s="2">
        <f>Z7/$Z$13</f>
        <v>3.498439257470563E-3</v>
      </c>
      <c r="AB7" s="18"/>
    </row>
    <row r="8" spans="1:28" hidden="1">
      <c r="A8" s="14" t="s">
        <v>20</v>
      </c>
      <c r="B8" s="6"/>
      <c r="C8" s="6"/>
      <c r="D8" s="6"/>
      <c r="E8" s="9">
        <v>0</v>
      </c>
      <c r="F8" s="6"/>
      <c r="G8" s="6"/>
      <c r="H8" s="6"/>
      <c r="I8" s="9"/>
      <c r="J8" s="6"/>
      <c r="K8" s="6"/>
      <c r="L8" s="6"/>
      <c r="M8" s="6"/>
      <c r="N8" s="6"/>
      <c r="O8" s="9"/>
      <c r="P8" s="11">
        <f t="shared" si="0"/>
        <v>0</v>
      </c>
      <c r="Q8" s="11">
        <f t="shared" si="1"/>
        <v>0</v>
      </c>
      <c r="R8" s="6"/>
      <c r="S8" s="6"/>
      <c r="T8" s="6"/>
      <c r="U8" s="6"/>
      <c r="V8" s="3" t="s">
        <v>21</v>
      </c>
      <c r="W8" s="8">
        <v>0</v>
      </c>
      <c r="X8" s="6"/>
      <c r="Y8" s="8"/>
      <c r="Z8" s="3" t="s">
        <v>21</v>
      </c>
      <c r="AA8" s="8">
        <v>0</v>
      </c>
      <c r="AB8" s="18"/>
    </row>
    <row r="9" spans="1:28">
      <c r="A9" s="14" t="s">
        <v>22</v>
      </c>
      <c r="B9" s="1">
        <v>5420777703.3199997</v>
      </c>
      <c r="C9" s="9">
        <v>0.78260605999999999</v>
      </c>
      <c r="D9" s="1">
        <v>133338365434.33</v>
      </c>
      <c r="E9" s="9">
        <v>0.83868755205495926</v>
      </c>
      <c r="F9" s="1">
        <v>1886985190.8499999</v>
      </c>
      <c r="G9" s="9">
        <v>0.59365303999999997</v>
      </c>
      <c r="H9" s="1">
        <v>177981488958.01999</v>
      </c>
      <c r="I9" s="9">
        <v>0.75267602486387319</v>
      </c>
      <c r="J9" s="1">
        <v>96948768541.539993</v>
      </c>
      <c r="K9" s="9">
        <v>0.82928283000000003</v>
      </c>
      <c r="L9" s="1">
        <v>5534579968.0799999</v>
      </c>
      <c r="M9" s="9">
        <v>0.83098227000000002</v>
      </c>
      <c r="N9" s="1">
        <v>113422862498.11</v>
      </c>
      <c r="O9" s="9">
        <v>0.77877535674571774</v>
      </c>
      <c r="P9" s="3">
        <f t="shared" si="0"/>
        <v>534533828294.25</v>
      </c>
      <c r="Q9" s="2">
        <f t="shared" si="1"/>
        <v>0.79217858368286753</v>
      </c>
      <c r="R9" s="1">
        <v>15232245402.77</v>
      </c>
      <c r="S9" s="9">
        <v>0.87160033000000003</v>
      </c>
      <c r="T9" s="1">
        <v>19408400366.740002</v>
      </c>
      <c r="U9" s="9">
        <v>0.79576879</v>
      </c>
      <c r="V9" s="3">
        <f>R9+T9</f>
        <v>34640645769.510002</v>
      </c>
      <c r="W9" s="2">
        <f>V9/$V$13</f>
        <v>0.82742349869448906</v>
      </c>
      <c r="X9" s="1">
        <v>40175262152.480003</v>
      </c>
      <c r="Y9" s="9">
        <v>0.84030939000000004</v>
      </c>
      <c r="Z9" s="3">
        <f>P9+V9+X9</f>
        <v>609349736216.23999</v>
      </c>
      <c r="AA9" s="2">
        <f>Z9/$Z$13</f>
        <v>0.79711904949277068</v>
      </c>
      <c r="AB9" s="18"/>
    </row>
    <row r="10" spans="1:28">
      <c r="A10" s="14" t="s">
        <v>23</v>
      </c>
      <c r="B10" s="1">
        <v>44933527.469999999</v>
      </c>
      <c r="C10" s="9">
        <v>6.4871199999999999E-3</v>
      </c>
      <c r="D10" s="1">
        <v>9604322264.3600006</v>
      </c>
      <c r="E10" s="9">
        <v>6.0410411533132105E-2</v>
      </c>
      <c r="F10" s="1">
        <v>23416095.25</v>
      </c>
      <c r="G10" s="9">
        <v>7.3667999999999997E-3</v>
      </c>
      <c r="H10" s="1">
        <v>19803573675.119999</v>
      </c>
      <c r="I10" s="9">
        <v>8.3748457208400615E-2</v>
      </c>
      <c r="J10" s="1">
        <v>8763559841.7999992</v>
      </c>
      <c r="K10" s="9">
        <v>7.4961959999999994E-2</v>
      </c>
      <c r="L10" s="6">
        <v>0</v>
      </c>
      <c r="M10" s="6">
        <v>0</v>
      </c>
      <c r="N10" s="1">
        <v>13529929018.950001</v>
      </c>
      <c r="O10" s="9">
        <v>9.2898160621299811E-2</v>
      </c>
      <c r="P10" s="3">
        <f t="shared" si="0"/>
        <v>51769734422.949997</v>
      </c>
      <c r="Q10" s="2">
        <f t="shared" si="1"/>
        <v>7.6722693161778849E-2</v>
      </c>
      <c r="R10" s="1">
        <v>715454527.90999997</v>
      </c>
      <c r="S10" s="9">
        <v>4.0938839999999997E-2</v>
      </c>
      <c r="T10" s="1">
        <v>128813901.90000001</v>
      </c>
      <c r="U10" s="9">
        <v>5.2815300000000004E-3</v>
      </c>
      <c r="V10" s="3">
        <f>R10+T10</f>
        <v>844268429.80999994</v>
      </c>
      <c r="W10" s="2">
        <f>V10/$V$13</f>
        <v>2.0166123422720887E-2</v>
      </c>
      <c r="X10" s="1">
        <v>5006843904.96</v>
      </c>
      <c r="Y10" s="9">
        <v>0.1047236</v>
      </c>
      <c r="Z10" s="3">
        <f>P10+V10+X10</f>
        <v>57620846757.719994</v>
      </c>
      <c r="AA10" s="2">
        <f>Z10/$Z$13</f>
        <v>7.5376539725263689E-2</v>
      </c>
      <c r="AB10" s="18"/>
    </row>
    <row r="11" spans="1:28">
      <c r="A11" s="14" t="s">
        <v>24</v>
      </c>
      <c r="B11" s="1">
        <v>1046558511.1799999</v>
      </c>
      <c r="C11" s="9">
        <v>0.15109327</v>
      </c>
      <c r="D11" s="1">
        <v>2467472303.3699999</v>
      </c>
      <c r="E11" s="9">
        <v>1.5520201549913319E-2</v>
      </c>
      <c r="F11" s="1">
        <v>733469023.95000005</v>
      </c>
      <c r="G11" s="9">
        <v>0.23075227000000001</v>
      </c>
      <c r="H11" s="1">
        <v>9950030728.9899998</v>
      </c>
      <c r="I11" s="9">
        <v>4.2078249936070733E-2</v>
      </c>
      <c r="J11" s="1">
        <v>4696735709.5200005</v>
      </c>
      <c r="K11" s="9">
        <v>4.0175059999999999E-2</v>
      </c>
      <c r="L11" s="1">
        <v>48462497.539999999</v>
      </c>
      <c r="M11" s="9">
        <v>7.2763400000000001E-3</v>
      </c>
      <c r="N11" s="1">
        <v>6436817755.3899994</v>
      </c>
      <c r="O11" s="9">
        <v>4.4195984242987582E-2</v>
      </c>
      <c r="P11" s="3">
        <f t="shared" si="0"/>
        <v>25379546529.940002</v>
      </c>
      <c r="Q11" s="2">
        <f t="shared" si="1"/>
        <v>3.7612461850653617E-2</v>
      </c>
      <c r="R11" s="1">
        <v>814236686.84000003</v>
      </c>
      <c r="S11" s="9">
        <v>4.6591220000000003E-2</v>
      </c>
      <c r="T11" s="1">
        <v>2287216918.5300002</v>
      </c>
      <c r="U11" s="9">
        <v>9.3778769999999997E-2</v>
      </c>
      <c r="V11" s="3">
        <f>R11+T11</f>
        <v>3101453605.3700004</v>
      </c>
      <c r="W11" s="2">
        <f>V11/$V$13</f>
        <v>7.4081055251360647E-2</v>
      </c>
      <c r="X11" s="1">
        <v>1323241485.3499999</v>
      </c>
      <c r="Y11" s="9">
        <v>2.767704E-2</v>
      </c>
      <c r="Z11" s="3">
        <f>P11+V11+X11</f>
        <v>29804241620.66</v>
      </c>
      <c r="AA11" s="2">
        <f>Z11/$Z$13</f>
        <v>3.8988330246987321E-2</v>
      </c>
      <c r="AB11" s="18"/>
    </row>
    <row r="12" spans="1:28">
      <c r="A12" s="14" t="s">
        <v>25</v>
      </c>
      <c r="B12" s="1">
        <v>201356781.5</v>
      </c>
      <c r="C12" s="9">
        <v>2.9070189999999999E-2</v>
      </c>
      <c r="D12" s="1">
        <v>9311671300.9899998</v>
      </c>
      <c r="E12" s="9">
        <v>5.856966060390166E-2</v>
      </c>
      <c r="F12" s="1">
        <v>261838445.97999999</v>
      </c>
      <c r="G12" s="9">
        <v>8.2375420000000005E-2</v>
      </c>
      <c r="H12" s="1">
        <v>23584974348.259998</v>
      </c>
      <c r="I12" s="9">
        <v>9.973983723190355E-2</v>
      </c>
      <c r="J12" s="1">
        <v>5873845432.1800003</v>
      </c>
      <c r="K12" s="9">
        <v>5.024385E-2</v>
      </c>
      <c r="L12" s="6">
        <v>0</v>
      </c>
      <c r="M12" s="6">
        <v>0</v>
      </c>
      <c r="N12" s="1">
        <v>4713194003.2299995</v>
      </c>
      <c r="O12" s="9">
        <v>3.2361371071360355E-2</v>
      </c>
      <c r="P12" s="3">
        <f t="shared" si="0"/>
        <v>43946880312.139999</v>
      </c>
      <c r="Q12" s="2">
        <f t="shared" si="1"/>
        <v>6.5129231416551775E-2</v>
      </c>
      <c r="R12" s="1">
        <v>409044091.75</v>
      </c>
      <c r="S12" s="9">
        <v>2.3405800000000001E-2</v>
      </c>
      <c r="T12" s="6">
        <v>0</v>
      </c>
      <c r="U12" s="6">
        <v>0</v>
      </c>
      <c r="V12" s="3">
        <f>R12+T12</f>
        <v>409044091.75</v>
      </c>
      <c r="W12" s="2">
        <f>V12/$V$13</f>
        <v>9.7703921505410806E-3</v>
      </c>
      <c r="X12" s="1">
        <v>854210714.87</v>
      </c>
      <c r="Y12" s="9">
        <v>1.7866750000000001E-2</v>
      </c>
      <c r="Z12" s="3">
        <f>P12+V12+X12</f>
        <v>45210135118.760002</v>
      </c>
      <c r="AA12" s="2">
        <f>Z12/$Z$13</f>
        <v>5.9141504117295539E-2</v>
      </c>
      <c r="AB12" s="18"/>
    </row>
    <row r="13" spans="1:28">
      <c r="A13" s="15" t="s">
        <v>26</v>
      </c>
      <c r="B13" s="3">
        <f t="shared" ref="B13:AA13" si="2">SUM(B6:B12)</f>
        <v>6926572588.4800005</v>
      </c>
      <c r="C13" s="7">
        <f t="shared" si="2"/>
        <v>0.99999999999999989</v>
      </c>
      <c r="D13" s="3">
        <f t="shared" si="2"/>
        <v>158984552838.08997</v>
      </c>
      <c r="E13" s="7">
        <f t="shared" si="2"/>
        <v>1.0000000000000002</v>
      </c>
      <c r="F13" s="3">
        <f t="shared" si="2"/>
        <v>3178599371.9900002</v>
      </c>
      <c r="G13" s="7">
        <f t="shared" si="2"/>
        <v>1.0000000099999999</v>
      </c>
      <c r="H13" s="3">
        <f t="shared" si="2"/>
        <v>236464937208.81998</v>
      </c>
      <c r="I13" s="7">
        <f t="shared" si="2"/>
        <v>1.0000000000000002</v>
      </c>
      <c r="J13" s="3">
        <f t="shared" si="2"/>
        <v>116906759321.64001</v>
      </c>
      <c r="K13" s="7">
        <f t="shared" si="2"/>
        <v>1</v>
      </c>
      <c r="L13" s="3">
        <f t="shared" si="2"/>
        <v>6660286453.9799995</v>
      </c>
      <c r="M13" s="7">
        <f t="shared" si="2"/>
        <v>1</v>
      </c>
      <c r="N13" s="3">
        <f>SUM(N6:N12)</f>
        <v>145642593227.49002</v>
      </c>
      <c r="O13" s="7">
        <f t="shared" si="2"/>
        <v>0.99999999999999989</v>
      </c>
      <c r="P13" s="3">
        <f t="shared" si="2"/>
        <v>674764301010.48987</v>
      </c>
      <c r="Q13" s="7">
        <f t="shared" si="2"/>
        <v>1</v>
      </c>
      <c r="R13" s="3">
        <f t="shared" si="2"/>
        <v>17476181309.550003</v>
      </c>
      <c r="S13" s="7">
        <f t="shared" si="2"/>
        <v>0.99999999000000017</v>
      </c>
      <c r="T13" s="3">
        <f t="shared" si="2"/>
        <v>24389496694.720001</v>
      </c>
      <c r="U13" s="7">
        <f t="shared" si="2"/>
        <v>1</v>
      </c>
      <c r="V13" s="3">
        <f t="shared" si="2"/>
        <v>41865678004.270004</v>
      </c>
      <c r="W13" s="7">
        <f t="shared" si="2"/>
        <v>0.99999999999999989</v>
      </c>
      <c r="X13" s="3">
        <f t="shared" si="2"/>
        <v>47810083738.710007</v>
      </c>
      <c r="Y13" s="7">
        <f t="shared" si="2"/>
        <v>1.0000000100000002</v>
      </c>
      <c r="Z13" s="3">
        <f t="shared" si="2"/>
        <v>764440062753.46997</v>
      </c>
      <c r="AA13" s="7">
        <f t="shared" si="2"/>
        <v>1</v>
      </c>
    </row>
    <row r="14" spans="1:28">
      <c r="B14" s="18"/>
      <c r="F14" s="18"/>
      <c r="H14" s="18"/>
      <c r="J14" s="18"/>
      <c r="L14" s="18"/>
      <c r="N14" s="18"/>
      <c r="P14" s="18"/>
      <c r="R14" s="18"/>
      <c r="T14" s="18"/>
      <c r="V14" s="18"/>
      <c r="X14" s="18"/>
      <c r="Z14" s="18"/>
    </row>
    <row r="15" spans="1:28">
      <c r="A15" s="5" t="s">
        <v>27</v>
      </c>
      <c r="P15" s="18"/>
      <c r="R15" s="18"/>
      <c r="T15" s="18"/>
    </row>
    <row r="16" spans="1:28">
      <c r="A16" s="5" t="s">
        <v>28</v>
      </c>
      <c r="L16" s="18"/>
      <c r="P16" s="18"/>
    </row>
    <row r="17" spans="1:26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>
      <c r="B18" s="18"/>
      <c r="D18" s="19"/>
      <c r="F18" s="18"/>
      <c r="H18" s="18"/>
      <c r="J18" s="18"/>
      <c r="L18" s="18"/>
      <c r="N18" s="18"/>
      <c r="P18" s="18"/>
      <c r="R18" s="18"/>
      <c r="T18" s="18"/>
      <c r="V18" s="18"/>
      <c r="X18" s="18"/>
      <c r="Z18" s="18"/>
    </row>
    <row r="27" spans="1:26">
      <c r="H27" s="10"/>
    </row>
    <row r="28" spans="1:26">
      <c r="H28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6" sqref="G6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7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7.85546875" style="16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31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7042894.4699999997</v>
      </c>
      <c r="C6" s="9">
        <v>9.9314E-4</v>
      </c>
      <c r="D6" s="1">
        <v>3029247296.54</v>
      </c>
      <c r="E6" s="9">
        <v>1.889803E-2</v>
      </c>
      <c r="F6" s="1">
        <v>207047050.19</v>
      </c>
      <c r="G6" s="9">
        <v>6.1936810000000002E-2</v>
      </c>
      <c r="H6" s="1">
        <v>7110014175.1400003</v>
      </c>
      <c r="I6" s="9">
        <v>2.9834997547472833E-2</v>
      </c>
      <c r="J6" s="1">
        <v>591473471.15999997</v>
      </c>
      <c r="K6" s="9">
        <v>5.0250099999999999E-3</v>
      </c>
      <c r="L6" s="1">
        <v>1090938913.76</v>
      </c>
      <c r="M6" s="9">
        <v>0.16212588</v>
      </c>
      <c r="N6" s="1">
        <v>7400317999.79</v>
      </c>
      <c r="O6" s="9">
        <v>5.043033769083622E-2</v>
      </c>
      <c r="P6" s="3">
        <f t="shared" ref="P6:P12" si="0">+B6+D6+F6+H6+J6+L6+N6</f>
        <v>19436081801.049999</v>
      </c>
      <c r="Q6" s="2">
        <f t="shared" ref="Q6:Q12" si="1">+P6/$P$13</f>
        <v>2.8573304705583159E-2</v>
      </c>
      <c r="R6" s="1">
        <v>92762697.129999995</v>
      </c>
      <c r="S6" s="9">
        <v>5.2853700000000002E-3</v>
      </c>
      <c r="T6" s="1">
        <v>1999758356.9100001</v>
      </c>
      <c r="U6" s="9">
        <v>8.198772E-2</v>
      </c>
      <c r="V6" s="3">
        <f>R6+T6</f>
        <v>2092521054.04</v>
      </c>
      <c r="W6" s="2">
        <f>V6/$V$13</f>
        <v>4.9891090370496313E-2</v>
      </c>
      <c r="X6" s="1">
        <v>380023608.52999997</v>
      </c>
      <c r="Y6" s="9">
        <v>7.8697799999999998E-3</v>
      </c>
      <c r="Z6" s="3">
        <f>P6+V6+X6</f>
        <v>21908626463.619999</v>
      </c>
      <c r="AA6" s="2">
        <f>Z6/$Z$13</f>
        <v>2.8436182015756047E-2</v>
      </c>
      <c r="AB6" s="18"/>
    </row>
    <row r="7" spans="1:28">
      <c r="A7" s="14" t="s">
        <v>19</v>
      </c>
      <c r="B7" s="1">
        <v>235722606.44999999</v>
      </c>
      <c r="C7" s="9">
        <v>3.3240079999999998E-2</v>
      </c>
      <c r="D7" s="1">
        <v>171762222.56</v>
      </c>
      <c r="E7" s="9">
        <v>1.0715399999999999E-3</v>
      </c>
      <c r="F7" s="1">
        <v>222942756.75999999</v>
      </c>
      <c r="G7" s="9">
        <v>6.6691909999999993E-2</v>
      </c>
      <c r="H7" s="1">
        <v>975686757.48000002</v>
      </c>
      <c r="I7" s="9">
        <v>4.0941707427670964E-3</v>
      </c>
      <c r="J7" s="1">
        <v>18014611.309999999</v>
      </c>
      <c r="K7" s="9">
        <v>1.5305000000000001E-4</v>
      </c>
      <c r="L7" s="6">
        <v>0</v>
      </c>
      <c r="M7" s="6">
        <v>0</v>
      </c>
      <c r="N7" s="1">
        <v>139658030.99000001</v>
      </c>
      <c r="O7" s="9">
        <v>9.5171608358760127E-4</v>
      </c>
      <c r="P7" s="3">
        <f t="shared" si="0"/>
        <v>1763786985.55</v>
      </c>
      <c r="Q7" s="2">
        <f t="shared" si="1"/>
        <v>2.5929723639637864E-3</v>
      </c>
      <c r="R7" s="1">
        <v>69857279.930000007</v>
      </c>
      <c r="S7" s="9">
        <v>3.9802800000000001E-3</v>
      </c>
      <c r="T7" s="1">
        <v>525014116.69</v>
      </c>
      <c r="U7" s="9">
        <v>2.1524959999999999E-2</v>
      </c>
      <c r="V7" s="3">
        <f>R7+T7</f>
        <v>594871396.62</v>
      </c>
      <c r="W7" s="2">
        <f>V7/$V$13</f>
        <v>1.4183265946257212E-2</v>
      </c>
      <c r="X7" s="1">
        <v>121078088.81</v>
      </c>
      <c r="Y7" s="9">
        <v>2.5073700000000001E-3</v>
      </c>
      <c r="Z7" s="3">
        <f>P7+V7+X7</f>
        <v>2479736470.98</v>
      </c>
      <c r="AA7" s="2">
        <f>Z7/$Z$13</f>
        <v>3.2185604039115401E-3</v>
      </c>
      <c r="AB7" s="18"/>
    </row>
    <row r="8" spans="1:28" hidden="1">
      <c r="A8" s="14" t="s">
        <v>20</v>
      </c>
      <c r="B8" s="6"/>
      <c r="C8" s="6"/>
      <c r="D8" s="6"/>
      <c r="E8" s="9"/>
      <c r="F8" s="6"/>
      <c r="G8" s="6"/>
      <c r="H8" s="6"/>
      <c r="I8" s="9"/>
      <c r="J8" s="6"/>
      <c r="K8" s="6"/>
      <c r="L8" s="6"/>
      <c r="M8" s="6"/>
      <c r="N8" s="6"/>
      <c r="O8" s="9"/>
      <c r="P8" s="11">
        <f t="shared" si="0"/>
        <v>0</v>
      </c>
      <c r="Q8" s="11">
        <f t="shared" si="1"/>
        <v>0</v>
      </c>
      <c r="R8" s="6"/>
      <c r="S8" s="6"/>
      <c r="T8" s="6"/>
      <c r="U8" s="6"/>
      <c r="V8" s="3" t="s">
        <v>21</v>
      </c>
      <c r="W8" s="8">
        <v>0</v>
      </c>
      <c r="X8" s="6"/>
      <c r="Y8" s="8"/>
      <c r="Z8" s="3" t="s">
        <v>21</v>
      </c>
      <c r="AA8" s="8">
        <v>0</v>
      </c>
      <c r="AB8" s="18"/>
    </row>
    <row r="9" spans="1:28">
      <c r="A9" s="14" t="s">
        <v>22</v>
      </c>
      <c r="B9" s="1">
        <v>5476221667.0299997</v>
      </c>
      <c r="C9" s="9">
        <v>0.77222137999999996</v>
      </c>
      <c r="D9" s="1">
        <v>135795762962.28</v>
      </c>
      <c r="E9" s="9">
        <v>0.84716511000000005</v>
      </c>
      <c r="F9" s="1">
        <v>1890174123.79</v>
      </c>
      <c r="G9" s="9">
        <v>0.56543354999999995</v>
      </c>
      <c r="H9" s="1">
        <v>176823332621.04999</v>
      </c>
      <c r="I9" s="9">
        <v>0.74198497571646849</v>
      </c>
      <c r="J9" s="1">
        <v>97505457509.630005</v>
      </c>
      <c r="K9" s="9">
        <v>0.82838184000000004</v>
      </c>
      <c r="L9" s="1">
        <v>5589170364.7299995</v>
      </c>
      <c r="M9" s="9">
        <v>0.83061404999999999</v>
      </c>
      <c r="N9" s="1">
        <v>114554448300.59</v>
      </c>
      <c r="O9" s="9">
        <v>0.78064476579927078</v>
      </c>
      <c r="P9" s="3">
        <f t="shared" si="0"/>
        <v>537634567549.09998</v>
      </c>
      <c r="Q9" s="2">
        <f t="shared" si="1"/>
        <v>0.79038545299829721</v>
      </c>
      <c r="R9" s="1">
        <v>15441816764.43</v>
      </c>
      <c r="S9" s="9">
        <v>0.87983407000000002</v>
      </c>
      <c r="T9" s="1">
        <v>19445734774.43</v>
      </c>
      <c r="U9" s="9">
        <v>0.79725204999999999</v>
      </c>
      <c r="V9" s="3">
        <f>R9+T9</f>
        <v>34887551538.860001</v>
      </c>
      <c r="W9" s="2">
        <f>V9/$V$13</f>
        <v>0.83180906747394656</v>
      </c>
      <c r="X9" s="1">
        <v>40580712656.650002</v>
      </c>
      <c r="Y9" s="9">
        <v>0.84037227999999997</v>
      </c>
      <c r="Z9" s="3">
        <f>P9+V9+X9</f>
        <v>613102831744.60999</v>
      </c>
      <c r="AA9" s="2">
        <f>Z9/$Z$13</f>
        <v>0.79577347063794368</v>
      </c>
      <c r="AB9" s="18"/>
    </row>
    <row r="10" spans="1:28">
      <c r="A10" s="14" t="s">
        <v>23</v>
      </c>
      <c r="B10" s="1">
        <v>45097607.659999996</v>
      </c>
      <c r="C10" s="9">
        <v>6.3593699999999996E-3</v>
      </c>
      <c r="D10" s="1">
        <v>9621759281.1000004</v>
      </c>
      <c r="E10" s="9">
        <v>6.0025580000000002E-2</v>
      </c>
      <c r="F10" s="1">
        <v>23267345.489999998</v>
      </c>
      <c r="G10" s="9">
        <v>6.9602800000000001E-3</v>
      </c>
      <c r="H10" s="1">
        <v>19843519524.400002</v>
      </c>
      <c r="I10" s="9">
        <v>8.3267254011071767E-2</v>
      </c>
      <c r="J10" s="1">
        <v>8774374996.0499992</v>
      </c>
      <c r="K10" s="9">
        <v>7.4544879999999994E-2</v>
      </c>
      <c r="L10" s="6">
        <v>0</v>
      </c>
      <c r="M10" s="6">
        <v>0</v>
      </c>
      <c r="N10" s="1">
        <v>13561350256.030001</v>
      </c>
      <c r="O10" s="9">
        <v>9.2415416874613812E-2</v>
      </c>
      <c r="P10" s="3">
        <f t="shared" si="0"/>
        <v>51869369010.729996</v>
      </c>
      <c r="Q10" s="2">
        <f t="shared" si="1"/>
        <v>7.6254015639605613E-2</v>
      </c>
      <c r="R10" s="1">
        <v>717519404.12</v>
      </c>
      <c r="S10" s="9">
        <v>4.0882370000000001E-2</v>
      </c>
      <c r="T10" s="1">
        <v>129326944.29000001</v>
      </c>
      <c r="U10" s="9">
        <v>5.3022499999999997E-3</v>
      </c>
      <c r="V10" s="3">
        <f>R10+T10</f>
        <v>846846348.40999997</v>
      </c>
      <c r="W10" s="2">
        <f>V10/$V$13</f>
        <v>2.0190997656571476E-2</v>
      </c>
      <c r="X10" s="1">
        <v>5027790008.4799995</v>
      </c>
      <c r="Y10" s="9">
        <v>0.10411881000000001</v>
      </c>
      <c r="Z10" s="3">
        <f>P10+V10+X10</f>
        <v>57744005367.619995</v>
      </c>
      <c r="AA10" s="2">
        <f>Z10/$Z$13</f>
        <v>7.4948516269564572E-2</v>
      </c>
      <c r="AB10" s="18"/>
    </row>
    <row r="11" spans="1:28">
      <c r="A11" s="14" t="s">
        <v>24</v>
      </c>
      <c r="B11" s="1">
        <v>1050212989.55</v>
      </c>
      <c r="C11" s="9">
        <v>0.14809425000000001</v>
      </c>
      <c r="D11" s="1">
        <v>2389510212.6199999</v>
      </c>
      <c r="E11" s="9">
        <v>1.490702E-2</v>
      </c>
      <c r="F11" s="1">
        <v>706148148.38</v>
      </c>
      <c r="G11" s="9">
        <v>0.21123971999999999</v>
      </c>
      <c r="H11" s="1">
        <v>10001258775.190001</v>
      </c>
      <c r="I11" s="9">
        <v>4.1967220272603661E-2</v>
      </c>
      <c r="J11" s="1">
        <v>4653252691.25</v>
      </c>
      <c r="K11" s="9">
        <v>3.9532860000000003E-2</v>
      </c>
      <c r="L11" s="1">
        <v>48852737.369999997</v>
      </c>
      <c r="M11" s="9">
        <v>7.2600700000000004E-3</v>
      </c>
      <c r="N11" s="1">
        <v>6396368379.0299997</v>
      </c>
      <c r="O11" s="9">
        <v>4.3588804880901499E-2</v>
      </c>
      <c r="P11" s="3">
        <f t="shared" si="0"/>
        <v>25245603933.389999</v>
      </c>
      <c r="Q11" s="2">
        <f t="shared" si="1"/>
        <v>3.7113979095634977E-2</v>
      </c>
      <c r="R11" s="1">
        <v>815493213.41999996</v>
      </c>
      <c r="S11" s="9">
        <v>4.6464659999999998E-2</v>
      </c>
      <c r="T11" s="1">
        <v>2291115759.27</v>
      </c>
      <c r="U11" s="9">
        <v>9.3933030000000001E-2</v>
      </c>
      <c r="V11" s="3">
        <f>R11+T11</f>
        <v>3106608972.6900001</v>
      </c>
      <c r="W11" s="2">
        <f>V11/$V$13</f>
        <v>7.4069557724654914E-2</v>
      </c>
      <c r="X11" s="1">
        <v>1325509592.47</v>
      </c>
      <c r="Y11" s="9">
        <v>2.744953E-2</v>
      </c>
      <c r="Z11" s="3">
        <f>P11+V11+X11</f>
        <v>29677722498.549999</v>
      </c>
      <c r="AA11" s="2">
        <f>Z11/$Z$13</f>
        <v>3.8520037766092967E-2</v>
      </c>
      <c r="AB11" s="18"/>
    </row>
    <row r="12" spans="1:28">
      <c r="A12" s="14" t="s">
        <v>25</v>
      </c>
      <c r="B12" s="1">
        <v>277220052.83999997</v>
      </c>
      <c r="C12" s="9">
        <v>3.909178E-2</v>
      </c>
      <c r="D12" s="1">
        <v>9286287114.2399998</v>
      </c>
      <c r="E12" s="9">
        <v>5.793272E-2</v>
      </c>
      <c r="F12" s="1">
        <v>293296374.87</v>
      </c>
      <c r="G12" s="9">
        <v>8.7737739999999995E-2</v>
      </c>
      <c r="H12" s="1">
        <v>23557391753.400002</v>
      </c>
      <c r="I12" s="9">
        <v>9.8851381709616146E-2</v>
      </c>
      <c r="J12" s="1">
        <v>6163359221.9899998</v>
      </c>
      <c r="K12" s="9">
        <v>5.2362350000000002E-2</v>
      </c>
      <c r="L12" s="6">
        <v>0</v>
      </c>
      <c r="M12" s="6">
        <v>0</v>
      </c>
      <c r="N12" s="1">
        <v>4691232918.8900003</v>
      </c>
      <c r="O12" s="9">
        <v>3.1968958670790019E-2</v>
      </c>
      <c r="P12" s="3">
        <f t="shared" si="0"/>
        <v>44268787436.230003</v>
      </c>
      <c r="Q12" s="2">
        <f t="shared" si="1"/>
        <v>6.508027519691531E-2</v>
      </c>
      <c r="R12" s="1">
        <v>413379041</v>
      </c>
      <c r="S12" s="9">
        <v>2.3553250000000001E-2</v>
      </c>
      <c r="T12" s="6">
        <v>0</v>
      </c>
      <c r="U12" s="6">
        <v>0</v>
      </c>
      <c r="V12" s="3">
        <f>R12+T12</f>
        <v>413379041</v>
      </c>
      <c r="W12" s="2">
        <f>V12/$V$13</f>
        <v>9.8560208280732836E-3</v>
      </c>
      <c r="X12" s="1">
        <v>853857023.69000006</v>
      </c>
      <c r="Y12" s="9">
        <v>1.7682239999999998E-2</v>
      </c>
      <c r="Z12" s="3">
        <f>P12+V12+X12</f>
        <v>45536023500.920006</v>
      </c>
      <c r="AA12" s="2">
        <f>Z12/$Z$13</f>
        <v>5.910323290673114E-2</v>
      </c>
      <c r="AB12" s="18"/>
    </row>
    <row r="13" spans="1:28">
      <c r="A13" s="15" t="s">
        <v>26</v>
      </c>
      <c r="B13" s="3">
        <f t="shared" ref="B13:AA13" si="2">SUM(B6:B12)</f>
        <v>7091517818</v>
      </c>
      <c r="C13" s="7">
        <f t="shared" si="2"/>
        <v>0.99999999999999989</v>
      </c>
      <c r="D13" s="3">
        <f t="shared" si="2"/>
        <v>160294329089.34</v>
      </c>
      <c r="E13" s="7">
        <f t="shared" si="2"/>
        <v>1</v>
      </c>
      <c r="F13" s="3">
        <f t="shared" si="2"/>
        <v>3342875799.4799995</v>
      </c>
      <c r="G13" s="7">
        <f t="shared" si="2"/>
        <v>1.0000000099999999</v>
      </c>
      <c r="H13" s="3">
        <f t="shared" si="2"/>
        <v>238311203606.65997</v>
      </c>
      <c r="I13" s="7">
        <f t="shared" si="2"/>
        <v>1</v>
      </c>
      <c r="J13" s="3">
        <f t="shared" si="2"/>
        <v>117705932501.39001</v>
      </c>
      <c r="K13" s="7">
        <f t="shared" si="2"/>
        <v>0.99999999000000006</v>
      </c>
      <c r="L13" s="3">
        <f t="shared" si="2"/>
        <v>6728962015.8599997</v>
      </c>
      <c r="M13" s="7">
        <f t="shared" si="2"/>
        <v>0.99999999999999989</v>
      </c>
      <c r="N13" s="3">
        <f>SUM(N6:N12)</f>
        <v>146743375885.32001</v>
      </c>
      <c r="O13" s="7">
        <f t="shared" si="2"/>
        <v>0.99999999999999989</v>
      </c>
      <c r="P13" s="3">
        <f t="shared" si="2"/>
        <v>680218196716.04993</v>
      </c>
      <c r="Q13" s="7">
        <f t="shared" si="2"/>
        <v>1</v>
      </c>
      <c r="R13" s="3">
        <f t="shared" si="2"/>
        <v>17550828400.029999</v>
      </c>
      <c r="S13" s="7">
        <f t="shared" si="2"/>
        <v>1</v>
      </c>
      <c r="T13" s="3">
        <f t="shared" si="2"/>
        <v>24390949951.59</v>
      </c>
      <c r="U13" s="7">
        <f t="shared" si="2"/>
        <v>1.0000000099999999</v>
      </c>
      <c r="V13" s="3">
        <f t="shared" si="2"/>
        <v>41941778351.62001</v>
      </c>
      <c r="W13" s="7">
        <f t="shared" si="2"/>
        <v>0.99999999999999978</v>
      </c>
      <c r="X13" s="3">
        <f t="shared" si="2"/>
        <v>48288970978.630005</v>
      </c>
      <c r="Y13" s="7">
        <f t="shared" si="2"/>
        <v>1.0000000099999999</v>
      </c>
      <c r="Z13" s="3">
        <f t="shared" si="2"/>
        <v>770448946046.30005</v>
      </c>
      <c r="AA13" s="7">
        <f t="shared" si="2"/>
        <v>0.99999999999999989</v>
      </c>
    </row>
    <row r="14" spans="1:28">
      <c r="B14" s="18"/>
      <c r="F14" s="18"/>
      <c r="H14" s="18"/>
      <c r="J14" s="18"/>
      <c r="L14" s="18"/>
      <c r="N14" s="18"/>
      <c r="P14" s="18"/>
      <c r="R14" s="18"/>
      <c r="T14" s="18"/>
      <c r="V14" s="18"/>
      <c r="X14" s="18"/>
      <c r="Z14" s="18"/>
    </row>
    <row r="15" spans="1:28">
      <c r="A15" s="5" t="s">
        <v>27</v>
      </c>
      <c r="P15" s="18"/>
      <c r="R15" s="18"/>
      <c r="T15" s="18"/>
    </row>
    <row r="16" spans="1:28">
      <c r="A16" s="5" t="s">
        <v>28</v>
      </c>
      <c r="L16" s="18"/>
      <c r="P16" s="18"/>
    </row>
    <row r="17" spans="1:26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>
      <c r="B18" s="18"/>
      <c r="D18" s="19"/>
      <c r="F18" s="18"/>
      <c r="H18" s="18"/>
      <c r="J18" s="18"/>
      <c r="L18" s="18"/>
      <c r="N18" s="18"/>
      <c r="P18" s="18"/>
      <c r="R18" s="18"/>
      <c r="T18" s="18"/>
      <c r="V18" s="18"/>
      <c r="X18" s="18"/>
      <c r="Z18" s="18"/>
    </row>
    <row r="27" spans="1:26">
      <c r="H27" s="10"/>
    </row>
    <row r="28" spans="1:26">
      <c r="H28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X17" sqref="X17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7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7.85546875" style="16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32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7065159.4699999997</v>
      </c>
      <c r="C6" s="9">
        <v>9.773099999999999E-4</v>
      </c>
      <c r="D6" s="1">
        <v>4301193315.7299995</v>
      </c>
      <c r="E6" s="9">
        <v>2.649543E-2</v>
      </c>
      <c r="F6" s="1">
        <v>166009787.97999999</v>
      </c>
      <c r="G6" s="9">
        <v>4.7947539999999997E-2</v>
      </c>
      <c r="H6" s="1">
        <v>7835174292.1700001</v>
      </c>
      <c r="I6" s="9">
        <v>3.2434042794017473E-2</v>
      </c>
      <c r="J6" s="1">
        <v>1050416968.79</v>
      </c>
      <c r="K6" s="9">
        <v>8.7975599999999994E-3</v>
      </c>
      <c r="L6" s="1">
        <v>1102499440.54</v>
      </c>
      <c r="M6" s="9">
        <v>0.16147322</v>
      </c>
      <c r="N6" s="1">
        <v>7730310370.9200001</v>
      </c>
      <c r="O6" s="9">
        <v>5.1940340000000002E-2</v>
      </c>
      <c r="P6" s="3">
        <f t="shared" ref="P6:P12" si="0">+B6+D6+F6+H6+J6+L6+N6</f>
        <v>22192669335.599998</v>
      </c>
      <c r="Q6" s="2">
        <f t="shared" ref="Q6:Q12" si="1">+P6/$P$13</f>
        <v>3.2179227800767943E-2</v>
      </c>
      <c r="R6" s="1">
        <v>313385732.91000003</v>
      </c>
      <c r="S6" s="9">
        <v>1.7673379999999999E-2</v>
      </c>
      <c r="T6" s="1">
        <v>1951568833.0599999</v>
      </c>
      <c r="U6" s="9">
        <v>7.9631300000000002E-2</v>
      </c>
      <c r="V6" s="3">
        <f>R6+T6</f>
        <v>2264954565.9699998</v>
      </c>
      <c r="W6" s="2">
        <f>V6/$V$13</f>
        <v>5.3621540432269452E-2</v>
      </c>
      <c r="X6" s="1">
        <v>917120595.74000001</v>
      </c>
      <c r="Y6" s="9">
        <v>1.8755939999999999E-2</v>
      </c>
      <c r="Z6" s="3">
        <f>P6+V6+X6</f>
        <v>25374744497.310001</v>
      </c>
      <c r="AA6" s="2">
        <f>Z6/$Z$13</f>
        <v>3.2498580586525667E-2</v>
      </c>
      <c r="AB6" s="18"/>
    </row>
    <row r="7" spans="1:28">
      <c r="A7" s="14" t="s">
        <v>19</v>
      </c>
      <c r="B7" s="1">
        <v>183403386.93000001</v>
      </c>
      <c r="C7" s="9">
        <v>2.5369889999999999E-2</v>
      </c>
      <c r="D7" s="1">
        <v>181917758.81999999</v>
      </c>
      <c r="E7" s="9">
        <v>1.1206199999999999E-3</v>
      </c>
      <c r="F7" s="1">
        <v>313984584.55000001</v>
      </c>
      <c r="G7" s="9">
        <v>9.0686139999999998E-2</v>
      </c>
      <c r="H7" s="1">
        <v>1119502356.4200001</v>
      </c>
      <c r="I7" s="9">
        <v>4.6342284143462758E-3</v>
      </c>
      <c r="J7" s="1">
        <v>190336535.12</v>
      </c>
      <c r="K7" s="9">
        <v>1.59413E-3</v>
      </c>
      <c r="L7" s="6">
        <v>0</v>
      </c>
      <c r="M7" s="6">
        <v>0</v>
      </c>
      <c r="N7" s="1">
        <v>215455633.06999999</v>
      </c>
      <c r="O7" s="9">
        <v>1.4476599999999999E-3</v>
      </c>
      <c r="P7" s="3">
        <f t="shared" si="0"/>
        <v>2204600254.9100003</v>
      </c>
      <c r="Q7" s="2">
        <f t="shared" si="1"/>
        <v>3.1966561903654838E-3</v>
      </c>
      <c r="R7" s="1">
        <v>81295460.579999998</v>
      </c>
      <c r="S7" s="9">
        <v>4.58465E-3</v>
      </c>
      <c r="T7" s="1">
        <v>606940968.63</v>
      </c>
      <c r="U7" s="9">
        <v>2.476546E-2</v>
      </c>
      <c r="V7" s="3">
        <f>R7+T7</f>
        <v>688236429.21000004</v>
      </c>
      <c r="W7" s="2">
        <f>V7/$V$13</f>
        <v>1.6293614922928912E-2</v>
      </c>
      <c r="X7" s="1">
        <v>76025121.900000006</v>
      </c>
      <c r="Y7" s="9">
        <v>1.55478E-3</v>
      </c>
      <c r="Z7" s="3">
        <f>P7+V7+X7</f>
        <v>2968861806.0200005</v>
      </c>
      <c r="AA7" s="2">
        <f>Z7/$Z$13</f>
        <v>3.802355316855602E-3</v>
      </c>
      <c r="AB7" s="18"/>
    </row>
    <row r="8" spans="1:28" hidden="1">
      <c r="A8" s="14" t="s">
        <v>20</v>
      </c>
      <c r="B8" s="6"/>
      <c r="C8" s="6"/>
      <c r="D8" s="6"/>
      <c r="E8" s="9"/>
      <c r="F8" s="6"/>
      <c r="G8" s="6"/>
      <c r="H8" s="6"/>
      <c r="I8" s="9"/>
      <c r="J8" s="6"/>
      <c r="K8" s="6"/>
      <c r="L8" s="6"/>
      <c r="M8" s="6"/>
      <c r="N8" s="6"/>
      <c r="O8" s="9"/>
      <c r="P8" s="11">
        <f t="shared" si="0"/>
        <v>0</v>
      </c>
      <c r="Q8" s="11">
        <f t="shared" si="1"/>
        <v>0</v>
      </c>
      <c r="R8" s="6"/>
      <c r="S8" s="6"/>
      <c r="T8" s="6"/>
      <c r="U8" s="6"/>
      <c r="V8" s="3" t="s">
        <v>21</v>
      </c>
      <c r="W8" s="8">
        <v>0</v>
      </c>
      <c r="X8" s="6"/>
      <c r="Y8" s="8"/>
      <c r="Z8" s="3" t="s">
        <v>21</v>
      </c>
      <c r="AA8" s="8">
        <v>0</v>
      </c>
      <c r="AB8" s="18"/>
    </row>
    <row r="9" spans="1:28">
      <c r="A9" s="14" t="s">
        <v>22</v>
      </c>
      <c r="B9" s="1">
        <v>5721600968.4499998</v>
      </c>
      <c r="C9" s="9">
        <v>0.79145975999999996</v>
      </c>
      <c r="D9" s="1">
        <v>136472863595.81</v>
      </c>
      <c r="E9" s="9">
        <v>0.84067530999999995</v>
      </c>
      <c r="F9" s="1">
        <v>1905073441.6400001</v>
      </c>
      <c r="G9" s="9">
        <v>0.55023009000000001</v>
      </c>
      <c r="H9" s="1">
        <v>179297172245.92001</v>
      </c>
      <c r="I9" s="9">
        <v>0.74220839774834146</v>
      </c>
      <c r="J9" s="1">
        <v>98520354062.619995</v>
      </c>
      <c r="K9" s="9">
        <v>0.82513773000000001</v>
      </c>
      <c r="L9" s="1">
        <v>5678322586.8800001</v>
      </c>
      <c r="M9" s="9">
        <v>0.83165306999999999</v>
      </c>
      <c r="N9" s="1">
        <v>116236964350.89</v>
      </c>
      <c r="O9" s="9">
        <v>0.78100192999999996</v>
      </c>
      <c r="P9" s="3">
        <f t="shared" si="0"/>
        <v>543832351252.21008</v>
      </c>
      <c r="Q9" s="2">
        <f t="shared" si="1"/>
        <v>0.78855341156728798</v>
      </c>
      <c r="R9" s="1">
        <v>15577109041.040001</v>
      </c>
      <c r="S9" s="9">
        <v>0.87847050999999998</v>
      </c>
      <c r="T9" s="1">
        <v>19544683975.580002</v>
      </c>
      <c r="U9" s="9">
        <v>0.79749610000000004</v>
      </c>
      <c r="V9" s="3">
        <f>R9+T9</f>
        <v>35121793016.620003</v>
      </c>
      <c r="W9" s="2">
        <f>V9/$V$13</f>
        <v>0.83148892811805442</v>
      </c>
      <c r="X9" s="1">
        <v>40696215331.029999</v>
      </c>
      <c r="Y9" s="9">
        <v>0.83227432000000001</v>
      </c>
      <c r="Z9" s="3">
        <f>P9+V9+X9</f>
        <v>619650359599.86011</v>
      </c>
      <c r="AA9" s="2">
        <f>Z9/$Z$13</f>
        <v>0.79361418394027505</v>
      </c>
      <c r="AB9" s="18"/>
    </row>
    <row r="10" spans="1:28">
      <c r="A10" s="14" t="s">
        <v>23</v>
      </c>
      <c r="B10" s="1">
        <v>45283195.859999999</v>
      </c>
      <c r="C10" s="9">
        <v>6.2639499999999999E-3</v>
      </c>
      <c r="D10" s="1">
        <v>9652162547.6800003</v>
      </c>
      <c r="E10" s="9">
        <v>5.9457500000000003E-2</v>
      </c>
      <c r="F10" s="1">
        <v>24140799.690000001</v>
      </c>
      <c r="G10" s="9">
        <v>6.9724299999999999E-3</v>
      </c>
      <c r="H10" s="1">
        <v>19964667673.48</v>
      </c>
      <c r="I10" s="9">
        <v>8.2644605154105474E-2</v>
      </c>
      <c r="J10" s="1">
        <v>8829208469</v>
      </c>
      <c r="K10" s="9">
        <v>7.3947289999999999E-2</v>
      </c>
      <c r="L10" s="6">
        <v>0</v>
      </c>
      <c r="M10" s="6">
        <v>0</v>
      </c>
      <c r="N10" s="1">
        <v>13606661236.309999</v>
      </c>
      <c r="O10" s="9">
        <v>9.1423829999999998E-2</v>
      </c>
      <c r="P10" s="3">
        <f t="shared" si="0"/>
        <v>52122123922.019997</v>
      </c>
      <c r="Q10" s="2">
        <f t="shared" si="1"/>
        <v>7.5576744454800934E-2</v>
      </c>
      <c r="R10" s="1">
        <v>718889585.17999995</v>
      </c>
      <c r="S10" s="9">
        <v>4.0541750000000001E-2</v>
      </c>
      <c r="T10" s="1">
        <v>128288865.51000001</v>
      </c>
      <c r="U10" s="9">
        <v>5.2346600000000004E-3</v>
      </c>
      <c r="V10" s="3">
        <f>R10+T10</f>
        <v>847178450.68999994</v>
      </c>
      <c r="W10" s="2">
        <f>V10/$V$13</f>
        <v>2.0056478937610141E-2</v>
      </c>
      <c r="X10" s="1">
        <v>5044426352.7399998</v>
      </c>
      <c r="Y10" s="9">
        <v>0.10316307</v>
      </c>
      <c r="Z10" s="3">
        <f>P10+V10+X10</f>
        <v>58013728725.449997</v>
      </c>
      <c r="AA10" s="2">
        <f>Z10/$Z$13</f>
        <v>7.4300800873433215E-2</v>
      </c>
      <c r="AB10" s="18"/>
    </row>
    <row r="11" spans="1:28">
      <c r="A11" s="14" t="s">
        <v>24</v>
      </c>
      <c r="B11" s="1">
        <v>1020182511.21</v>
      </c>
      <c r="C11" s="9">
        <v>0.14112019000000001</v>
      </c>
      <c r="D11" s="1">
        <v>2389645512.6100001</v>
      </c>
      <c r="E11" s="9">
        <v>1.4720260000000001E-2</v>
      </c>
      <c r="F11" s="1">
        <v>698890820.24000001</v>
      </c>
      <c r="G11" s="9">
        <v>0.20185612999999999</v>
      </c>
      <c r="H11" s="1">
        <v>9929876108.1499996</v>
      </c>
      <c r="I11" s="9">
        <v>4.1105151541157424E-2</v>
      </c>
      <c r="J11" s="1">
        <v>4615139268.6199999</v>
      </c>
      <c r="K11" s="9">
        <v>3.8653189999999997E-2</v>
      </c>
      <c r="L11" s="1">
        <v>46931961.979999997</v>
      </c>
      <c r="M11" s="9">
        <v>6.8736999999999999E-3</v>
      </c>
      <c r="N11" s="1">
        <v>4251148543.3000002</v>
      </c>
      <c r="O11" s="9">
        <v>2.8563680000000001E-2</v>
      </c>
      <c r="P11" s="3">
        <f t="shared" si="0"/>
        <v>22951814726.109997</v>
      </c>
      <c r="Q11" s="2">
        <f t="shared" si="1"/>
        <v>3.3279983734437323E-2</v>
      </c>
      <c r="R11" s="1">
        <v>807705812.05999994</v>
      </c>
      <c r="S11" s="9">
        <v>4.555054E-2</v>
      </c>
      <c r="T11" s="1">
        <v>2276077854.2399998</v>
      </c>
      <c r="U11" s="9">
        <v>9.2872479999999993E-2</v>
      </c>
      <c r="V11" s="3">
        <f>R11+T11</f>
        <v>3083783666.2999997</v>
      </c>
      <c r="W11" s="2">
        <f>V11/$V$13</f>
        <v>7.3006864257367965E-2</v>
      </c>
      <c r="X11" s="1">
        <v>1305893456.5799999</v>
      </c>
      <c r="Y11" s="9">
        <v>2.67067E-2</v>
      </c>
      <c r="Z11" s="3">
        <f>P11+V11+X11</f>
        <v>27341491848.989998</v>
      </c>
      <c r="AA11" s="2">
        <f>Z11/$Z$13</f>
        <v>3.5017482690493026E-2</v>
      </c>
      <c r="AB11" s="18"/>
    </row>
    <row r="12" spans="1:28">
      <c r="A12" s="14" t="s">
        <v>25</v>
      </c>
      <c r="B12" s="1">
        <v>251639581.69</v>
      </c>
      <c r="C12" s="9">
        <v>3.4808890000000002E-2</v>
      </c>
      <c r="D12" s="1">
        <v>9339402273.2000008</v>
      </c>
      <c r="E12" s="9">
        <v>5.7530890000000001E-2</v>
      </c>
      <c r="F12" s="1">
        <v>354222024.77999997</v>
      </c>
      <c r="G12" s="9">
        <v>0.10230767</v>
      </c>
      <c r="H12" s="1">
        <v>23426153242.040001</v>
      </c>
      <c r="I12" s="9">
        <v>9.6973574348031999E-2</v>
      </c>
      <c r="J12" s="1">
        <v>6193222618.1300001</v>
      </c>
      <c r="K12" s="9">
        <v>5.1870109999999997E-2</v>
      </c>
      <c r="L12" s="6">
        <v>0</v>
      </c>
      <c r="M12" s="6">
        <v>0</v>
      </c>
      <c r="N12" s="1">
        <v>6790032253.3599997</v>
      </c>
      <c r="O12" s="9">
        <v>4.562256E-2</v>
      </c>
      <c r="P12" s="3">
        <f t="shared" si="0"/>
        <v>46354671993.200005</v>
      </c>
      <c r="Q12" s="2">
        <f t="shared" si="1"/>
        <v>6.7213976252340379E-2</v>
      </c>
      <c r="R12" s="1">
        <v>233693906</v>
      </c>
      <c r="S12" s="9">
        <v>1.3179160000000001E-2</v>
      </c>
      <c r="T12" s="6">
        <v>0</v>
      </c>
      <c r="U12" s="6">
        <v>0</v>
      </c>
      <c r="V12" s="3">
        <f>R12+T12</f>
        <v>233693906</v>
      </c>
      <c r="W12" s="2">
        <f>V12/$V$13</f>
        <v>5.5325733317689672E-3</v>
      </c>
      <c r="X12" s="1">
        <v>857917436.11000001</v>
      </c>
      <c r="Y12" s="9">
        <v>1.7545189999999999E-2</v>
      </c>
      <c r="Z12" s="3">
        <f>P12+V12+X12</f>
        <v>47446283335.310005</v>
      </c>
      <c r="AA12" s="2">
        <f>Z12/$Z$13</f>
        <v>6.0766596592417475E-2</v>
      </c>
      <c r="AB12" s="18"/>
    </row>
    <row r="13" spans="1:28">
      <c r="A13" s="15" t="s">
        <v>26</v>
      </c>
      <c r="B13" s="3">
        <f t="shared" ref="B13:AA13" si="2">SUM(B6:B12)</f>
        <v>7229174803.6099987</v>
      </c>
      <c r="C13" s="7">
        <f t="shared" si="2"/>
        <v>0.99999998999999995</v>
      </c>
      <c r="D13" s="3">
        <f t="shared" si="2"/>
        <v>162337185003.84998</v>
      </c>
      <c r="E13" s="7">
        <f t="shared" si="2"/>
        <v>1.0000000099999999</v>
      </c>
      <c r="F13" s="3">
        <f t="shared" si="2"/>
        <v>3462321458.8800001</v>
      </c>
      <c r="G13" s="7">
        <f t="shared" si="2"/>
        <v>1</v>
      </c>
      <c r="H13" s="3">
        <f t="shared" si="2"/>
        <v>241572545918.18002</v>
      </c>
      <c r="I13" s="7">
        <f t="shared" si="2"/>
        <v>1</v>
      </c>
      <c r="J13" s="3">
        <f t="shared" si="2"/>
        <v>119398677922.28</v>
      </c>
      <c r="K13" s="7">
        <f t="shared" si="2"/>
        <v>1.0000000099999999</v>
      </c>
      <c r="L13" s="3">
        <f t="shared" si="2"/>
        <v>6827753989.3999996</v>
      </c>
      <c r="M13" s="7">
        <f t="shared" si="2"/>
        <v>0.99999998999999995</v>
      </c>
      <c r="N13" s="3">
        <f>SUM(N6:N12)</f>
        <v>148830572387.84998</v>
      </c>
      <c r="O13" s="7">
        <f t="shared" si="2"/>
        <v>0.99999999999999989</v>
      </c>
      <c r="P13" s="3">
        <f t="shared" si="2"/>
        <v>689658231484.05005</v>
      </c>
      <c r="Q13" s="7">
        <f t="shared" si="2"/>
        <v>1</v>
      </c>
      <c r="R13" s="3">
        <f t="shared" si="2"/>
        <v>17732079537.77</v>
      </c>
      <c r="S13" s="7">
        <f t="shared" si="2"/>
        <v>0.99999999000000006</v>
      </c>
      <c r="T13" s="3">
        <f t="shared" si="2"/>
        <v>24507560497.019997</v>
      </c>
      <c r="U13" s="7">
        <f t="shared" si="2"/>
        <v>1</v>
      </c>
      <c r="V13" s="3">
        <f t="shared" si="2"/>
        <v>42239640034.790009</v>
      </c>
      <c r="W13" s="7">
        <f t="shared" si="2"/>
        <v>0.99999999999999967</v>
      </c>
      <c r="X13" s="3">
        <f t="shared" si="2"/>
        <v>48897598294.099998</v>
      </c>
      <c r="Y13" s="7">
        <f t="shared" si="2"/>
        <v>1</v>
      </c>
      <c r="Z13" s="3">
        <f t="shared" si="2"/>
        <v>780795469812.94006</v>
      </c>
      <c r="AA13" s="7">
        <f t="shared" si="2"/>
        <v>0.99999999999999989</v>
      </c>
    </row>
    <row r="14" spans="1:28">
      <c r="B14" s="18"/>
      <c r="F14" s="18"/>
      <c r="H14" s="18"/>
      <c r="J14" s="18"/>
      <c r="L14" s="18"/>
      <c r="N14" s="18"/>
      <c r="P14" s="18"/>
      <c r="R14" s="18"/>
      <c r="T14" s="18"/>
      <c r="V14" s="18"/>
      <c r="X14" s="18"/>
      <c r="Z14" s="18"/>
    </row>
    <row r="15" spans="1:28">
      <c r="A15" s="5" t="s">
        <v>27</v>
      </c>
      <c r="P15" s="18"/>
      <c r="R15" s="18"/>
      <c r="T15" s="18"/>
    </row>
    <row r="16" spans="1:28">
      <c r="A16" s="5" t="s">
        <v>28</v>
      </c>
      <c r="L16" s="18"/>
      <c r="P16" s="18"/>
    </row>
    <row r="17" spans="1:26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>
      <c r="B18" s="18"/>
      <c r="D18" s="19"/>
      <c r="F18" s="18"/>
      <c r="H18" s="18"/>
      <c r="J18" s="18"/>
      <c r="L18" s="18"/>
      <c r="N18" s="18"/>
      <c r="P18" s="18"/>
      <c r="R18" s="18"/>
      <c r="T18" s="18"/>
      <c r="V18" s="18"/>
      <c r="X18" s="18"/>
      <c r="Z18" s="18"/>
    </row>
    <row r="27" spans="1:26">
      <c r="H27" s="10"/>
    </row>
    <row r="28" spans="1:26">
      <c r="H28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showGridLines="0" workbookViewId="0">
      <pane xSplit="1" ySplit="5" topLeftCell="M6" activePane="bottomRight" state="frozen"/>
      <selection pane="topRight" activeCell="B1" sqref="B1"/>
      <selection pane="bottomLeft" activeCell="A6" sqref="A6"/>
      <selection pane="bottomRight" activeCell="AA6" sqref="AA6:AA12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8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8.85546875" style="16" bestFit="1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33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7086773.29</v>
      </c>
      <c r="C6" s="9">
        <f>+B6/$B$13</f>
        <v>9.6674217335009972E-4</v>
      </c>
      <c r="D6" s="1">
        <v>9500629694.8799992</v>
      </c>
      <c r="E6" s="9">
        <v>5.7630389999999997E-2</v>
      </c>
      <c r="F6" s="1">
        <v>152762984.41999999</v>
      </c>
      <c r="G6" s="9">
        <f>+F6/$F$13</f>
        <v>4.3107326869578577E-2</v>
      </c>
      <c r="H6" s="1">
        <v>7993694796.2200003</v>
      </c>
      <c r="I6" s="9">
        <f>+H6/$H$13</f>
        <v>3.261331069794101E-2</v>
      </c>
      <c r="J6" s="1">
        <v>551676486.73000002</v>
      </c>
      <c r="K6" s="9">
        <f>+J6/$J$13</f>
        <v>4.5791211751127683E-3</v>
      </c>
      <c r="L6" s="1">
        <v>1038078104.37</v>
      </c>
      <c r="M6" s="9">
        <v>0.14965914999999999</v>
      </c>
      <c r="N6" s="33">
        <v>15415850246.719999</v>
      </c>
      <c r="O6" s="9">
        <v>0.10187010000000001</v>
      </c>
      <c r="P6" s="30">
        <f t="shared" ref="P6:P12" si="0">+B6+D6+F6+H6+J6+L6+N6</f>
        <v>34659779086.629997</v>
      </c>
      <c r="Q6" s="28">
        <f t="shared" ref="Q6:Q12" si="1">+P6/$P$13</f>
        <v>4.9544019798851494E-2</v>
      </c>
      <c r="R6" s="1">
        <v>134330427.34999999</v>
      </c>
      <c r="S6" s="34">
        <f>+R6/$R$13</f>
        <v>7.4879782410147777E-3</v>
      </c>
      <c r="T6" s="31">
        <v>1891165834.6300001</v>
      </c>
      <c r="U6" s="9">
        <v>7.6661939999999998E-2</v>
      </c>
      <c r="V6" s="3">
        <f>R6+T6</f>
        <v>2025496261.98</v>
      </c>
      <c r="W6" s="28">
        <f>V6/$V$13</f>
        <v>4.7537508069514504E-2</v>
      </c>
      <c r="X6" s="1">
        <v>1264853838.6600001</v>
      </c>
      <c r="Y6" s="34">
        <v>2.5445969999999998E-2</v>
      </c>
      <c r="Z6" s="3">
        <f>P6+V6+X6</f>
        <v>37950129187.270004</v>
      </c>
      <c r="AA6" s="28">
        <f>Z6/$Z$13</f>
        <v>4.7923410274493164E-2</v>
      </c>
      <c r="AB6" s="18"/>
    </row>
    <row r="7" spans="1:28">
      <c r="A7" s="14" t="s">
        <v>19</v>
      </c>
      <c r="B7" s="1">
        <v>195416142.63999999</v>
      </c>
      <c r="C7" s="9">
        <f t="shared" ref="C7:C12" si="2">+B7/$B$13</f>
        <v>2.6657692960216972E-2</v>
      </c>
      <c r="D7" s="1">
        <v>310214360.73000002</v>
      </c>
      <c r="E7" s="9">
        <v>1.88175E-3</v>
      </c>
      <c r="F7" s="1">
        <v>283291828.55000001</v>
      </c>
      <c r="G7" s="9">
        <f t="shared" ref="G7:G12" si="3">+F7/$F$13</f>
        <v>7.9940526817742996E-2</v>
      </c>
      <c r="H7" s="1">
        <v>1182409439.2</v>
      </c>
      <c r="I7" s="9">
        <f t="shared" ref="I7:I12" si="4">+H7/$H$13</f>
        <v>4.824087908765649E-3</v>
      </c>
      <c r="J7" s="1">
        <v>20017188.239999998</v>
      </c>
      <c r="K7" s="9">
        <f t="shared" ref="K7:K12" si="5">+J7/$J$13</f>
        <v>1.6615014911966478E-4</v>
      </c>
      <c r="L7" s="24">
        <v>0</v>
      </c>
      <c r="M7" s="24">
        <v>0</v>
      </c>
      <c r="N7" s="33">
        <v>403213496.92000002</v>
      </c>
      <c r="O7" s="9">
        <v>2.6644899999999998E-3</v>
      </c>
      <c r="P7" s="30">
        <f t="shared" si="0"/>
        <v>2394562456.2800002</v>
      </c>
      <c r="Q7" s="28">
        <f t="shared" si="1"/>
        <v>3.4228795702072635E-3</v>
      </c>
      <c r="R7" s="1">
        <v>103549817.74149999</v>
      </c>
      <c r="S7" s="35">
        <f t="shared" ref="S7:S12" si="6">+R7/$R$13</f>
        <v>5.7721753545020484E-3</v>
      </c>
      <c r="T7" s="31">
        <v>590290330.56230009</v>
      </c>
      <c r="U7" s="26">
        <f>+T7/T13</f>
        <v>2.3928520368719484E-2</v>
      </c>
      <c r="V7" s="8">
        <f>R7+T7</f>
        <v>693840148.30380011</v>
      </c>
      <c r="W7" s="36">
        <f>V7/$V$13</f>
        <v>1.6284123682707995E-2</v>
      </c>
      <c r="X7" s="24">
        <v>0</v>
      </c>
      <c r="Y7" s="32">
        <v>0</v>
      </c>
      <c r="Z7" s="3">
        <f>P7+V7+X7</f>
        <v>3088402604.5838003</v>
      </c>
      <c r="AA7" s="28">
        <f>Z7/$Z$13</f>
        <v>3.9000337622547582E-3</v>
      </c>
      <c r="AB7" s="18"/>
    </row>
    <row r="8" spans="1:28" hidden="1">
      <c r="A8" s="14" t="s">
        <v>20</v>
      </c>
      <c r="B8" s="6">
        <v>0</v>
      </c>
      <c r="C8" s="24">
        <v>0</v>
      </c>
      <c r="D8" s="6"/>
      <c r="E8" s="9"/>
      <c r="F8" s="6"/>
      <c r="G8" s="9">
        <f t="shared" si="3"/>
        <v>0</v>
      </c>
      <c r="H8" s="6"/>
      <c r="I8" s="9">
        <f t="shared" si="4"/>
        <v>0</v>
      </c>
      <c r="J8" s="6"/>
      <c r="K8" s="9">
        <f t="shared" si="5"/>
        <v>0</v>
      </c>
      <c r="L8" s="1"/>
      <c r="M8" s="9"/>
      <c r="N8" s="33"/>
      <c r="O8" s="9"/>
      <c r="P8" s="29">
        <f t="shared" si="0"/>
        <v>0</v>
      </c>
      <c r="Q8" s="29">
        <f t="shared" si="1"/>
        <v>0</v>
      </c>
      <c r="R8" s="1"/>
      <c r="S8" s="34"/>
      <c r="T8" s="31"/>
      <c r="U8" s="9"/>
      <c r="V8" s="3" t="s">
        <v>21</v>
      </c>
      <c r="W8" s="37">
        <v>0</v>
      </c>
      <c r="X8" s="6" t="s">
        <v>34</v>
      </c>
      <c r="Y8" s="34" t="s">
        <v>34</v>
      </c>
      <c r="Z8" s="3" t="s">
        <v>21</v>
      </c>
      <c r="AA8" s="37">
        <v>0</v>
      </c>
      <c r="AB8" s="18"/>
    </row>
    <row r="9" spans="1:28">
      <c r="A9" s="14" t="s">
        <v>22</v>
      </c>
      <c r="B9" s="6">
        <v>5753830399.1000004</v>
      </c>
      <c r="C9" s="9">
        <f t="shared" si="2"/>
        <v>0.78490876982940794</v>
      </c>
      <c r="D9" s="6">
        <v>132776910009.92999</v>
      </c>
      <c r="E9" s="9">
        <v>0.80541876999999995</v>
      </c>
      <c r="F9" s="6">
        <v>2078544086.53</v>
      </c>
      <c r="G9" s="9">
        <f t="shared" si="3"/>
        <v>0.58653265836005553</v>
      </c>
      <c r="H9" s="6">
        <v>182600156050.37</v>
      </c>
      <c r="I9" s="9">
        <f t="shared" si="4"/>
        <v>0.74498661439754732</v>
      </c>
      <c r="J9" s="1">
        <v>100280445754.12</v>
      </c>
      <c r="K9" s="9">
        <f t="shared" si="5"/>
        <v>0.8323652061451311</v>
      </c>
      <c r="L9" s="1">
        <v>5850894229.8900003</v>
      </c>
      <c r="M9" s="9">
        <v>0.84352020999999999</v>
      </c>
      <c r="N9" s="33">
        <v>110938121805.45</v>
      </c>
      <c r="O9" s="9">
        <v>0.73309464999999996</v>
      </c>
      <c r="P9" s="30">
        <f t="shared" si="0"/>
        <v>540278902335.39001</v>
      </c>
      <c r="Q9" s="28">
        <f t="shared" si="1"/>
        <v>0.77229541963618298</v>
      </c>
      <c r="R9" s="1">
        <v>15945262694.77</v>
      </c>
      <c r="S9" s="34">
        <f t="shared" si="6"/>
        <v>0.8888364495008243</v>
      </c>
      <c r="T9" s="31">
        <v>19778413302.380001</v>
      </c>
      <c r="U9" s="9">
        <v>0.80175490000000005</v>
      </c>
      <c r="V9" s="3">
        <f>R9+T9</f>
        <v>35723675997.150002</v>
      </c>
      <c r="W9" s="28">
        <f>V9/$V$13</f>
        <v>0.83841899284828614</v>
      </c>
      <c r="X9" s="1">
        <v>41274534994.089996</v>
      </c>
      <c r="Y9" s="34">
        <v>0.83034933</v>
      </c>
      <c r="Z9" s="3">
        <f>P9+V9+X9</f>
        <v>617277113326.63</v>
      </c>
      <c r="AA9" s="28">
        <f>Z9/$Z$13</f>
        <v>0.77949732948287043</v>
      </c>
      <c r="AB9" s="18"/>
    </row>
    <row r="10" spans="1:28">
      <c r="A10" s="14" t="s">
        <v>23</v>
      </c>
      <c r="B10" s="1">
        <v>45450227.649999999</v>
      </c>
      <c r="C10" s="9">
        <f t="shared" si="2"/>
        <v>6.2000927727741371E-3</v>
      </c>
      <c r="D10" s="1">
        <v>9680793256.0900002</v>
      </c>
      <c r="E10" s="9">
        <v>5.8723259999999999E-2</v>
      </c>
      <c r="F10" s="1">
        <v>24756248.690000001</v>
      </c>
      <c r="G10" s="9">
        <f t="shared" si="3"/>
        <v>6.9858264971464521E-3</v>
      </c>
      <c r="H10" s="1">
        <v>19906809839.921608</v>
      </c>
      <c r="I10" s="9">
        <f t="shared" si="4"/>
        <v>8.1217383308303748E-2</v>
      </c>
      <c r="J10" s="1">
        <v>8791753171.4500008</v>
      </c>
      <c r="K10" s="9">
        <f t="shared" si="5"/>
        <v>7.2974839570160502E-2</v>
      </c>
      <c r="L10" s="24">
        <v>0</v>
      </c>
      <c r="M10" s="24">
        <v>0</v>
      </c>
      <c r="N10" s="33">
        <v>13490782460.309999</v>
      </c>
      <c r="O10" s="9">
        <v>8.9148980000000003E-2</v>
      </c>
      <c r="P10" s="30">
        <f t="shared" si="0"/>
        <v>51940345204.111603</v>
      </c>
      <c r="Q10" s="28">
        <f t="shared" si="1"/>
        <v>7.4245524898465073E-2</v>
      </c>
      <c r="R10" s="1">
        <v>710352058.97000003</v>
      </c>
      <c r="S10" s="34">
        <f t="shared" si="6"/>
        <v>3.9597140171142367E-2</v>
      </c>
      <c r="T10" s="31">
        <v>128943016.08</v>
      </c>
      <c r="U10" s="9">
        <v>5.2269500000000002E-3</v>
      </c>
      <c r="V10" s="3">
        <f>R10+T10</f>
        <v>839295075.05000007</v>
      </c>
      <c r="W10" s="28">
        <f>V10/$V$13</f>
        <v>1.9697886958276262E-2</v>
      </c>
      <c r="X10" s="1">
        <v>4996613708.6099997</v>
      </c>
      <c r="Y10" s="34">
        <v>0.10052045</v>
      </c>
      <c r="Z10" s="3">
        <f>P10+V10+X10</f>
        <v>57776253987.771606</v>
      </c>
      <c r="AA10" s="28">
        <f>Z10/$Z$13</f>
        <v>7.2959833952504147E-2</v>
      </c>
      <c r="AB10" s="18"/>
    </row>
    <row r="11" spans="1:28">
      <c r="A11" s="14" t="s">
        <v>24</v>
      </c>
      <c r="B11" s="1">
        <v>1019390214.01</v>
      </c>
      <c r="C11" s="9">
        <f t="shared" si="2"/>
        <v>0.13906011532419865</v>
      </c>
      <c r="D11" s="1">
        <v>2388380944.6399999</v>
      </c>
      <c r="E11" s="9">
        <v>1.448781E-2</v>
      </c>
      <c r="F11" s="1">
        <v>648718072.84000003</v>
      </c>
      <c r="G11" s="9">
        <f t="shared" si="3"/>
        <v>0.18305810218549126</v>
      </c>
      <c r="H11" s="1">
        <v>9940163742.2900009</v>
      </c>
      <c r="I11" s="9">
        <f t="shared" si="4"/>
        <v>4.055466924619245E-2</v>
      </c>
      <c r="J11" s="1">
        <v>4621022248.9099998</v>
      </c>
      <c r="K11" s="9">
        <f t="shared" si="5"/>
        <v>3.8356212997359779E-2</v>
      </c>
      <c r="L11" s="1">
        <v>47309877.009999998</v>
      </c>
      <c r="M11" s="9">
        <v>6.8206400000000002E-3</v>
      </c>
      <c r="N11" s="33">
        <v>4269195592.8600001</v>
      </c>
      <c r="O11" s="9">
        <v>2.8211440000000001E-2</v>
      </c>
      <c r="P11" s="30">
        <f t="shared" si="0"/>
        <v>22934180692.560001</v>
      </c>
      <c r="Q11" s="28">
        <f t="shared" si="1"/>
        <v>3.2782998975920741E-2</v>
      </c>
      <c r="R11" s="1">
        <v>809329430.99000001</v>
      </c>
      <c r="S11" s="34">
        <f t="shared" si="6"/>
        <v>4.5114433778104042E-2</v>
      </c>
      <c r="T11" s="31">
        <v>2280089791.3899999</v>
      </c>
      <c r="U11" s="9">
        <v>9.2427700000000002E-2</v>
      </c>
      <c r="V11" s="3">
        <f>R11+T11</f>
        <v>3089419222.3800001</v>
      </c>
      <c r="W11" s="28">
        <f>V11/$V$13</f>
        <v>7.2507312884615246E-2</v>
      </c>
      <c r="X11" s="1">
        <v>1310675434.52</v>
      </c>
      <c r="Y11" s="34">
        <v>2.6367789999999999E-2</v>
      </c>
      <c r="Z11" s="3">
        <f>P11+V11+X11</f>
        <v>27334275349.460003</v>
      </c>
      <c r="AA11" s="28">
        <f>Z11/$Z$13</f>
        <v>3.4517713646348987E-2</v>
      </c>
      <c r="AB11" s="18"/>
    </row>
    <row r="12" spans="1:28">
      <c r="A12" s="14" t="s">
        <v>25</v>
      </c>
      <c r="B12" s="1">
        <v>309398432.42000002</v>
      </c>
      <c r="C12" s="9">
        <f t="shared" si="2"/>
        <v>4.22065869400522E-2</v>
      </c>
      <c r="D12" s="1">
        <v>10197572975.17</v>
      </c>
      <c r="E12" s="9">
        <v>6.185802E-2</v>
      </c>
      <c r="F12" s="1">
        <v>355709136.01999998</v>
      </c>
      <c r="G12" s="9">
        <f t="shared" si="3"/>
        <v>0.10037555926998515</v>
      </c>
      <c r="H12" s="1">
        <v>23482050604.84</v>
      </c>
      <c r="I12" s="9">
        <f t="shared" si="4"/>
        <v>9.5803934441249794E-2</v>
      </c>
      <c r="J12" s="1">
        <v>6211583944.3199997</v>
      </c>
      <c r="K12" s="9">
        <f t="shared" si="5"/>
        <v>5.1558469963116235E-2</v>
      </c>
      <c r="L12" s="24">
        <v>0</v>
      </c>
      <c r="M12" s="24">
        <v>0</v>
      </c>
      <c r="N12" s="33">
        <v>6811347794.9399996</v>
      </c>
      <c r="O12" s="9">
        <v>4.5010340000000003E-2</v>
      </c>
      <c r="P12" s="30">
        <f t="shared" si="0"/>
        <v>47367662887.710007</v>
      </c>
      <c r="Q12" s="28">
        <f t="shared" si="1"/>
        <v>6.7709157120372385E-2</v>
      </c>
      <c r="R12" s="1">
        <v>236654429</v>
      </c>
      <c r="S12" s="34">
        <f t="shared" si="6"/>
        <v>1.3191822954412544E-2</v>
      </c>
      <c r="T12" s="32">
        <v>0</v>
      </c>
      <c r="U12" s="24">
        <v>0</v>
      </c>
      <c r="V12" s="3">
        <f>R12+T12</f>
        <v>236654429</v>
      </c>
      <c r="W12" s="28">
        <f>V12/$V$13</f>
        <v>5.5541755565999317E-3</v>
      </c>
      <c r="X12" s="1">
        <v>860756573.65999997</v>
      </c>
      <c r="Y12" s="34">
        <v>1.7316459999999999E-2</v>
      </c>
      <c r="Z12" s="3">
        <f>P12+V12+X12</f>
        <v>48465073890.37001</v>
      </c>
      <c r="AA12" s="28">
        <f>Z12/$Z$13</f>
        <v>6.12016788815287E-2</v>
      </c>
      <c r="AB12" s="18"/>
    </row>
    <row r="13" spans="1:28">
      <c r="A13" s="15" t="s">
        <v>26</v>
      </c>
      <c r="B13" s="3">
        <f t="shared" ref="B13:AA13" si="7">SUM(B6:B12)</f>
        <v>7330572189.1100006</v>
      </c>
      <c r="C13" s="38">
        <f>SUM(C6:C12)</f>
        <v>0.99999999999999989</v>
      </c>
      <c r="D13" s="3">
        <f t="shared" si="7"/>
        <v>164854501241.44</v>
      </c>
      <c r="E13" s="38">
        <f t="shared" si="7"/>
        <v>1</v>
      </c>
      <c r="F13" s="3">
        <f t="shared" si="7"/>
        <v>3543782357.0500002</v>
      </c>
      <c r="G13" s="38">
        <f t="shared" si="7"/>
        <v>0.99999999999999978</v>
      </c>
      <c r="H13" s="3">
        <f t="shared" si="7"/>
        <v>245105284472.84161</v>
      </c>
      <c r="I13" s="38">
        <f t="shared" si="7"/>
        <v>1</v>
      </c>
      <c r="J13" s="3">
        <f t="shared" si="7"/>
        <v>120476498793.76999</v>
      </c>
      <c r="K13" s="27">
        <f t="shared" si="7"/>
        <v>1</v>
      </c>
      <c r="L13" s="3">
        <f t="shared" si="7"/>
        <v>6936282211.2700005</v>
      </c>
      <c r="M13" s="7">
        <f t="shared" si="7"/>
        <v>1</v>
      </c>
      <c r="N13" s="3">
        <f>SUM(N6:N12)</f>
        <v>151328511397.19998</v>
      </c>
      <c r="O13" s="7">
        <f t="shared" si="7"/>
        <v>1</v>
      </c>
      <c r="P13" s="3">
        <f t="shared" si="7"/>
        <v>699575432662.68164</v>
      </c>
      <c r="Q13" s="7">
        <f t="shared" si="7"/>
        <v>0.99999999999999989</v>
      </c>
      <c r="R13" s="3">
        <f t="shared" si="7"/>
        <v>17939478858.821499</v>
      </c>
      <c r="S13" s="7">
        <f t="shared" si="7"/>
        <v>1</v>
      </c>
      <c r="T13" s="3">
        <f t="shared" si="7"/>
        <v>24668902275.042301</v>
      </c>
      <c r="U13" s="7">
        <f t="shared" si="7"/>
        <v>1.0000000103687194</v>
      </c>
      <c r="V13" s="3">
        <f t="shared" si="7"/>
        <v>42608381133.8638</v>
      </c>
      <c r="W13" s="7">
        <f t="shared" si="7"/>
        <v>1</v>
      </c>
      <c r="X13" s="3">
        <f t="shared" si="7"/>
        <v>49707434549.540001</v>
      </c>
      <c r="Y13" s="7">
        <f t="shared" si="7"/>
        <v>1</v>
      </c>
      <c r="Z13" s="3">
        <f t="shared" si="7"/>
        <v>791891248346.08533</v>
      </c>
      <c r="AA13" s="7">
        <f t="shared" si="7"/>
        <v>1.0000000000000002</v>
      </c>
    </row>
    <row r="14" spans="1:28">
      <c r="B14" s="18"/>
      <c r="D14" s="19"/>
      <c r="F14" s="18"/>
      <c r="H14" s="18"/>
      <c r="J14" s="18"/>
      <c r="L14" s="18"/>
      <c r="N14" s="18"/>
      <c r="P14" s="18"/>
      <c r="R14" s="18"/>
      <c r="T14" s="18"/>
      <c r="V14" s="18"/>
      <c r="X14" s="18"/>
      <c r="Z14" s="18"/>
    </row>
    <row r="15" spans="1:28">
      <c r="A15" s="5" t="s">
        <v>27</v>
      </c>
      <c r="P15" s="18"/>
      <c r="R15" s="18"/>
      <c r="T15" s="18"/>
    </row>
    <row r="16" spans="1:28">
      <c r="A16" s="5" t="s">
        <v>28</v>
      </c>
      <c r="L16" s="18"/>
      <c r="P16" s="18"/>
    </row>
    <row r="17" spans="1:26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>
      <c r="B18" s="18"/>
      <c r="D18" s="19"/>
      <c r="F18" s="18"/>
      <c r="H18" s="18"/>
      <c r="J18" s="18"/>
      <c r="L18" s="18"/>
      <c r="N18" s="18"/>
      <c r="P18" s="18"/>
      <c r="R18" s="18"/>
      <c r="T18" s="18"/>
      <c r="V18" s="18"/>
      <c r="X18" s="18"/>
      <c r="Z18" s="18"/>
    </row>
    <row r="27" spans="1:26">
      <c r="H27" s="10"/>
    </row>
    <row r="28" spans="1:26">
      <c r="H28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8" sqref="I18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8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8.85546875" style="16" bestFit="1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35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7108453.2199999997</v>
      </c>
      <c r="C6" s="40">
        <v>9.4598000000000002E-4</v>
      </c>
      <c r="D6" s="1">
        <v>5595299007.4799995</v>
      </c>
      <c r="E6" s="40">
        <v>3.3479809999999999E-2</v>
      </c>
      <c r="F6" s="1">
        <v>183714705.61000001</v>
      </c>
      <c r="G6" s="40">
        <v>4.853412E-2</v>
      </c>
      <c r="H6" s="1">
        <v>8203862909.0299997</v>
      </c>
      <c r="I6" s="40">
        <v>3.3144970000000003E-2</v>
      </c>
      <c r="J6" s="1">
        <v>624033409.03999996</v>
      </c>
      <c r="K6" s="9">
        <v>5.1230800000000003E-3</v>
      </c>
      <c r="L6" s="1">
        <v>1136697007.25</v>
      </c>
      <c r="M6" s="40">
        <v>0.16122723</v>
      </c>
      <c r="N6" s="33">
        <v>14729423793.860001</v>
      </c>
      <c r="O6" s="40">
        <v>9.6281619999999998E-2</v>
      </c>
      <c r="P6" s="30">
        <f t="shared" ref="P6:P11" si="0">+B6+D6+F6+H6+J6+L6+N6</f>
        <v>30480139285.490002</v>
      </c>
      <c r="Q6" s="2">
        <f t="shared" ref="Q6:Q11" si="1">+P6/$P$12</f>
        <v>4.3064423148388618E-2</v>
      </c>
      <c r="R6" s="1">
        <v>209920307.41</v>
      </c>
      <c r="S6" s="40">
        <v>1.1579570000000001E-2</v>
      </c>
      <c r="T6" s="31">
        <v>1994875765.79</v>
      </c>
      <c r="U6" s="40">
        <v>8.0337190000000003E-2</v>
      </c>
      <c r="V6" s="3">
        <f t="shared" ref="V6:V11" si="2">R6+T6</f>
        <v>2204796073.1999998</v>
      </c>
      <c r="W6" s="2">
        <f t="shared" ref="W6:W11" si="3">V6/$V$12</f>
        <v>5.1322312491888809E-2</v>
      </c>
      <c r="X6" s="1">
        <v>964310986.13999999</v>
      </c>
      <c r="Y6" s="40">
        <v>1.906886E-2</v>
      </c>
      <c r="Z6" s="3">
        <f t="shared" ref="Z6:Z11" si="4">P6+V6+X6</f>
        <v>33649246344.830002</v>
      </c>
      <c r="AA6" s="2">
        <f t="shared" ref="AA6:AA11" si="5">Z6/$Z$12</f>
        <v>4.1992806139996799E-2</v>
      </c>
      <c r="AB6" s="18"/>
    </row>
    <row r="7" spans="1:28">
      <c r="A7" s="14" t="s">
        <v>19</v>
      </c>
      <c r="B7" s="1">
        <v>270275648.88999999</v>
      </c>
      <c r="C7" s="40">
        <v>3.5967890000000002E-2</v>
      </c>
      <c r="D7" s="1">
        <v>210526481.71000001</v>
      </c>
      <c r="E7" s="40">
        <v>1.2597000000000001E-3</v>
      </c>
      <c r="F7" s="1">
        <v>506503986.94999999</v>
      </c>
      <c r="G7" s="40">
        <v>0.13380924999999999</v>
      </c>
      <c r="H7" s="1">
        <v>1606484564.22</v>
      </c>
      <c r="I7" s="40">
        <v>6.49046E-3</v>
      </c>
      <c r="J7" s="1">
        <v>123634470.95</v>
      </c>
      <c r="K7" s="9">
        <v>1.0149899999999999E-3</v>
      </c>
      <c r="L7" s="24">
        <v>0</v>
      </c>
      <c r="M7" s="6">
        <v>0</v>
      </c>
      <c r="N7" s="33">
        <v>191714973.44999999</v>
      </c>
      <c r="O7" s="40">
        <v>1.25318E-3</v>
      </c>
      <c r="P7" s="30">
        <f t="shared" si="0"/>
        <v>2909140126.1699996</v>
      </c>
      <c r="Q7" s="2">
        <f t="shared" si="1"/>
        <v>4.1102319191494308E-3</v>
      </c>
      <c r="R7" s="1">
        <v>227301702.87</v>
      </c>
      <c r="S7" s="41">
        <v>1.253836E-2</v>
      </c>
      <c r="T7" s="31">
        <v>779437820.39999998</v>
      </c>
      <c r="U7" s="41">
        <v>3.1389340000000002E-2</v>
      </c>
      <c r="V7" s="8">
        <f t="shared" si="2"/>
        <v>1006739523.27</v>
      </c>
      <c r="W7" s="42">
        <f t="shared" si="3"/>
        <v>2.3434457743843784E-2</v>
      </c>
      <c r="X7" s="24">
        <v>9401276.9000000004</v>
      </c>
      <c r="Y7" s="41">
        <v>1.8590999999999999E-4</v>
      </c>
      <c r="Z7" s="3">
        <f t="shared" si="4"/>
        <v>3925280926.3399997</v>
      </c>
      <c r="AA7" s="2">
        <f t="shared" si="5"/>
        <v>4.8985810646587722E-3</v>
      </c>
      <c r="AB7" s="18"/>
    </row>
    <row r="8" spans="1:28">
      <c r="A8" s="14" t="s">
        <v>22</v>
      </c>
      <c r="B8" s="6">
        <v>5853963610.4200001</v>
      </c>
      <c r="C8" s="40">
        <v>0.77903703000000002</v>
      </c>
      <c r="D8" s="6">
        <v>139029083076.39999</v>
      </c>
      <c r="E8" s="40">
        <v>0.83188881000000003</v>
      </c>
      <c r="F8" s="6">
        <v>2062520400.6300001</v>
      </c>
      <c r="G8" s="40">
        <v>0.54488082999999998</v>
      </c>
      <c r="H8" s="6">
        <v>183399837631.48999</v>
      </c>
      <c r="I8" s="40">
        <v>0.74096580000000001</v>
      </c>
      <c r="J8" s="1">
        <v>101406430968.98</v>
      </c>
      <c r="K8" s="9">
        <v>0.83250873000000003</v>
      </c>
      <c r="L8" s="1">
        <v>5865891664.4700003</v>
      </c>
      <c r="M8" s="40">
        <v>0.83200837999999999</v>
      </c>
      <c r="N8" s="33">
        <v>113427790504.97</v>
      </c>
      <c r="O8" s="40">
        <v>0.74144189000000005</v>
      </c>
      <c r="P8" s="30">
        <f t="shared" si="0"/>
        <v>551045517857.35999</v>
      </c>
      <c r="Q8" s="2">
        <f t="shared" si="1"/>
        <v>0.77855475438490263</v>
      </c>
      <c r="R8" s="1">
        <v>15927973457.280001</v>
      </c>
      <c r="S8" s="40">
        <v>0.87861465999999999</v>
      </c>
      <c r="T8" s="31">
        <v>19642646545.5</v>
      </c>
      <c r="U8" s="40">
        <v>0.79104423000000001</v>
      </c>
      <c r="V8" s="3">
        <f t="shared" si="2"/>
        <v>35570620002.779999</v>
      </c>
      <c r="W8" s="2">
        <f t="shared" si="3"/>
        <v>0.82799788039503941</v>
      </c>
      <c r="X8" s="1">
        <v>42402242858.18</v>
      </c>
      <c r="Y8" s="40">
        <v>0.83848705999999995</v>
      </c>
      <c r="Z8" s="3">
        <f t="shared" si="4"/>
        <v>629018380718.32007</v>
      </c>
      <c r="AA8" s="2">
        <f t="shared" si="5"/>
        <v>0.78498777206811055</v>
      </c>
      <c r="AB8" s="18"/>
    </row>
    <row r="9" spans="1:28">
      <c r="A9" s="14" t="s">
        <v>23</v>
      </c>
      <c r="B9" s="1">
        <v>45625854.780000001</v>
      </c>
      <c r="C9" s="40">
        <v>6.0718200000000003E-3</v>
      </c>
      <c r="D9" s="1">
        <v>9698481022.9400005</v>
      </c>
      <c r="E9" s="40">
        <v>5.8031439999999997E-2</v>
      </c>
      <c r="F9" s="1">
        <v>24460439.620000001</v>
      </c>
      <c r="G9" s="40">
        <v>6.4620099999999998E-3</v>
      </c>
      <c r="H9" s="1">
        <v>19960554733.330002</v>
      </c>
      <c r="I9" s="40">
        <v>7.804432E-2</v>
      </c>
      <c r="J9" s="1">
        <v>8803708340.1000004</v>
      </c>
      <c r="K9" s="9">
        <v>7.2275140000000002E-2</v>
      </c>
      <c r="L9" s="24">
        <v>0</v>
      </c>
      <c r="M9" s="6">
        <v>0</v>
      </c>
      <c r="N9" s="33">
        <v>13525349148.610001</v>
      </c>
      <c r="O9" s="40">
        <v>8.8410970000000005E-2</v>
      </c>
      <c r="P9" s="30">
        <f t="shared" si="0"/>
        <v>52058179539.380005</v>
      </c>
      <c r="Q9" s="2">
        <f t="shared" si="1"/>
        <v>7.3551352604411396E-2</v>
      </c>
      <c r="R9" s="1">
        <v>712400194.01999998</v>
      </c>
      <c r="S9" s="40">
        <v>3.9297230000000002E-2</v>
      </c>
      <c r="T9" s="31">
        <v>129647343.02</v>
      </c>
      <c r="U9" s="40">
        <v>5.22113E-3</v>
      </c>
      <c r="V9" s="3">
        <f t="shared" si="2"/>
        <v>842047537.03999996</v>
      </c>
      <c r="W9" s="2">
        <f t="shared" si="3"/>
        <v>1.9600827194085825E-2</v>
      </c>
      <c r="X9" s="1">
        <v>5018345060.1099997</v>
      </c>
      <c r="Y9" s="40">
        <v>9.9235729999999994E-2</v>
      </c>
      <c r="Z9" s="3">
        <f t="shared" si="4"/>
        <v>57918572136.530006</v>
      </c>
      <c r="AA9" s="2">
        <f t="shared" si="5"/>
        <v>7.2279876544944124E-2</v>
      </c>
      <c r="AB9" s="18"/>
    </row>
    <row r="10" spans="1:28">
      <c r="A10" s="14" t="s">
        <v>24</v>
      </c>
      <c r="B10" s="1">
        <v>1028088021.14</v>
      </c>
      <c r="C10" s="40">
        <v>0.13681647</v>
      </c>
      <c r="D10" s="1">
        <v>2397690873.0599999</v>
      </c>
      <c r="E10" s="40">
        <v>1.434673E-2</v>
      </c>
      <c r="F10" s="1">
        <v>653727758.98000002</v>
      </c>
      <c r="G10" s="40">
        <v>0.17270313000000001</v>
      </c>
      <c r="H10" s="1">
        <v>9997047887.7399998</v>
      </c>
      <c r="I10" s="40">
        <v>4.0389729999999999E-2</v>
      </c>
      <c r="J10" s="1">
        <v>4634788385.1999998</v>
      </c>
      <c r="K10" s="9">
        <v>3.804987E-2</v>
      </c>
      <c r="L10" s="1">
        <v>47690835.490000002</v>
      </c>
      <c r="M10" s="40">
        <v>6.7643900000000003E-3</v>
      </c>
      <c r="N10" s="33">
        <v>4288011571.02</v>
      </c>
      <c r="O10" s="40">
        <v>2.8029390000000001E-2</v>
      </c>
      <c r="P10" s="30">
        <f t="shared" si="0"/>
        <v>23047045332.630001</v>
      </c>
      <c r="Q10" s="2">
        <f t="shared" si="1"/>
        <v>3.2562440191897489E-2</v>
      </c>
      <c r="R10" s="1">
        <v>811231605.42999995</v>
      </c>
      <c r="S10" s="40">
        <v>4.4748940000000001E-2</v>
      </c>
      <c r="T10" s="31">
        <v>2284679783.1599998</v>
      </c>
      <c r="U10" s="40">
        <v>9.2008110000000004E-2</v>
      </c>
      <c r="V10" s="3">
        <f t="shared" si="2"/>
        <v>3095911388.5899997</v>
      </c>
      <c r="W10" s="2">
        <f t="shared" si="3"/>
        <v>7.2065318722109459E-2</v>
      </c>
      <c r="X10" s="1">
        <v>1313532088.04</v>
      </c>
      <c r="Y10" s="40">
        <v>2.5974560000000001E-2</v>
      </c>
      <c r="Z10" s="3">
        <f t="shared" si="4"/>
        <v>27456488809.260002</v>
      </c>
      <c r="AA10" s="2">
        <f t="shared" si="5"/>
        <v>3.4264512198484774E-2</v>
      </c>
      <c r="AB10" s="18"/>
    </row>
    <row r="11" spans="1:28">
      <c r="A11" s="14" t="s">
        <v>25</v>
      </c>
      <c r="B11" s="1">
        <v>309297015.25999999</v>
      </c>
      <c r="C11" s="40">
        <v>4.1160799999999997E-2</v>
      </c>
      <c r="D11" s="1">
        <v>10193517157.370001</v>
      </c>
      <c r="E11" s="40">
        <v>6.0993520000000002E-2</v>
      </c>
      <c r="F11" s="1">
        <v>354341502.77999997</v>
      </c>
      <c r="G11" s="40">
        <v>9.3610659999999998E-2</v>
      </c>
      <c r="H11" s="1">
        <v>24346791145.189999</v>
      </c>
      <c r="I11" s="40">
        <v>9.8365079999999994E-2</v>
      </c>
      <c r="J11" s="1">
        <v>6215653565.2200003</v>
      </c>
      <c r="K11" s="9">
        <v>5.1028179999999999E-2</v>
      </c>
      <c r="L11" s="24">
        <v>0</v>
      </c>
      <c r="M11" s="6">
        <v>0</v>
      </c>
      <c r="N11" s="33">
        <v>6820420885.3999996</v>
      </c>
      <c r="O11" s="40">
        <v>4.4582950000000003E-2</v>
      </c>
      <c r="P11" s="30">
        <f t="shared" si="0"/>
        <v>48240021271.220001</v>
      </c>
      <c r="Q11" s="2">
        <f t="shared" si="1"/>
        <v>6.815679775125047E-2</v>
      </c>
      <c r="R11" s="1">
        <v>239681442</v>
      </c>
      <c r="S11" s="40">
        <v>1.322124E-2</v>
      </c>
      <c r="T11" s="32">
        <v>0</v>
      </c>
      <c r="U11" s="6">
        <v>0</v>
      </c>
      <c r="V11" s="3">
        <f t="shared" si="2"/>
        <v>239681442</v>
      </c>
      <c r="W11" s="2">
        <f t="shared" si="3"/>
        <v>5.5792034530327663E-3</v>
      </c>
      <c r="X11" s="1">
        <v>862110618.71000004</v>
      </c>
      <c r="Y11" s="40">
        <v>1.704789E-2</v>
      </c>
      <c r="Z11" s="3">
        <f t="shared" si="4"/>
        <v>49341813331.93</v>
      </c>
      <c r="AA11" s="2">
        <f t="shared" si="5"/>
        <v>6.1576451983804868E-2</v>
      </c>
      <c r="AB11" s="18"/>
    </row>
    <row r="12" spans="1:28">
      <c r="A12" s="15" t="s">
        <v>26</v>
      </c>
      <c r="B12" s="3">
        <f t="shared" ref="B12:AA12" si="6">SUM(B6:B11)</f>
        <v>7514358603.71</v>
      </c>
      <c r="C12" s="38">
        <f>SUM(C6:C11)</f>
        <v>0.99999998999999995</v>
      </c>
      <c r="D12" s="3">
        <f t="shared" si="6"/>
        <v>167124597618.95999</v>
      </c>
      <c r="E12" s="38">
        <f t="shared" si="6"/>
        <v>1.0000000099999999</v>
      </c>
      <c r="F12" s="3">
        <f t="shared" si="6"/>
        <v>3785268794.5699997</v>
      </c>
      <c r="G12" s="38">
        <f t="shared" si="6"/>
        <v>1</v>
      </c>
      <c r="H12" s="3">
        <f t="shared" si="6"/>
        <v>247514578871</v>
      </c>
      <c r="I12" s="38">
        <f t="shared" si="6"/>
        <v>0.9974003600000001</v>
      </c>
      <c r="J12" s="3">
        <f t="shared" si="6"/>
        <v>121808249139.49001</v>
      </c>
      <c r="K12" s="38">
        <f t="shared" si="6"/>
        <v>0.99999999000000006</v>
      </c>
      <c r="L12" s="3">
        <f t="shared" si="6"/>
        <v>7050279507.21</v>
      </c>
      <c r="M12" s="7">
        <f t="shared" si="6"/>
        <v>0.99999999999999989</v>
      </c>
      <c r="N12" s="3">
        <f>SUM(N6:N11)</f>
        <v>152982710877.31</v>
      </c>
      <c r="O12" s="7">
        <f t="shared" si="6"/>
        <v>1</v>
      </c>
      <c r="P12" s="3">
        <f t="shared" si="6"/>
        <v>707780043412.25</v>
      </c>
      <c r="Q12" s="7">
        <f t="shared" si="6"/>
        <v>1</v>
      </c>
      <c r="R12" s="3">
        <f t="shared" si="6"/>
        <v>18128508709.010002</v>
      </c>
      <c r="S12" s="7">
        <f t="shared" si="6"/>
        <v>0.99999999999999989</v>
      </c>
      <c r="T12" s="3">
        <f t="shared" si="6"/>
        <v>24831287257.869999</v>
      </c>
      <c r="U12" s="7">
        <f t="shared" si="6"/>
        <v>1</v>
      </c>
      <c r="V12" s="3">
        <f t="shared" si="6"/>
        <v>42959795966.879997</v>
      </c>
      <c r="W12" s="7">
        <f t="shared" si="6"/>
        <v>1</v>
      </c>
      <c r="X12" s="3">
        <f t="shared" si="6"/>
        <v>50569942888.080002</v>
      </c>
      <c r="Y12" s="7">
        <f t="shared" si="6"/>
        <v>1.0000000099999999</v>
      </c>
      <c r="Z12" s="3">
        <f t="shared" si="6"/>
        <v>801309782267.21021</v>
      </c>
      <c r="AA12" s="7">
        <f t="shared" si="6"/>
        <v>1</v>
      </c>
    </row>
    <row r="13" spans="1:28">
      <c r="B13" s="18"/>
      <c r="D13" s="19"/>
      <c r="F13" s="18"/>
      <c r="H13" s="18"/>
      <c r="J13" s="18"/>
      <c r="L13" s="18"/>
      <c r="N13" s="18"/>
      <c r="P13" s="18"/>
      <c r="R13" s="18"/>
      <c r="T13" s="18"/>
      <c r="V13" s="18"/>
      <c r="X13" s="18"/>
      <c r="Z13" s="18"/>
    </row>
    <row r="14" spans="1:28">
      <c r="A14" s="5" t="s">
        <v>27</v>
      </c>
      <c r="P14" s="18"/>
      <c r="R14" s="18"/>
      <c r="T14" s="18"/>
    </row>
    <row r="15" spans="1:28">
      <c r="A15" s="5" t="s">
        <v>28</v>
      </c>
      <c r="L15" s="18"/>
      <c r="P15" s="18"/>
    </row>
    <row r="16" spans="1:28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2:26">
      <c r="B17" s="18"/>
      <c r="D17" s="19"/>
      <c r="F17" s="18"/>
      <c r="H17" s="18"/>
      <c r="J17" s="18"/>
      <c r="L17" s="18"/>
      <c r="N17" s="18"/>
      <c r="P17" s="18"/>
      <c r="R17" s="18"/>
      <c r="T17" s="18"/>
      <c r="V17" s="18"/>
      <c r="X17" s="18"/>
      <c r="Z17" s="18"/>
    </row>
    <row r="26" spans="2:26">
      <c r="H26" s="10"/>
    </row>
    <row r="27" spans="2:26">
      <c r="H27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6" sqref="C6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8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8.85546875" style="16" bestFit="1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36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11634697.85</v>
      </c>
      <c r="C6" s="40">
        <v>1.49741E-3</v>
      </c>
      <c r="D6" s="1">
        <v>7849944411.9700003</v>
      </c>
      <c r="E6" s="40">
        <v>4.5744409999999999E-2</v>
      </c>
      <c r="F6" s="1">
        <v>151297415.96000001</v>
      </c>
      <c r="G6" s="40">
        <v>3.8745229999999999E-2</v>
      </c>
      <c r="H6" s="1">
        <v>10295469443.629999</v>
      </c>
      <c r="I6" s="40">
        <v>4.0800028899506888E-2</v>
      </c>
      <c r="J6" s="1">
        <v>1221255701.4200001</v>
      </c>
      <c r="K6" s="9">
        <v>9.8593299999999995E-3</v>
      </c>
      <c r="L6" s="1">
        <v>1209018297.53</v>
      </c>
      <c r="M6" s="40">
        <v>0.16717359000000001</v>
      </c>
      <c r="N6" s="33">
        <v>15639828274.35</v>
      </c>
      <c r="O6" s="40">
        <v>0.10055430999999999</v>
      </c>
      <c r="P6" s="30">
        <f t="shared" ref="P6:P11" si="0">+B6+D6+F6+H6+J6+L6+N6</f>
        <v>36378448242.709999</v>
      </c>
      <c r="Q6" s="2">
        <f t="shared" ref="Q6:Q11" si="1">+P6/$P$12</f>
        <v>5.0367847697098227E-2</v>
      </c>
      <c r="R6" s="1">
        <v>165640993.24000001</v>
      </c>
      <c r="S6" s="40">
        <v>9.0452199999999996E-3</v>
      </c>
      <c r="T6" s="31">
        <v>2164604430.6100001</v>
      </c>
      <c r="U6" s="40">
        <v>8.6205729999999994E-2</v>
      </c>
      <c r="V6" s="3">
        <f t="shared" ref="V6:V11" si="2">R6+T6</f>
        <v>2330245423.8500004</v>
      </c>
      <c r="W6" s="2">
        <f t="shared" ref="W6:W11" si="3">V6/$V$12</f>
        <v>5.3664729270857421E-2</v>
      </c>
      <c r="X6" s="1">
        <v>948994092.66999996</v>
      </c>
      <c r="Y6" s="40">
        <v>1.834537E-2</v>
      </c>
      <c r="Z6" s="3">
        <f t="shared" ref="Z6:Z11" si="4">P6+V6+X6</f>
        <v>39657687759.229996</v>
      </c>
      <c r="AA6" s="2">
        <f t="shared" ref="AA6:AA11" si="5">Z6/$Z$12</f>
        <v>4.8516451938156541E-2</v>
      </c>
      <c r="AB6" s="18"/>
    </row>
    <row r="7" spans="1:28">
      <c r="A7" s="14" t="s">
        <v>19</v>
      </c>
      <c r="B7" s="1">
        <v>174220079.78999999</v>
      </c>
      <c r="C7" s="40">
        <v>2.2422460000000002E-2</v>
      </c>
      <c r="D7" s="1">
        <v>210934787.41999999</v>
      </c>
      <c r="E7" s="40">
        <v>1.22919E-3</v>
      </c>
      <c r="F7" s="1">
        <v>613148066.13999999</v>
      </c>
      <c r="G7" s="40">
        <v>0.15701897000000001</v>
      </c>
      <c r="H7" s="1">
        <v>1894470828.55</v>
      </c>
      <c r="I7" s="40">
        <v>7.5076192472152206E-3</v>
      </c>
      <c r="J7" s="1">
        <v>401891975.31</v>
      </c>
      <c r="K7" s="9">
        <v>3.2445199999999999E-3</v>
      </c>
      <c r="L7" s="24">
        <v>0</v>
      </c>
      <c r="M7" s="6">
        <v>0</v>
      </c>
      <c r="N7" s="33">
        <v>345486437.02999997</v>
      </c>
      <c r="O7" s="40">
        <v>2.2212600000000001E-3</v>
      </c>
      <c r="P7" s="30">
        <f t="shared" si="0"/>
        <v>3640152174.2399998</v>
      </c>
      <c r="Q7" s="2">
        <f t="shared" si="1"/>
        <v>5.0399794153705478E-3</v>
      </c>
      <c r="R7" s="1">
        <v>234549004.31</v>
      </c>
      <c r="S7" s="41">
        <v>1.2808109999999999E-2</v>
      </c>
      <c r="T7" s="31">
        <v>670454088.24000001</v>
      </c>
      <c r="U7" s="41">
        <v>2.6700950000000001E-2</v>
      </c>
      <c r="V7" s="8">
        <f t="shared" si="2"/>
        <v>905003092.54999995</v>
      </c>
      <c r="W7" s="42">
        <f t="shared" si="3"/>
        <v>2.0841901652892486E-2</v>
      </c>
      <c r="X7" s="24">
        <v>119336859.63</v>
      </c>
      <c r="Y7" s="41">
        <v>2.3069499999999999E-3</v>
      </c>
      <c r="Z7" s="3">
        <f t="shared" si="4"/>
        <v>4664492126.4200001</v>
      </c>
      <c r="AA7" s="2">
        <f t="shared" si="5"/>
        <v>5.7064498929263723E-3</v>
      </c>
      <c r="AB7" s="18"/>
    </row>
    <row r="8" spans="1:28">
      <c r="A8" s="14" t="s">
        <v>22</v>
      </c>
      <c r="B8" s="6">
        <v>6204194853.8599997</v>
      </c>
      <c r="C8" s="40">
        <v>0.79849201000000003</v>
      </c>
      <c r="D8" s="6">
        <v>138488183048.04001</v>
      </c>
      <c r="E8" s="40">
        <v>0.80701966999999997</v>
      </c>
      <c r="F8" s="6">
        <v>2094965249.1700001</v>
      </c>
      <c r="G8" s="40">
        <v>0.53649243000000002</v>
      </c>
      <c r="H8" s="6">
        <v>185856377135.09</v>
      </c>
      <c r="I8" s="40">
        <v>0.7365322775991564</v>
      </c>
      <c r="J8" s="1">
        <v>102632062158.94</v>
      </c>
      <c r="K8" s="9">
        <v>0.82855942000000005</v>
      </c>
      <c r="L8" s="1">
        <v>5974994305.3900003</v>
      </c>
      <c r="M8" s="40">
        <v>0.82617543999999998</v>
      </c>
      <c r="N8" s="33">
        <v>114991188406.3</v>
      </c>
      <c r="O8" s="40">
        <v>0.73932140999999996</v>
      </c>
      <c r="P8" s="30">
        <f t="shared" si="0"/>
        <v>556241965156.79004</v>
      </c>
      <c r="Q8" s="2">
        <f t="shared" si="1"/>
        <v>0.77014584010922404</v>
      </c>
      <c r="R8" s="1">
        <v>16146937664.9</v>
      </c>
      <c r="S8" s="40">
        <v>0.88174213000000001</v>
      </c>
      <c r="T8" s="31">
        <v>19867350106.279999</v>
      </c>
      <c r="U8" s="40">
        <v>0.79122053999999997</v>
      </c>
      <c r="V8" s="3">
        <f t="shared" si="2"/>
        <v>36014287771.18</v>
      </c>
      <c r="W8" s="2">
        <f t="shared" si="3"/>
        <v>0.82939633025003423</v>
      </c>
      <c r="X8" s="1">
        <v>43489079128.379997</v>
      </c>
      <c r="Y8" s="40">
        <v>0.84070412000000005</v>
      </c>
      <c r="Z8" s="3">
        <f t="shared" si="4"/>
        <v>635745332056.3501</v>
      </c>
      <c r="AA8" s="2">
        <f t="shared" si="5"/>
        <v>0.77775860344859793</v>
      </c>
      <c r="AB8" s="18"/>
    </row>
    <row r="9" spans="1:28">
      <c r="A9" s="14" t="s">
        <v>23</v>
      </c>
      <c r="B9" s="1">
        <v>44774498.890000001</v>
      </c>
      <c r="C9" s="40">
        <v>5.7625699999999998E-3</v>
      </c>
      <c r="D9" s="1">
        <v>12467052591.83</v>
      </c>
      <c r="E9" s="40">
        <v>7.2649930000000001E-2</v>
      </c>
      <c r="F9" s="1">
        <v>24167922.649999999</v>
      </c>
      <c r="G9" s="40">
        <v>6.1890799999999996E-3</v>
      </c>
      <c r="H9" s="1">
        <f>19216246456.87+649350421.5</f>
        <v>19865596878.369999</v>
      </c>
      <c r="I9" s="40">
        <v>7.8725591987933288E-2</v>
      </c>
      <c r="J9" s="1">
        <v>8755229341.2800007</v>
      </c>
      <c r="K9" s="9">
        <v>7.0681889999999997E-2</v>
      </c>
      <c r="L9" s="24">
        <v>0</v>
      </c>
      <c r="M9" s="6">
        <v>0</v>
      </c>
      <c r="N9" s="33">
        <v>13474359986.51</v>
      </c>
      <c r="O9" s="40">
        <v>8.6631710000000001E-2</v>
      </c>
      <c r="P9" s="30">
        <f t="shared" si="0"/>
        <v>54631181219.529999</v>
      </c>
      <c r="Q9" s="2">
        <f t="shared" si="1"/>
        <v>7.5639702848767698E-2</v>
      </c>
      <c r="R9" s="1">
        <v>713038600.40999997</v>
      </c>
      <c r="S9" s="40">
        <v>3.8937180000000002E-2</v>
      </c>
      <c r="T9" s="31">
        <v>127966643.61</v>
      </c>
      <c r="U9" s="40">
        <v>5.0962899999999998E-3</v>
      </c>
      <c r="V9" s="3">
        <f t="shared" si="2"/>
        <v>841005244.01999998</v>
      </c>
      <c r="W9" s="2">
        <f t="shared" si="3"/>
        <v>1.9368053799731388E-2</v>
      </c>
      <c r="X9" s="1">
        <v>4991164555.6000004</v>
      </c>
      <c r="Y9" s="40">
        <v>9.6486119999999995E-2</v>
      </c>
      <c r="Z9" s="3">
        <f t="shared" si="4"/>
        <v>60463351019.149994</v>
      </c>
      <c r="AA9" s="2">
        <f t="shared" si="5"/>
        <v>7.396969993687387E-2</v>
      </c>
      <c r="AB9" s="18"/>
    </row>
    <row r="10" spans="1:28">
      <c r="A10" s="14" t="s">
        <v>24</v>
      </c>
      <c r="B10" s="1">
        <v>1035151798.03</v>
      </c>
      <c r="C10" s="40">
        <v>0.13322606000000001</v>
      </c>
      <c r="D10" s="1">
        <v>2373320763.98</v>
      </c>
      <c r="E10" s="40">
        <v>1.3830179999999999E-2</v>
      </c>
      <c r="F10" s="1">
        <v>653781918.87</v>
      </c>
      <c r="G10" s="40">
        <v>0.16742476000000001</v>
      </c>
      <c r="H10" s="1">
        <v>10063278747.719999</v>
      </c>
      <c r="I10" s="40">
        <v>3.9879877841296915E-2</v>
      </c>
      <c r="J10" s="1">
        <v>4633687602.0299997</v>
      </c>
      <c r="K10" s="9">
        <v>3.7408249999999997E-2</v>
      </c>
      <c r="L10" s="1">
        <v>48100572.950000003</v>
      </c>
      <c r="M10" s="40">
        <v>6.65097E-3</v>
      </c>
      <c r="N10" s="33">
        <v>4263640912.2199998</v>
      </c>
      <c r="O10" s="40">
        <v>2.7412539999999999E-2</v>
      </c>
      <c r="P10" s="30">
        <f t="shared" si="0"/>
        <v>23070962315.799999</v>
      </c>
      <c r="Q10" s="2">
        <f t="shared" si="1"/>
        <v>3.1942943481119236E-2</v>
      </c>
      <c r="R10" s="1">
        <v>811669767.94000006</v>
      </c>
      <c r="S10" s="40">
        <v>4.4323170000000002E-2</v>
      </c>
      <c r="T10" s="31">
        <v>2279374822.2399998</v>
      </c>
      <c r="U10" s="40">
        <v>9.0776480000000007E-2</v>
      </c>
      <c r="V10" s="3">
        <f t="shared" si="2"/>
        <v>3091044590.1799998</v>
      </c>
      <c r="W10" s="2">
        <f t="shared" si="3"/>
        <v>7.1185665423212502E-2</v>
      </c>
      <c r="X10" s="1">
        <v>1317425633.3099999</v>
      </c>
      <c r="Y10" s="40">
        <v>2.546766E-2</v>
      </c>
      <c r="Z10" s="3">
        <f t="shared" si="4"/>
        <v>27479432539.290001</v>
      </c>
      <c r="AA10" s="2">
        <f t="shared" si="5"/>
        <v>3.3617808889273577E-2</v>
      </c>
      <c r="AB10" s="18"/>
    </row>
    <row r="11" spans="1:28">
      <c r="A11" s="14" t="s">
        <v>25</v>
      </c>
      <c r="B11" s="1">
        <v>299913806.27999997</v>
      </c>
      <c r="C11" s="40">
        <v>3.859949E-2</v>
      </c>
      <c r="D11" s="1">
        <v>10215034479.15</v>
      </c>
      <c r="E11" s="40">
        <v>5.9526620000000002E-2</v>
      </c>
      <c r="F11" s="1">
        <v>367569196.93000001</v>
      </c>
      <c r="G11" s="40">
        <v>9.4129530000000003E-2</v>
      </c>
      <c r="H11" s="1">
        <v>24364565572.900002</v>
      </c>
      <c r="I11" s="40">
        <v>9.6554604424891333E-2</v>
      </c>
      <c r="J11" s="1">
        <v>6223950963.9799995</v>
      </c>
      <c r="K11" s="9">
        <v>5.0246609999999997E-2</v>
      </c>
      <c r="L11" s="24">
        <v>0</v>
      </c>
      <c r="M11" s="6">
        <v>0</v>
      </c>
      <c r="N11" s="33">
        <v>6821622268.3299999</v>
      </c>
      <c r="O11" s="40">
        <v>4.3858759999999997E-2</v>
      </c>
      <c r="P11" s="30">
        <f t="shared" si="0"/>
        <v>48292656287.570007</v>
      </c>
      <c r="Q11" s="2">
        <f t="shared" si="1"/>
        <v>6.6863686448420057E-2</v>
      </c>
      <c r="R11" s="1">
        <v>240703630</v>
      </c>
      <c r="S11" s="40">
        <v>1.31442E-2</v>
      </c>
      <c r="T11" s="32">
        <v>0</v>
      </c>
      <c r="U11" s="6">
        <v>0</v>
      </c>
      <c r="V11" s="3">
        <f t="shared" si="2"/>
        <v>240703630</v>
      </c>
      <c r="W11" s="2">
        <f t="shared" si="3"/>
        <v>5.5433196032720249E-3</v>
      </c>
      <c r="X11" s="1">
        <v>863351380.03999996</v>
      </c>
      <c r="Y11" s="40">
        <v>1.6689780000000001E-2</v>
      </c>
      <c r="Z11" s="3">
        <f t="shared" si="4"/>
        <v>49396711297.610008</v>
      </c>
      <c r="AA11" s="2">
        <f t="shared" si="5"/>
        <v>6.0430985894171611E-2</v>
      </c>
      <c r="AB11" s="18"/>
    </row>
    <row r="12" spans="1:28">
      <c r="A12" s="15" t="s">
        <v>26</v>
      </c>
      <c r="B12" s="3">
        <f t="shared" ref="B12:AA12" si="6">SUM(B6:B11)</f>
        <v>7769889734.6999998</v>
      </c>
      <c r="C12" s="38">
        <f>SUM(C6:C11)</f>
        <v>1</v>
      </c>
      <c r="D12" s="3">
        <f t="shared" si="6"/>
        <v>171604470082.39001</v>
      </c>
      <c r="E12" s="38">
        <f t="shared" si="6"/>
        <v>0.99999999999999989</v>
      </c>
      <c r="F12" s="3">
        <f t="shared" si="6"/>
        <v>3904929769.7199998</v>
      </c>
      <c r="G12" s="38">
        <f t="shared" si="6"/>
        <v>1</v>
      </c>
      <c r="H12" s="3">
        <f t="shared" si="6"/>
        <v>252339758606.25998</v>
      </c>
      <c r="I12" s="38">
        <f t="shared" si="6"/>
        <v>1</v>
      </c>
      <c r="J12" s="3">
        <f t="shared" si="6"/>
        <v>123868077742.95999</v>
      </c>
      <c r="K12" s="38">
        <f t="shared" si="6"/>
        <v>1.0000000200000001</v>
      </c>
      <c r="L12" s="3">
        <f t="shared" si="6"/>
        <v>7232113175.8699999</v>
      </c>
      <c r="M12" s="7">
        <f t="shared" si="6"/>
        <v>1</v>
      </c>
      <c r="N12" s="3">
        <f>SUM(N6:N11)</f>
        <v>155536126284.73999</v>
      </c>
      <c r="O12" s="7">
        <f t="shared" si="6"/>
        <v>0.99999999000000006</v>
      </c>
      <c r="P12" s="3">
        <f t="shared" si="6"/>
        <v>722255365396.64014</v>
      </c>
      <c r="Q12" s="7">
        <f t="shared" si="6"/>
        <v>0.99999999999999978</v>
      </c>
      <c r="R12" s="3">
        <f t="shared" si="6"/>
        <v>18312539660.799999</v>
      </c>
      <c r="S12" s="7">
        <f t="shared" si="6"/>
        <v>1.0000000099999999</v>
      </c>
      <c r="T12" s="3">
        <f t="shared" si="6"/>
        <v>25109750090.979996</v>
      </c>
      <c r="U12" s="7">
        <f t="shared" si="6"/>
        <v>0.99999999000000006</v>
      </c>
      <c r="V12" s="3">
        <f t="shared" si="6"/>
        <v>43422289751.779999</v>
      </c>
      <c r="W12" s="7">
        <f t="shared" si="6"/>
        <v>1</v>
      </c>
      <c r="X12" s="3">
        <f t="shared" si="6"/>
        <v>51729351649.629997</v>
      </c>
      <c r="Y12" s="7">
        <f t="shared" si="6"/>
        <v>1</v>
      </c>
      <c r="Z12" s="3">
        <f t="shared" si="6"/>
        <v>817407006798.05017</v>
      </c>
      <c r="AA12" s="7">
        <f t="shared" si="6"/>
        <v>0.99999999999999989</v>
      </c>
    </row>
    <row r="13" spans="1:28">
      <c r="B13" s="18"/>
      <c r="D13" s="19"/>
      <c r="F13" s="18"/>
      <c r="H13" s="18"/>
      <c r="J13" s="18"/>
      <c r="L13" s="18"/>
      <c r="N13" s="18"/>
      <c r="P13" s="18"/>
      <c r="R13" s="18"/>
      <c r="T13" s="18"/>
      <c r="V13" s="18"/>
      <c r="X13" s="18"/>
      <c r="Z13" s="18"/>
    </row>
    <row r="14" spans="1:28">
      <c r="A14" s="5" t="s">
        <v>27</v>
      </c>
      <c r="P14" s="18"/>
      <c r="R14" s="18"/>
      <c r="T14" s="18"/>
    </row>
    <row r="15" spans="1:28">
      <c r="A15" s="5" t="s">
        <v>28</v>
      </c>
      <c r="L15" s="18"/>
      <c r="P15" s="18"/>
    </row>
    <row r="16" spans="1:28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2:26">
      <c r="B17" s="18"/>
      <c r="D17" s="19"/>
      <c r="F17" s="18"/>
      <c r="H17" s="18"/>
      <c r="J17" s="18"/>
      <c r="L17" s="18"/>
      <c r="N17" s="18"/>
      <c r="P17" s="18"/>
      <c r="R17" s="18"/>
      <c r="T17" s="18"/>
      <c r="V17" s="18"/>
      <c r="X17" s="18"/>
      <c r="Z17" s="18"/>
    </row>
    <row r="26" spans="2:26">
      <c r="H26" s="10"/>
    </row>
    <row r="27" spans="2:26">
      <c r="H27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showGridLines="0" workbookViewId="0">
      <pane xSplit="1" ySplit="5" topLeftCell="O6" activePane="bottomRight" state="frozen"/>
      <selection pane="topRight" activeCell="B1" sqref="B1"/>
      <selection pane="bottomLeft" activeCell="A6" sqref="A6"/>
      <selection pane="bottomRight" activeCell="W17" sqref="W17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8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8.85546875" style="16" bestFit="1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11631583.550000001</v>
      </c>
      <c r="C6" s="40">
        <f>+B6/$B$12</f>
        <v>1.4778931460879903E-3</v>
      </c>
      <c r="D6" s="1">
        <v>9238402720.6800003</v>
      </c>
      <c r="E6" s="40">
        <f>+D6/$D$12</f>
        <v>5.3149855633032879E-2</v>
      </c>
      <c r="F6" s="1">
        <v>167204291.5</v>
      </c>
      <c r="G6" s="40">
        <f>+F6/$F$12</f>
        <v>4.2235968443640332E-2</v>
      </c>
      <c r="H6" s="1">
        <v>14601540965.41</v>
      </c>
      <c r="I6" s="40">
        <f>+H6/$H$12</f>
        <v>5.7471259464235779E-2</v>
      </c>
      <c r="J6" s="1">
        <v>1023602398.5</v>
      </c>
      <c r="K6" s="9">
        <f>+J6/$J$12</f>
        <v>8.1500928424643113E-3</v>
      </c>
      <c r="L6" s="1">
        <v>1254203863.0899999</v>
      </c>
      <c r="M6" s="40">
        <f>+L6/L12</f>
        <v>0.17156163509151051</v>
      </c>
      <c r="N6" s="33">
        <v>16156324296.809999</v>
      </c>
      <c r="O6" s="40">
        <f>+N6/$N$12</f>
        <v>0.10322386407299645</v>
      </c>
      <c r="P6" s="30">
        <f t="shared" ref="P6:P11" si="0">+B6+D6+F6+H6+J6+L6+N6</f>
        <v>42452910119.540001</v>
      </c>
      <c r="Q6" s="2">
        <f t="shared" ref="Q6:Q11" si="1">+P6/$P$12</f>
        <v>5.8223593991842112E-2</v>
      </c>
      <c r="R6" s="1">
        <v>107976122.69</v>
      </c>
      <c r="S6" s="40">
        <f>+R6/$R$12</f>
        <v>5.8559582195698463E-3</v>
      </c>
      <c r="T6" s="31">
        <v>2208489016.2800002</v>
      </c>
      <c r="U6" s="40">
        <f>+T6/$T$12</f>
        <v>8.7875167622163478E-2</v>
      </c>
      <c r="V6" s="3">
        <f t="shared" ref="V6:V11" si="2">R6+T6</f>
        <v>2316465138.9700003</v>
      </c>
      <c r="W6" s="2">
        <f t="shared" ref="W6:W11" si="3">V6/$V$12</f>
        <v>5.3165547557090659E-2</v>
      </c>
      <c r="X6" s="1">
        <v>616023794.47000003</v>
      </c>
      <c r="Y6" s="40">
        <f>+X6/$X$12</f>
        <v>1.1762638784200367E-2</v>
      </c>
      <c r="Z6" s="3">
        <f t="shared" ref="Z6:Z11" si="4">P6+V6+X6</f>
        <v>45385399052.980003</v>
      </c>
      <c r="AA6" s="2">
        <f t="shared" ref="AA6:AA11" si="5">Z6/$Z$12</f>
        <v>5.5007412482143671E-2</v>
      </c>
      <c r="AB6" s="18"/>
    </row>
    <row r="7" spans="1:28">
      <c r="A7" s="14" t="s">
        <v>19</v>
      </c>
      <c r="B7" s="1">
        <v>276670620.06999999</v>
      </c>
      <c r="C7" s="40">
        <f t="shared" ref="C7:C11" si="6">+B7/$B$12</f>
        <v>3.5153391743067287E-2</v>
      </c>
      <c r="D7" s="1">
        <v>470363635.05000001</v>
      </c>
      <c r="E7" s="40">
        <f t="shared" ref="E7:E11" si="7">+D7/$D$12</f>
        <v>2.7060694422829769E-3</v>
      </c>
      <c r="F7" s="1">
        <v>674208282.27999997</v>
      </c>
      <c r="G7" s="40">
        <f t="shared" ref="G7:G11" si="8">+F7/$F$12</f>
        <v>0.17030567504793401</v>
      </c>
      <c r="H7" s="1">
        <v>1936157829.6800001</v>
      </c>
      <c r="I7" s="40">
        <f t="shared" ref="I7:I11" si="9">+H7/$H$12</f>
        <v>7.6206634119542352E-3</v>
      </c>
      <c r="J7" s="1">
        <v>402334079.69999999</v>
      </c>
      <c r="K7" s="9">
        <f t="shared" ref="K7:K11" si="10">+J7/$J$12</f>
        <v>3.2034509767147989E-3</v>
      </c>
      <c r="L7" s="24">
        <v>0</v>
      </c>
      <c r="M7" s="6">
        <v>0</v>
      </c>
      <c r="N7" s="33">
        <v>280497111.32999998</v>
      </c>
      <c r="O7" s="40">
        <f t="shared" ref="O7:O11" si="11">+N7/$N$12</f>
        <v>1.7921152832091221E-3</v>
      </c>
      <c r="P7" s="30">
        <f t="shared" si="0"/>
        <v>4040231558.1099997</v>
      </c>
      <c r="Q7" s="2">
        <f t="shared" si="1"/>
        <v>5.541123122302768E-3</v>
      </c>
      <c r="R7" s="1">
        <v>270787320.76999998</v>
      </c>
      <c r="S7" s="40">
        <f t="shared" ref="S7:S11" si="12">+R7/$R$12</f>
        <v>1.468583236102102E-2</v>
      </c>
      <c r="T7" s="31">
        <v>672995696.19000006</v>
      </c>
      <c r="U7" s="40">
        <f t="shared" ref="U7:U10" si="13">+T7/$T$12</f>
        <v>2.6778312763042933E-2</v>
      </c>
      <c r="V7" s="8">
        <f t="shared" si="2"/>
        <v>943783016.96000004</v>
      </c>
      <c r="W7" s="42">
        <f t="shared" si="3"/>
        <v>2.1660909127288706E-2</v>
      </c>
      <c r="X7" s="24">
        <v>253871441.81</v>
      </c>
      <c r="Y7" s="40">
        <v>4.84754E-3</v>
      </c>
      <c r="Z7" s="3">
        <f t="shared" si="4"/>
        <v>5237886016.8800001</v>
      </c>
      <c r="AA7" s="2">
        <f t="shared" si="5"/>
        <v>6.3483534942291664E-3</v>
      </c>
      <c r="AB7" s="18"/>
    </row>
    <row r="8" spans="1:28">
      <c r="A8" s="14" t="s">
        <v>22</v>
      </c>
      <c r="B8" s="6">
        <v>6155322436.3299999</v>
      </c>
      <c r="C8" s="40">
        <f t="shared" si="6"/>
        <v>0.78208687591929271</v>
      </c>
      <c r="D8" s="6">
        <v>138885114895.56</v>
      </c>
      <c r="E8" s="40">
        <f t="shared" si="7"/>
        <v>0.79902598202959263</v>
      </c>
      <c r="F8" s="6">
        <v>1993312372.95</v>
      </c>
      <c r="G8" s="40">
        <f t="shared" si="8"/>
        <v>0.50351266541644979</v>
      </c>
      <c r="H8" s="6">
        <v>183265716568.76999</v>
      </c>
      <c r="I8" s="40">
        <f t="shared" si="9"/>
        <v>0.72132876747554497</v>
      </c>
      <c r="J8" s="1">
        <v>104039019196.37</v>
      </c>
      <c r="K8" s="9">
        <f t="shared" si="10"/>
        <v>0.8283760051089234</v>
      </c>
      <c r="L8" s="1">
        <v>6007822984.3900003</v>
      </c>
      <c r="M8" s="40">
        <f>+L8/L12</f>
        <v>0.82180574057787326</v>
      </c>
      <c r="N8" s="33">
        <v>115566787692.11</v>
      </c>
      <c r="O8" s="40">
        <f t="shared" si="11"/>
        <v>0.738364133136309</v>
      </c>
      <c r="P8" s="30">
        <f t="shared" si="0"/>
        <v>555913096146.47998</v>
      </c>
      <c r="Q8" s="2">
        <f t="shared" si="1"/>
        <v>0.76242731802460595</v>
      </c>
      <c r="R8" s="1">
        <v>16297807832.23</v>
      </c>
      <c r="S8" s="40">
        <f t="shared" si="12"/>
        <v>0.88389246954276879</v>
      </c>
      <c r="T8" s="31">
        <v>19841941852.959999</v>
      </c>
      <c r="U8" s="40">
        <f t="shared" si="13"/>
        <v>0.78950538283185157</v>
      </c>
      <c r="V8" s="3">
        <f t="shared" si="2"/>
        <v>36139749685.190002</v>
      </c>
      <c r="W8" s="2">
        <f t="shared" si="3"/>
        <v>0.82944895145007602</v>
      </c>
      <c r="X8" s="1">
        <v>44323297668.68</v>
      </c>
      <c r="Y8" s="40">
        <v>0.84632921999999999</v>
      </c>
      <c r="Z8" s="3">
        <f t="shared" si="4"/>
        <v>636376143500.34998</v>
      </c>
      <c r="AA8" s="2">
        <f t="shared" si="5"/>
        <v>0.77129221621377697</v>
      </c>
      <c r="AB8" s="18"/>
    </row>
    <row r="9" spans="1:28">
      <c r="A9" s="14" t="s">
        <v>23</v>
      </c>
      <c r="B9" s="1">
        <v>44937236.710000001</v>
      </c>
      <c r="C9" s="40">
        <f t="shared" si="6"/>
        <v>5.7096640240221312E-3</v>
      </c>
      <c r="D9" s="1">
        <v>11934224769.530001</v>
      </c>
      <c r="E9" s="40">
        <f t="shared" si="7"/>
        <v>6.8659306459201014E-2</v>
      </c>
      <c r="F9" s="1">
        <v>25799976.079999998</v>
      </c>
      <c r="G9" s="40">
        <f t="shared" si="8"/>
        <v>6.5170993267332222E-3</v>
      </c>
      <c r="H9" s="1">
        <v>19971521910.259998</v>
      </c>
      <c r="I9" s="40">
        <f t="shared" si="9"/>
        <v>7.8607355231838247E-2</v>
      </c>
      <c r="J9" s="1">
        <v>8804958055.4400005</v>
      </c>
      <c r="K9" s="9">
        <f t="shared" si="10"/>
        <v>7.0106543059101703E-2</v>
      </c>
      <c r="L9" s="24">
        <v>0</v>
      </c>
      <c r="M9" s="6">
        <v>0</v>
      </c>
      <c r="N9" s="33">
        <v>13493515371.51</v>
      </c>
      <c r="O9" s="40">
        <f t="shared" si="11"/>
        <v>8.6210995210751595E-2</v>
      </c>
      <c r="P9" s="30">
        <f t="shared" si="0"/>
        <v>54274957319.529999</v>
      </c>
      <c r="Q9" s="2">
        <f t="shared" si="1"/>
        <v>7.4437372373263228E-2</v>
      </c>
      <c r="R9" s="1">
        <v>713821105.11000001</v>
      </c>
      <c r="S9" s="40">
        <f t="shared" si="12"/>
        <v>3.8713249407671763E-2</v>
      </c>
      <c r="T9" s="31">
        <v>127244831.81999999</v>
      </c>
      <c r="U9" s="40">
        <f t="shared" si="13"/>
        <v>5.0630366928747488E-3</v>
      </c>
      <c r="V9" s="3">
        <f t="shared" si="2"/>
        <v>841065936.93000007</v>
      </c>
      <c r="W9" s="2">
        <f t="shared" si="3"/>
        <v>1.9303433630943164E-2</v>
      </c>
      <c r="X9" s="1">
        <v>4998508094.75</v>
      </c>
      <c r="Y9" s="40">
        <v>9.5443790000000001E-2</v>
      </c>
      <c r="Z9" s="3">
        <f t="shared" si="4"/>
        <v>60114531351.209999</v>
      </c>
      <c r="AA9" s="2">
        <f t="shared" si="5"/>
        <v>7.2859221053596643E-2</v>
      </c>
      <c r="AB9" s="18"/>
    </row>
    <row r="10" spans="1:28">
      <c r="A10" s="14" t="s">
        <v>24</v>
      </c>
      <c r="B10" s="1">
        <v>1034275471.84</v>
      </c>
      <c r="C10" s="40">
        <f t="shared" si="6"/>
        <v>0.13141363120752875</v>
      </c>
      <c r="D10" s="1">
        <v>2354995347.9000001</v>
      </c>
      <c r="E10" s="40">
        <f t="shared" si="7"/>
        <v>1.3548625941274832E-2</v>
      </c>
      <c r="F10" s="1">
        <v>655035582.47000003</v>
      </c>
      <c r="G10" s="40">
        <f t="shared" si="8"/>
        <v>0.16546263222355442</v>
      </c>
      <c r="H10" s="1">
        <v>10000297946.67</v>
      </c>
      <c r="I10" s="40">
        <f t="shared" si="9"/>
        <v>3.9360894810638772E-2</v>
      </c>
      <c r="J10" s="1">
        <v>4627777387.5500002</v>
      </c>
      <c r="K10" s="9">
        <f t="shared" si="10"/>
        <v>3.6847134608183951E-2</v>
      </c>
      <c r="L10" s="1">
        <v>48487897.969999999</v>
      </c>
      <c r="M10" s="40">
        <f>+L10/L12</f>
        <v>6.6326243306161761E-3</v>
      </c>
      <c r="N10" s="33">
        <v>4220408004.6500001</v>
      </c>
      <c r="O10" s="40">
        <f t="shared" si="11"/>
        <v>2.6964476213849859E-2</v>
      </c>
      <c r="P10" s="30">
        <f t="shared" si="0"/>
        <v>22941277639.050003</v>
      </c>
      <c r="Q10" s="2">
        <f t="shared" si="1"/>
        <v>3.1463653048731131E-2</v>
      </c>
      <c r="R10" s="1">
        <v>809271294.27999997</v>
      </c>
      <c r="S10" s="40">
        <f t="shared" si="12"/>
        <v>4.3889878331774851E-2</v>
      </c>
      <c r="T10" s="31">
        <v>2281445855.4400001</v>
      </c>
      <c r="U10" s="40">
        <f t="shared" si="13"/>
        <v>9.0778100090067301E-2</v>
      </c>
      <c r="V10" s="3">
        <f t="shared" si="2"/>
        <v>3090717149.7200003</v>
      </c>
      <c r="W10" s="2">
        <f t="shared" si="3"/>
        <v>7.0935524495748692E-2</v>
      </c>
      <c r="X10" s="1">
        <v>1318226245.3099999</v>
      </c>
      <c r="Y10" s="40">
        <v>2.5170809999999998E-2</v>
      </c>
      <c r="Z10" s="3">
        <f t="shared" si="4"/>
        <v>27350221034.080006</v>
      </c>
      <c r="AA10" s="2">
        <f t="shared" si="5"/>
        <v>3.3148654000887491E-2</v>
      </c>
      <c r="AB10" s="18"/>
    </row>
    <row r="11" spans="1:28">
      <c r="A11" s="14" t="s">
        <v>25</v>
      </c>
      <c r="B11" s="1">
        <v>347544607.58999997</v>
      </c>
      <c r="C11" s="40">
        <f t="shared" si="6"/>
        <v>4.4158543960001136E-2</v>
      </c>
      <c r="D11" s="1">
        <v>10934919595.73</v>
      </c>
      <c r="E11" s="40">
        <f t="shared" si="7"/>
        <v>6.291016049461555E-2</v>
      </c>
      <c r="F11" s="1">
        <v>443252271.16000003</v>
      </c>
      <c r="G11" s="40">
        <f t="shared" si="8"/>
        <v>0.11196595954168838</v>
      </c>
      <c r="H11" s="1">
        <v>24291599254.91</v>
      </c>
      <c r="I11" s="40">
        <f t="shared" si="9"/>
        <v>9.561105960578789E-2</v>
      </c>
      <c r="J11" s="1">
        <v>6696264471.1099997</v>
      </c>
      <c r="K11" s="9">
        <f t="shared" si="10"/>
        <v>5.3316773404611828E-2</v>
      </c>
      <c r="L11" s="24">
        <v>0</v>
      </c>
      <c r="M11" s="6">
        <v>0</v>
      </c>
      <c r="N11" s="33">
        <v>6799804303.2399998</v>
      </c>
      <c r="O11" s="40">
        <f t="shared" si="11"/>
        <v>4.3444416082884012E-2</v>
      </c>
      <c r="P11" s="30">
        <f t="shared" si="0"/>
        <v>49513384503.739998</v>
      </c>
      <c r="Q11" s="2">
        <f t="shared" si="1"/>
        <v>6.790693943925466E-2</v>
      </c>
      <c r="R11" s="1">
        <v>239013419.5</v>
      </c>
      <c r="S11" s="40">
        <f t="shared" si="12"/>
        <v>1.29626121371938E-2</v>
      </c>
      <c r="T11" s="24">
        <v>0</v>
      </c>
      <c r="U11" s="6">
        <v>0</v>
      </c>
      <c r="V11" s="3">
        <f t="shared" si="2"/>
        <v>239013419.5</v>
      </c>
      <c r="W11" s="2">
        <f t="shared" si="3"/>
        <v>5.4856337388527725E-3</v>
      </c>
      <c r="X11" s="1">
        <v>861297084.12</v>
      </c>
      <c r="Y11" s="40">
        <v>1.6445999999999999E-2</v>
      </c>
      <c r="Z11" s="3">
        <f t="shared" si="4"/>
        <v>50613695007.360001</v>
      </c>
      <c r="AA11" s="2">
        <f t="shared" si="5"/>
        <v>6.1344142755366197E-2</v>
      </c>
      <c r="AB11" s="18"/>
    </row>
    <row r="12" spans="1:28">
      <c r="A12" s="15" t="s">
        <v>26</v>
      </c>
      <c r="B12" s="3">
        <f t="shared" ref="B12:AA12" si="14">SUM(B6:B11)</f>
        <v>7870381956.0900002</v>
      </c>
      <c r="C12" s="38">
        <f>SUM(C6:C11)</f>
        <v>1</v>
      </c>
      <c r="D12" s="3">
        <f t="shared" si="14"/>
        <v>173818020964.45001</v>
      </c>
      <c r="E12" s="38">
        <f t="shared" si="14"/>
        <v>0.99999999999999989</v>
      </c>
      <c r="F12" s="3">
        <f t="shared" si="14"/>
        <v>3958812776.4399996</v>
      </c>
      <c r="G12" s="38">
        <f t="shared" si="14"/>
        <v>1.0000000000000002</v>
      </c>
      <c r="H12" s="3">
        <f t="shared" si="14"/>
        <v>254066834475.70001</v>
      </c>
      <c r="I12" s="38">
        <f t="shared" si="14"/>
        <v>0.99999999999999989</v>
      </c>
      <c r="J12" s="3">
        <f t="shared" si="14"/>
        <v>125593955588.67</v>
      </c>
      <c r="K12" s="38">
        <f t="shared" si="14"/>
        <v>1</v>
      </c>
      <c r="L12" s="3">
        <f t="shared" si="14"/>
        <v>7310514745.4500008</v>
      </c>
      <c r="M12" s="7">
        <f t="shared" si="14"/>
        <v>0.99999999999999989</v>
      </c>
      <c r="N12" s="3">
        <f>SUM(N6:N11)</f>
        <v>156517336779.64999</v>
      </c>
      <c r="O12" s="7">
        <f t="shared" si="14"/>
        <v>1</v>
      </c>
      <c r="P12" s="3">
        <f t="shared" si="14"/>
        <v>729135857286.45007</v>
      </c>
      <c r="Q12" s="7">
        <f t="shared" si="14"/>
        <v>0.99999999999999978</v>
      </c>
      <c r="R12" s="3">
        <f t="shared" si="14"/>
        <v>18438677094.579998</v>
      </c>
      <c r="S12" s="7">
        <f t="shared" si="14"/>
        <v>1</v>
      </c>
      <c r="T12" s="3">
        <f t="shared" si="14"/>
        <v>25132117252.689999</v>
      </c>
      <c r="U12" s="7">
        <f t="shared" si="14"/>
        <v>1</v>
      </c>
      <c r="V12" s="3">
        <f t="shared" si="14"/>
        <v>43570794347.270004</v>
      </c>
      <c r="W12" s="7">
        <f t="shared" si="14"/>
        <v>1</v>
      </c>
      <c r="X12" s="3">
        <f t="shared" si="14"/>
        <v>52371224329.139999</v>
      </c>
      <c r="Y12" s="7">
        <f t="shared" si="14"/>
        <v>0.99999999878420032</v>
      </c>
      <c r="Z12" s="3">
        <f t="shared" si="14"/>
        <v>825077875962.85986</v>
      </c>
      <c r="AA12" s="7">
        <f t="shared" si="14"/>
        <v>1.0000000000000002</v>
      </c>
    </row>
    <row r="13" spans="1:28">
      <c r="B13" s="18"/>
      <c r="D13" s="19"/>
      <c r="F13" s="18"/>
      <c r="H13" s="18"/>
      <c r="J13" s="18"/>
      <c r="L13" s="18"/>
      <c r="N13" s="18"/>
      <c r="P13" s="18"/>
      <c r="R13" s="18"/>
      <c r="T13" s="18"/>
      <c r="V13" s="18"/>
      <c r="X13" s="18"/>
      <c r="Z13" s="18"/>
    </row>
    <row r="14" spans="1:28">
      <c r="A14" s="5" t="s">
        <v>27</v>
      </c>
      <c r="P14" s="18"/>
      <c r="R14" s="18"/>
      <c r="T14" s="18"/>
      <c r="Z14" s="18"/>
    </row>
    <row r="15" spans="1:28">
      <c r="A15" s="5" t="s">
        <v>28</v>
      </c>
      <c r="L15" s="18"/>
      <c r="P15" s="18"/>
    </row>
    <row r="16" spans="1:28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2:26">
      <c r="B17" s="18">
        <f>+B12-'[1]Septiembre 2021'!$C$139</f>
        <v>0</v>
      </c>
      <c r="D17" s="19"/>
      <c r="F17" s="18"/>
      <c r="H17" s="18"/>
      <c r="J17" s="18"/>
      <c r="L17" s="18"/>
      <c r="N17" s="18"/>
      <c r="P17" s="18"/>
      <c r="R17" s="18"/>
      <c r="T17" s="18"/>
      <c r="V17" s="18"/>
      <c r="X17" s="18"/>
      <c r="Z17" s="18"/>
    </row>
    <row r="26" spans="2:26">
      <c r="H26" s="10"/>
    </row>
    <row r="27" spans="2:26">
      <c r="H27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V23" sqref="V23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8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8.85546875" style="16" bestFit="1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38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11659808.25</v>
      </c>
      <c r="C6" s="40">
        <f>+B6/$B$12</f>
        <v>1.4504492649436462E-3</v>
      </c>
      <c r="D6" s="1">
        <v>10836953397.52</v>
      </c>
      <c r="E6" s="40">
        <f>+D6/$D$12</f>
        <v>6.1013711147226722E-2</v>
      </c>
      <c r="F6" s="1">
        <v>165008989.13</v>
      </c>
      <c r="G6" s="40">
        <f>+F6/$F$12</f>
        <v>3.842275365484072E-2</v>
      </c>
      <c r="H6" s="1">
        <v>5382901495.4099998</v>
      </c>
      <c r="I6" s="40">
        <f>+H6/$H$12</f>
        <v>2.0922056129179214E-2</v>
      </c>
      <c r="J6" s="1">
        <v>986843905.09000003</v>
      </c>
      <c r="K6" s="9">
        <f>+J6/$J$12</f>
        <v>7.7408558795543396E-3</v>
      </c>
      <c r="L6" s="1">
        <v>1306718742.78</v>
      </c>
      <c r="M6" s="40">
        <f>+L6/L12</f>
        <v>0.17674370824816588</v>
      </c>
      <c r="N6" s="33">
        <v>12416155173.27</v>
      </c>
      <c r="O6" s="40">
        <f>+N6/$N$12</f>
        <v>7.8326728942757051E-2</v>
      </c>
      <c r="P6" s="30">
        <f t="shared" ref="P6:P11" si="0">+B6+D6+F6+H6+J6+L6+N6</f>
        <v>31106241511.449997</v>
      </c>
      <c r="Q6" s="2">
        <f t="shared" ref="Q6:Q11" si="1">+P6/$P$12</f>
        <v>4.1999827655856165E-2</v>
      </c>
      <c r="R6" s="1">
        <v>529954812.69</v>
      </c>
      <c r="S6" s="40">
        <f>+R6/$R$12</f>
        <v>2.8006531618005349E-2</v>
      </c>
      <c r="T6" s="31">
        <v>2167418785.9299998</v>
      </c>
      <c r="U6" s="40">
        <f>+T6/$T$12</f>
        <v>8.5966836653001824E-2</v>
      </c>
      <c r="V6" s="3">
        <f t="shared" ref="V6:V11" si="2">R6+T6</f>
        <v>2697373598.6199999</v>
      </c>
      <c r="W6" s="2">
        <f t="shared" ref="W6:W11" si="3">V6/$V$12</f>
        <v>6.111669237896733E-2</v>
      </c>
      <c r="X6" s="1">
        <v>928945924.69000006</v>
      </c>
      <c r="Y6" s="41">
        <f>+X6/$X$12</f>
        <v>1.736156910754514E-2</v>
      </c>
      <c r="Z6" s="3">
        <f t="shared" ref="Z6:Z11" si="4">P6+V6+X6</f>
        <v>34732561034.759995</v>
      </c>
      <c r="AA6" s="2">
        <f t="shared" ref="AA6:AA11" si="5">Z6/$Z$12</f>
        <v>4.1433693595634154E-2</v>
      </c>
      <c r="AB6" s="18"/>
    </row>
    <row r="7" spans="1:28">
      <c r="A7" s="14" t="s">
        <v>19</v>
      </c>
      <c r="B7" s="1">
        <v>241900324.27000001</v>
      </c>
      <c r="C7" s="40">
        <f t="shared" ref="C7:C11" si="6">+B7/$B$12</f>
        <v>3.0091759658830684E-2</v>
      </c>
      <c r="D7" s="1">
        <v>571152759.88999999</v>
      </c>
      <c r="E7" s="40">
        <f t="shared" ref="E7:E11" si="7">+D7/$D$12</f>
        <v>3.2156777125981438E-3</v>
      </c>
      <c r="F7" s="1">
        <v>601925952.30999994</v>
      </c>
      <c r="G7" s="40">
        <f t="shared" ref="G7:G11" si="8">+F7/$F$12</f>
        <v>0.1401599555636435</v>
      </c>
      <c r="H7" s="1">
        <v>807687292.90999997</v>
      </c>
      <c r="I7" s="40">
        <f t="shared" ref="I7:I11" si="9">+H7/$H$12</f>
        <v>3.1392881499869847E-3</v>
      </c>
      <c r="J7" s="1">
        <v>242019017.52000001</v>
      </c>
      <c r="K7" s="9">
        <f t="shared" ref="K7:K11" si="10">+J7/$J$12</f>
        <v>1.8984099968300456E-3</v>
      </c>
      <c r="L7" s="24">
        <v>0</v>
      </c>
      <c r="M7" s="6">
        <v>0</v>
      </c>
      <c r="N7" s="33">
        <v>421344778.70999998</v>
      </c>
      <c r="O7" s="40">
        <f t="shared" ref="O7:O11" si="11">+N7/$N$12</f>
        <v>2.6580336515536918E-3</v>
      </c>
      <c r="P7" s="30">
        <f t="shared" si="0"/>
        <v>2886030125.6099997</v>
      </c>
      <c r="Q7" s="2">
        <f t="shared" si="1"/>
        <v>3.896734610017456E-3</v>
      </c>
      <c r="R7" s="1">
        <v>110239110.11</v>
      </c>
      <c r="S7" s="40">
        <f t="shared" ref="S7:S11" si="12">+R7/$R$12</f>
        <v>5.8258082555474192E-3</v>
      </c>
      <c r="T7" s="31">
        <v>676901560.02999997</v>
      </c>
      <c r="U7" s="40">
        <f t="shared" ref="U7:U10" si="13">+T7/$T$12</f>
        <v>2.6848104399119336E-2</v>
      </c>
      <c r="V7" s="8">
        <f t="shared" si="2"/>
        <v>787140670.13999999</v>
      </c>
      <c r="W7" s="42">
        <f t="shared" si="3"/>
        <v>1.78349169801813E-2</v>
      </c>
      <c r="X7" s="24">
        <v>231847328.62</v>
      </c>
      <c r="Y7" s="41">
        <f t="shared" ref="Y7:Y11" si="14">+X7/$X$12</f>
        <v>4.3331191959091967E-3</v>
      </c>
      <c r="Z7" s="3">
        <f t="shared" si="4"/>
        <v>3905018124.3699994</v>
      </c>
      <c r="AA7" s="2">
        <f t="shared" si="5"/>
        <v>4.6584334592723363E-3</v>
      </c>
      <c r="AB7" s="18"/>
    </row>
    <row r="8" spans="1:28">
      <c r="A8" s="14" t="s">
        <v>22</v>
      </c>
      <c r="B8" s="6">
        <v>5742946088.8699999</v>
      </c>
      <c r="C8" s="40">
        <f t="shared" si="6"/>
        <v>0.71440728308825141</v>
      </c>
      <c r="D8" s="6">
        <v>142151354599.69</v>
      </c>
      <c r="E8" s="40">
        <f t="shared" si="7"/>
        <v>0.80033394724363327</v>
      </c>
      <c r="F8" s="6">
        <v>2272914349.6300001</v>
      </c>
      <c r="G8" s="40">
        <f t="shared" si="8"/>
        <v>0.52925376123347445</v>
      </c>
      <c r="H8" s="6">
        <v>196581314574.60001</v>
      </c>
      <c r="I8" s="40">
        <f t="shared" si="9"/>
        <v>0.76406475225018966</v>
      </c>
      <c r="J8" s="1">
        <v>105392794053.95</v>
      </c>
      <c r="K8" s="9">
        <f t="shared" si="10"/>
        <v>0.826706660807491</v>
      </c>
      <c r="L8" s="1">
        <v>6037713064.0500002</v>
      </c>
      <c r="M8" s="40">
        <f>+L8/L12</f>
        <v>0.81664688914487793</v>
      </c>
      <c r="N8" s="33">
        <v>121092184314.49001</v>
      </c>
      <c r="O8" s="40">
        <f t="shared" si="11"/>
        <v>0.76390432992546664</v>
      </c>
      <c r="P8" s="30">
        <f t="shared" si="0"/>
        <v>579271221045.28003</v>
      </c>
      <c r="Q8" s="2">
        <f t="shared" si="1"/>
        <v>0.78213536151398022</v>
      </c>
      <c r="R8" s="1">
        <v>16554403750.82</v>
      </c>
      <c r="S8" s="40">
        <f t="shared" si="12"/>
        <v>0.87485087589113086</v>
      </c>
      <c r="T8" s="31">
        <v>19954844902.98</v>
      </c>
      <c r="U8" s="40">
        <f t="shared" si="13"/>
        <v>0.79147366597839897</v>
      </c>
      <c r="V8" s="3">
        <f t="shared" si="2"/>
        <v>36509248653.800003</v>
      </c>
      <c r="W8" s="2">
        <f t="shared" si="3"/>
        <v>0.82722116065163798</v>
      </c>
      <c r="X8" s="1">
        <v>45145497464.830002</v>
      </c>
      <c r="Y8" s="41">
        <f t="shared" si="14"/>
        <v>0.84374843927725063</v>
      </c>
      <c r="Z8" s="3">
        <f t="shared" si="4"/>
        <v>660925967163.91003</v>
      </c>
      <c r="AA8" s="2">
        <f t="shared" si="5"/>
        <v>0.78844183086474318</v>
      </c>
      <c r="AB8" s="18"/>
    </row>
    <row r="9" spans="1:28">
      <c r="A9" s="14" t="s">
        <v>23</v>
      </c>
      <c r="B9" s="1">
        <v>45095645.439999998</v>
      </c>
      <c r="C9" s="40">
        <f t="shared" si="6"/>
        <v>5.6097788555491282E-3</v>
      </c>
      <c r="D9" s="1">
        <v>10917814642.700001</v>
      </c>
      <c r="E9" s="40">
        <f t="shared" si="7"/>
        <v>6.1468972370140783E-2</v>
      </c>
      <c r="F9" s="1">
        <v>28918350.420000002</v>
      </c>
      <c r="G9" s="40">
        <f t="shared" si="8"/>
        <v>6.7337098430233855E-3</v>
      </c>
      <c r="H9" s="1">
        <v>20253258212.84</v>
      </c>
      <c r="I9" s="40">
        <f t="shared" si="9"/>
        <v>7.8719591188715105E-2</v>
      </c>
      <c r="J9" s="1">
        <v>8940534027.0400009</v>
      </c>
      <c r="K9" s="9">
        <f t="shared" si="10"/>
        <v>7.0130022623240015E-2</v>
      </c>
      <c r="L9" s="24">
        <v>0</v>
      </c>
      <c r="M9" s="6">
        <v>0</v>
      </c>
      <c r="N9" s="33">
        <v>13572918670.120001</v>
      </c>
      <c r="O9" s="40">
        <f t="shared" si="11"/>
        <v>8.5624116870358424E-2</v>
      </c>
      <c r="P9" s="30">
        <f t="shared" si="0"/>
        <v>53758539548.560005</v>
      </c>
      <c r="Q9" s="2">
        <f t="shared" si="1"/>
        <v>7.2585091813131747E-2</v>
      </c>
      <c r="R9" s="1">
        <v>715688665.30999994</v>
      </c>
      <c r="S9" s="40">
        <f t="shared" si="12"/>
        <v>3.7822011903074056E-2</v>
      </c>
      <c r="T9" s="31">
        <v>127815364.18000001</v>
      </c>
      <c r="U9" s="40">
        <f t="shared" si="13"/>
        <v>5.0695705903883734E-3</v>
      </c>
      <c r="V9" s="3">
        <f t="shared" si="2"/>
        <v>843504029.49000001</v>
      </c>
      <c r="W9" s="2">
        <f t="shared" si="3"/>
        <v>1.911198964694185E-2</v>
      </c>
      <c r="X9" s="1">
        <v>5017770048.5500002</v>
      </c>
      <c r="Y9" s="41">
        <f t="shared" si="14"/>
        <v>9.3779798315755239E-2</v>
      </c>
      <c r="Z9" s="3">
        <f t="shared" si="4"/>
        <v>59619813626.600006</v>
      </c>
      <c r="AA9" s="2">
        <f t="shared" si="5"/>
        <v>7.1122572492167746E-2</v>
      </c>
      <c r="AB9" s="18"/>
    </row>
    <row r="10" spans="1:28">
      <c r="A10" s="14" t="s">
        <v>24</v>
      </c>
      <c r="B10" s="1">
        <v>1652862210.0699999</v>
      </c>
      <c r="C10" s="40">
        <f t="shared" si="6"/>
        <v>0.20561168127693369</v>
      </c>
      <c r="D10" s="1">
        <v>2362375360.0300002</v>
      </c>
      <c r="E10" s="40">
        <f t="shared" si="7"/>
        <v>1.3300535911798004E-2</v>
      </c>
      <c r="F10" s="1">
        <v>764006829.45000005</v>
      </c>
      <c r="G10" s="40">
        <f t="shared" si="8"/>
        <v>0.17790089105658446</v>
      </c>
      <c r="H10" s="1">
        <v>10045618944.84</v>
      </c>
      <c r="I10" s="40">
        <f t="shared" si="9"/>
        <v>3.9044928389550648E-2</v>
      </c>
      <c r="J10" s="1">
        <v>5242091422.9799995</v>
      </c>
      <c r="K10" s="9">
        <f t="shared" si="10"/>
        <v>4.1119242874621972E-2</v>
      </c>
      <c r="L10" s="1">
        <v>48865277.020000003</v>
      </c>
      <c r="M10" s="40">
        <f>+L10/L12</f>
        <v>6.6094026069562191E-3</v>
      </c>
      <c r="N10" s="33">
        <v>4235711094.46</v>
      </c>
      <c r="O10" s="40">
        <f t="shared" si="11"/>
        <v>2.672078353932333E-2</v>
      </c>
      <c r="P10" s="30">
        <f t="shared" si="0"/>
        <v>24351531138.849998</v>
      </c>
      <c r="Q10" s="2">
        <f t="shared" si="1"/>
        <v>3.2879578544114489E-2</v>
      </c>
      <c r="R10" s="1">
        <v>810714463.22000003</v>
      </c>
      <c r="S10" s="40">
        <f t="shared" si="12"/>
        <v>4.2843841972290492E-2</v>
      </c>
      <c r="T10" s="31">
        <v>2285285771.4000001</v>
      </c>
      <c r="U10" s="40">
        <f t="shared" si="13"/>
        <v>9.064182237909145E-2</v>
      </c>
      <c r="V10" s="3">
        <f t="shared" si="2"/>
        <v>3096000234.6199999</v>
      </c>
      <c r="W10" s="2">
        <f t="shared" si="3"/>
        <v>7.0148715788308474E-2</v>
      </c>
      <c r="X10" s="1">
        <v>1320523496.9300001</v>
      </c>
      <c r="Y10" s="41">
        <f t="shared" si="14"/>
        <v>2.4679972580468727E-2</v>
      </c>
      <c r="Z10" s="3">
        <f t="shared" si="4"/>
        <v>28768054870.399998</v>
      </c>
      <c r="AA10" s="2">
        <f t="shared" si="5"/>
        <v>3.4318424421672683E-2</v>
      </c>
      <c r="AB10" s="18"/>
    </row>
    <row r="11" spans="1:28">
      <c r="A11" s="14" t="s">
        <v>25</v>
      </c>
      <c r="B11" s="1">
        <v>344292280.74000001</v>
      </c>
      <c r="C11" s="40">
        <f t="shared" si="6"/>
        <v>4.2829047855491492E-2</v>
      </c>
      <c r="D11" s="1">
        <v>10775399919.030001</v>
      </c>
      <c r="E11" s="40">
        <f t="shared" si="7"/>
        <v>6.0667155614603008E-2</v>
      </c>
      <c r="F11" s="1">
        <v>461789906.51999998</v>
      </c>
      <c r="G11" s="40">
        <f t="shared" si="8"/>
        <v>0.10752892864843334</v>
      </c>
      <c r="H11" s="1">
        <v>24212799170.34</v>
      </c>
      <c r="I11" s="40">
        <f t="shared" si="9"/>
        <v>9.4109383892378384E-2</v>
      </c>
      <c r="J11" s="1">
        <v>6680832972.1599998</v>
      </c>
      <c r="K11" s="9">
        <f t="shared" si="10"/>
        <v>5.2404807818262601E-2</v>
      </c>
      <c r="L11" s="24">
        <v>0</v>
      </c>
      <c r="M11" s="6">
        <v>0</v>
      </c>
      <c r="N11" s="33">
        <v>6779159389.0900002</v>
      </c>
      <c r="O11" s="40">
        <f t="shared" si="11"/>
        <v>4.2766007070540991E-2</v>
      </c>
      <c r="P11" s="30">
        <f t="shared" si="0"/>
        <v>49254273637.880005</v>
      </c>
      <c r="Q11" s="2">
        <f t="shared" si="1"/>
        <v>6.6503405862899767E-2</v>
      </c>
      <c r="R11" s="1">
        <v>201542693</v>
      </c>
      <c r="S11" s="40">
        <f t="shared" si="12"/>
        <v>1.0650930359951715E-2</v>
      </c>
      <c r="T11" s="24">
        <v>0</v>
      </c>
      <c r="U11" s="6">
        <v>0</v>
      </c>
      <c r="V11" s="3">
        <f t="shared" si="2"/>
        <v>201542693</v>
      </c>
      <c r="W11" s="2">
        <f t="shared" si="3"/>
        <v>4.5665245539629577E-3</v>
      </c>
      <c r="X11" s="1">
        <v>861289481.75999999</v>
      </c>
      <c r="Y11" s="41">
        <f t="shared" si="14"/>
        <v>1.6097101523070978E-2</v>
      </c>
      <c r="Z11" s="3">
        <f t="shared" si="4"/>
        <v>50317105812.640007</v>
      </c>
      <c r="AA11" s="2">
        <f t="shared" si="5"/>
        <v>6.002504516650984E-2</v>
      </c>
      <c r="AB11" s="18"/>
    </row>
    <row r="12" spans="1:28">
      <c r="A12" s="15" t="s">
        <v>26</v>
      </c>
      <c r="B12" s="3">
        <f t="shared" ref="B12:AA12" si="15">SUM(B6:B11)</f>
        <v>8038756357.6399994</v>
      </c>
      <c r="C12" s="38">
        <f>SUM(C6:C11)</f>
        <v>1.0000000000000002</v>
      </c>
      <c r="D12" s="3">
        <f t="shared" si="15"/>
        <v>177615050678.86002</v>
      </c>
      <c r="E12" s="38">
        <f t="shared" si="15"/>
        <v>1</v>
      </c>
      <c r="F12" s="3">
        <f t="shared" si="15"/>
        <v>4294564377.4600005</v>
      </c>
      <c r="G12" s="38">
        <f t="shared" si="15"/>
        <v>0.99999999999999978</v>
      </c>
      <c r="H12" s="3">
        <f t="shared" si="15"/>
        <v>257283579690.94</v>
      </c>
      <c r="I12" s="38">
        <f t="shared" si="15"/>
        <v>1</v>
      </c>
      <c r="J12" s="3">
        <f t="shared" si="15"/>
        <v>127485115398.74001</v>
      </c>
      <c r="K12" s="38">
        <f t="shared" si="15"/>
        <v>1</v>
      </c>
      <c r="L12" s="3">
        <f t="shared" si="15"/>
        <v>7393297083.8500004</v>
      </c>
      <c r="M12" s="7">
        <f t="shared" si="15"/>
        <v>1</v>
      </c>
      <c r="N12" s="3">
        <f>SUM(N6:N11)</f>
        <v>158517473420.13998</v>
      </c>
      <c r="O12" s="7">
        <f t="shared" si="15"/>
        <v>1</v>
      </c>
      <c r="P12" s="3">
        <f t="shared" si="15"/>
        <v>740627837007.63013</v>
      </c>
      <c r="Q12" s="7">
        <f t="shared" si="15"/>
        <v>0.99999999999999978</v>
      </c>
      <c r="R12" s="3">
        <f t="shared" si="15"/>
        <v>18922543495.150002</v>
      </c>
      <c r="S12" s="7">
        <f t="shared" si="15"/>
        <v>0.99999999999999989</v>
      </c>
      <c r="T12" s="3">
        <f t="shared" si="15"/>
        <v>25212266384.52</v>
      </c>
      <c r="U12" s="7">
        <f t="shared" si="15"/>
        <v>1</v>
      </c>
      <c r="V12" s="3">
        <f t="shared" si="15"/>
        <v>44134809879.670006</v>
      </c>
      <c r="W12" s="7">
        <f t="shared" si="15"/>
        <v>1</v>
      </c>
      <c r="X12" s="3">
        <f t="shared" si="15"/>
        <v>53505873745.380005</v>
      </c>
      <c r="Y12" s="7">
        <f t="shared" si="15"/>
        <v>0.99999999999999989</v>
      </c>
      <c r="Z12" s="3">
        <f t="shared" si="15"/>
        <v>838268520632.68005</v>
      </c>
      <c r="AA12" s="7">
        <f t="shared" si="15"/>
        <v>0.99999999999999989</v>
      </c>
    </row>
    <row r="13" spans="1:28">
      <c r="B13" s="18"/>
      <c r="D13" s="19"/>
      <c r="F13" s="18"/>
      <c r="H13" s="18"/>
      <c r="J13" s="18"/>
      <c r="L13" s="18"/>
      <c r="N13" s="18"/>
      <c r="P13" s="18"/>
      <c r="R13" s="18"/>
      <c r="T13" s="18"/>
      <c r="V13" s="18"/>
      <c r="X13" s="18"/>
      <c r="Z13" s="18"/>
    </row>
    <row r="14" spans="1:28">
      <c r="A14" s="5" t="s">
        <v>27</v>
      </c>
      <c r="P14" s="18"/>
      <c r="R14" s="18"/>
      <c r="T14" s="18"/>
      <c r="Z14" s="18"/>
    </row>
    <row r="15" spans="1:28">
      <c r="A15" s="5" t="s">
        <v>28</v>
      </c>
      <c r="L15" s="18"/>
      <c r="P15" s="18"/>
    </row>
    <row r="16" spans="1:28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2:26">
      <c r="B17" s="18"/>
      <c r="D17" s="19"/>
      <c r="F17" s="18"/>
      <c r="H17" s="18"/>
      <c r="J17" s="18"/>
      <c r="L17" s="18"/>
      <c r="N17" s="18"/>
      <c r="P17" s="18"/>
      <c r="R17" s="18"/>
      <c r="T17" s="18"/>
      <c r="V17" s="18"/>
      <c r="X17" s="18"/>
      <c r="Z17" s="18"/>
    </row>
    <row r="26" spans="2:26">
      <c r="H26" s="10"/>
    </row>
    <row r="27" spans="2:26">
      <c r="H27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V22" sqref="V22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8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8.85546875" style="16" bestFit="1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39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11691032.289999999</v>
      </c>
      <c r="C6" s="40">
        <f>+B6/$B$12</f>
        <v>1.425048500985261E-3</v>
      </c>
      <c r="D6" s="1">
        <v>10439875608.809999</v>
      </c>
      <c r="E6" s="40">
        <f>+D6/$D$12</f>
        <v>5.8204398968661683E-2</v>
      </c>
      <c r="F6" s="1">
        <v>271416831.35000002</v>
      </c>
      <c r="G6" s="40">
        <f>+F6/$F$12</f>
        <v>6.1734140347814548E-2</v>
      </c>
      <c r="H6" s="1">
        <v>9309800457.2099991</v>
      </c>
      <c r="I6" s="40">
        <f>+H6/$H$12</f>
        <v>3.5827927071932199E-2</v>
      </c>
      <c r="J6" s="1">
        <v>3327525774.3299999</v>
      </c>
      <c r="K6" s="9">
        <f>+J6/$J$12</f>
        <v>2.5767974031704142E-2</v>
      </c>
      <c r="L6" s="1">
        <v>1374049501.9100001</v>
      </c>
      <c r="M6" s="40">
        <f>+L6/L12</f>
        <v>0.18403213381677963</v>
      </c>
      <c r="N6" s="1">
        <v>16997793331.719999</v>
      </c>
      <c r="O6" s="40">
        <f>+N6/$N$12</f>
        <v>0.1060840135719755</v>
      </c>
      <c r="P6" s="30">
        <f t="shared" ref="P6:P11" si="0">+B6+D6+F6+H6+J6+L6+N6</f>
        <v>41732152537.619995</v>
      </c>
      <c r="Q6" s="2">
        <f t="shared" ref="Q6:Q11" si="1">+P6/$P$12</f>
        <v>5.5743661950001556E-2</v>
      </c>
      <c r="R6" s="1">
        <v>453330347.88999999</v>
      </c>
      <c r="S6" s="40">
        <f>+R6/$R$12</f>
        <v>2.3842989513640219E-2</v>
      </c>
      <c r="T6" s="1">
        <v>3628792626.3299999</v>
      </c>
      <c r="U6" s="40">
        <f>+T6/$T$12</f>
        <v>0.14404245915265423</v>
      </c>
      <c r="V6" s="3">
        <f t="shared" ref="V6:V11" si="2">R6+T6</f>
        <v>4082122974.2199998</v>
      </c>
      <c r="W6" s="2">
        <f t="shared" ref="W6:W11" si="3">V6/$V$12</f>
        <v>9.2343875087674082E-2</v>
      </c>
      <c r="X6" s="1">
        <v>1345884742.6400001</v>
      </c>
      <c r="Y6" s="41">
        <f>+X6/$X$12</f>
        <v>2.4784731561068595E-2</v>
      </c>
      <c r="Z6" s="3">
        <f t="shared" ref="Z6:Z11" si="4">P6+V6+X6</f>
        <v>47160160254.479996</v>
      </c>
      <c r="AA6" s="2">
        <f t="shared" ref="AA6:AA11" si="5">Z6/$Z$12</f>
        <v>5.5669029414861071E-2</v>
      </c>
      <c r="AB6" s="18"/>
    </row>
    <row r="7" spans="1:28">
      <c r="A7" s="14" t="s">
        <v>19</v>
      </c>
      <c r="B7" s="1">
        <v>299480423.06</v>
      </c>
      <c r="C7" s="40">
        <f t="shared" ref="C7:C11" si="6">+B7/$B$12</f>
        <v>3.6504400755194975E-2</v>
      </c>
      <c r="D7" s="1">
        <v>392249221.69999999</v>
      </c>
      <c r="E7" s="40">
        <f t="shared" ref="E7:E11" si="7">+D7/$D$12</f>
        <v>2.1868680289358544E-3</v>
      </c>
      <c r="F7" s="1">
        <v>500890542.06</v>
      </c>
      <c r="G7" s="40">
        <f t="shared" ref="G7:G11" si="8">+F7/$F$12</f>
        <v>0.11392825886523615</v>
      </c>
      <c r="H7" s="1">
        <v>1638275745.46</v>
      </c>
      <c r="I7" s="40">
        <f t="shared" ref="I7:I11" si="9">+H7/$H$12</f>
        <v>6.3047563910565837E-3</v>
      </c>
      <c r="J7" s="1">
        <v>198034904.63</v>
      </c>
      <c r="K7" s="9">
        <f t="shared" ref="K7:K11" si="10">+J7/$J$12</f>
        <v>1.5335593548946533E-3</v>
      </c>
      <c r="L7" s="24">
        <v>0</v>
      </c>
      <c r="M7" s="6">
        <v>0</v>
      </c>
      <c r="N7" s="1">
        <v>436993191.00999999</v>
      </c>
      <c r="O7" s="40">
        <f t="shared" ref="O7:O11" si="11">+N7/$N$12</f>
        <v>2.7272946965095721E-3</v>
      </c>
      <c r="P7" s="30">
        <f t="shared" si="0"/>
        <v>3465924027.9200001</v>
      </c>
      <c r="Q7" s="2">
        <f t="shared" si="1"/>
        <v>4.6296029705775324E-3</v>
      </c>
      <c r="R7" s="1">
        <v>98511444.780000001</v>
      </c>
      <c r="S7" s="40">
        <f t="shared" ref="S7:S11" si="12">+R7/$R$12</f>
        <v>5.1812267936516406E-3</v>
      </c>
      <c r="T7" s="1">
        <v>688170737.16999996</v>
      </c>
      <c r="U7" s="40">
        <f t="shared" ref="U7:U10" si="13">+T7/$T$12</f>
        <v>2.7316470106232858E-2</v>
      </c>
      <c r="V7" s="8">
        <f t="shared" si="2"/>
        <v>786682181.94999993</v>
      </c>
      <c r="W7" s="42">
        <f t="shared" si="3"/>
        <v>1.7795956075421893E-2</v>
      </c>
      <c r="X7" s="1">
        <v>57583527.219999999</v>
      </c>
      <c r="Y7" s="41">
        <f t="shared" ref="Y7:Y11" si="14">+X7/$X$12</f>
        <v>1.0604119500513089E-3</v>
      </c>
      <c r="Z7" s="3">
        <f t="shared" si="4"/>
        <v>4310189737.0900002</v>
      </c>
      <c r="AA7" s="2">
        <f t="shared" si="5"/>
        <v>5.0878554687460364E-3</v>
      </c>
      <c r="AB7" s="18"/>
    </row>
    <row r="8" spans="1:28">
      <c r="A8" s="14" t="s">
        <v>22</v>
      </c>
      <c r="B8" s="1">
        <v>5940504883.4899998</v>
      </c>
      <c r="C8" s="40">
        <f t="shared" si="6"/>
        <v>0.72410265999813161</v>
      </c>
      <c r="D8" s="1">
        <v>143722560273.92999</v>
      </c>
      <c r="E8" s="40">
        <f t="shared" si="7"/>
        <v>0.80128207963723752</v>
      </c>
      <c r="F8" s="1">
        <v>2450513184.5300002</v>
      </c>
      <c r="G8" s="40">
        <f t="shared" si="8"/>
        <v>0.55737267326234663</v>
      </c>
      <c r="H8" s="6">
        <v>195886721555.23999</v>
      </c>
      <c r="I8" s="40">
        <f t="shared" si="9"/>
        <v>0.75385237379666425</v>
      </c>
      <c r="J8" s="1">
        <v>106147440031.88</v>
      </c>
      <c r="K8" s="9">
        <f t="shared" si="10"/>
        <v>0.82199347616596363</v>
      </c>
      <c r="L8" s="1">
        <v>6045387069.71</v>
      </c>
      <c r="M8" s="40">
        <f>+L8/L12</f>
        <v>0.80968369817870756</v>
      </c>
      <c r="N8" s="1">
        <v>119812063465.37</v>
      </c>
      <c r="O8" s="40">
        <f t="shared" si="11"/>
        <v>0.74775262404373322</v>
      </c>
      <c r="P8" s="30">
        <f t="shared" si="0"/>
        <v>580005190464.1499</v>
      </c>
      <c r="Q8" s="2">
        <f t="shared" si="1"/>
        <v>0.77474108811746722</v>
      </c>
      <c r="R8" s="1">
        <v>16964667268.59</v>
      </c>
      <c r="S8" s="40">
        <f t="shared" si="12"/>
        <v>0.89225966377511401</v>
      </c>
      <c r="T8" s="1">
        <v>19978911609.509998</v>
      </c>
      <c r="U8" s="40">
        <f t="shared" si="13"/>
        <v>0.79304932956111751</v>
      </c>
      <c r="V8" s="3">
        <f t="shared" si="2"/>
        <v>36943578878.099998</v>
      </c>
      <c r="W8" s="2">
        <f t="shared" si="3"/>
        <v>0.83572034815113894</v>
      </c>
      <c r="X8" s="1">
        <v>45869605534.330002</v>
      </c>
      <c r="Y8" s="41">
        <f t="shared" si="14"/>
        <v>0.84469778426232345</v>
      </c>
      <c r="Z8" s="3">
        <f t="shared" si="4"/>
        <v>662818374876.57983</v>
      </c>
      <c r="AA8" s="2">
        <f t="shared" si="5"/>
        <v>0.78240734146380586</v>
      </c>
      <c r="AB8" s="18"/>
    </row>
    <row r="9" spans="1:28">
      <c r="A9" s="14" t="s">
        <v>23</v>
      </c>
      <c r="B9" s="1">
        <v>45287092.009999998</v>
      </c>
      <c r="C9" s="40">
        <f t="shared" si="6"/>
        <v>5.5201543355614235E-3</v>
      </c>
      <c r="D9" s="1">
        <v>10924960677.030001</v>
      </c>
      <c r="E9" s="40">
        <f t="shared" si="7"/>
        <v>6.0908845448904347E-2</v>
      </c>
      <c r="F9" s="1">
        <v>28915613.420000002</v>
      </c>
      <c r="G9" s="40">
        <f t="shared" si="8"/>
        <v>6.5768969751603791E-3</v>
      </c>
      <c r="H9" s="1">
        <v>20287211664.709999</v>
      </c>
      <c r="I9" s="40">
        <f t="shared" si="9"/>
        <v>7.8073503654224108E-2</v>
      </c>
      <c r="J9" s="1">
        <v>8956454041.4400005</v>
      </c>
      <c r="K9" s="9">
        <f t="shared" si="10"/>
        <v>6.9357742301018613E-2</v>
      </c>
      <c r="L9" s="24">
        <v>0</v>
      </c>
      <c r="M9" s="6">
        <v>0</v>
      </c>
      <c r="N9" s="1">
        <v>13596812685.58</v>
      </c>
      <c r="O9" s="40">
        <f t="shared" si="11"/>
        <v>8.4858336215970512E-2</v>
      </c>
      <c r="P9" s="30">
        <f t="shared" si="0"/>
        <v>53839641774.190002</v>
      </c>
      <c r="Q9" s="2">
        <f t="shared" si="1"/>
        <v>7.1916223057608669E-2</v>
      </c>
      <c r="R9" s="1">
        <v>716834056.90999997</v>
      </c>
      <c r="S9" s="40">
        <f t="shared" si="12"/>
        <v>3.7702013512831326E-2</v>
      </c>
      <c r="T9" s="1">
        <v>126695664.23999999</v>
      </c>
      <c r="U9" s="40">
        <f t="shared" si="13"/>
        <v>5.029098358691658E-3</v>
      </c>
      <c r="V9" s="3">
        <f t="shared" si="2"/>
        <v>843529721.14999998</v>
      </c>
      <c r="W9" s="2">
        <f t="shared" si="3"/>
        <v>1.9081934496963573E-2</v>
      </c>
      <c r="X9" s="1">
        <v>5033114367.3800001</v>
      </c>
      <c r="Y9" s="41">
        <f t="shared" si="14"/>
        <v>9.2685788433101921E-2</v>
      </c>
      <c r="Z9" s="3">
        <f t="shared" si="4"/>
        <v>59716285862.720001</v>
      </c>
      <c r="AA9" s="2">
        <f t="shared" si="5"/>
        <v>7.0490593252855088E-2</v>
      </c>
      <c r="AB9" s="18"/>
    </row>
    <row r="10" spans="1:28">
      <c r="A10" s="14" t="s">
        <v>24</v>
      </c>
      <c r="B10" s="1">
        <v>1561511062.1300001</v>
      </c>
      <c r="C10" s="40">
        <f t="shared" si="6"/>
        <v>0.19033639999982069</v>
      </c>
      <c r="D10" s="1">
        <v>3092461335.46</v>
      </c>
      <c r="E10" s="40">
        <f t="shared" si="7"/>
        <v>1.7241091762853971E-2</v>
      </c>
      <c r="F10" s="1">
        <v>651769908.76999998</v>
      </c>
      <c r="G10" s="40">
        <f t="shared" si="8"/>
        <v>0.14824598320729551</v>
      </c>
      <c r="H10" s="1">
        <v>8222241655.1899996</v>
      </c>
      <c r="I10" s="40">
        <f t="shared" si="9"/>
        <v>3.1642555148623797E-2</v>
      </c>
      <c r="J10" s="1">
        <v>3817934551.4400001</v>
      </c>
      <c r="K10" s="9">
        <f t="shared" si="10"/>
        <v>2.9565642777345851E-2</v>
      </c>
      <c r="L10" s="1">
        <v>46919838.060000002</v>
      </c>
      <c r="M10" s="40">
        <f>+L10/L12</f>
        <v>6.2841680045127839E-3</v>
      </c>
      <c r="N10" s="1">
        <v>2583624878.0300002</v>
      </c>
      <c r="O10" s="40">
        <f t="shared" si="11"/>
        <v>1.6124522241034563E-2</v>
      </c>
      <c r="P10" s="30">
        <f t="shared" si="0"/>
        <v>19976463229.079998</v>
      </c>
      <c r="Q10" s="2">
        <f t="shared" si="1"/>
        <v>2.6683531653313056E-2</v>
      </c>
      <c r="R10" s="1">
        <v>577206659.51999998</v>
      </c>
      <c r="S10" s="40">
        <f t="shared" si="12"/>
        <v>3.0358285947972918E-2</v>
      </c>
      <c r="T10" s="1">
        <v>769950010.32000005</v>
      </c>
      <c r="U10" s="40">
        <f t="shared" si="13"/>
        <v>3.0562642821303682E-2</v>
      </c>
      <c r="V10" s="3">
        <f t="shared" si="2"/>
        <v>1347156669.8400002</v>
      </c>
      <c r="W10" s="2">
        <f t="shared" si="3"/>
        <v>3.0474747583272472E-2</v>
      </c>
      <c r="X10" s="1">
        <v>1132346075.6800001</v>
      </c>
      <c r="Y10" s="41">
        <f t="shared" si="14"/>
        <v>2.0852375118621223E-2</v>
      </c>
      <c r="Z10" s="3">
        <f t="shared" si="4"/>
        <v>22455965974.599998</v>
      </c>
      <c r="AA10" s="2">
        <f t="shared" si="5"/>
        <v>2.6507582324433954E-2</v>
      </c>
      <c r="AB10" s="18"/>
    </row>
    <row r="11" spans="1:28">
      <c r="A11" s="14" t="s">
        <v>25</v>
      </c>
      <c r="B11" s="1">
        <v>345479465.01999998</v>
      </c>
      <c r="C11" s="40">
        <f t="shared" si="6"/>
        <v>4.2111336410306066E-2</v>
      </c>
      <c r="D11" s="1">
        <v>10793641757.67</v>
      </c>
      <c r="E11" s="40">
        <f t="shared" si="7"/>
        <v>6.0176716153406522E-2</v>
      </c>
      <c r="F11" s="1">
        <v>493037385.45999998</v>
      </c>
      <c r="G11" s="40">
        <f t="shared" si="8"/>
        <v>0.11214204734214681</v>
      </c>
      <c r="H11" s="1">
        <v>24503337606.810001</v>
      </c>
      <c r="I11" s="40">
        <f t="shared" si="9"/>
        <v>9.4298883937499176E-2</v>
      </c>
      <c r="J11" s="1">
        <v>6686774299.3599997</v>
      </c>
      <c r="K11" s="9">
        <f t="shared" si="10"/>
        <v>5.1781605369073003E-2</v>
      </c>
      <c r="L11" s="24">
        <v>0</v>
      </c>
      <c r="M11" s="6">
        <v>0</v>
      </c>
      <c r="N11" s="1">
        <v>6802258440.9799995</v>
      </c>
      <c r="O11" s="40">
        <f t="shared" si="11"/>
        <v>4.2453209230776529E-2</v>
      </c>
      <c r="P11" s="30">
        <f t="shared" si="0"/>
        <v>49624528955.300003</v>
      </c>
      <c r="Q11" s="2">
        <f t="shared" si="1"/>
        <v>6.6285892251031917E-2</v>
      </c>
      <c r="R11" s="1">
        <v>202600718</v>
      </c>
      <c r="S11" s="40">
        <f t="shared" si="12"/>
        <v>1.0655820456789979E-2</v>
      </c>
      <c r="T11" s="24">
        <v>0</v>
      </c>
      <c r="U11" s="6">
        <v>0</v>
      </c>
      <c r="V11" s="3">
        <f t="shared" si="2"/>
        <v>202600718</v>
      </c>
      <c r="W11" s="2">
        <f t="shared" si="3"/>
        <v>4.5831386055291317E-3</v>
      </c>
      <c r="X11" s="1">
        <v>864444153.94000006</v>
      </c>
      <c r="Y11" s="41">
        <f t="shared" si="14"/>
        <v>1.5918908674833507E-2</v>
      </c>
      <c r="Z11" s="3">
        <f t="shared" si="4"/>
        <v>50691573827.240005</v>
      </c>
      <c r="AA11" s="2">
        <f t="shared" si="5"/>
        <v>5.9837598075298169E-2</v>
      </c>
      <c r="AB11" s="18"/>
    </row>
    <row r="12" spans="1:28">
      <c r="A12" s="15" t="s">
        <v>26</v>
      </c>
      <c r="B12" s="3">
        <f t="shared" ref="B12:AA12" si="15">SUM(B6:B11)</f>
        <v>8203953958</v>
      </c>
      <c r="C12" s="38">
        <f>SUM(C6:C11)</f>
        <v>1</v>
      </c>
      <c r="D12" s="3">
        <f t="shared" si="15"/>
        <v>179365748874.60001</v>
      </c>
      <c r="E12" s="38">
        <f t="shared" si="15"/>
        <v>0.99999999999999978</v>
      </c>
      <c r="F12" s="3">
        <f t="shared" si="15"/>
        <v>4396543465.5900002</v>
      </c>
      <c r="G12" s="38">
        <f t="shared" si="15"/>
        <v>1</v>
      </c>
      <c r="H12" s="3">
        <f t="shared" si="15"/>
        <v>259847588684.61996</v>
      </c>
      <c r="I12" s="38">
        <f t="shared" si="15"/>
        <v>1</v>
      </c>
      <c r="J12" s="3">
        <f t="shared" si="15"/>
        <v>129134163603.08002</v>
      </c>
      <c r="K12" s="38">
        <f t="shared" si="15"/>
        <v>1</v>
      </c>
      <c r="L12" s="3">
        <f t="shared" si="15"/>
        <v>7466356409.6800003</v>
      </c>
      <c r="M12" s="7">
        <f t="shared" si="15"/>
        <v>1</v>
      </c>
      <c r="N12" s="3">
        <f>SUM(N6:N11)</f>
        <v>160229545992.69</v>
      </c>
      <c r="O12" s="7">
        <f t="shared" si="15"/>
        <v>0.99999999999999989</v>
      </c>
      <c r="P12" s="3">
        <f t="shared" si="15"/>
        <v>748643900988.25989</v>
      </c>
      <c r="Q12" s="7">
        <f t="shared" si="15"/>
        <v>0.99999999999999989</v>
      </c>
      <c r="R12" s="3">
        <f t="shared" si="15"/>
        <v>19013150495.689999</v>
      </c>
      <c r="S12" s="7">
        <f t="shared" si="15"/>
        <v>1.0000000000000002</v>
      </c>
      <c r="T12" s="3">
        <f t="shared" si="15"/>
        <v>25192520647.57</v>
      </c>
      <c r="U12" s="7">
        <f t="shared" si="15"/>
        <v>1</v>
      </c>
      <c r="V12" s="3">
        <f t="shared" si="15"/>
        <v>44205671143.259995</v>
      </c>
      <c r="W12" s="7">
        <f t="shared" si="15"/>
        <v>1.0000000000000002</v>
      </c>
      <c r="X12" s="3">
        <f t="shared" si="15"/>
        <v>54302978401.190002</v>
      </c>
      <c r="Y12" s="7">
        <f t="shared" si="15"/>
        <v>1</v>
      </c>
      <c r="Z12" s="3">
        <f t="shared" si="15"/>
        <v>847152550532.70972</v>
      </c>
      <c r="AA12" s="7">
        <f t="shared" si="15"/>
        <v>1.0000000000000002</v>
      </c>
    </row>
    <row r="13" spans="1:28">
      <c r="B13" s="18"/>
      <c r="D13" s="19"/>
      <c r="F13" s="18"/>
      <c r="H13" s="18"/>
      <c r="J13" s="18"/>
      <c r="L13" s="18"/>
      <c r="N13" s="18"/>
      <c r="P13" s="18"/>
      <c r="R13" s="18"/>
      <c r="T13" s="18"/>
      <c r="V13" s="18"/>
      <c r="X13" s="18"/>
      <c r="Z13" s="18"/>
    </row>
    <row r="14" spans="1:28">
      <c r="A14" s="5" t="s">
        <v>27</v>
      </c>
      <c r="P14" s="18"/>
      <c r="R14" s="18"/>
      <c r="T14" s="18"/>
      <c r="Z14" s="18"/>
    </row>
    <row r="15" spans="1:28">
      <c r="A15" s="5" t="s">
        <v>28</v>
      </c>
      <c r="L15" s="18"/>
      <c r="P15" s="18"/>
    </row>
    <row r="16" spans="1:28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2:26">
      <c r="B17" s="18"/>
      <c r="D17" s="19"/>
      <c r="F17" s="18"/>
      <c r="H17" s="18"/>
      <c r="J17" s="18"/>
      <c r="L17" s="18"/>
      <c r="N17" s="18"/>
      <c r="P17" s="18"/>
      <c r="R17" s="18"/>
      <c r="T17" s="18"/>
      <c r="V17" s="18"/>
      <c r="X17" s="18"/>
      <c r="Z17" s="18"/>
    </row>
    <row r="26" spans="2:26">
      <c r="H26" s="10"/>
    </row>
    <row r="27" spans="2:26">
      <c r="H27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O24" sqref="O24"/>
    </sheetView>
  </sheetViews>
  <sheetFormatPr baseColWidth="10" defaultColWidth="9.140625" defaultRowHeight="15"/>
  <cols>
    <col min="1" max="1" width="13.85546875" style="16" customWidth="1"/>
    <col min="2" max="2" width="17.28515625" style="16" customWidth="1"/>
    <col min="3" max="3" width="9.42578125" style="17" bestFit="1" customWidth="1"/>
    <col min="4" max="4" width="18.85546875" style="17" bestFit="1" customWidth="1"/>
    <col min="5" max="5" width="10.42578125" style="17" customWidth="1"/>
    <col min="6" max="6" width="18.85546875" style="16" customWidth="1"/>
    <col min="7" max="7" width="8.85546875" style="17" customWidth="1"/>
    <col min="8" max="8" width="19.42578125" style="16" customWidth="1"/>
    <col min="9" max="9" width="8.85546875" style="17" customWidth="1"/>
    <col min="10" max="10" width="18.85546875" style="16" bestFit="1" customWidth="1"/>
    <col min="11" max="11" width="8.85546875" style="16" customWidth="1"/>
    <col min="12" max="12" width="17.85546875" style="16" customWidth="1"/>
    <col min="13" max="13" width="8.85546875" style="16" customWidth="1"/>
    <col min="14" max="14" width="18.85546875" style="16" bestFit="1" customWidth="1"/>
    <col min="15" max="15" width="8.85546875" style="16" customWidth="1"/>
    <col min="16" max="16" width="18.85546875" style="16" bestFit="1" customWidth="1"/>
    <col min="17" max="17" width="9.42578125" style="16" bestFit="1" customWidth="1"/>
    <col min="18" max="18" width="17.85546875" style="16" bestFit="1" customWidth="1"/>
    <col min="19" max="19" width="10.5703125" style="16" customWidth="1"/>
    <col min="20" max="20" width="19" style="16" bestFit="1" customWidth="1"/>
    <col min="21" max="21" width="9.140625" style="16" customWidth="1"/>
    <col min="22" max="22" width="19" style="16" bestFit="1" customWidth="1"/>
    <col min="23" max="23" width="9.42578125" style="16" customWidth="1"/>
    <col min="24" max="24" width="17.85546875" style="16" bestFit="1" customWidth="1"/>
    <col min="25" max="25" width="8.85546875" style="16" customWidth="1"/>
    <col min="26" max="26" width="18.5703125" style="16" customWidth="1"/>
    <col min="27" max="27" width="9.42578125" style="16" bestFit="1" customWidth="1"/>
    <col min="28" max="28" width="23" style="16" customWidth="1"/>
    <col min="29" max="16384" width="9.140625" style="16"/>
  </cols>
  <sheetData>
    <row r="1" spans="1:28" ht="18.60000000000000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/>
      <c r="Y1"/>
      <c r="Z1"/>
      <c r="AA1"/>
      <c r="AB1"/>
    </row>
    <row r="2" spans="1:28">
      <c r="A2" s="50" t="s">
        <v>40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/>
      <c r="Y2"/>
      <c r="Z2"/>
      <c r="AA2"/>
      <c r="AB2"/>
    </row>
    <row r="3" spans="1:28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/>
      <c r="Y3"/>
      <c r="Z3"/>
      <c r="AA3"/>
      <c r="AB3"/>
    </row>
    <row r="4" spans="1:28" ht="33.75" customHeight="1">
      <c r="A4" s="51" t="s">
        <v>2</v>
      </c>
      <c r="B4" s="47" t="s">
        <v>3</v>
      </c>
      <c r="C4" s="48"/>
      <c r="D4" s="47" t="s">
        <v>4</v>
      </c>
      <c r="E4" s="48"/>
      <c r="F4" s="47" t="s">
        <v>5</v>
      </c>
      <c r="G4" s="48"/>
      <c r="H4" s="47" t="s">
        <v>6</v>
      </c>
      <c r="I4" s="48"/>
      <c r="J4" s="47" t="s">
        <v>7</v>
      </c>
      <c r="K4" s="48"/>
      <c r="L4" s="47" t="s">
        <v>8</v>
      </c>
      <c r="M4" s="48"/>
      <c r="N4" s="47" t="s">
        <v>9</v>
      </c>
      <c r="O4" s="48"/>
      <c r="P4" s="47" t="s">
        <v>10</v>
      </c>
      <c r="Q4" s="48"/>
      <c r="R4" s="47" t="s">
        <v>11</v>
      </c>
      <c r="S4" s="48"/>
      <c r="T4" s="47" t="s">
        <v>12</v>
      </c>
      <c r="U4" s="48"/>
      <c r="V4" s="47" t="s">
        <v>13</v>
      </c>
      <c r="W4" s="48"/>
      <c r="X4" s="52" t="s">
        <v>14</v>
      </c>
      <c r="Y4" s="53"/>
      <c r="Z4" s="47" t="s">
        <v>15</v>
      </c>
      <c r="AA4" s="48"/>
    </row>
    <row r="5" spans="1:28" ht="31.5" customHeight="1">
      <c r="A5" s="51"/>
      <c r="B5" s="12" t="s">
        <v>16</v>
      </c>
      <c r="C5" s="4" t="s">
        <v>17</v>
      </c>
      <c r="D5" s="12" t="s">
        <v>16</v>
      </c>
      <c r="E5" s="13" t="s">
        <v>17</v>
      </c>
      <c r="F5" s="12" t="s">
        <v>16</v>
      </c>
      <c r="G5" s="4" t="s">
        <v>17</v>
      </c>
      <c r="H5" s="12" t="s">
        <v>16</v>
      </c>
      <c r="I5" s="13" t="s">
        <v>17</v>
      </c>
      <c r="J5" s="12" t="s">
        <v>16</v>
      </c>
      <c r="K5" s="13" t="s">
        <v>17</v>
      </c>
      <c r="L5" s="12" t="s">
        <v>16</v>
      </c>
      <c r="M5" s="13" t="s">
        <v>17</v>
      </c>
      <c r="N5" s="12" t="s">
        <v>16</v>
      </c>
      <c r="O5" s="13" t="s">
        <v>17</v>
      </c>
      <c r="P5" s="12" t="s">
        <v>16</v>
      </c>
      <c r="Q5" s="13" t="s">
        <v>17</v>
      </c>
      <c r="R5" s="12" t="s">
        <v>16</v>
      </c>
      <c r="S5" s="13" t="s">
        <v>17</v>
      </c>
      <c r="T5" s="12" t="s">
        <v>16</v>
      </c>
      <c r="U5" s="13" t="s">
        <v>17</v>
      </c>
      <c r="V5" s="12" t="s">
        <v>16</v>
      </c>
      <c r="W5" s="13" t="s">
        <v>17</v>
      </c>
      <c r="X5" s="12" t="s">
        <v>16</v>
      </c>
      <c r="Y5" s="13" t="s">
        <v>17</v>
      </c>
      <c r="Z5" s="12" t="s">
        <v>16</v>
      </c>
      <c r="AA5" s="13" t="s">
        <v>17</v>
      </c>
    </row>
    <row r="6" spans="1:28">
      <c r="A6" s="14" t="s">
        <v>18</v>
      </c>
      <c r="B6" s="1">
        <v>11721360.310000001</v>
      </c>
      <c r="C6" s="40">
        <v>1.39762E-3</v>
      </c>
      <c r="D6" s="1">
        <v>2802833307.5100002</v>
      </c>
      <c r="E6" s="40">
        <v>1.5448440000000001E-2</v>
      </c>
      <c r="F6" s="1">
        <v>62360623.560000002</v>
      </c>
      <c r="G6" s="40">
        <v>1.3562960000000001E-2</v>
      </c>
      <c r="H6" s="1">
        <v>8657944675</v>
      </c>
      <c r="I6" s="40">
        <v>3.2887629820969572E-2</v>
      </c>
      <c r="J6" s="1">
        <v>3931611901.8400002</v>
      </c>
      <c r="K6" s="9">
        <v>3.0040589999999999E-2</v>
      </c>
      <c r="L6" s="1">
        <v>1401318415.5999999</v>
      </c>
      <c r="M6" s="40">
        <v>0.18632271</v>
      </c>
      <c r="N6" s="1">
        <v>14752498788.82</v>
      </c>
      <c r="O6" s="40">
        <v>9.0880359999999993E-2</v>
      </c>
      <c r="P6" s="30">
        <f t="shared" ref="P6:P11" si="0">+B6+D6+F6+H6+J6+L6+N6</f>
        <v>31620289072.639999</v>
      </c>
      <c r="Q6" s="2">
        <f t="shared" ref="Q6:Q11" si="1">+P6/$P$12</f>
        <v>4.1693378467584516E-2</v>
      </c>
      <c r="R6" s="1">
        <v>955063300.10000002</v>
      </c>
      <c r="S6" s="40">
        <v>4.9950790000000002E-2</v>
      </c>
      <c r="T6" s="1">
        <v>3005730795.4000001</v>
      </c>
      <c r="U6" s="40">
        <v>0.11839913000000001</v>
      </c>
      <c r="V6" s="3">
        <f t="shared" ref="V6:V11" si="2">R6+T6</f>
        <v>3960794095.5</v>
      </c>
      <c r="W6" s="2">
        <f t="shared" ref="W6:W11" si="3">V6/$V$12</f>
        <v>8.8993590746237528E-2</v>
      </c>
      <c r="X6" s="1">
        <v>3324492587.3299999</v>
      </c>
      <c r="Y6" s="41">
        <v>6.0404340000000001E-2</v>
      </c>
      <c r="Z6" s="3">
        <f t="shared" ref="Z6:Z11" si="4">P6+V6+X6</f>
        <v>38905575755.470001</v>
      </c>
      <c r="AA6" s="2">
        <f t="shared" ref="AA6:AA11" si="5">Z6/$Z$12</f>
        <v>4.5347423716172626E-2</v>
      </c>
      <c r="AB6" s="18"/>
    </row>
    <row r="7" spans="1:28">
      <c r="A7" s="14" t="s">
        <v>19</v>
      </c>
      <c r="B7" s="1">
        <v>183835354.16999999</v>
      </c>
      <c r="C7" s="40">
        <v>2.1920019999999998E-2</v>
      </c>
      <c r="D7" s="1">
        <v>261242032.28999999</v>
      </c>
      <c r="E7" s="40">
        <v>1.4398900000000001E-3</v>
      </c>
      <c r="F7" s="1">
        <v>474990747.66000003</v>
      </c>
      <c r="G7" s="40">
        <v>0.10330685000000001</v>
      </c>
      <c r="H7" s="1">
        <v>1963129088.98</v>
      </c>
      <c r="I7" s="40">
        <v>7.4570426576618743E-3</v>
      </c>
      <c r="J7" s="1">
        <v>278024111.08999997</v>
      </c>
      <c r="K7" s="9">
        <v>2.1243199999999999E-3</v>
      </c>
      <c r="L7" s="24">
        <v>0</v>
      </c>
      <c r="M7" s="6">
        <v>0</v>
      </c>
      <c r="N7" s="1">
        <v>428041128.30000001</v>
      </c>
      <c r="O7" s="40">
        <v>2.6368799999999999E-3</v>
      </c>
      <c r="P7" s="30">
        <f t="shared" si="0"/>
        <v>3589262462.4900002</v>
      </c>
      <c r="Q7" s="2">
        <f t="shared" si="1"/>
        <v>4.7326726812746281E-3</v>
      </c>
      <c r="R7" s="1">
        <v>123381095.94</v>
      </c>
      <c r="S7" s="40">
        <v>6.4529599999999998E-3</v>
      </c>
      <c r="T7" s="1">
        <v>1446132682.6400001</v>
      </c>
      <c r="U7" s="40">
        <v>5.6964800000000003E-2</v>
      </c>
      <c r="V7" s="8">
        <f t="shared" si="2"/>
        <v>1569513778.5800002</v>
      </c>
      <c r="W7" s="42">
        <f t="shared" si="3"/>
        <v>3.5264813952389264E-2</v>
      </c>
      <c r="X7" s="1">
        <v>267770112.22</v>
      </c>
      <c r="Y7" s="41">
        <v>4.8652499999999998E-3</v>
      </c>
      <c r="Z7" s="3">
        <f t="shared" si="4"/>
        <v>5426546353.2900009</v>
      </c>
      <c r="AA7" s="2">
        <f t="shared" si="5"/>
        <v>6.3250547516571585E-3</v>
      </c>
      <c r="AB7" s="18"/>
    </row>
    <row r="8" spans="1:28">
      <c r="A8" s="14" t="s">
        <v>22</v>
      </c>
      <c r="B8" s="1">
        <v>6214060519.3800001</v>
      </c>
      <c r="C8" s="40">
        <v>0.74094729999999998</v>
      </c>
      <c r="D8" s="1">
        <v>146261979434.22</v>
      </c>
      <c r="E8" s="40">
        <v>0.80615555000000005</v>
      </c>
      <c r="F8" s="1">
        <v>2729755328.3699999</v>
      </c>
      <c r="G8" s="40">
        <v>0.59370086</v>
      </c>
      <c r="H8" s="6">
        <v>196794003104.31</v>
      </c>
      <c r="I8" s="40">
        <v>0.74753172583437466</v>
      </c>
      <c r="J8" s="1">
        <v>105147530458.5</v>
      </c>
      <c r="K8" s="9">
        <v>0.80340926000000001</v>
      </c>
      <c r="L8" s="1">
        <v>6072292309.3400002</v>
      </c>
      <c r="M8" s="40">
        <v>0.80738679000000002</v>
      </c>
      <c r="N8" s="1">
        <v>120998477827.82001</v>
      </c>
      <c r="O8" s="40">
        <v>0.74539138999999999</v>
      </c>
      <c r="P8" s="30">
        <f t="shared" si="0"/>
        <v>584218098981.94006</v>
      </c>
      <c r="Q8" s="2">
        <f t="shared" si="1"/>
        <v>0.77032902047511587</v>
      </c>
      <c r="R8" s="1">
        <v>16779323483.120001</v>
      </c>
      <c r="S8" s="40">
        <v>0.87757589000000003</v>
      </c>
      <c r="T8" s="1">
        <v>20069738484.630001</v>
      </c>
      <c r="U8" s="40">
        <v>0.79056963999999996</v>
      </c>
      <c r="V8" s="3">
        <f t="shared" si="2"/>
        <v>36849061967.75</v>
      </c>
      <c r="W8" s="2">
        <f t="shared" si="3"/>
        <v>0.82794769459650885</v>
      </c>
      <c r="X8" s="1">
        <v>43843505153.870003</v>
      </c>
      <c r="Y8" s="41">
        <v>0.79661415000000002</v>
      </c>
      <c r="Z8" s="3">
        <f t="shared" si="4"/>
        <v>664910666103.56006</v>
      </c>
      <c r="AA8" s="2">
        <f t="shared" si="5"/>
        <v>0.77500422815260461</v>
      </c>
      <c r="AB8" s="18"/>
    </row>
    <row r="9" spans="1:28">
      <c r="A9" s="14" t="s">
        <v>23</v>
      </c>
      <c r="B9" s="1">
        <v>65317000.159999996</v>
      </c>
      <c r="C9" s="40">
        <v>7.7882200000000002E-3</v>
      </c>
      <c r="D9" s="1">
        <v>17207164907.07</v>
      </c>
      <c r="E9" s="40">
        <v>9.4841129999999996E-2</v>
      </c>
      <c r="F9" s="1">
        <v>63138904.409999996</v>
      </c>
      <c r="G9" s="40">
        <v>1.373223E-2</v>
      </c>
      <c r="H9" s="1">
        <v>20258813524.740002</v>
      </c>
      <c r="I9" s="40">
        <v>7.6954102252183881E-2</v>
      </c>
      <c r="J9" s="1">
        <v>10416413133.190001</v>
      </c>
      <c r="K9" s="9">
        <v>7.9589530000000006E-2</v>
      </c>
      <c r="L9" s="24">
        <v>0</v>
      </c>
      <c r="M9" s="6">
        <v>0</v>
      </c>
      <c r="N9" s="1">
        <v>14802049585.26</v>
      </c>
      <c r="O9" s="40">
        <v>9.118561E-2</v>
      </c>
      <c r="P9" s="30">
        <f t="shared" si="0"/>
        <v>62812897054.830009</v>
      </c>
      <c r="Q9" s="2">
        <f t="shared" si="1"/>
        <v>8.2822831996766447E-2</v>
      </c>
      <c r="R9" s="1">
        <v>838497190.77999997</v>
      </c>
      <c r="S9" s="40">
        <v>4.3854270000000001E-2</v>
      </c>
      <c r="T9" s="1">
        <v>128986113.18000001</v>
      </c>
      <c r="U9" s="40">
        <v>5.0809100000000001E-3</v>
      </c>
      <c r="V9" s="3">
        <f t="shared" si="2"/>
        <v>967483303.96000004</v>
      </c>
      <c r="W9" s="2">
        <f t="shared" si="3"/>
        <v>2.1738017965704164E-2</v>
      </c>
      <c r="X9" s="1">
        <v>5322246502.4700003</v>
      </c>
      <c r="Y9" s="41">
        <v>9.6702510000000005E-2</v>
      </c>
      <c r="Z9" s="3">
        <f t="shared" si="4"/>
        <v>69102626861.26001</v>
      </c>
      <c r="AA9" s="2">
        <f t="shared" si="5"/>
        <v>8.05443959979837E-2</v>
      </c>
      <c r="AB9" s="18"/>
    </row>
    <row r="10" spans="1:28">
      <c r="A10" s="14" t="s">
        <v>24</v>
      </c>
      <c r="B10" s="1">
        <v>1563038940.24</v>
      </c>
      <c r="C10" s="40">
        <v>0.18637242000000001</v>
      </c>
      <c r="D10" s="1">
        <v>3805812210.6999998</v>
      </c>
      <c r="E10" s="40">
        <v>2.0976580000000002E-2</v>
      </c>
      <c r="F10" s="1">
        <v>722110499</v>
      </c>
      <c r="G10" s="40">
        <v>0.15705350000000001</v>
      </c>
      <c r="H10" s="1">
        <v>8566733578.8599997</v>
      </c>
      <c r="I10" s="40">
        <v>3.2541159974138721E-2</v>
      </c>
      <c r="J10" s="1">
        <v>3448599449.46</v>
      </c>
      <c r="K10" s="9">
        <v>2.634999E-2</v>
      </c>
      <c r="L10" s="1">
        <v>47310301.600000001</v>
      </c>
      <c r="M10" s="40">
        <v>6.2904900000000001E-3</v>
      </c>
      <c r="N10" s="1">
        <v>3788024768.27</v>
      </c>
      <c r="O10" s="40">
        <v>2.333551E-2</v>
      </c>
      <c r="P10" s="30">
        <f t="shared" si="0"/>
        <v>21941629748.129997</v>
      </c>
      <c r="Q10" s="2">
        <f t="shared" si="1"/>
        <v>2.8931445603891066E-2</v>
      </c>
      <c r="R10" s="1">
        <v>220184244.75999999</v>
      </c>
      <c r="S10" s="40">
        <v>1.1515859999999999E-2</v>
      </c>
      <c r="T10" s="1">
        <v>735838915.92999995</v>
      </c>
      <c r="U10" s="40">
        <v>2.8985529999999999E-2</v>
      </c>
      <c r="V10" s="3">
        <f t="shared" si="2"/>
        <v>956023160.68999994</v>
      </c>
      <c r="W10" s="2">
        <f t="shared" si="3"/>
        <v>2.148052432289593E-2</v>
      </c>
      <c r="X10" s="1">
        <v>1112104136.8900001</v>
      </c>
      <c r="Y10" s="41">
        <v>2.0206370000000001E-2</v>
      </c>
      <c r="Z10" s="3">
        <f t="shared" si="4"/>
        <v>24009757045.709995</v>
      </c>
      <c r="AA10" s="2">
        <f t="shared" si="5"/>
        <v>2.7985207902265604E-2</v>
      </c>
      <c r="AB10" s="18"/>
    </row>
    <row r="11" spans="1:28">
      <c r="A11" s="14" t="s">
        <v>25</v>
      </c>
      <c r="B11" s="1">
        <v>348669920.24000001</v>
      </c>
      <c r="C11" s="40">
        <v>4.1574430000000002E-2</v>
      </c>
      <c r="D11" s="1">
        <v>11092429384.120001</v>
      </c>
      <c r="E11" s="40">
        <v>6.1138400000000002E-2</v>
      </c>
      <c r="F11" s="1">
        <v>545507094.26999998</v>
      </c>
      <c r="G11" s="40">
        <v>0.11864361</v>
      </c>
      <c r="H11" s="1">
        <v>27017772030.84</v>
      </c>
      <c r="I11" s="40">
        <v>0.10262833946067126</v>
      </c>
      <c r="J11" s="1">
        <v>7654493206.7399998</v>
      </c>
      <c r="K11" s="9">
        <v>5.848631E-2</v>
      </c>
      <c r="L11" s="24">
        <v>0</v>
      </c>
      <c r="M11" s="6">
        <v>0</v>
      </c>
      <c r="N11" s="1">
        <v>7559690797.29</v>
      </c>
      <c r="O11" s="40">
        <v>4.6570239999999999E-2</v>
      </c>
      <c r="P11" s="30">
        <f t="shared" si="0"/>
        <v>54218562433.5</v>
      </c>
      <c r="Q11" s="2">
        <f t="shared" si="1"/>
        <v>7.1490650775367523E-2</v>
      </c>
      <c r="R11" s="1">
        <v>203633233</v>
      </c>
      <c r="S11" s="40">
        <v>1.065023E-2</v>
      </c>
      <c r="T11" s="24">
        <v>0</v>
      </c>
      <c r="U11" s="6">
        <v>0</v>
      </c>
      <c r="V11" s="3">
        <f t="shared" si="2"/>
        <v>203633233</v>
      </c>
      <c r="W11" s="2">
        <f t="shared" si="3"/>
        <v>4.5753584162641385E-3</v>
      </c>
      <c r="X11" s="1">
        <v>1167198127.77</v>
      </c>
      <c r="Y11" s="41">
        <v>2.1207400000000001E-2</v>
      </c>
      <c r="Z11" s="3">
        <f t="shared" si="4"/>
        <v>55589393794.269997</v>
      </c>
      <c r="AA11" s="2">
        <f t="shared" si="5"/>
        <v>6.4793689479316269E-2</v>
      </c>
      <c r="AB11" s="18"/>
    </row>
    <row r="12" spans="1:28">
      <c r="A12" s="15" t="s">
        <v>26</v>
      </c>
      <c r="B12" s="3">
        <f t="shared" ref="B12:AA12" si="6">SUM(B6:B11)</f>
        <v>8386643094.499999</v>
      </c>
      <c r="C12" s="38">
        <f>SUM(C6:C11)</f>
        <v>1.0000000099999999</v>
      </c>
      <c r="D12" s="3">
        <f t="shared" si="6"/>
        <v>181431461275.91</v>
      </c>
      <c r="E12" s="38">
        <f t="shared" si="6"/>
        <v>0.99999999000000006</v>
      </c>
      <c r="F12" s="3">
        <f t="shared" si="6"/>
        <v>4597863197.2700005</v>
      </c>
      <c r="G12" s="38">
        <f t="shared" si="6"/>
        <v>1.0000000099999999</v>
      </c>
      <c r="H12" s="3">
        <f t="shared" si="6"/>
        <v>263258396002.72998</v>
      </c>
      <c r="I12" s="38">
        <f t="shared" si="6"/>
        <v>1</v>
      </c>
      <c r="J12" s="3">
        <f t="shared" si="6"/>
        <v>130876672260.82001</v>
      </c>
      <c r="K12" s="38">
        <f t="shared" si="6"/>
        <v>1</v>
      </c>
      <c r="L12" s="3">
        <f t="shared" si="6"/>
        <v>7520921026.5400009</v>
      </c>
      <c r="M12" s="7">
        <f t="shared" si="6"/>
        <v>0.99999999000000006</v>
      </c>
      <c r="N12" s="3">
        <f>SUM(N6:N11)</f>
        <v>162328782895.76001</v>
      </c>
      <c r="O12" s="7">
        <f t="shared" si="6"/>
        <v>0.99999998999999995</v>
      </c>
      <c r="P12" s="3">
        <f t="shared" si="6"/>
        <v>758400739753.53003</v>
      </c>
      <c r="Q12" s="7">
        <f t="shared" si="6"/>
        <v>1</v>
      </c>
      <c r="R12" s="3">
        <f t="shared" si="6"/>
        <v>19120082547.699997</v>
      </c>
      <c r="S12" s="7">
        <f t="shared" si="6"/>
        <v>1</v>
      </c>
      <c r="T12" s="3">
        <f t="shared" si="6"/>
        <v>25386426991.780003</v>
      </c>
      <c r="U12" s="7">
        <f t="shared" si="6"/>
        <v>1.0000000099999999</v>
      </c>
      <c r="V12" s="3">
        <f t="shared" si="6"/>
        <v>44506509539.480003</v>
      </c>
      <c r="W12" s="7">
        <f t="shared" si="6"/>
        <v>0.99999999999999989</v>
      </c>
      <c r="X12" s="3">
        <f t="shared" si="6"/>
        <v>55037316620.550003</v>
      </c>
      <c r="Y12" s="7">
        <f t="shared" si="6"/>
        <v>1.0000000200000001</v>
      </c>
      <c r="Z12" s="3">
        <f t="shared" si="6"/>
        <v>857944565913.56006</v>
      </c>
      <c r="AA12" s="7">
        <f t="shared" si="6"/>
        <v>0.99999999999999989</v>
      </c>
    </row>
    <row r="13" spans="1:28">
      <c r="B13" s="18"/>
      <c r="D13" s="19"/>
      <c r="F13" s="18"/>
      <c r="H13" s="18"/>
      <c r="J13" s="18"/>
      <c r="L13" s="18"/>
      <c r="N13" s="18"/>
      <c r="P13" s="18"/>
      <c r="R13" s="18"/>
      <c r="T13" s="18"/>
      <c r="V13" s="18"/>
      <c r="X13" s="18"/>
      <c r="Z13" s="18"/>
    </row>
    <row r="14" spans="1:28">
      <c r="A14" s="5" t="s">
        <v>27</v>
      </c>
      <c r="P14" s="18"/>
      <c r="R14" s="18"/>
      <c r="T14" s="18"/>
      <c r="Z14" s="18"/>
    </row>
    <row r="15" spans="1:28">
      <c r="A15" s="5" t="s">
        <v>28</v>
      </c>
      <c r="L15" s="18"/>
      <c r="P15" s="18"/>
    </row>
    <row r="16" spans="1:28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2:26">
      <c r="B17" s="18"/>
      <c r="D17" s="19"/>
      <c r="F17" s="18"/>
      <c r="H17" s="18"/>
      <c r="J17" s="18"/>
      <c r="L17" s="18"/>
      <c r="N17" s="18"/>
      <c r="P17" s="18"/>
      <c r="R17" s="18"/>
      <c r="T17" s="18"/>
      <c r="V17" s="18"/>
      <c r="X17" s="18"/>
      <c r="Z17" s="18"/>
    </row>
    <row r="26" spans="2:26">
      <c r="H26" s="10"/>
    </row>
    <row r="27" spans="2:26">
      <c r="H27" s="10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9" ma:contentTypeDescription="Crear nuevo documento." ma:contentTypeScope="" ma:versionID="97933b393e49022de7e3fb232a3f6372">
  <xsd:schema xmlns:xsd="http://www.w3.org/2001/XMLSchema" xmlns:xs="http://www.w3.org/2001/XMLSchema" xmlns:p="http://schemas.microsoft.com/office/2006/metadata/properties" xmlns:ns2="3d356bbc-c7e3-4705-a35e-a22d7fa248ea" targetNamespace="http://schemas.microsoft.com/office/2006/metadata/properties" ma:root="true" ma:fieldsID="6748c35f8d97a798a7749d5640898e13" ns2:_="">
    <xsd:import namespace="3d356bbc-c7e3-4705-a35e-a22d7fa248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3AF9D6-3A89-4603-A3B6-E1E4E0BF6B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7D4700-D85A-4D38-BA99-8BAEC0BFD4B7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  <ds:schemaRef ds:uri="3d356bbc-c7e3-4705-a35e-a22d7fa248ea"/>
  </ds:schemaRefs>
</ds:datastoreItem>
</file>

<file path=customXml/itemProps3.xml><?xml version="1.0" encoding="utf-8"?>
<ds:datastoreItem xmlns:ds="http://schemas.openxmlformats.org/officeDocument/2006/customXml" ds:itemID="{3F17BDF3-33AD-4465-A885-65BD4896EC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Urena</dc:creator>
  <cp:keywords/>
  <dc:description/>
  <cp:lastModifiedBy>nurena</cp:lastModifiedBy>
  <cp:revision/>
  <dcterms:created xsi:type="dcterms:W3CDTF">2017-06-23T15:36:35Z</dcterms:created>
  <dcterms:modified xsi:type="dcterms:W3CDTF">2022-01-19T17:49:00Z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</Properties>
</file>