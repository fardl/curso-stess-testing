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11813" documentId="11_53EBCBDB22FFF13FBC0DAA1E2CF7431A589678A5" xr6:coauthVersionLast="47" xr6:coauthVersionMax="47" xr10:uidLastSave="{64DC3E62-EF3B-46A8-9238-39E43D5F0C75}"/>
  <bookViews>
    <workbookView xWindow="-120" yWindow="-120" windowWidth="29040" windowHeight="15720" activeTab="2" xr2:uid="{00000000-000D-0000-FFFF-FFFF00000000}"/>
  </bookViews>
  <sheets>
    <sheet name="Enero" sheetId="84" r:id="rId1"/>
    <sheet name="Febrero" sheetId="85" r:id="rId2"/>
    <sheet name="Marzo" sheetId="8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86" l="1"/>
  <c r="D71" i="86"/>
  <c r="E71" i="86"/>
  <c r="F71" i="86"/>
  <c r="G71" i="86"/>
  <c r="H71" i="86"/>
  <c r="I71" i="86"/>
  <c r="J71" i="86"/>
  <c r="K71" i="86"/>
  <c r="C71" i="86"/>
  <c r="M8" i="86" l="1"/>
  <c r="M11" i="86"/>
  <c r="M20" i="86"/>
  <c r="M31" i="86"/>
  <c r="M34" i="86"/>
  <c r="D71" i="85"/>
  <c r="E71" i="85"/>
  <c r="F71" i="85"/>
  <c r="G71" i="85"/>
  <c r="H71" i="85"/>
  <c r="I71" i="85"/>
  <c r="J71" i="85"/>
  <c r="K71" i="85"/>
  <c r="C71" i="85"/>
  <c r="M69" i="85"/>
  <c r="M8" i="85"/>
  <c r="M11" i="85"/>
  <c r="M20" i="85"/>
  <c r="M31" i="85"/>
  <c r="M34" i="85"/>
  <c r="M71" i="84"/>
  <c r="D73" i="84"/>
  <c r="E73" i="84"/>
  <c r="F73" i="84"/>
  <c r="G73" i="84"/>
  <c r="H73" i="84"/>
  <c r="I73" i="84"/>
  <c r="J73" i="84"/>
  <c r="K73" i="84"/>
  <c r="C73" i="84"/>
  <c r="M8" i="84" l="1"/>
  <c r="M11" i="84"/>
  <c r="M22" i="84"/>
  <c r="M33" i="84"/>
  <c r="M36" i="84"/>
</calcChain>
</file>

<file path=xl/sharedStrings.xml><?xml version="1.0" encoding="utf-8"?>
<sst xmlns="http://schemas.openxmlformats.org/spreadsheetml/2006/main" count="1386" uniqueCount="74">
  <si>
    <t>Inversiones de los Fondos de Pensiones en USD$</t>
  </si>
  <si>
    <t>Banco Central-Reparto Individualizado</t>
  </si>
  <si>
    <t>Reservas-Reparto Individualizado</t>
  </si>
  <si>
    <t>Fondo de Solidaridad Social</t>
  </si>
  <si>
    <t>Sector Gobierno Central</t>
  </si>
  <si>
    <t xml:space="preserve">  Ministerio de Hacienda</t>
  </si>
  <si>
    <t xml:space="preserve">    Bonos de Hacienda</t>
  </si>
  <si>
    <t>AAA</t>
  </si>
  <si>
    <t>Bancos Comerciales y de Servicios Múltiples</t>
  </si>
  <si>
    <t xml:space="preserve">    Certificados de Depósito</t>
  </si>
  <si>
    <t>C-1</t>
  </si>
  <si>
    <t>C-2</t>
  </si>
  <si>
    <t>Empresas Privadas</t>
  </si>
  <si>
    <t xml:space="preserve">  Consorcio Energético Punta Cana-Macao</t>
  </si>
  <si>
    <t xml:space="preserve">    Bonos Empresas</t>
  </si>
  <si>
    <t xml:space="preserve">AA </t>
  </si>
  <si>
    <t xml:space="preserve">  Dominican Power Partners</t>
  </si>
  <si>
    <t xml:space="preserve">A  </t>
  </si>
  <si>
    <t>Fondos de Inversión</t>
  </si>
  <si>
    <t>BBB</t>
  </si>
  <si>
    <t xml:space="preserve">    Cuotas de fondos cerrados de inversión</t>
  </si>
  <si>
    <t>CARTERA DE INVERSIONES</t>
  </si>
  <si>
    <t>-</t>
  </si>
  <si>
    <t xml:space="preserve">    Valores representativos de deuda emitidos por Fideicomisos de oferta pública</t>
  </si>
  <si>
    <t xml:space="preserve">  Fondo de Inversión Cerrado Inmobiliario BHD Fondos I</t>
  </si>
  <si>
    <t>TOTAL</t>
  </si>
  <si>
    <t xml:space="preserve">  Banco de Reservas de la República Dominicana</t>
  </si>
  <si>
    <t xml:space="preserve">  Empresa Generadora de Electricidad ITABO, S. A. </t>
  </si>
  <si>
    <t xml:space="preserve">  Fondo de Inversión Cerrado Inmobiliario ADVANCED I</t>
  </si>
  <si>
    <t xml:space="preserve">  JMMB Fondo Cerrado Inmobiliario</t>
  </si>
  <si>
    <t>RD$</t>
  </si>
  <si>
    <t xml:space="preserve">  Fondo de Inversión Cerrado Inmobiliario Altio I</t>
  </si>
  <si>
    <t xml:space="preserve">  Fondo de Inversión Cerrado de Desarrollo en Dólares Reservas II</t>
  </si>
  <si>
    <t xml:space="preserve">  Banco Múltiple BDI</t>
  </si>
  <si>
    <t xml:space="preserve">  Haina Investment Co. Ltd</t>
  </si>
  <si>
    <t xml:space="preserve">  Fondo de Inversión de Desarrollo Altio III</t>
  </si>
  <si>
    <t xml:space="preserve">  Fondo Cerrado de Desarrollo Altio Energía</t>
  </si>
  <si>
    <t xml:space="preserve">  Banco Popular Dominicano</t>
  </si>
  <si>
    <t xml:space="preserve">  Fondo Cerrado de Desarrollo Altio II</t>
  </si>
  <si>
    <t xml:space="preserve">  Fondo de Inversión Cerrado Inmobiliario INTERVAL I</t>
  </si>
  <si>
    <t xml:space="preserve">  Fondo de Inversión Cerrado de Desarrollo INTERVAL I</t>
  </si>
  <si>
    <t>Sub-sector económico / Emisor</t>
  </si>
  <si>
    <t>Clasificación de riesgo</t>
  </si>
  <si>
    <t>Atlántico</t>
  </si>
  <si>
    <t>Crecer</t>
  </si>
  <si>
    <t>JMMB-BDI</t>
  </si>
  <si>
    <t>Popular</t>
  </si>
  <si>
    <t>Reservas</t>
  </si>
  <si>
    <t>Siembra</t>
  </si>
  <si>
    <t>Total</t>
  </si>
  <si>
    <t>Valor de Mercado</t>
  </si>
  <si>
    <t>Participación</t>
  </si>
  <si>
    <t xml:space="preserve">  Energía Natural Dominicana Enadom, S. R. L.</t>
  </si>
  <si>
    <t xml:space="preserve">  Fideicomiso de Oferta Pública de Valores Larimar</t>
  </si>
  <si>
    <t xml:space="preserve">  Fondo de Inversión Cerrado de Desarrollo BHD Fondos I</t>
  </si>
  <si>
    <t xml:space="preserve">  Fondo de Inversión Cerrado de Desarrollo de Infraestructuras Energéticas I</t>
  </si>
  <si>
    <t xml:space="preserve">  Fondo de Inversión Cerrado Inmobiliario Excel II</t>
  </si>
  <si>
    <t xml:space="preserve">  Fondo de Inversión Cerrado Inmobiliario Universal I</t>
  </si>
  <si>
    <t xml:space="preserve">  Fondo de Inversión Cerrado Renta Inmobiliaria Dólares Popular</t>
  </si>
  <si>
    <t xml:space="preserve">  JMMB Fondo de Inversión Cerrado de Desarrollo de Sociedades de Energía Sostenible</t>
  </si>
  <si>
    <t>PARTICIPACIÓN</t>
  </si>
  <si>
    <t>TOTAL CARTERA INVERSIONES</t>
  </si>
  <si>
    <t>Fideicomiso de Oferta Publica</t>
  </si>
  <si>
    <t xml:space="preserve">  Banco Múltiple Promerica de la República Dominicana</t>
  </si>
  <si>
    <t xml:space="preserve">  Banco Múltiple Lafise</t>
  </si>
  <si>
    <t>Al 30/01/2026</t>
  </si>
  <si>
    <t xml:space="preserve">  Fondo de Inversioón Cerrado Inmobiliario Excel I</t>
  </si>
  <si>
    <t xml:space="preserve">  Banco Múltiple Vimenca</t>
  </si>
  <si>
    <t>Al 26/02/2026</t>
  </si>
  <si>
    <t>Fideicomiso de Oferta Pública</t>
  </si>
  <si>
    <t xml:space="preserve">  Fondo de Inversión Cerrado Inmobiliario Excel I</t>
  </si>
  <si>
    <t xml:space="preserve">  Banesco Banco Múltiple</t>
  </si>
  <si>
    <t>Al 31/03/2026</t>
  </si>
  <si>
    <t xml:space="preserve">  Fondo de Inversion Cerrado de Desarrollo de Infraestructuras Energéticas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</si>
</sst>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RD$&quot;* #,##0.00_);_(&quot;RD$&quot;* \(#,##0.00\);_(&quot;RD$&quot;* &quot;-&quot;??_);_(@_)"/>
    <numFmt numFmtId="166" formatCode="_([$€-2]* #,##0.00_);_([$€-2]* \(#,##0.00\);_([$€-2]* &quot;-&quot;??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16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9" fontId="1" fillId="0" borderId="0" applyFont="0" applyFill="0" applyBorder="0" applyAlignment="0" applyProtection="0"/>
    <xf numFmtId="0" fontId="14" fillId="0" borderId="0"/>
    <xf numFmtId="0" fontId="15" fillId="0" borderId="0"/>
    <xf numFmtId="0" fontId="16" fillId="0" borderId="0"/>
    <xf numFmtId="0" fontId="18" fillId="0" borderId="0"/>
    <xf numFmtId="0" fontId="20" fillId="0" borderId="0"/>
  </cellStyleXfs>
  <cellXfs count="113">
    <xf numFmtId="0" fontId="0" fillId="0" borderId="0" xfId="0"/>
    <xf numFmtId="0" fontId="13" fillId="3" borderId="6" xfId="907" applyFont="1" applyFill="1" applyBorder="1" applyAlignment="1">
      <alignment horizontal="center" vertical="center" wrapText="1"/>
    </xf>
    <xf numFmtId="0" fontId="13" fillId="3" borderId="7" xfId="907" applyFont="1" applyFill="1" applyBorder="1" applyAlignment="1">
      <alignment horizontal="center" vertical="center" wrapText="1"/>
    </xf>
    <xf numFmtId="0" fontId="16" fillId="0" borderId="0" xfId="913" applyAlignment="1">
      <alignment wrapText="1"/>
    </xf>
    <xf numFmtId="0" fontId="17" fillId="2" borderId="1" xfId="913" applyFont="1" applyFill="1" applyBorder="1" applyAlignment="1">
      <alignment wrapText="1"/>
    </xf>
    <xf numFmtId="0" fontId="17" fillId="0" borderId="0" xfId="913" applyFont="1" applyAlignment="1">
      <alignment wrapText="1"/>
    </xf>
    <xf numFmtId="0" fontId="17" fillId="0" borderId="0" xfId="913" applyFont="1" applyAlignment="1">
      <alignment horizontal="center" wrapText="1"/>
    </xf>
    <xf numFmtId="0" fontId="16" fillId="0" borderId="0" xfId="913" applyAlignment="1">
      <alignment horizontal="center" wrapText="1"/>
    </xf>
    <xf numFmtId="0" fontId="5" fillId="0" borderId="0" xfId="913" applyFont="1" applyAlignment="1">
      <alignment wrapText="1"/>
    </xf>
    <xf numFmtId="0" fontId="17" fillId="2" borderId="8" xfId="913" applyFont="1" applyFill="1" applyBorder="1" applyAlignment="1">
      <alignment horizontal="center" wrapText="1"/>
    </xf>
    <xf numFmtId="0" fontId="17" fillId="2" borderId="15" xfId="913" applyFont="1" applyFill="1" applyBorder="1" applyAlignment="1">
      <alignment horizontal="center" wrapText="1"/>
    </xf>
    <xf numFmtId="0" fontId="5" fillId="2" borderId="15" xfId="913" applyFont="1" applyFill="1" applyBorder="1" applyAlignment="1">
      <alignment horizontal="center" wrapText="1"/>
    </xf>
    <xf numFmtId="4" fontId="17" fillId="2" borderId="11" xfId="913" applyNumberFormat="1" applyFont="1" applyFill="1" applyBorder="1" applyAlignment="1">
      <alignment horizontal="center" wrapText="1"/>
    </xf>
    <xf numFmtId="4" fontId="17" fillId="2" borderId="13" xfId="913" applyNumberFormat="1" applyFont="1" applyFill="1" applyBorder="1" applyAlignment="1">
      <alignment horizontal="center" wrapText="1"/>
    </xf>
    <xf numFmtId="4" fontId="17" fillId="0" borderId="10" xfId="913" applyNumberFormat="1" applyFont="1" applyBorder="1" applyAlignment="1">
      <alignment horizontal="center" wrapText="1"/>
    </xf>
    <xf numFmtId="4" fontId="17" fillId="0" borderId="0" xfId="913" applyNumberFormat="1" applyFont="1" applyAlignment="1">
      <alignment horizontal="center" wrapText="1"/>
    </xf>
    <xf numFmtId="4" fontId="5" fillId="0" borderId="10" xfId="913" applyNumberFormat="1" applyFont="1" applyBorder="1" applyAlignment="1">
      <alignment horizontal="center" wrapText="1"/>
    </xf>
    <xf numFmtId="4" fontId="5" fillId="0" borderId="0" xfId="913" applyNumberFormat="1" applyFont="1" applyAlignment="1">
      <alignment horizontal="center" wrapText="1"/>
    </xf>
    <xf numFmtId="0" fontId="17" fillId="0" borderId="10" xfId="913" applyFont="1" applyBorder="1" applyAlignment="1">
      <alignment horizontal="center" wrapText="1"/>
    </xf>
    <xf numFmtId="0" fontId="5" fillId="0" borderId="10" xfId="913" applyFont="1" applyBorder="1" applyAlignment="1">
      <alignment horizontal="center" wrapText="1"/>
    </xf>
    <xf numFmtId="0" fontId="5" fillId="0" borderId="0" xfId="913" applyFont="1" applyAlignment="1">
      <alignment horizontal="center" wrapText="1"/>
    </xf>
    <xf numFmtId="0" fontId="17" fillId="2" borderId="11" xfId="913" applyFont="1" applyFill="1" applyBorder="1" applyAlignment="1">
      <alignment horizontal="center" wrapText="1"/>
    </xf>
    <xf numFmtId="0" fontId="17" fillId="2" borderId="13" xfId="913" applyFont="1" applyFill="1" applyBorder="1" applyAlignment="1">
      <alignment horizontal="center" wrapText="1"/>
    </xf>
    <xf numFmtId="4" fontId="17" fillId="2" borderId="9" xfId="913" applyNumberFormat="1" applyFont="1" applyFill="1" applyBorder="1" applyAlignment="1">
      <alignment horizontal="center" wrapText="1"/>
    </xf>
    <xf numFmtId="10" fontId="17" fillId="2" borderId="9" xfId="913" applyNumberFormat="1" applyFont="1" applyFill="1" applyBorder="1" applyAlignment="1">
      <alignment horizontal="center" wrapText="1"/>
    </xf>
    <xf numFmtId="0" fontId="16" fillId="0" borderId="10" xfId="913" applyBorder="1" applyAlignment="1">
      <alignment horizontal="center" wrapText="1"/>
    </xf>
    <xf numFmtId="10" fontId="17" fillId="2" borderId="11" xfId="913" applyNumberFormat="1" applyFont="1" applyFill="1" applyBorder="1" applyAlignment="1">
      <alignment horizontal="center" wrapText="1"/>
    </xf>
    <xf numFmtId="0" fontId="12" fillId="0" borderId="0" xfId="913" applyFont="1" applyAlignment="1">
      <alignment wrapText="1"/>
    </xf>
    <xf numFmtId="0" fontId="12" fillId="2" borderId="1" xfId="913" applyFont="1" applyFill="1" applyBorder="1" applyAlignment="1">
      <alignment wrapText="1"/>
    </xf>
    <xf numFmtId="10" fontId="17" fillId="2" borderId="14" xfId="910" applyNumberFormat="1" applyFont="1" applyFill="1" applyBorder="1" applyAlignment="1">
      <alignment horizontal="center" wrapText="1"/>
    </xf>
    <xf numFmtId="4" fontId="16" fillId="0" borderId="0" xfId="913" applyNumberFormat="1" applyAlignment="1">
      <alignment wrapText="1"/>
    </xf>
    <xf numFmtId="0" fontId="18" fillId="0" borderId="0" xfId="914" applyAlignment="1">
      <alignment wrapText="1"/>
    </xf>
    <xf numFmtId="0" fontId="19" fillId="2" borderId="1" xfId="914" applyFont="1" applyFill="1" applyBorder="1" applyAlignment="1">
      <alignment horizontal="center" wrapText="1"/>
    </xf>
    <xf numFmtId="0" fontId="19" fillId="2" borderId="1" xfId="914" applyFont="1" applyFill="1" applyBorder="1" applyAlignment="1">
      <alignment wrapText="1"/>
    </xf>
    <xf numFmtId="0" fontId="19" fillId="2" borderId="17" xfId="914" applyFont="1" applyFill="1" applyBorder="1" applyAlignment="1">
      <alignment horizontal="center" wrapText="1"/>
    </xf>
    <xf numFmtId="0" fontId="19" fillId="0" borderId="0" xfId="914" applyFont="1" applyAlignment="1">
      <alignment wrapText="1"/>
    </xf>
    <xf numFmtId="0" fontId="19" fillId="0" borderId="0" xfId="914" applyFont="1" applyAlignment="1">
      <alignment horizontal="center" wrapText="1"/>
    </xf>
    <xf numFmtId="0" fontId="18" fillId="0" borderId="0" xfId="914" applyAlignment="1">
      <alignment horizontal="center" wrapText="1"/>
    </xf>
    <xf numFmtId="0" fontId="5" fillId="0" borderId="0" xfId="914" applyFont="1" applyAlignment="1">
      <alignment wrapText="1"/>
    </xf>
    <xf numFmtId="0" fontId="5" fillId="2" borderId="17" xfId="914" applyFont="1" applyFill="1" applyBorder="1" applyAlignment="1">
      <alignment horizontal="center" wrapText="1"/>
    </xf>
    <xf numFmtId="0" fontId="12" fillId="2" borderId="1" xfId="914" applyFont="1" applyFill="1" applyBorder="1" applyAlignment="1">
      <alignment wrapText="1"/>
    </xf>
    <xf numFmtId="0" fontId="12" fillId="0" borderId="0" xfId="914" applyFont="1" applyAlignment="1">
      <alignment wrapText="1"/>
    </xf>
    <xf numFmtId="4" fontId="19" fillId="0" borderId="0" xfId="914" applyNumberFormat="1" applyFont="1" applyAlignment="1">
      <alignment horizontal="center" wrapText="1"/>
    </xf>
    <xf numFmtId="4" fontId="5" fillId="0" borderId="0" xfId="914" applyNumberFormat="1" applyFont="1" applyAlignment="1">
      <alignment horizontal="center" wrapText="1"/>
    </xf>
    <xf numFmtId="0" fontId="5" fillId="0" borderId="0" xfId="914" applyFont="1" applyAlignment="1">
      <alignment horizontal="center" wrapText="1"/>
    </xf>
    <xf numFmtId="4" fontId="19" fillId="2" borderId="8" xfId="914" applyNumberFormat="1" applyFont="1" applyFill="1" applyBorder="1" applyAlignment="1">
      <alignment horizontal="center" wrapText="1"/>
    </xf>
    <xf numFmtId="0" fontId="19" fillId="2" borderId="8" xfId="914" applyFont="1" applyFill="1" applyBorder="1" applyAlignment="1">
      <alignment horizontal="center" wrapText="1"/>
    </xf>
    <xf numFmtId="4" fontId="19" fillId="2" borderId="13" xfId="914" applyNumberFormat="1" applyFont="1" applyFill="1" applyBorder="1" applyAlignment="1">
      <alignment horizontal="center" wrapText="1"/>
    </xf>
    <xf numFmtId="0" fontId="19" fillId="2" borderId="13" xfId="914" applyFont="1" applyFill="1" applyBorder="1" applyAlignment="1">
      <alignment horizontal="center" wrapText="1"/>
    </xf>
    <xf numFmtId="4" fontId="19" fillId="2" borderId="9" xfId="914" applyNumberFormat="1" applyFont="1" applyFill="1" applyBorder="1" applyAlignment="1">
      <alignment horizontal="center" wrapText="1"/>
    </xf>
    <xf numFmtId="4" fontId="19" fillId="0" borderId="10" xfId="914" applyNumberFormat="1" applyFont="1" applyBorder="1" applyAlignment="1">
      <alignment horizontal="center" wrapText="1"/>
    </xf>
    <xf numFmtId="4" fontId="5" fillId="0" borderId="10" xfId="914" applyNumberFormat="1" applyFont="1" applyBorder="1" applyAlignment="1">
      <alignment horizontal="center" wrapText="1"/>
    </xf>
    <xf numFmtId="4" fontId="19" fillId="2" borderId="11" xfId="914" applyNumberFormat="1" applyFont="1" applyFill="1" applyBorder="1" applyAlignment="1">
      <alignment horizontal="center" wrapText="1"/>
    </xf>
    <xf numFmtId="0" fontId="19" fillId="0" borderId="10" xfId="914" applyFont="1" applyBorder="1" applyAlignment="1">
      <alignment horizontal="center" wrapText="1"/>
    </xf>
    <xf numFmtId="0" fontId="5" fillId="0" borderId="10" xfId="914" applyFont="1" applyBorder="1" applyAlignment="1">
      <alignment horizontal="center" wrapText="1"/>
    </xf>
    <xf numFmtId="0" fontId="19" fillId="2" borderId="11" xfId="914" applyFont="1" applyFill="1" applyBorder="1" applyAlignment="1">
      <alignment horizontal="center" wrapText="1"/>
    </xf>
    <xf numFmtId="0" fontId="18" fillId="0" borderId="10" xfId="914" applyBorder="1" applyAlignment="1">
      <alignment horizontal="center" wrapText="1"/>
    </xf>
    <xf numFmtId="10" fontId="19" fillId="2" borderId="8" xfId="910" applyNumberFormat="1" applyFont="1" applyFill="1" applyBorder="1" applyAlignment="1">
      <alignment horizontal="center" wrapText="1"/>
    </xf>
    <xf numFmtId="10" fontId="19" fillId="2" borderId="9" xfId="914" applyNumberFormat="1" applyFont="1" applyFill="1" applyBorder="1" applyAlignment="1">
      <alignment horizontal="center" wrapText="1"/>
    </xf>
    <xf numFmtId="10" fontId="19" fillId="2" borderId="11" xfId="914" applyNumberFormat="1" applyFont="1" applyFill="1" applyBorder="1" applyAlignment="1">
      <alignment horizontal="center" wrapText="1"/>
    </xf>
    <xf numFmtId="4" fontId="18" fillId="0" borderId="0" xfId="914" applyNumberFormat="1" applyAlignment="1">
      <alignment wrapText="1"/>
    </xf>
    <xf numFmtId="10" fontId="19" fillId="2" borderId="6" xfId="910" applyNumberFormat="1" applyFont="1" applyFill="1" applyBorder="1" applyAlignment="1">
      <alignment horizontal="center" vertical="center" wrapText="1"/>
    </xf>
    <xf numFmtId="10" fontId="19" fillId="2" borderId="12" xfId="910" applyNumberFormat="1" applyFont="1" applyFill="1" applyBorder="1" applyAlignment="1">
      <alignment horizontal="center" vertical="center" wrapText="1"/>
    </xf>
    <xf numFmtId="0" fontId="12" fillId="4" borderId="12" xfId="907" applyFont="1" applyFill="1" applyBorder="1" applyAlignment="1">
      <alignment horizontal="center" wrapText="1"/>
    </xf>
    <xf numFmtId="0" fontId="9" fillId="4" borderId="2" xfId="907" applyFill="1" applyBorder="1" applyAlignment="1">
      <alignment horizontal="center" wrapText="1"/>
    </xf>
    <xf numFmtId="0" fontId="13" fillId="3" borderId="2" xfId="907" applyFont="1" applyFill="1" applyBorder="1" applyAlignment="1">
      <alignment horizontal="center" vertical="center" wrapText="1"/>
    </xf>
    <xf numFmtId="0" fontId="13" fillId="3" borderId="6" xfId="907" applyFont="1" applyFill="1" applyBorder="1" applyAlignment="1">
      <alignment horizontal="center" vertical="center" wrapText="1"/>
    </xf>
    <xf numFmtId="0" fontId="13" fillId="3" borderId="2" xfId="907" applyFont="1" applyFill="1" applyBorder="1" applyAlignment="1">
      <alignment horizontal="center" vertical="center"/>
    </xf>
    <xf numFmtId="0" fontId="13" fillId="3" borderId="3" xfId="907" applyFont="1" applyFill="1" applyBorder="1" applyAlignment="1">
      <alignment horizontal="center" vertical="center" wrapText="1"/>
    </xf>
    <xf numFmtId="0" fontId="13" fillId="3" borderId="4" xfId="907" applyFont="1" applyFill="1" applyBorder="1" applyAlignment="1">
      <alignment horizontal="center" vertical="center" wrapText="1"/>
    </xf>
    <xf numFmtId="0" fontId="13" fillId="3" borderId="7" xfId="907" applyFont="1" applyFill="1" applyBorder="1" applyAlignment="1">
      <alignment horizontal="center" vertical="center" wrapText="1"/>
    </xf>
    <xf numFmtId="0" fontId="13" fillId="3" borderId="5" xfId="907" applyFont="1" applyFill="1" applyBorder="1" applyAlignment="1">
      <alignment horizontal="center" vertical="center" wrapText="1"/>
    </xf>
    <xf numFmtId="0" fontId="19" fillId="0" borderId="0" xfId="914" applyFont="1" applyAlignment="1">
      <alignment horizontal="center" wrapText="1"/>
    </xf>
    <xf numFmtId="0" fontId="18" fillId="0" borderId="0" xfId="914" applyAlignment="1">
      <alignment wrapText="1"/>
    </xf>
    <xf numFmtId="10" fontId="17" fillId="2" borderId="16" xfId="910" applyNumberFormat="1" applyFont="1" applyFill="1" applyBorder="1" applyAlignment="1">
      <alignment horizontal="center" vertical="center" wrapText="1"/>
    </xf>
    <xf numFmtId="10" fontId="17" fillId="2" borderId="12" xfId="910" applyNumberFormat="1" applyFont="1" applyFill="1" applyBorder="1" applyAlignment="1">
      <alignment horizontal="center" vertical="center" wrapText="1"/>
    </xf>
    <xf numFmtId="0" fontId="17" fillId="0" borderId="0" xfId="913" applyFont="1" applyAlignment="1">
      <alignment horizontal="center" wrapText="1"/>
    </xf>
    <xf numFmtId="0" fontId="16" fillId="0" borderId="0" xfId="913" applyAlignment="1">
      <alignment wrapText="1"/>
    </xf>
    <xf numFmtId="0" fontId="20" fillId="0" borderId="0" xfId="915" applyAlignment="1">
      <alignment wrapText="1"/>
    </xf>
    <xf numFmtId="0" fontId="21" fillId="2" borderId="1" xfId="915" applyFont="1" applyFill="1" applyBorder="1" applyAlignment="1">
      <alignment horizontal="center" wrapText="1"/>
    </xf>
    <xf numFmtId="0" fontId="21" fillId="2" borderId="1" xfId="915" applyFont="1" applyFill="1" applyBorder="1" applyAlignment="1">
      <alignment wrapText="1"/>
    </xf>
    <xf numFmtId="0" fontId="21" fillId="2" borderId="17" xfId="915" applyFont="1" applyFill="1" applyBorder="1" applyAlignment="1">
      <alignment horizontal="center" wrapText="1"/>
    </xf>
    <xf numFmtId="0" fontId="21" fillId="0" borderId="0" xfId="915" applyFont="1" applyAlignment="1">
      <alignment wrapText="1"/>
    </xf>
    <xf numFmtId="0" fontId="20" fillId="0" borderId="0" xfId="915" applyAlignment="1">
      <alignment wrapText="1"/>
    </xf>
    <xf numFmtId="0" fontId="21" fillId="0" borderId="0" xfId="915" applyFont="1" applyAlignment="1">
      <alignment horizontal="center" wrapText="1"/>
    </xf>
    <xf numFmtId="0" fontId="20" fillId="0" borderId="0" xfId="915" applyAlignment="1">
      <alignment horizontal="center" wrapText="1"/>
    </xf>
    <xf numFmtId="0" fontId="21" fillId="0" borderId="0" xfId="915" applyFont="1" applyAlignment="1">
      <alignment horizontal="center" wrapText="1"/>
    </xf>
    <xf numFmtId="0" fontId="5" fillId="0" borderId="0" xfId="915" applyFont="1" applyAlignment="1">
      <alignment wrapText="1"/>
    </xf>
    <xf numFmtId="0" fontId="5" fillId="2" borderId="17" xfId="915" applyFont="1" applyFill="1" applyBorder="1" applyAlignment="1">
      <alignment horizontal="center" wrapText="1"/>
    </xf>
    <xf numFmtId="0" fontId="12" fillId="2" borderId="1" xfId="915" applyFont="1" applyFill="1" applyBorder="1" applyAlignment="1">
      <alignment wrapText="1"/>
    </xf>
    <xf numFmtId="0" fontId="12" fillId="0" borderId="0" xfId="915" applyFont="1" applyAlignment="1">
      <alignment wrapText="1"/>
    </xf>
    <xf numFmtId="4" fontId="21" fillId="0" borderId="0" xfId="915" applyNumberFormat="1" applyFont="1" applyAlignment="1">
      <alignment horizontal="center" wrapText="1"/>
    </xf>
    <xf numFmtId="4" fontId="5" fillId="0" borderId="0" xfId="915" applyNumberFormat="1" applyFont="1" applyAlignment="1">
      <alignment horizontal="center" wrapText="1"/>
    </xf>
    <xf numFmtId="0" fontId="5" fillId="0" borderId="0" xfId="915" applyFont="1" applyAlignment="1">
      <alignment horizontal="center" wrapText="1"/>
    </xf>
    <xf numFmtId="0" fontId="13" fillId="3" borderId="18" xfId="907" applyFont="1" applyFill="1" applyBorder="1" applyAlignment="1">
      <alignment horizontal="center" vertical="center" wrapText="1"/>
    </xf>
    <xf numFmtId="4" fontId="21" fillId="2" borderId="8" xfId="915" applyNumberFormat="1" applyFont="1" applyFill="1" applyBorder="1" applyAlignment="1">
      <alignment horizontal="center" wrapText="1"/>
    </xf>
    <xf numFmtId="0" fontId="21" fillId="2" borderId="8" xfId="915" applyFont="1" applyFill="1" applyBorder="1" applyAlignment="1">
      <alignment horizontal="center" wrapText="1"/>
    </xf>
    <xf numFmtId="4" fontId="21" fillId="2" borderId="13" xfId="915" applyNumberFormat="1" applyFont="1" applyFill="1" applyBorder="1" applyAlignment="1">
      <alignment horizontal="center" wrapText="1"/>
    </xf>
    <xf numFmtId="0" fontId="21" fillId="2" borderId="13" xfId="915" applyFont="1" applyFill="1" applyBorder="1" applyAlignment="1">
      <alignment horizontal="center" wrapText="1"/>
    </xf>
    <xf numFmtId="0" fontId="13" fillId="3" borderId="19" xfId="907" applyFont="1" applyFill="1" applyBorder="1" applyAlignment="1">
      <alignment horizontal="center" vertical="center" wrapText="1"/>
    </xf>
    <xf numFmtId="4" fontId="21" fillId="2" borderId="11" xfId="915" applyNumberFormat="1" applyFont="1" applyFill="1" applyBorder="1" applyAlignment="1">
      <alignment horizontal="center" wrapText="1"/>
    </xf>
    <xf numFmtId="4" fontId="21" fillId="0" borderId="10" xfId="915" applyNumberFormat="1" applyFont="1" applyBorder="1" applyAlignment="1">
      <alignment horizontal="center" wrapText="1"/>
    </xf>
    <xf numFmtId="4" fontId="5" fillId="0" borderId="10" xfId="915" applyNumberFormat="1" applyFont="1" applyBorder="1" applyAlignment="1">
      <alignment horizontal="center" wrapText="1"/>
    </xf>
    <xf numFmtId="0" fontId="21" fillId="0" borderId="10" xfId="915" applyFont="1" applyBorder="1" applyAlignment="1">
      <alignment horizontal="center" wrapText="1"/>
    </xf>
    <xf numFmtId="0" fontId="5" fillId="0" borderId="10" xfId="915" applyFont="1" applyBorder="1" applyAlignment="1">
      <alignment horizontal="center" wrapText="1"/>
    </xf>
    <xf numFmtId="0" fontId="21" fillId="2" borderId="11" xfId="915" applyFont="1" applyFill="1" applyBorder="1" applyAlignment="1">
      <alignment horizontal="center" wrapText="1"/>
    </xf>
    <xf numFmtId="4" fontId="21" fillId="2" borderId="9" xfId="915" applyNumberFormat="1" applyFont="1" applyFill="1" applyBorder="1" applyAlignment="1">
      <alignment horizontal="center" wrapText="1"/>
    </xf>
    <xf numFmtId="10" fontId="21" fillId="2" borderId="9" xfId="915" applyNumberFormat="1" applyFont="1" applyFill="1" applyBorder="1" applyAlignment="1">
      <alignment horizontal="center" wrapText="1"/>
    </xf>
    <xf numFmtId="0" fontId="20" fillId="0" borderId="10" xfId="915" applyBorder="1" applyAlignment="1">
      <alignment horizontal="center" wrapText="1"/>
    </xf>
    <xf numFmtId="10" fontId="21" fillId="2" borderId="11" xfId="915" applyNumberFormat="1" applyFont="1" applyFill="1" applyBorder="1" applyAlignment="1">
      <alignment horizontal="center" wrapText="1"/>
    </xf>
    <xf numFmtId="10" fontId="21" fillId="2" borderId="8" xfId="910" applyNumberFormat="1" applyFont="1" applyFill="1" applyBorder="1" applyAlignment="1">
      <alignment horizontal="center" wrapText="1"/>
    </xf>
    <xf numFmtId="10" fontId="21" fillId="2" borderId="6" xfId="910" applyNumberFormat="1" applyFont="1" applyFill="1" applyBorder="1" applyAlignment="1">
      <alignment horizontal="center" vertical="center" wrapText="1"/>
    </xf>
    <xf numFmtId="10" fontId="21" fillId="2" borderId="12" xfId="910" applyNumberFormat="1" applyFont="1" applyFill="1" applyBorder="1" applyAlignment="1">
      <alignment horizontal="center" vertical="center" wrapText="1"/>
    </xf>
  </cellXfs>
  <cellStyles count="916">
    <cellStyle name="Comma 2" xfId="5" xr:uid="{00000000-0005-0000-0000-000000000000}"/>
    <cellStyle name="Euro" xfId="6" xr:uid="{00000000-0005-0000-0000-000001000000}"/>
    <cellStyle name="Millares 10" xfId="7" xr:uid="{00000000-0005-0000-0000-000003000000}"/>
    <cellStyle name="Millares 10 2" xfId="8" xr:uid="{00000000-0005-0000-0000-000004000000}"/>
    <cellStyle name="Millares 10 2 2" xfId="9" xr:uid="{00000000-0005-0000-0000-000005000000}"/>
    <cellStyle name="Millares 10 2 2 2" xfId="10" xr:uid="{00000000-0005-0000-0000-000006000000}"/>
    <cellStyle name="Millares 10 2 2 2 2" xfId="11" xr:uid="{00000000-0005-0000-0000-000007000000}"/>
    <cellStyle name="Millares 10 2 2 2 2 2" xfId="12" xr:uid="{00000000-0005-0000-0000-000008000000}"/>
    <cellStyle name="Millares 10 2 2 2 3" xfId="13" xr:uid="{00000000-0005-0000-0000-000009000000}"/>
    <cellStyle name="Millares 10 2 2 3" xfId="14" xr:uid="{00000000-0005-0000-0000-00000A000000}"/>
    <cellStyle name="Millares 10 2 2 3 2" xfId="15" xr:uid="{00000000-0005-0000-0000-00000B000000}"/>
    <cellStyle name="Millares 10 2 2 4" xfId="16" xr:uid="{00000000-0005-0000-0000-00000C000000}"/>
    <cellStyle name="Millares 10 2 3" xfId="17" xr:uid="{00000000-0005-0000-0000-00000D000000}"/>
    <cellStyle name="Millares 10 2 3 2" xfId="18" xr:uid="{00000000-0005-0000-0000-00000E000000}"/>
    <cellStyle name="Millares 10 2 3 2 2" xfId="19" xr:uid="{00000000-0005-0000-0000-00000F000000}"/>
    <cellStyle name="Millares 10 2 3 3" xfId="20" xr:uid="{00000000-0005-0000-0000-000010000000}"/>
    <cellStyle name="Millares 10 2 4" xfId="21" xr:uid="{00000000-0005-0000-0000-000011000000}"/>
    <cellStyle name="Millares 10 2 4 2" xfId="22" xr:uid="{00000000-0005-0000-0000-000012000000}"/>
    <cellStyle name="Millares 10 2 5" xfId="23" xr:uid="{00000000-0005-0000-0000-000013000000}"/>
    <cellStyle name="Millares 11" xfId="24" xr:uid="{00000000-0005-0000-0000-000014000000}"/>
    <cellStyle name="Millares 11 2" xfId="25" xr:uid="{00000000-0005-0000-0000-000015000000}"/>
    <cellStyle name="Millares 11 3" xfId="26" xr:uid="{00000000-0005-0000-0000-000016000000}"/>
    <cellStyle name="Millares 11 4" xfId="27" xr:uid="{00000000-0005-0000-0000-000017000000}"/>
    <cellStyle name="Millares 11 5" xfId="28" xr:uid="{00000000-0005-0000-0000-000018000000}"/>
    <cellStyle name="Millares 11 6" xfId="29" xr:uid="{00000000-0005-0000-0000-000019000000}"/>
    <cellStyle name="Millares 11 7" xfId="30" xr:uid="{00000000-0005-0000-0000-00001A000000}"/>
    <cellStyle name="Millares 11 8" xfId="31" xr:uid="{00000000-0005-0000-0000-00001B000000}"/>
    <cellStyle name="Millares 12" xfId="32" xr:uid="{00000000-0005-0000-0000-00001C000000}"/>
    <cellStyle name="Millares 13" xfId="33" xr:uid="{00000000-0005-0000-0000-00001D000000}"/>
    <cellStyle name="Millares 13 10" xfId="34" xr:uid="{00000000-0005-0000-0000-00001E000000}"/>
    <cellStyle name="Millares 13 11" xfId="35" xr:uid="{00000000-0005-0000-0000-00001F000000}"/>
    <cellStyle name="Millares 13 12" xfId="36" xr:uid="{00000000-0005-0000-0000-000020000000}"/>
    <cellStyle name="Millares 13 13" xfId="37" xr:uid="{00000000-0005-0000-0000-000021000000}"/>
    <cellStyle name="Millares 13 14" xfId="38" xr:uid="{00000000-0005-0000-0000-000022000000}"/>
    <cellStyle name="Millares 13 15" xfId="39" xr:uid="{00000000-0005-0000-0000-000023000000}"/>
    <cellStyle name="Millares 13 16" xfId="40" xr:uid="{00000000-0005-0000-0000-000024000000}"/>
    <cellStyle name="Millares 13 2" xfId="41" xr:uid="{00000000-0005-0000-0000-000025000000}"/>
    <cellStyle name="Millares 13 2 2" xfId="42" xr:uid="{00000000-0005-0000-0000-000026000000}"/>
    <cellStyle name="Millares 13 2 2 2" xfId="43" xr:uid="{00000000-0005-0000-0000-000027000000}"/>
    <cellStyle name="Millares 13 2 2 2 2" xfId="44" xr:uid="{00000000-0005-0000-0000-000028000000}"/>
    <cellStyle name="Millares 13 2 2 3" xfId="45" xr:uid="{00000000-0005-0000-0000-000029000000}"/>
    <cellStyle name="Millares 13 2 3" xfId="46" xr:uid="{00000000-0005-0000-0000-00002A000000}"/>
    <cellStyle name="Millares 13 2 3 2" xfId="47" xr:uid="{00000000-0005-0000-0000-00002B000000}"/>
    <cellStyle name="Millares 13 2 4" xfId="48" xr:uid="{00000000-0005-0000-0000-00002C000000}"/>
    <cellStyle name="Millares 13 3" xfId="49" xr:uid="{00000000-0005-0000-0000-00002D000000}"/>
    <cellStyle name="Millares 13 3 2" xfId="50" xr:uid="{00000000-0005-0000-0000-00002E000000}"/>
    <cellStyle name="Millares 13 3 2 2" xfId="51" xr:uid="{00000000-0005-0000-0000-00002F000000}"/>
    <cellStyle name="Millares 13 3 3" xfId="52" xr:uid="{00000000-0005-0000-0000-000030000000}"/>
    <cellStyle name="Millares 13 4" xfId="53" xr:uid="{00000000-0005-0000-0000-000031000000}"/>
    <cellStyle name="Millares 13 4 2" xfId="54" xr:uid="{00000000-0005-0000-0000-000032000000}"/>
    <cellStyle name="Millares 13 5" xfId="55" xr:uid="{00000000-0005-0000-0000-000033000000}"/>
    <cellStyle name="Millares 13 6" xfId="56" xr:uid="{00000000-0005-0000-0000-000034000000}"/>
    <cellStyle name="Millares 13 7" xfId="57" xr:uid="{00000000-0005-0000-0000-000035000000}"/>
    <cellStyle name="Millares 13 8" xfId="58" xr:uid="{00000000-0005-0000-0000-000036000000}"/>
    <cellStyle name="Millares 13 9" xfId="59" xr:uid="{00000000-0005-0000-0000-000037000000}"/>
    <cellStyle name="Millares 14" xfId="60" xr:uid="{00000000-0005-0000-0000-000038000000}"/>
    <cellStyle name="Millares 14 2" xfId="61" xr:uid="{00000000-0005-0000-0000-000039000000}"/>
    <cellStyle name="Millares 14 2 2" xfId="62" xr:uid="{00000000-0005-0000-0000-00003A000000}"/>
    <cellStyle name="Millares 15" xfId="63" xr:uid="{00000000-0005-0000-0000-00003B000000}"/>
    <cellStyle name="Millares 16" xfId="64" xr:uid="{00000000-0005-0000-0000-00003C000000}"/>
    <cellStyle name="Millares 17" xfId="65" xr:uid="{00000000-0005-0000-0000-00003D000000}"/>
    <cellStyle name="Millares 2" xfId="66" xr:uid="{00000000-0005-0000-0000-00003E000000}"/>
    <cellStyle name="Millares 2 2" xfId="67" xr:uid="{00000000-0005-0000-0000-00003F000000}"/>
    <cellStyle name="Millares 2 2 2" xfId="68" xr:uid="{00000000-0005-0000-0000-000040000000}"/>
    <cellStyle name="Millares 2 3" xfId="69" xr:uid="{00000000-0005-0000-0000-000041000000}"/>
    <cellStyle name="Millares 2 4" xfId="70" xr:uid="{00000000-0005-0000-0000-000042000000}"/>
    <cellStyle name="Millares 2 5" xfId="71" xr:uid="{00000000-0005-0000-0000-000043000000}"/>
    <cellStyle name="Millares 2 6" xfId="72" xr:uid="{00000000-0005-0000-0000-000044000000}"/>
    <cellStyle name="Millares 3" xfId="73" xr:uid="{00000000-0005-0000-0000-000045000000}"/>
    <cellStyle name="Millares 3 10" xfId="74" xr:uid="{00000000-0005-0000-0000-000046000000}"/>
    <cellStyle name="Millares 3 11" xfId="75" xr:uid="{00000000-0005-0000-0000-000047000000}"/>
    <cellStyle name="Millares 3 12" xfId="76" xr:uid="{00000000-0005-0000-0000-000048000000}"/>
    <cellStyle name="Millares 3 13" xfId="77" xr:uid="{00000000-0005-0000-0000-000049000000}"/>
    <cellStyle name="Millares 3 14" xfId="78" xr:uid="{00000000-0005-0000-0000-00004A000000}"/>
    <cellStyle name="Millares 3 15" xfId="79" xr:uid="{00000000-0005-0000-0000-00004B000000}"/>
    <cellStyle name="Millares 3 16" xfId="80" xr:uid="{00000000-0005-0000-0000-00004C000000}"/>
    <cellStyle name="Millares 3 2" xfId="81" xr:uid="{00000000-0005-0000-0000-00004D000000}"/>
    <cellStyle name="Millares 3 3" xfId="82" xr:uid="{00000000-0005-0000-0000-00004E000000}"/>
    <cellStyle name="Millares 3 4" xfId="83" xr:uid="{00000000-0005-0000-0000-00004F000000}"/>
    <cellStyle name="Millares 3 5" xfId="84" xr:uid="{00000000-0005-0000-0000-000050000000}"/>
    <cellStyle name="Millares 3 6" xfId="85" xr:uid="{00000000-0005-0000-0000-000051000000}"/>
    <cellStyle name="Millares 3 7" xfId="86" xr:uid="{00000000-0005-0000-0000-000052000000}"/>
    <cellStyle name="Millares 3 8" xfId="87" xr:uid="{00000000-0005-0000-0000-000053000000}"/>
    <cellStyle name="Millares 3 9" xfId="88" xr:uid="{00000000-0005-0000-0000-000054000000}"/>
    <cellStyle name="Millares 4" xfId="89" xr:uid="{00000000-0005-0000-0000-000055000000}"/>
    <cellStyle name="Millares 5" xfId="90" xr:uid="{00000000-0005-0000-0000-000056000000}"/>
    <cellStyle name="Millares 6" xfId="91" xr:uid="{00000000-0005-0000-0000-000057000000}"/>
    <cellStyle name="Millares 6 2" xfId="92" xr:uid="{00000000-0005-0000-0000-000058000000}"/>
    <cellStyle name="Millares 6 3" xfId="93" xr:uid="{00000000-0005-0000-0000-000059000000}"/>
    <cellStyle name="Millares 6 4" xfId="94" xr:uid="{00000000-0005-0000-0000-00005A000000}"/>
    <cellStyle name="Millares 6 5" xfId="95" xr:uid="{00000000-0005-0000-0000-00005B000000}"/>
    <cellStyle name="Millares 6 6" xfId="96" xr:uid="{00000000-0005-0000-0000-00005C000000}"/>
    <cellStyle name="Millares 6 7" xfId="97" xr:uid="{00000000-0005-0000-0000-00005D000000}"/>
    <cellStyle name="Millares 7" xfId="98" xr:uid="{00000000-0005-0000-0000-00005E000000}"/>
    <cellStyle name="Millares 7 2" xfId="99" xr:uid="{00000000-0005-0000-0000-00005F000000}"/>
    <cellStyle name="Millares 7 2 2" xfId="100" xr:uid="{00000000-0005-0000-0000-000060000000}"/>
    <cellStyle name="Millares 7 3" xfId="101" xr:uid="{00000000-0005-0000-0000-000061000000}"/>
    <cellStyle name="Millares 7 4" xfId="102" xr:uid="{00000000-0005-0000-0000-000062000000}"/>
    <cellStyle name="Millares 7 5" xfId="103" xr:uid="{00000000-0005-0000-0000-000063000000}"/>
    <cellStyle name="Millares 7 6" xfId="104" xr:uid="{00000000-0005-0000-0000-000064000000}"/>
    <cellStyle name="Millares 7 7" xfId="105" xr:uid="{00000000-0005-0000-0000-000065000000}"/>
    <cellStyle name="Millares 8" xfId="106" xr:uid="{00000000-0005-0000-0000-000066000000}"/>
    <cellStyle name="Millares 9" xfId="107" xr:uid="{00000000-0005-0000-0000-000067000000}"/>
    <cellStyle name="Moneda 2" xfId="108" xr:uid="{00000000-0005-0000-0000-000068000000}"/>
    <cellStyle name="Moneda 3" xfId="109" xr:uid="{00000000-0005-0000-0000-000069000000}"/>
    <cellStyle name="Moneda 4" xfId="110" xr:uid="{00000000-0005-0000-0000-00006A000000}"/>
    <cellStyle name="Moneda 5" xfId="111" xr:uid="{00000000-0005-0000-0000-00006B000000}"/>
    <cellStyle name="Moneda 6" xfId="112" xr:uid="{00000000-0005-0000-0000-00006C000000}"/>
    <cellStyle name="Moneda 7" xfId="113" xr:uid="{00000000-0005-0000-0000-00006D000000}"/>
    <cellStyle name="Moneda 8" xfId="114" xr:uid="{00000000-0005-0000-0000-00006E000000}"/>
    <cellStyle name="Moneda 9" xfId="115" xr:uid="{00000000-0005-0000-0000-00006F000000}"/>
    <cellStyle name="Normal" xfId="0" builtinId="0"/>
    <cellStyle name="Normal 10" xfId="2" xr:uid="{00000000-0005-0000-0000-000071000000}"/>
    <cellStyle name="Normal 10 2" xfId="116" xr:uid="{00000000-0005-0000-0000-000072000000}"/>
    <cellStyle name="Normal 10 2 2" xfId="117" xr:uid="{00000000-0005-0000-0000-000073000000}"/>
    <cellStyle name="Normal 10 2 2 2" xfId="118" xr:uid="{00000000-0005-0000-0000-000074000000}"/>
    <cellStyle name="Normal 10 2 2 2 2" xfId="119" xr:uid="{00000000-0005-0000-0000-000075000000}"/>
    <cellStyle name="Normal 10 2 2 3" xfId="120" xr:uid="{00000000-0005-0000-0000-000076000000}"/>
    <cellStyle name="Normal 10 2 3" xfId="121" xr:uid="{00000000-0005-0000-0000-000077000000}"/>
    <cellStyle name="Normal 10 2 3 2" xfId="122" xr:uid="{00000000-0005-0000-0000-000078000000}"/>
    <cellStyle name="Normal 10 2 4" xfId="123" xr:uid="{00000000-0005-0000-0000-000079000000}"/>
    <cellStyle name="Normal 10 3" xfId="124" xr:uid="{00000000-0005-0000-0000-00007A000000}"/>
    <cellStyle name="Normal 10 3 2" xfId="125" xr:uid="{00000000-0005-0000-0000-00007B000000}"/>
    <cellStyle name="Normal 10 3 2 2" xfId="126" xr:uid="{00000000-0005-0000-0000-00007C000000}"/>
    <cellStyle name="Normal 10 3 3" xfId="127" xr:uid="{00000000-0005-0000-0000-00007D000000}"/>
    <cellStyle name="Normal 10 4" xfId="128" xr:uid="{00000000-0005-0000-0000-00007E000000}"/>
    <cellStyle name="Normal 10 4 2" xfId="129" xr:uid="{00000000-0005-0000-0000-00007F000000}"/>
    <cellStyle name="Normal 10 5" xfId="130" xr:uid="{00000000-0005-0000-0000-000080000000}"/>
    <cellStyle name="Normal 11" xfId="131" xr:uid="{00000000-0005-0000-0000-000081000000}"/>
    <cellStyle name="Normal 11 2" xfId="132" xr:uid="{00000000-0005-0000-0000-000082000000}"/>
    <cellStyle name="Normal 11 2 2" xfId="133" xr:uid="{00000000-0005-0000-0000-000083000000}"/>
    <cellStyle name="Normal 11 2 2 2" xfId="134" xr:uid="{00000000-0005-0000-0000-000084000000}"/>
    <cellStyle name="Normal 11 2 2 2 2" xfId="135" xr:uid="{00000000-0005-0000-0000-000085000000}"/>
    <cellStyle name="Normal 11 2 2 2 2 2" xfId="136" xr:uid="{00000000-0005-0000-0000-000086000000}"/>
    <cellStyle name="Normal 11 2 2 2 3" xfId="137" xr:uid="{00000000-0005-0000-0000-000087000000}"/>
    <cellStyle name="Normal 11 2 2 3" xfId="138" xr:uid="{00000000-0005-0000-0000-000088000000}"/>
    <cellStyle name="Normal 11 2 2 3 2" xfId="139" xr:uid="{00000000-0005-0000-0000-000089000000}"/>
    <cellStyle name="Normal 11 2 2 4" xfId="140" xr:uid="{00000000-0005-0000-0000-00008A000000}"/>
    <cellStyle name="Normal 11 2 3" xfId="141" xr:uid="{00000000-0005-0000-0000-00008B000000}"/>
    <cellStyle name="Normal 11 2 3 2" xfId="142" xr:uid="{00000000-0005-0000-0000-00008C000000}"/>
    <cellStyle name="Normal 11 2 3 2 2" xfId="143" xr:uid="{00000000-0005-0000-0000-00008D000000}"/>
    <cellStyle name="Normal 11 2 3 3" xfId="144" xr:uid="{00000000-0005-0000-0000-00008E000000}"/>
    <cellStyle name="Normal 11 2 4" xfId="145" xr:uid="{00000000-0005-0000-0000-00008F000000}"/>
    <cellStyle name="Normal 11 2 4 2" xfId="146" xr:uid="{00000000-0005-0000-0000-000090000000}"/>
    <cellStyle name="Normal 11 2 5" xfId="147" xr:uid="{00000000-0005-0000-0000-000091000000}"/>
    <cellStyle name="Normal 11 3" xfId="148" xr:uid="{00000000-0005-0000-0000-000092000000}"/>
    <cellStyle name="Normal 11 3 2" xfId="149" xr:uid="{00000000-0005-0000-0000-000093000000}"/>
    <cellStyle name="Normal 11 3 2 2" xfId="150" xr:uid="{00000000-0005-0000-0000-000094000000}"/>
    <cellStyle name="Normal 11 3 2 2 2" xfId="151" xr:uid="{00000000-0005-0000-0000-000095000000}"/>
    <cellStyle name="Normal 11 3 2 2 2 2" xfId="152" xr:uid="{00000000-0005-0000-0000-000096000000}"/>
    <cellStyle name="Normal 11 3 2 2 3" xfId="153" xr:uid="{00000000-0005-0000-0000-000097000000}"/>
    <cellStyle name="Normal 11 3 2 3" xfId="154" xr:uid="{00000000-0005-0000-0000-000098000000}"/>
    <cellStyle name="Normal 11 3 2 3 2" xfId="155" xr:uid="{00000000-0005-0000-0000-000099000000}"/>
    <cellStyle name="Normal 11 3 2 4" xfId="156" xr:uid="{00000000-0005-0000-0000-00009A000000}"/>
    <cellStyle name="Normal 11 3 3" xfId="157" xr:uid="{00000000-0005-0000-0000-00009B000000}"/>
    <cellStyle name="Normal 11 3 3 2" xfId="158" xr:uid="{00000000-0005-0000-0000-00009C000000}"/>
    <cellStyle name="Normal 11 3 3 2 2" xfId="159" xr:uid="{00000000-0005-0000-0000-00009D000000}"/>
    <cellStyle name="Normal 11 3 3 3" xfId="160" xr:uid="{00000000-0005-0000-0000-00009E000000}"/>
    <cellStyle name="Normal 11 3 4" xfId="161" xr:uid="{00000000-0005-0000-0000-00009F000000}"/>
    <cellStyle name="Normal 11 3 4 2" xfId="162" xr:uid="{00000000-0005-0000-0000-0000A0000000}"/>
    <cellStyle name="Normal 11 3 5" xfId="163" xr:uid="{00000000-0005-0000-0000-0000A1000000}"/>
    <cellStyle name="Normal 11 4" xfId="164" xr:uid="{00000000-0005-0000-0000-0000A2000000}"/>
    <cellStyle name="Normal 11 4 2" xfId="165" xr:uid="{00000000-0005-0000-0000-0000A3000000}"/>
    <cellStyle name="Normal 11 4 2 2" xfId="166" xr:uid="{00000000-0005-0000-0000-0000A4000000}"/>
    <cellStyle name="Normal 11 4 2 2 2" xfId="167" xr:uid="{00000000-0005-0000-0000-0000A5000000}"/>
    <cellStyle name="Normal 11 4 2 3" xfId="168" xr:uid="{00000000-0005-0000-0000-0000A6000000}"/>
    <cellStyle name="Normal 11 4 3" xfId="169" xr:uid="{00000000-0005-0000-0000-0000A7000000}"/>
    <cellStyle name="Normal 11 4 3 2" xfId="170" xr:uid="{00000000-0005-0000-0000-0000A8000000}"/>
    <cellStyle name="Normal 11 4 4" xfId="171" xr:uid="{00000000-0005-0000-0000-0000A9000000}"/>
    <cellStyle name="Normal 11 5" xfId="172" xr:uid="{00000000-0005-0000-0000-0000AA000000}"/>
    <cellStyle name="Normal 11 5 2" xfId="173" xr:uid="{00000000-0005-0000-0000-0000AB000000}"/>
    <cellStyle name="Normal 11 5 2 2" xfId="174" xr:uid="{00000000-0005-0000-0000-0000AC000000}"/>
    <cellStyle name="Normal 11 5 3" xfId="175" xr:uid="{00000000-0005-0000-0000-0000AD000000}"/>
    <cellStyle name="Normal 11 6" xfId="176" xr:uid="{00000000-0005-0000-0000-0000AE000000}"/>
    <cellStyle name="Normal 11 6 2" xfId="177" xr:uid="{00000000-0005-0000-0000-0000AF000000}"/>
    <cellStyle name="Normal 11 7" xfId="178" xr:uid="{00000000-0005-0000-0000-0000B0000000}"/>
    <cellStyle name="Normal 12" xfId="179" xr:uid="{00000000-0005-0000-0000-0000B1000000}"/>
    <cellStyle name="Normal 12 2" xfId="180" xr:uid="{00000000-0005-0000-0000-0000B2000000}"/>
    <cellStyle name="Normal 12 2 2" xfId="181" xr:uid="{00000000-0005-0000-0000-0000B3000000}"/>
    <cellStyle name="Normal 12 2 2 2" xfId="182" xr:uid="{00000000-0005-0000-0000-0000B4000000}"/>
    <cellStyle name="Normal 12 2 2 2 2" xfId="183" xr:uid="{00000000-0005-0000-0000-0000B5000000}"/>
    <cellStyle name="Normal 12 2 2 3" xfId="184" xr:uid="{00000000-0005-0000-0000-0000B6000000}"/>
    <cellStyle name="Normal 12 2 3" xfId="185" xr:uid="{00000000-0005-0000-0000-0000B7000000}"/>
    <cellStyle name="Normal 12 2 3 2" xfId="186" xr:uid="{00000000-0005-0000-0000-0000B8000000}"/>
    <cellStyle name="Normal 12 2 4" xfId="187" xr:uid="{00000000-0005-0000-0000-0000B9000000}"/>
    <cellStyle name="Normal 12 3" xfId="188" xr:uid="{00000000-0005-0000-0000-0000BA000000}"/>
    <cellStyle name="Normal 12 3 2" xfId="189" xr:uid="{00000000-0005-0000-0000-0000BB000000}"/>
    <cellStyle name="Normal 12 3 2 2" xfId="190" xr:uid="{00000000-0005-0000-0000-0000BC000000}"/>
    <cellStyle name="Normal 12 3 3" xfId="191" xr:uid="{00000000-0005-0000-0000-0000BD000000}"/>
    <cellStyle name="Normal 12 4" xfId="192" xr:uid="{00000000-0005-0000-0000-0000BE000000}"/>
    <cellStyle name="Normal 12 4 2" xfId="193" xr:uid="{00000000-0005-0000-0000-0000BF000000}"/>
    <cellStyle name="Normal 12 5" xfId="194" xr:uid="{00000000-0005-0000-0000-0000C0000000}"/>
    <cellStyle name="Normal 13" xfId="195" xr:uid="{00000000-0005-0000-0000-0000C1000000}"/>
    <cellStyle name="Normal 13 10" xfId="196" xr:uid="{00000000-0005-0000-0000-0000C2000000}"/>
    <cellStyle name="Normal 13 11" xfId="197" xr:uid="{00000000-0005-0000-0000-0000C3000000}"/>
    <cellStyle name="Normal 13 12" xfId="198" xr:uid="{00000000-0005-0000-0000-0000C4000000}"/>
    <cellStyle name="Normal 13 13" xfId="199" xr:uid="{00000000-0005-0000-0000-0000C5000000}"/>
    <cellStyle name="Normal 13 14" xfId="200" xr:uid="{00000000-0005-0000-0000-0000C6000000}"/>
    <cellStyle name="Normal 13 15" xfId="201" xr:uid="{00000000-0005-0000-0000-0000C7000000}"/>
    <cellStyle name="Normal 13 16" xfId="202" xr:uid="{00000000-0005-0000-0000-0000C8000000}"/>
    <cellStyle name="Normal 13 2" xfId="1" xr:uid="{00000000-0005-0000-0000-0000C9000000}"/>
    <cellStyle name="Normal 13 2 2" xfId="203" xr:uid="{00000000-0005-0000-0000-0000CA000000}"/>
    <cellStyle name="Normal 13 2 2 2" xfId="204" xr:uid="{00000000-0005-0000-0000-0000CB000000}"/>
    <cellStyle name="Normal 13 2 2 2 2" xfId="205" xr:uid="{00000000-0005-0000-0000-0000CC000000}"/>
    <cellStyle name="Normal 13 2 2 3" xfId="206" xr:uid="{00000000-0005-0000-0000-0000CD000000}"/>
    <cellStyle name="Normal 13 2 3" xfId="207" xr:uid="{00000000-0005-0000-0000-0000CE000000}"/>
    <cellStyle name="Normal 13 2 3 2" xfId="208" xr:uid="{00000000-0005-0000-0000-0000CF000000}"/>
    <cellStyle name="Normal 13 2 4" xfId="209" xr:uid="{00000000-0005-0000-0000-0000D0000000}"/>
    <cellStyle name="Normal 13 2 5" xfId="210" xr:uid="{00000000-0005-0000-0000-0000D1000000}"/>
    <cellStyle name="Normal 13 3" xfId="211" xr:uid="{00000000-0005-0000-0000-0000D2000000}"/>
    <cellStyle name="Normal 13 3 2" xfId="212" xr:uid="{00000000-0005-0000-0000-0000D3000000}"/>
    <cellStyle name="Normal 13 3 2 2" xfId="213" xr:uid="{00000000-0005-0000-0000-0000D4000000}"/>
    <cellStyle name="Normal 13 3 3" xfId="214" xr:uid="{00000000-0005-0000-0000-0000D5000000}"/>
    <cellStyle name="Normal 13 4" xfId="215" xr:uid="{00000000-0005-0000-0000-0000D6000000}"/>
    <cellStyle name="Normal 13 4 2" xfId="216" xr:uid="{00000000-0005-0000-0000-0000D7000000}"/>
    <cellStyle name="Normal 13 5" xfId="217" xr:uid="{00000000-0005-0000-0000-0000D8000000}"/>
    <cellStyle name="Normal 13 6" xfId="218" xr:uid="{00000000-0005-0000-0000-0000D9000000}"/>
    <cellStyle name="Normal 13 7" xfId="219" xr:uid="{00000000-0005-0000-0000-0000DA000000}"/>
    <cellStyle name="Normal 13 8" xfId="220" xr:uid="{00000000-0005-0000-0000-0000DB000000}"/>
    <cellStyle name="Normal 13 9" xfId="221" xr:uid="{00000000-0005-0000-0000-0000DC000000}"/>
    <cellStyle name="Normal 14" xfId="222" xr:uid="{00000000-0005-0000-0000-0000DD000000}"/>
    <cellStyle name="Normal 14 2" xfId="223" xr:uid="{00000000-0005-0000-0000-0000DE000000}"/>
    <cellStyle name="Normal 14 2 2" xfId="224" xr:uid="{00000000-0005-0000-0000-0000DF000000}"/>
    <cellStyle name="Normal 14 2 2 2" xfId="225" xr:uid="{00000000-0005-0000-0000-0000E0000000}"/>
    <cellStyle name="Normal 14 2 2 2 2" xfId="226" xr:uid="{00000000-0005-0000-0000-0000E1000000}"/>
    <cellStyle name="Normal 14 2 2 3" xfId="227" xr:uid="{00000000-0005-0000-0000-0000E2000000}"/>
    <cellStyle name="Normal 14 2 3" xfId="228" xr:uid="{00000000-0005-0000-0000-0000E3000000}"/>
    <cellStyle name="Normal 14 2 3 2" xfId="229" xr:uid="{00000000-0005-0000-0000-0000E4000000}"/>
    <cellStyle name="Normal 14 2 4" xfId="230" xr:uid="{00000000-0005-0000-0000-0000E5000000}"/>
    <cellStyle name="Normal 14 3" xfId="231" xr:uid="{00000000-0005-0000-0000-0000E6000000}"/>
    <cellStyle name="Normal 14 3 2" xfId="232" xr:uid="{00000000-0005-0000-0000-0000E7000000}"/>
    <cellStyle name="Normal 14 3 2 2" xfId="233" xr:uid="{00000000-0005-0000-0000-0000E8000000}"/>
    <cellStyle name="Normal 14 3 3" xfId="234" xr:uid="{00000000-0005-0000-0000-0000E9000000}"/>
    <cellStyle name="Normal 14 4" xfId="235" xr:uid="{00000000-0005-0000-0000-0000EA000000}"/>
    <cellStyle name="Normal 14 4 2" xfId="236" xr:uid="{00000000-0005-0000-0000-0000EB000000}"/>
    <cellStyle name="Normal 14 5" xfId="237" xr:uid="{00000000-0005-0000-0000-0000EC000000}"/>
    <cellStyle name="Normal 15" xfId="238" xr:uid="{00000000-0005-0000-0000-0000ED000000}"/>
    <cellStyle name="Normal 15 2" xfId="239" xr:uid="{00000000-0005-0000-0000-0000EE000000}"/>
    <cellStyle name="Normal 15 2 2" xfId="240" xr:uid="{00000000-0005-0000-0000-0000EF000000}"/>
    <cellStyle name="Normal 15 2 2 2" xfId="241" xr:uid="{00000000-0005-0000-0000-0000F0000000}"/>
    <cellStyle name="Normal 15 2 2 2 2" xfId="242" xr:uid="{00000000-0005-0000-0000-0000F1000000}"/>
    <cellStyle name="Normal 15 2 2 3" xfId="243" xr:uid="{00000000-0005-0000-0000-0000F2000000}"/>
    <cellStyle name="Normal 15 2 3" xfId="244" xr:uid="{00000000-0005-0000-0000-0000F3000000}"/>
    <cellStyle name="Normal 15 2 3 2" xfId="245" xr:uid="{00000000-0005-0000-0000-0000F4000000}"/>
    <cellStyle name="Normal 15 2 4" xfId="246" xr:uid="{00000000-0005-0000-0000-0000F5000000}"/>
    <cellStyle name="Normal 15 3" xfId="247" xr:uid="{00000000-0005-0000-0000-0000F6000000}"/>
    <cellStyle name="Normal 15 3 2" xfId="248" xr:uid="{00000000-0005-0000-0000-0000F7000000}"/>
    <cellStyle name="Normal 15 3 2 2" xfId="249" xr:uid="{00000000-0005-0000-0000-0000F8000000}"/>
    <cellStyle name="Normal 15 3 3" xfId="250" xr:uid="{00000000-0005-0000-0000-0000F9000000}"/>
    <cellStyle name="Normal 15 4" xfId="251" xr:uid="{00000000-0005-0000-0000-0000FA000000}"/>
    <cellStyle name="Normal 15 4 2" xfId="252" xr:uid="{00000000-0005-0000-0000-0000FB000000}"/>
    <cellStyle name="Normal 15 5" xfId="253" xr:uid="{00000000-0005-0000-0000-0000FC000000}"/>
    <cellStyle name="Normal 16" xfId="254" xr:uid="{00000000-0005-0000-0000-0000FD000000}"/>
    <cellStyle name="Normal 16 2" xfId="255" xr:uid="{00000000-0005-0000-0000-0000FE000000}"/>
    <cellStyle name="Normal 16 2 2" xfId="256" xr:uid="{00000000-0005-0000-0000-0000FF000000}"/>
    <cellStyle name="Normal 16 2 2 2" xfId="257" xr:uid="{00000000-0005-0000-0000-000000010000}"/>
    <cellStyle name="Normal 16 2 2 2 2" xfId="258" xr:uid="{00000000-0005-0000-0000-000001010000}"/>
    <cellStyle name="Normal 16 2 2 3" xfId="259" xr:uid="{00000000-0005-0000-0000-000002010000}"/>
    <cellStyle name="Normal 16 2 3" xfId="260" xr:uid="{00000000-0005-0000-0000-000003010000}"/>
    <cellStyle name="Normal 16 2 3 2" xfId="261" xr:uid="{00000000-0005-0000-0000-000004010000}"/>
    <cellStyle name="Normal 16 2 4" xfId="262" xr:uid="{00000000-0005-0000-0000-000005010000}"/>
    <cellStyle name="Normal 16 3" xfId="263" xr:uid="{00000000-0005-0000-0000-000006010000}"/>
    <cellStyle name="Normal 16 3 2" xfId="264" xr:uid="{00000000-0005-0000-0000-000007010000}"/>
    <cellStyle name="Normal 16 3 2 2" xfId="265" xr:uid="{00000000-0005-0000-0000-000008010000}"/>
    <cellStyle name="Normal 16 3 3" xfId="266" xr:uid="{00000000-0005-0000-0000-000009010000}"/>
    <cellStyle name="Normal 16 4" xfId="267" xr:uid="{00000000-0005-0000-0000-00000A010000}"/>
    <cellStyle name="Normal 16 4 2" xfId="268" xr:uid="{00000000-0005-0000-0000-00000B010000}"/>
    <cellStyle name="Normal 16 5" xfId="269" xr:uid="{00000000-0005-0000-0000-00000C010000}"/>
    <cellStyle name="Normal 17" xfId="270" xr:uid="{00000000-0005-0000-0000-00000D010000}"/>
    <cellStyle name="Normal 17 2" xfId="271" xr:uid="{00000000-0005-0000-0000-00000E010000}"/>
    <cellStyle name="Normal 18" xfId="272" xr:uid="{00000000-0005-0000-0000-00000F010000}"/>
    <cellStyle name="Normal 18 2" xfId="273" xr:uid="{00000000-0005-0000-0000-000010010000}"/>
    <cellStyle name="Normal 18 2 2" xfId="274" xr:uid="{00000000-0005-0000-0000-000011010000}"/>
    <cellStyle name="Normal 18 2 2 2" xfId="275" xr:uid="{00000000-0005-0000-0000-000012010000}"/>
    <cellStyle name="Normal 18 2 3" xfId="276" xr:uid="{00000000-0005-0000-0000-000013010000}"/>
    <cellStyle name="Normal 18 3" xfId="277" xr:uid="{00000000-0005-0000-0000-000014010000}"/>
    <cellStyle name="Normal 18 3 2" xfId="278" xr:uid="{00000000-0005-0000-0000-000015010000}"/>
    <cellStyle name="Normal 18 4" xfId="279" xr:uid="{00000000-0005-0000-0000-000016010000}"/>
    <cellStyle name="Normal 18 5" xfId="280" xr:uid="{00000000-0005-0000-0000-000017010000}"/>
    <cellStyle name="Normal 18 5 2" xfId="281" xr:uid="{00000000-0005-0000-0000-000018010000}"/>
    <cellStyle name="Normal 18 6" xfId="282" xr:uid="{00000000-0005-0000-0000-000019010000}"/>
    <cellStyle name="Normal 18 7" xfId="283" xr:uid="{00000000-0005-0000-0000-00001A010000}"/>
    <cellStyle name="Normal 18 8" xfId="284" xr:uid="{00000000-0005-0000-0000-00001B010000}"/>
    <cellStyle name="Normal 19" xfId="285" xr:uid="{00000000-0005-0000-0000-00001C010000}"/>
    <cellStyle name="Normal 19 2" xfId="286" xr:uid="{00000000-0005-0000-0000-00001D010000}"/>
    <cellStyle name="Normal 19 2 2" xfId="287" xr:uid="{00000000-0005-0000-0000-00001E010000}"/>
    <cellStyle name="Normal 19 2 2 2" xfId="288" xr:uid="{00000000-0005-0000-0000-00001F010000}"/>
    <cellStyle name="Normal 19 2 3" xfId="289" xr:uid="{00000000-0005-0000-0000-000020010000}"/>
    <cellStyle name="Normal 19 3" xfId="290" xr:uid="{00000000-0005-0000-0000-000021010000}"/>
    <cellStyle name="Normal 19 3 2" xfId="291" xr:uid="{00000000-0005-0000-0000-000022010000}"/>
    <cellStyle name="Normal 19 4" xfId="292" xr:uid="{00000000-0005-0000-0000-000023010000}"/>
    <cellStyle name="Normal 2" xfId="293" xr:uid="{00000000-0005-0000-0000-000024010000}"/>
    <cellStyle name="Normal 2 2" xfId="294" xr:uid="{00000000-0005-0000-0000-000025010000}"/>
    <cellStyle name="Normal 2 2 2" xfId="295" xr:uid="{00000000-0005-0000-0000-000026010000}"/>
    <cellStyle name="Normal 2 2 2 2" xfId="296" xr:uid="{00000000-0005-0000-0000-000027010000}"/>
    <cellStyle name="Normal 2 3" xfId="4" xr:uid="{00000000-0005-0000-0000-000028010000}"/>
    <cellStyle name="Normal 2 3 2" xfId="297" xr:uid="{00000000-0005-0000-0000-000029010000}"/>
    <cellStyle name="Normal 2 4" xfId="298" xr:uid="{00000000-0005-0000-0000-00002A010000}"/>
    <cellStyle name="Normal 2 5" xfId="299" xr:uid="{00000000-0005-0000-0000-00002B010000}"/>
    <cellStyle name="Normal 2 6" xfId="300" xr:uid="{00000000-0005-0000-0000-00002C010000}"/>
    <cellStyle name="Normal 2 7" xfId="301" xr:uid="{00000000-0005-0000-0000-00002D010000}"/>
    <cellStyle name="Normal 20" xfId="302" xr:uid="{00000000-0005-0000-0000-00002E010000}"/>
    <cellStyle name="Normal 20 2" xfId="303" xr:uid="{00000000-0005-0000-0000-00002F010000}"/>
    <cellStyle name="Normal 20 2 2" xfId="304" xr:uid="{00000000-0005-0000-0000-000030010000}"/>
    <cellStyle name="Normal 20 2 2 2" xfId="305" xr:uid="{00000000-0005-0000-0000-000031010000}"/>
    <cellStyle name="Normal 20 2 3" xfId="306" xr:uid="{00000000-0005-0000-0000-000032010000}"/>
    <cellStyle name="Normal 20 3" xfId="307" xr:uid="{00000000-0005-0000-0000-000033010000}"/>
    <cellStyle name="Normal 20 3 2" xfId="308" xr:uid="{00000000-0005-0000-0000-000034010000}"/>
    <cellStyle name="Normal 20 4" xfId="309" xr:uid="{00000000-0005-0000-0000-000035010000}"/>
    <cellStyle name="Normal 20 5" xfId="310" xr:uid="{00000000-0005-0000-0000-000036010000}"/>
    <cellStyle name="Normal 20 5 2" xfId="311" xr:uid="{00000000-0005-0000-0000-000037010000}"/>
    <cellStyle name="Normal 20 6" xfId="312" xr:uid="{00000000-0005-0000-0000-000038010000}"/>
    <cellStyle name="Normal 20 7" xfId="313" xr:uid="{00000000-0005-0000-0000-000039010000}"/>
    <cellStyle name="Normal 20 8" xfId="314" xr:uid="{00000000-0005-0000-0000-00003A010000}"/>
    <cellStyle name="Normal 21" xfId="315" xr:uid="{00000000-0005-0000-0000-00003B010000}"/>
    <cellStyle name="Normal 21 2" xfId="316" xr:uid="{00000000-0005-0000-0000-00003C010000}"/>
    <cellStyle name="Normal 21 2 2" xfId="317" xr:uid="{00000000-0005-0000-0000-00003D010000}"/>
    <cellStyle name="Normal 21 2 2 2" xfId="318" xr:uid="{00000000-0005-0000-0000-00003E010000}"/>
    <cellStyle name="Normal 21 2 3" xfId="319" xr:uid="{00000000-0005-0000-0000-00003F010000}"/>
    <cellStyle name="Normal 21 3" xfId="320" xr:uid="{00000000-0005-0000-0000-000040010000}"/>
    <cellStyle name="Normal 21 3 2" xfId="321" xr:uid="{00000000-0005-0000-0000-000041010000}"/>
    <cellStyle name="Normal 21 4" xfId="322" xr:uid="{00000000-0005-0000-0000-000042010000}"/>
    <cellStyle name="Normal 22" xfId="323" xr:uid="{00000000-0005-0000-0000-000043010000}"/>
    <cellStyle name="Normal 22 2" xfId="324" xr:uid="{00000000-0005-0000-0000-000044010000}"/>
    <cellStyle name="Normal 22 2 2" xfId="325" xr:uid="{00000000-0005-0000-0000-000045010000}"/>
    <cellStyle name="Normal 22 2 2 2" xfId="326" xr:uid="{00000000-0005-0000-0000-000046010000}"/>
    <cellStyle name="Normal 22 2 3" xfId="327" xr:uid="{00000000-0005-0000-0000-000047010000}"/>
    <cellStyle name="Normal 22 3" xfId="328" xr:uid="{00000000-0005-0000-0000-000048010000}"/>
    <cellStyle name="Normal 22 3 2" xfId="329" xr:uid="{00000000-0005-0000-0000-000049010000}"/>
    <cellStyle name="Normal 22 4" xfId="330" xr:uid="{00000000-0005-0000-0000-00004A010000}"/>
    <cellStyle name="Normal 23" xfId="331" xr:uid="{00000000-0005-0000-0000-00004B010000}"/>
    <cellStyle name="Normal 23 2" xfId="332" xr:uid="{00000000-0005-0000-0000-00004C010000}"/>
    <cellStyle name="Normal 23 2 2" xfId="333" xr:uid="{00000000-0005-0000-0000-00004D010000}"/>
    <cellStyle name="Normal 23 2 2 2" xfId="334" xr:uid="{00000000-0005-0000-0000-00004E010000}"/>
    <cellStyle name="Normal 23 2 3" xfId="335" xr:uid="{00000000-0005-0000-0000-00004F010000}"/>
    <cellStyle name="Normal 23 3" xfId="336" xr:uid="{00000000-0005-0000-0000-000050010000}"/>
    <cellStyle name="Normal 23 3 2" xfId="337" xr:uid="{00000000-0005-0000-0000-000051010000}"/>
    <cellStyle name="Normal 23 4" xfId="338" xr:uid="{00000000-0005-0000-0000-000052010000}"/>
    <cellStyle name="Normal 23 5" xfId="339" xr:uid="{00000000-0005-0000-0000-000053010000}"/>
    <cellStyle name="Normal 23 5 2" xfId="340" xr:uid="{00000000-0005-0000-0000-000054010000}"/>
    <cellStyle name="Normal 23 6" xfId="341" xr:uid="{00000000-0005-0000-0000-000055010000}"/>
    <cellStyle name="Normal 23 7" xfId="342" xr:uid="{00000000-0005-0000-0000-000056010000}"/>
    <cellStyle name="Normal 23 8" xfId="343" xr:uid="{00000000-0005-0000-0000-000057010000}"/>
    <cellStyle name="Normal 24" xfId="344" xr:uid="{00000000-0005-0000-0000-000058010000}"/>
    <cellStyle name="Normal 24 2" xfId="345" xr:uid="{00000000-0005-0000-0000-000059010000}"/>
    <cellStyle name="Normal 24 2 2" xfId="346" xr:uid="{00000000-0005-0000-0000-00005A010000}"/>
    <cellStyle name="Normal 24 3" xfId="347" xr:uid="{00000000-0005-0000-0000-00005B010000}"/>
    <cellStyle name="Normal 25" xfId="348" xr:uid="{00000000-0005-0000-0000-00005C010000}"/>
    <cellStyle name="Normal 26" xfId="349" xr:uid="{00000000-0005-0000-0000-00005D010000}"/>
    <cellStyle name="Normal 26 2" xfId="350" xr:uid="{00000000-0005-0000-0000-00005E010000}"/>
    <cellStyle name="Normal 26 2 2" xfId="351" xr:uid="{00000000-0005-0000-0000-00005F010000}"/>
    <cellStyle name="Normal 26 3" xfId="352" xr:uid="{00000000-0005-0000-0000-000060010000}"/>
    <cellStyle name="Normal 27" xfId="353" xr:uid="{00000000-0005-0000-0000-000061010000}"/>
    <cellStyle name="Normal 27 2" xfId="354" xr:uid="{00000000-0005-0000-0000-000062010000}"/>
    <cellStyle name="Normal 28" xfId="355" xr:uid="{00000000-0005-0000-0000-000063010000}"/>
    <cellStyle name="Normal 29" xfId="356" xr:uid="{00000000-0005-0000-0000-000064010000}"/>
    <cellStyle name="Normal 29 2" xfId="357" xr:uid="{00000000-0005-0000-0000-000065010000}"/>
    <cellStyle name="Normal 29 2 2" xfId="358" xr:uid="{00000000-0005-0000-0000-000066010000}"/>
    <cellStyle name="Normal 29 3" xfId="359" xr:uid="{00000000-0005-0000-0000-000067010000}"/>
    <cellStyle name="Normal 29 4" xfId="360" xr:uid="{00000000-0005-0000-0000-000068010000}"/>
    <cellStyle name="Normal 29 5" xfId="361" xr:uid="{00000000-0005-0000-0000-000069010000}"/>
    <cellStyle name="Normal 3" xfId="362" xr:uid="{00000000-0005-0000-0000-00006A010000}"/>
    <cellStyle name="Normal 3 2" xfId="363" xr:uid="{00000000-0005-0000-0000-00006B010000}"/>
    <cellStyle name="Normal 3 3" xfId="364" xr:uid="{00000000-0005-0000-0000-00006C010000}"/>
    <cellStyle name="Normal 3 4" xfId="365" xr:uid="{00000000-0005-0000-0000-00006D010000}"/>
    <cellStyle name="Normal 3 5" xfId="366" xr:uid="{00000000-0005-0000-0000-00006E010000}"/>
    <cellStyle name="Normal 3 6" xfId="367" xr:uid="{00000000-0005-0000-0000-00006F010000}"/>
    <cellStyle name="Normal 3 7" xfId="368" xr:uid="{00000000-0005-0000-0000-000070010000}"/>
    <cellStyle name="Normal 30" xfId="369" xr:uid="{00000000-0005-0000-0000-000071010000}"/>
    <cellStyle name="Normal 30 2" xfId="370" xr:uid="{00000000-0005-0000-0000-000072010000}"/>
    <cellStyle name="Normal 31" xfId="371" xr:uid="{00000000-0005-0000-0000-000073010000}"/>
    <cellStyle name="Normal 31 2" xfId="372" xr:uid="{00000000-0005-0000-0000-000074010000}"/>
    <cellStyle name="Normal 32" xfId="373" xr:uid="{00000000-0005-0000-0000-000075010000}"/>
    <cellStyle name="Normal 33" xfId="374" xr:uid="{00000000-0005-0000-0000-000076010000}"/>
    <cellStyle name="Normal 33 2" xfId="375" xr:uid="{00000000-0005-0000-0000-000077010000}"/>
    <cellStyle name="Normal 34" xfId="376" xr:uid="{00000000-0005-0000-0000-000078010000}"/>
    <cellStyle name="Normal 34 2" xfId="377" xr:uid="{00000000-0005-0000-0000-000079010000}"/>
    <cellStyle name="Normal 35" xfId="378" xr:uid="{00000000-0005-0000-0000-00007A010000}"/>
    <cellStyle name="Normal 36" xfId="379" xr:uid="{00000000-0005-0000-0000-00007B010000}"/>
    <cellStyle name="Normal 36 2" xfId="380" xr:uid="{00000000-0005-0000-0000-00007C010000}"/>
    <cellStyle name="Normal 37" xfId="381" xr:uid="{00000000-0005-0000-0000-00007D010000}"/>
    <cellStyle name="Normal 37 2" xfId="382" xr:uid="{00000000-0005-0000-0000-00007E010000}"/>
    <cellStyle name="Normal 38" xfId="383" xr:uid="{00000000-0005-0000-0000-00007F010000}"/>
    <cellStyle name="Normal 39" xfId="384" xr:uid="{00000000-0005-0000-0000-000080010000}"/>
    <cellStyle name="Normal 39 2" xfId="385" xr:uid="{00000000-0005-0000-0000-000081010000}"/>
    <cellStyle name="Normal 4" xfId="386" xr:uid="{00000000-0005-0000-0000-000082010000}"/>
    <cellStyle name="Normal 4 10" xfId="387" xr:uid="{00000000-0005-0000-0000-000083010000}"/>
    <cellStyle name="Normal 4 10 2" xfId="388" xr:uid="{00000000-0005-0000-0000-000084010000}"/>
    <cellStyle name="Normal 4 11" xfId="389" xr:uid="{00000000-0005-0000-0000-000085010000}"/>
    <cellStyle name="Normal 4 12" xfId="390" xr:uid="{00000000-0005-0000-0000-000086010000}"/>
    <cellStyle name="Normal 4 12 2" xfId="391" xr:uid="{00000000-0005-0000-0000-000087010000}"/>
    <cellStyle name="Normal 4 13" xfId="392" xr:uid="{00000000-0005-0000-0000-000088010000}"/>
    <cellStyle name="Normal 4 14" xfId="393" xr:uid="{00000000-0005-0000-0000-000089010000}"/>
    <cellStyle name="Normal 4 15" xfId="394" xr:uid="{00000000-0005-0000-0000-00008A010000}"/>
    <cellStyle name="Normal 4 2" xfId="395" xr:uid="{00000000-0005-0000-0000-00008B010000}"/>
    <cellStyle name="Normal 4 2 2" xfId="396" xr:uid="{00000000-0005-0000-0000-00008C010000}"/>
    <cellStyle name="Normal 4 2 2 2" xfId="397" xr:uid="{00000000-0005-0000-0000-00008D010000}"/>
    <cellStyle name="Normal 4 2 2 2 2" xfId="398" xr:uid="{00000000-0005-0000-0000-00008E010000}"/>
    <cellStyle name="Normal 4 2 2 2 2 2" xfId="399" xr:uid="{00000000-0005-0000-0000-00008F010000}"/>
    <cellStyle name="Normal 4 2 2 2 3" xfId="400" xr:uid="{00000000-0005-0000-0000-000090010000}"/>
    <cellStyle name="Normal 4 2 2 3" xfId="401" xr:uid="{00000000-0005-0000-0000-000091010000}"/>
    <cellStyle name="Normal 4 2 2 3 2" xfId="402" xr:uid="{00000000-0005-0000-0000-000092010000}"/>
    <cellStyle name="Normal 4 2 2 4" xfId="403" xr:uid="{00000000-0005-0000-0000-000093010000}"/>
    <cellStyle name="Normal 4 2 3" xfId="404" xr:uid="{00000000-0005-0000-0000-000094010000}"/>
    <cellStyle name="Normal 4 2 3 2" xfId="405" xr:uid="{00000000-0005-0000-0000-000095010000}"/>
    <cellStyle name="Normal 4 2 3 2 2" xfId="406" xr:uid="{00000000-0005-0000-0000-000096010000}"/>
    <cellStyle name="Normal 4 2 3 3" xfId="407" xr:uid="{00000000-0005-0000-0000-000097010000}"/>
    <cellStyle name="Normal 4 2 4" xfId="408" xr:uid="{00000000-0005-0000-0000-000098010000}"/>
    <cellStyle name="Normal 4 2 4 2" xfId="409" xr:uid="{00000000-0005-0000-0000-000099010000}"/>
    <cellStyle name="Normal 4 2 5" xfId="410" xr:uid="{00000000-0005-0000-0000-00009A010000}"/>
    <cellStyle name="Normal 4 3" xfId="411" xr:uid="{00000000-0005-0000-0000-00009B010000}"/>
    <cellStyle name="Normal 4 3 2" xfId="412" xr:uid="{00000000-0005-0000-0000-00009C010000}"/>
    <cellStyle name="Normal 4 3 2 2" xfId="413" xr:uid="{00000000-0005-0000-0000-00009D010000}"/>
    <cellStyle name="Normal 4 3 2 2 2" xfId="414" xr:uid="{00000000-0005-0000-0000-00009E010000}"/>
    <cellStyle name="Normal 4 3 2 2 2 2" xfId="415" xr:uid="{00000000-0005-0000-0000-00009F010000}"/>
    <cellStyle name="Normal 4 3 2 2 3" xfId="416" xr:uid="{00000000-0005-0000-0000-0000A0010000}"/>
    <cellStyle name="Normal 4 3 2 3" xfId="417" xr:uid="{00000000-0005-0000-0000-0000A1010000}"/>
    <cellStyle name="Normal 4 3 2 3 2" xfId="418" xr:uid="{00000000-0005-0000-0000-0000A2010000}"/>
    <cellStyle name="Normal 4 3 2 4" xfId="419" xr:uid="{00000000-0005-0000-0000-0000A3010000}"/>
    <cellStyle name="Normal 4 3 3" xfId="420" xr:uid="{00000000-0005-0000-0000-0000A4010000}"/>
    <cellStyle name="Normal 4 3 3 2" xfId="421" xr:uid="{00000000-0005-0000-0000-0000A5010000}"/>
    <cellStyle name="Normal 4 3 3 2 2" xfId="422" xr:uid="{00000000-0005-0000-0000-0000A6010000}"/>
    <cellStyle name="Normal 4 3 3 3" xfId="423" xr:uid="{00000000-0005-0000-0000-0000A7010000}"/>
    <cellStyle name="Normal 4 3 4" xfId="424" xr:uid="{00000000-0005-0000-0000-0000A8010000}"/>
    <cellStyle name="Normal 4 3 4 2" xfId="425" xr:uid="{00000000-0005-0000-0000-0000A9010000}"/>
    <cellStyle name="Normal 4 3 5" xfId="426" xr:uid="{00000000-0005-0000-0000-0000AA010000}"/>
    <cellStyle name="Normal 4 4" xfId="427" xr:uid="{00000000-0005-0000-0000-0000AB010000}"/>
    <cellStyle name="Normal 4 4 2" xfId="428" xr:uid="{00000000-0005-0000-0000-0000AC010000}"/>
    <cellStyle name="Normal 4 4 2 2" xfId="429" xr:uid="{00000000-0005-0000-0000-0000AD010000}"/>
    <cellStyle name="Normal 4 4 2 2 2" xfId="430" xr:uid="{00000000-0005-0000-0000-0000AE010000}"/>
    <cellStyle name="Normal 4 4 2 2 2 2" xfId="431" xr:uid="{00000000-0005-0000-0000-0000AF010000}"/>
    <cellStyle name="Normal 4 4 2 2 3" xfId="432" xr:uid="{00000000-0005-0000-0000-0000B0010000}"/>
    <cellStyle name="Normal 4 4 2 3" xfId="433" xr:uid="{00000000-0005-0000-0000-0000B1010000}"/>
    <cellStyle name="Normal 4 4 2 3 2" xfId="434" xr:uid="{00000000-0005-0000-0000-0000B2010000}"/>
    <cellStyle name="Normal 4 4 2 4" xfId="435" xr:uid="{00000000-0005-0000-0000-0000B3010000}"/>
    <cellStyle name="Normal 4 4 3" xfId="436" xr:uid="{00000000-0005-0000-0000-0000B4010000}"/>
    <cellStyle name="Normal 4 4 3 2" xfId="437" xr:uid="{00000000-0005-0000-0000-0000B5010000}"/>
    <cellStyle name="Normal 4 4 3 2 2" xfId="438" xr:uid="{00000000-0005-0000-0000-0000B6010000}"/>
    <cellStyle name="Normal 4 4 3 3" xfId="439" xr:uid="{00000000-0005-0000-0000-0000B7010000}"/>
    <cellStyle name="Normal 4 4 4" xfId="440" xr:uid="{00000000-0005-0000-0000-0000B8010000}"/>
    <cellStyle name="Normal 4 4 4 2" xfId="441" xr:uid="{00000000-0005-0000-0000-0000B9010000}"/>
    <cellStyle name="Normal 4 4 5" xfId="442" xr:uid="{00000000-0005-0000-0000-0000BA010000}"/>
    <cellStyle name="Normal 4 5" xfId="443" xr:uid="{00000000-0005-0000-0000-0000BB010000}"/>
    <cellStyle name="Normal 4 5 2" xfId="444" xr:uid="{00000000-0005-0000-0000-0000BC010000}"/>
    <cellStyle name="Normal 4 5 2 2" xfId="445" xr:uid="{00000000-0005-0000-0000-0000BD010000}"/>
    <cellStyle name="Normal 4 5 2 2 2" xfId="446" xr:uid="{00000000-0005-0000-0000-0000BE010000}"/>
    <cellStyle name="Normal 4 5 2 2 2 2" xfId="447" xr:uid="{00000000-0005-0000-0000-0000BF010000}"/>
    <cellStyle name="Normal 4 5 2 2 3" xfId="448" xr:uid="{00000000-0005-0000-0000-0000C0010000}"/>
    <cellStyle name="Normal 4 5 2 3" xfId="449" xr:uid="{00000000-0005-0000-0000-0000C1010000}"/>
    <cellStyle name="Normal 4 5 2 3 2" xfId="450" xr:uid="{00000000-0005-0000-0000-0000C2010000}"/>
    <cellStyle name="Normal 4 5 2 4" xfId="451" xr:uid="{00000000-0005-0000-0000-0000C3010000}"/>
    <cellStyle name="Normal 4 5 3" xfId="452" xr:uid="{00000000-0005-0000-0000-0000C4010000}"/>
    <cellStyle name="Normal 4 5 3 2" xfId="453" xr:uid="{00000000-0005-0000-0000-0000C5010000}"/>
    <cellStyle name="Normal 4 5 3 2 2" xfId="454" xr:uid="{00000000-0005-0000-0000-0000C6010000}"/>
    <cellStyle name="Normal 4 5 3 3" xfId="455" xr:uid="{00000000-0005-0000-0000-0000C7010000}"/>
    <cellStyle name="Normal 4 5 4" xfId="456" xr:uid="{00000000-0005-0000-0000-0000C8010000}"/>
    <cellStyle name="Normal 4 5 4 2" xfId="457" xr:uid="{00000000-0005-0000-0000-0000C9010000}"/>
    <cellStyle name="Normal 4 5 5" xfId="458" xr:uid="{00000000-0005-0000-0000-0000CA010000}"/>
    <cellStyle name="Normal 4 6" xfId="459" xr:uid="{00000000-0005-0000-0000-0000CB010000}"/>
    <cellStyle name="Normal 4 6 2" xfId="460" xr:uid="{00000000-0005-0000-0000-0000CC010000}"/>
    <cellStyle name="Normal 4 6 2 2" xfId="461" xr:uid="{00000000-0005-0000-0000-0000CD010000}"/>
    <cellStyle name="Normal 4 6 2 2 2" xfId="462" xr:uid="{00000000-0005-0000-0000-0000CE010000}"/>
    <cellStyle name="Normal 4 6 2 2 2 2" xfId="463" xr:uid="{00000000-0005-0000-0000-0000CF010000}"/>
    <cellStyle name="Normal 4 6 2 2 3" xfId="464" xr:uid="{00000000-0005-0000-0000-0000D0010000}"/>
    <cellStyle name="Normal 4 6 2 3" xfId="465" xr:uid="{00000000-0005-0000-0000-0000D1010000}"/>
    <cellStyle name="Normal 4 6 2 3 2" xfId="466" xr:uid="{00000000-0005-0000-0000-0000D2010000}"/>
    <cellStyle name="Normal 4 6 2 4" xfId="467" xr:uid="{00000000-0005-0000-0000-0000D3010000}"/>
    <cellStyle name="Normal 4 6 3" xfId="468" xr:uid="{00000000-0005-0000-0000-0000D4010000}"/>
    <cellStyle name="Normal 4 6 3 2" xfId="469" xr:uid="{00000000-0005-0000-0000-0000D5010000}"/>
    <cellStyle name="Normal 4 6 3 2 2" xfId="470" xr:uid="{00000000-0005-0000-0000-0000D6010000}"/>
    <cellStyle name="Normal 4 6 3 3" xfId="471" xr:uid="{00000000-0005-0000-0000-0000D7010000}"/>
    <cellStyle name="Normal 4 6 4" xfId="472" xr:uid="{00000000-0005-0000-0000-0000D8010000}"/>
    <cellStyle name="Normal 4 6 4 2" xfId="473" xr:uid="{00000000-0005-0000-0000-0000D9010000}"/>
    <cellStyle name="Normal 4 6 5" xfId="474" xr:uid="{00000000-0005-0000-0000-0000DA010000}"/>
    <cellStyle name="Normal 4 7" xfId="475" xr:uid="{00000000-0005-0000-0000-0000DB010000}"/>
    <cellStyle name="Normal 4 7 2" xfId="476" xr:uid="{00000000-0005-0000-0000-0000DC010000}"/>
    <cellStyle name="Normal 4 7 2 2" xfId="477" xr:uid="{00000000-0005-0000-0000-0000DD010000}"/>
    <cellStyle name="Normal 4 7 2 2 2" xfId="478" xr:uid="{00000000-0005-0000-0000-0000DE010000}"/>
    <cellStyle name="Normal 4 7 2 2 2 2" xfId="479" xr:uid="{00000000-0005-0000-0000-0000DF010000}"/>
    <cellStyle name="Normal 4 7 2 2 3" xfId="480" xr:uid="{00000000-0005-0000-0000-0000E0010000}"/>
    <cellStyle name="Normal 4 7 2 3" xfId="481" xr:uid="{00000000-0005-0000-0000-0000E1010000}"/>
    <cellStyle name="Normal 4 7 2 3 2" xfId="482" xr:uid="{00000000-0005-0000-0000-0000E2010000}"/>
    <cellStyle name="Normal 4 7 2 4" xfId="483" xr:uid="{00000000-0005-0000-0000-0000E3010000}"/>
    <cellStyle name="Normal 4 7 3" xfId="484" xr:uid="{00000000-0005-0000-0000-0000E4010000}"/>
    <cellStyle name="Normal 4 7 3 2" xfId="485" xr:uid="{00000000-0005-0000-0000-0000E5010000}"/>
    <cellStyle name="Normal 4 7 3 2 2" xfId="486" xr:uid="{00000000-0005-0000-0000-0000E6010000}"/>
    <cellStyle name="Normal 4 7 3 3" xfId="487" xr:uid="{00000000-0005-0000-0000-0000E7010000}"/>
    <cellStyle name="Normal 4 7 4" xfId="488" xr:uid="{00000000-0005-0000-0000-0000E8010000}"/>
    <cellStyle name="Normal 4 7 4 2" xfId="489" xr:uid="{00000000-0005-0000-0000-0000E9010000}"/>
    <cellStyle name="Normal 4 7 5" xfId="490" xr:uid="{00000000-0005-0000-0000-0000EA010000}"/>
    <cellStyle name="Normal 4 8" xfId="491" xr:uid="{00000000-0005-0000-0000-0000EB010000}"/>
    <cellStyle name="Normal 4 8 2" xfId="492" xr:uid="{00000000-0005-0000-0000-0000EC010000}"/>
    <cellStyle name="Normal 4 8 2 2" xfId="493" xr:uid="{00000000-0005-0000-0000-0000ED010000}"/>
    <cellStyle name="Normal 4 8 2 2 2" xfId="494" xr:uid="{00000000-0005-0000-0000-0000EE010000}"/>
    <cellStyle name="Normal 4 8 2 3" xfId="495" xr:uid="{00000000-0005-0000-0000-0000EF010000}"/>
    <cellStyle name="Normal 4 8 3" xfId="496" xr:uid="{00000000-0005-0000-0000-0000F0010000}"/>
    <cellStyle name="Normal 4 8 3 2" xfId="497" xr:uid="{00000000-0005-0000-0000-0000F1010000}"/>
    <cellStyle name="Normal 4 8 4" xfId="498" xr:uid="{00000000-0005-0000-0000-0000F2010000}"/>
    <cellStyle name="Normal 4 9" xfId="499" xr:uid="{00000000-0005-0000-0000-0000F3010000}"/>
    <cellStyle name="Normal 4 9 2" xfId="500" xr:uid="{00000000-0005-0000-0000-0000F4010000}"/>
    <cellStyle name="Normal 4 9 2 2" xfId="501" xr:uid="{00000000-0005-0000-0000-0000F5010000}"/>
    <cellStyle name="Normal 4 9 2 2 2" xfId="502" xr:uid="{00000000-0005-0000-0000-0000F6010000}"/>
    <cellStyle name="Normal 4 9 2 2 3" xfId="503" xr:uid="{00000000-0005-0000-0000-0000F7010000}"/>
    <cellStyle name="Normal 4 9 2 2 3 2" xfId="504" xr:uid="{00000000-0005-0000-0000-0000F8010000}"/>
    <cellStyle name="Normal 4 9 2 2 3 2 2" xfId="505" xr:uid="{00000000-0005-0000-0000-0000F9010000}"/>
    <cellStyle name="Normal 4 9 2 2 3 2 2 2" xfId="506" xr:uid="{00000000-0005-0000-0000-0000FA010000}"/>
    <cellStyle name="Normal 4 9 2 2 3 2 2 2 2" xfId="507" xr:uid="{00000000-0005-0000-0000-0000FB010000}"/>
    <cellStyle name="Normal 4 9 2 2 3 2 2 2 2 2" xfId="508" xr:uid="{00000000-0005-0000-0000-0000FC010000}"/>
    <cellStyle name="Normal 4 9 2 2 3 2 2 2 2 2 2" xfId="509" xr:uid="{00000000-0005-0000-0000-0000FD010000}"/>
    <cellStyle name="Normal 4 9 2 2 3 2 2 2 2 2 2 2" xfId="510" xr:uid="{00000000-0005-0000-0000-0000FE010000}"/>
    <cellStyle name="Normal 4 9 2 2 3 2 2 2 2 2 2 2 2" xfId="511" xr:uid="{00000000-0005-0000-0000-0000FF010000}"/>
    <cellStyle name="Normal 4 9 2 3" xfId="512" xr:uid="{00000000-0005-0000-0000-000000020000}"/>
    <cellStyle name="Normal 4 9 3" xfId="513" xr:uid="{00000000-0005-0000-0000-000001020000}"/>
    <cellStyle name="Normal 40" xfId="514" xr:uid="{00000000-0005-0000-0000-000002020000}"/>
    <cellStyle name="Normal 40 2" xfId="515" xr:uid="{00000000-0005-0000-0000-000003020000}"/>
    <cellStyle name="Normal 41" xfId="516" xr:uid="{00000000-0005-0000-0000-000004020000}"/>
    <cellStyle name="Normal 41 2" xfId="517" xr:uid="{00000000-0005-0000-0000-000005020000}"/>
    <cellStyle name="Normal 42" xfId="518" xr:uid="{00000000-0005-0000-0000-000006020000}"/>
    <cellStyle name="Normal 42 2" xfId="519" xr:uid="{00000000-0005-0000-0000-000007020000}"/>
    <cellStyle name="Normal 43" xfId="520" xr:uid="{00000000-0005-0000-0000-000008020000}"/>
    <cellStyle name="Normal 43 2" xfId="521" xr:uid="{00000000-0005-0000-0000-000009020000}"/>
    <cellStyle name="Normal 44" xfId="522" xr:uid="{00000000-0005-0000-0000-00000A020000}"/>
    <cellStyle name="Normal 44 2" xfId="523" xr:uid="{00000000-0005-0000-0000-00000B020000}"/>
    <cellStyle name="Normal 45" xfId="524" xr:uid="{00000000-0005-0000-0000-00000C020000}"/>
    <cellStyle name="Normal 45 2" xfId="525" xr:uid="{00000000-0005-0000-0000-00000D020000}"/>
    <cellStyle name="Normal 46" xfId="526" xr:uid="{00000000-0005-0000-0000-00000E020000}"/>
    <cellStyle name="Normal 46 2" xfId="527" xr:uid="{00000000-0005-0000-0000-00000F020000}"/>
    <cellStyle name="Normal 47" xfId="528" xr:uid="{00000000-0005-0000-0000-000010020000}"/>
    <cellStyle name="Normal 47 2" xfId="529" xr:uid="{00000000-0005-0000-0000-000011020000}"/>
    <cellStyle name="Normal 48" xfId="530" xr:uid="{00000000-0005-0000-0000-000012020000}"/>
    <cellStyle name="Normal 48 2" xfId="531" xr:uid="{00000000-0005-0000-0000-000013020000}"/>
    <cellStyle name="Normal 49" xfId="532" xr:uid="{00000000-0005-0000-0000-000014020000}"/>
    <cellStyle name="Normal 49 2" xfId="533" xr:uid="{00000000-0005-0000-0000-000015020000}"/>
    <cellStyle name="Normal 5" xfId="534" xr:uid="{00000000-0005-0000-0000-000016020000}"/>
    <cellStyle name="Normal 5 10" xfId="535" xr:uid="{00000000-0005-0000-0000-000017020000}"/>
    <cellStyle name="Normal 5 10 2" xfId="536" xr:uid="{00000000-0005-0000-0000-000018020000}"/>
    <cellStyle name="Normal 5 11" xfId="537" xr:uid="{00000000-0005-0000-0000-000019020000}"/>
    <cellStyle name="Normal 5 2" xfId="538" xr:uid="{00000000-0005-0000-0000-00001A020000}"/>
    <cellStyle name="Normal 5 3" xfId="539" xr:uid="{00000000-0005-0000-0000-00001B020000}"/>
    <cellStyle name="Normal 5 4" xfId="540" xr:uid="{00000000-0005-0000-0000-00001C020000}"/>
    <cellStyle name="Normal 5 5" xfId="541" xr:uid="{00000000-0005-0000-0000-00001D020000}"/>
    <cellStyle name="Normal 5 6" xfId="542" xr:uid="{00000000-0005-0000-0000-00001E020000}"/>
    <cellStyle name="Normal 5 7" xfId="543" xr:uid="{00000000-0005-0000-0000-00001F020000}"/>
    <cellStyle name="Normal 5 7 2" xfId="544" xr:uid="{00000000-0005-0000-0000-000020020000}"/>
    <cellStyle name="Normal 5 8" xfId="545" xr:uid="{00000000-0005-0000-0000-000021020000}"/>
    <cellStyle name="Normal 5 8 2" xfId="546" xr:uid="{00000000-0005-0000-0000-000022020000}"/>
    <cellStyle name="Normal 5 8 2 2" xfId="547" xr:uid="{00000000-0005-0000-0000-000023020000}"/>
    <cellStyle name="Normal 5 8 2 2 2" xfId="548" xr:uid="{00000000-0005-0000-0000-000024020000}"/>
    <cellStyle name="Normal 5 8 2 3" xfId="549" xr:uid="{00000000-0005-0000-0000-000025020000}"/>
    <cellStyle name="Normal 5 8 3" xfId="550" xr:uid="{00000000-0005-0000-0000-000026020000}"/>
    <cellStyle name="Normal 5 8 3 2" xfId="551" xr:uid="{00000000-0005-0000-0000-000027020000}"/>
    <cellStyle name="Normal 5 8 4" xfId="552" xr:uid="{00000000-0005-0000-0000-000028020000}"/>
    <cellStyle name="Normal 5 9" xfId="553" xr:uid="{00000000-0005-0000-0000-000029020000}"/>
    <cellStyle name="Normal 5 9 2" xfId="554" xr:uid="{00000000-0005-0000-0000-00002A020000}"/>
    <cellStyle name="Normal 5 9 2 2" xfId="555" xr:uid="{00000000-0005-0000-0000-00002B020000}"/>
    <cellStyle name="Normal 5 9 3" xfId="556" xr:uid="{00000000-0005-0000-0000-00002C020000}"/>
    <cellStyle name="Normal 50" xfId="557" xr:uid="{00000000-0005-0000-0000-00002D020000}"/>
    <cellStyle name="Normal 51" xfId="558" xr:uid="{00000000-0005-0000-0000-00002E020000}"/>
    <cellStyle name="Normal 51 2" xfId="559" xr:uid="{00000000-0005-0000-0000-00002F020000}"/>
    <cellStyle name="Normal 52" xfId="560" xr:uid="{00000000-0005-0000-0000-000030020000}"/>
    <cellStyle name="Normal 52 2" xfId="561" xr:uid="{00000000-0005-0000-0000-000031020000}"/>
    <cellStyle name="Normal 53" xfId="562" xr:uid="{00000000-0005-0000-0000-000032020000}"/>
    <cellStyle name="Normal 53 2" xfId="563" xr:uid="{00000000-0005-0000-0000-000033020000}"/>
    <cellStyle name="Normal 54" xfId="564" xr:uid="{00000000-0005-0000-0000-000034020000}"/>
    <cellStyle name="Normal 54 2" xfId="565" xr:uid="{00000000-0005-0000-0000-000035020000}"/>
    <cellStyle name="Normal 55" xfId="566" xr:uid="{00000000-0005-0000-0000-000036020000}"/>
    <cellStyle name="Normal 55 2" xfId="567" xr:uid="{00000000-0005-0000-0000-000037020000}"/>
    <cellStyle name="Normal 56" xfId="568" xr:uid="{00000000-0005-0000-0000-000038020000}"/>
    <cellStyle name="Normal 57" xfId="569" xr:uid="{00000000-0005-0000-0000-000039020000}"/>
    <cellStyle name="Normal 58" xfId="570" xr:uid="{00000000-0005-0000-0000-00003A020000}"/>
    <cellStyle name="Normal 59" xfId="571" xr:uid="{00000000-0005-0000-0000-00003B020000}"/>
    <cellStyle name="Normal 6" xfId="572" xr:uid="{00000000-0005-0000-0000-00003C020000}"/>
    <cellStyle name="Normal 6 10" xfId="573" xr:uid="{00000000-0005-0000-0000-00003D020000}"/>
    <cellStyle name="Normal 6 10 2" xfId="574" xr:uid="{00000000-0005-0000-0000-00003E020000}"/>
    <cellStyle name="Normal 6 11" xfId="575" xr:uid="{00000000-0005-0000-0000-00003F020000}"/>
    <cellStyle name="Normal 6 12" xfId="576" xr:uid="{00000000-0005-0000-0000-000040020000}"/>
    <cellStyle name="Normal 6 13" xfId="577" xr:uid="{00000000-0005-0000-0000-000041020000}"/>
    <cellStyle name="Normal 6 14" xfId="578" xr:uid="{00000000-0005-0000-0000-000042020000}"/>
    <cellStyle name="Normal 6 15" xfId="579" xr:uid="{00000000-0005-0000-0000-000043020000}"/>
    <cellStyle name="Normal 6 2" xfId="580" xr:uid="{00000000-0005-0000-0000-000044020000}"/>
    <cellStyle name="Normal 6 2 2" xfId="581" xr:uid="{00000000-0005-0000-0000-000045020000}"/>
    <cellStyle name="Normal 6 2 2 2" xfId="582" xr:uid="{00000000-0005-0000-0000-000046020000}"/>
    <cellStyle name="Normal 6 2 2 2 2" xfId="583" xr:uid="{00000000-0005-0000-0000-000047020000}"/>
    <cellStyle name="Normal 6 2 2 2 2 2" xfId="584" xr:uid="{00000000-0005-0000-0000-000048020000}"/>
    <cellStyle name="Normal 6 2 2 2 3" xfId="585" xr:uid="{00000000-0005-0000-0000-000049020000}"/>
    <cellStyle name="Normal 6 2 2 3" xfId="586" xr:uid="{00000000-0005-0000-0000-00004A020000}"/>
    <cellStyle name="Normal 6 2 2 3 2" xfId="587" xr:uid="{00000000-0005-0000-0000-00004B020000}"/>
    <cellStyle name="Normal 6 2 2 4" xfId="588" xr:uid="{00000000-0005-0000-0000-00004C020000}"/>
    <cellStyle name="Normal 6 2 3" xfId="589" xr:uid="{00000000-0005-0000-0000-00004D020000}"/>
    <cellStyle name="Normal 6 2 3 2" xfId="590" xr:uid="{00000000-0005-0000-0000-00004E020000}"/>
    <cellStyle name="Normal 6 2 3 2 2" xfId="591" xr:uid="{00000000-0005-0000-0000-00004F020000}"/>
    <cellStyle name="Normal 6 2 3 3" xfId="592" xr:uid="{00000000-0005-0000-0000-000050020000}"/>
    <cellStyle name="Normal 6 2 4" xfId="593" xr:uid="{00000000-0005-0000-0000-000051020000}"/>
    <cellStyle name="Normal 6 2 4 2" xfId="594" xr:uid="{00000000-0005-0000-0000-000052020000}"/>
    <cellStyle name="Normal 6 2 5" xfId="595" xr:uid="{00000000-0005-0000-0000-000053020000}"/>
    <cellStyle name="Normal 6 3" xfId="596" xr:uid="{00000000-0005-0000-0000-000054020000}"/>
    <cellStyle name="Normal 6 3 2" xfId="597" xr:uid="{00000000-0005-0000-0000-000055020000}"/>
    <cellStyle name="Normal 6 3 2 2" xfId="598" xr:uid="{00000000-0005-0000-0000-000056020000}"/>
    <cellStyle name="Normal 6 3 2 2 2" xfId="599" xr:uid="{00000000-0005-0000-0000-000057020000}"/>
    <cellStyle name="Normal 6 3 2 2 2 2" xfId="600" xr:uid="{00000000-0005-0000-0000-000058020000}"/>
    <cellStyle name="Normal 6 3 2 2 3" xfId="601" xr:uid="{00000000-0005-0000-0000-000059020000}"/>
    <cellStyle name="Normal 6 3 2 3" xfId="602" xr:uid="{00000000-0005-0000-0000-00005A020000}"/>
    <cellStyle name="Normal 6 3 2 3 2" xfId="603" xr:uid="{00000000-0005-0000-0000-00005B020000}"/>
    <cellStyle name="Normal 6 3 2 4" xfId="604" xr:uid="{00000000-0005-0000-0000-00005C020000}"/>
    <cellStyle name="Normal 6 3 3" xfId="605" xr:uid="{00000000-0005-0000-0000-00005D020000}"/>
    <cellStyle name="Normal 6 3 3 2" xfId="606" xr:uid="{00000000-0005-0000-0000-00005E020000}"/>
    <cellStyle name="Normal 6 3 3 2 2" xfId="607" xr:uid="{00000000-0005-0000-0000-00005F020000}"/>
    <cellStyle name="Normal 6 3 3 3" xfId="608" xr:uid="{00000000-0005-0000-0000-000060020000}"/>
    <cellStyle name="Normal 6 3 4" xfId="609" xr:uid="{00000000-0005-0000-0000-000061020000}"/>
    <cellStyle name="Normal 6 3 4 2" xfId="610" xr:uid="{00000000-0005-0000-0000-000062020000}"/>
    <cellStyle name="Normal 6 3 5" xfId="611" xr:uid="{00000000-0005-0000-0000-000063020000}"/>
    <cellStyle name="Normal 6 4" xfId="612" xr:uid="{00000000-0005-0000-0000-000064020000}"/>
    <cellStyle name="Normal 6 4 2" xfId="613" xr:uid="{00000000-0005-0000-0000-000065020000}"/>
    <cellStyle name="Normal 6 4 2 2" xfId="614" xr:uid="{00000000-0005-0000-0000-000066020000}"/>
    <cellStyle name="Normal 6 4 2 2 2" xfId="615" xr:uid="{00000000-0005-0000-0000-000067020000}"/>
    <cellStyle name="Normal 6 4 2 2 2 2" xfId="616" xr:uid="{00000000-0005-0000-0000-000068020000}"/>
    <cellStyle name="Normal 6 4 2 2 3" xfId="617" xr:uid="{00000000-0005-0000-0000-000069020000}"/>
    <cellStyle name="Normal 6 4 2 3" xfId="618" xr:uid="{00000000-0005-0000-0000-00006A020000}"/>
    <cellStyle name="Normal 6 4 2 3 2" xfId="619" xr:uid="{00000000-0005-0000-0000-00006B020000}"/>
    <cellStyle name="Normal 6 4 2 4" xfId="620" xr:uid="{00000000-0005-0000-0000-00006C020000}"/>
    <cellStyle name="Normal 6 4 3" xfId="621" xr:uid="{00000000-0005-0000-0000-00006D020000}"/>
    <cellStyle name="Normal 6 4 3 2" xfId="622" xr:uid="{00000000-0005-0000-0000-00006E020000}"/>
    <cellStyle name="Normal 6 4 3 2 2" xfId="623" xr:uid="{00000000-0005-0000-0000-00006F020000}"/>
    <cellStyle name="Normal 6 4 3 3" xfId="624" xr:uid="{00000000-0005-0000-0000-000070020000}"/>
    <cellStyle name="Normal 6 4 4" xfId="625" xr:uid="{00000000-0005-0000-0000-000071020000}"/>
    <cellStyle name="Normal 6 4 4 2" xfId="626" xr:uid="{00000000-0005-0000-0000-000072020000}"/>
    <cellStyle name="Normal 6 4 5" xfId="627" xr:uid="{00000000-0005-0000-0000-000073020000}"/>
    <cellStyle name="Normal 6 5" xfId="628" xr:uid="{00000000-0005-0000-0000-000074020000}"/>
    <cellStyle name="Normal 6 5 2" xfId="629" xr:uid="{00000000-0005-0000-0000-000075020000}"/>
    <cellStyle name="Normal 6 5 2 2" xfId="630" xr:uid="{00000000-0005-0000-0000-000076020000}"/>
    <cellStyle name="Normal 6 5 2 2 2" xfId="631" xr:uid="{00000000-0005-0000-0000-000077020000}"/>
    <cellStyle name="Normal 6 5 2 2 2 2" xfId="632" xr:uid="{00000000-0005-0000-0000-000078020000}"/>
    <cellStyle name="Normal 6 5 2 2 3" xfId="633" xr:uid="{00000000-0005-0000-0000-000079020000}"/>
    <cellStyle name="Normal 6 5 2 3" xfId="634" xr:uid="{00000000-0005-0000-0000-00007A020000}"/>
    <cellStyle name="Normal 6 5 2 3 2" xfId="635" xr:uid="{00000000-0005-0000-0000-00007B020000}"/>
    <cellStyle name="Normal 6 5 2 4" xfId="636" xr:uid="{00000000-0005-0000-0000-00007C020000}"/>
    <cellStyle name="Normal 6 5 3" xfId="637" xr:uid="{00000000-0005-0000-0000-00007D020000}"/>
    <cellStyle name="Normal 6 5 3 2" xfId="638" xr:uid="{00000000-0005-0000-0000-00007E020000}"/>
    <cellStyle name="Normal 6 5 3 2 2" xfId="639" xr:uid="{00000000-0005-0000-0000-00007F020000}"/>
    <cellStyle name="Normal 6 5 3 3" xfId="640" xr:uid="{00000000-0005-0000-0000-000080020000}"/>
    <cellStyle name="Normal 6 5 4" xfId="641" xr:uid="{00000000-0005-0000-0000-000081020000}"/>
    <cellStyle name="Normal 6 5 4 2" xfId="642" xr:uid="{00000000-0005-0000-0000-000082020000}"/>
    <cellStyle name="Normal 6 5 5" xfId="643" xr:uid="{00000000-0005-0000-0000-000083020000}"/>
    <cellStyle name="Normal 6 6" xfId="644" xr:uid="{00000000-0005-0000-0000-000084020000}"/>
    <cellStyle name="Normal 6 6 2" xfId="645" xr:uid="{00000000-0005-0000-0000-000085020000}"/>
    <cellStyle name="Normal 6 6 2 2" xfId="646" xr:uid="{00000000-0005-0000-0000-000086020000}"/>
    <cellStyle name="Normal 6 6 2 2 2" xfId="647" xr:uid="{00000000-0005-0000-0000-000087020000}"/>
    <cellStyle name="Normal 6 6 2 2 2 2" xfId="648" xr:uid="{00000000-0005-0000-0000-000088020000}"/>
    <cellStyle name="Normal 6 6 2 2 3" xfId="649" xr:uid="{00000000-0005-0000-0000-000089020000}"/>
    <cellStyle name="Normal 6 6 2 3" xfId="650" xr:uid="{00000000-0005-0000-0000-00008A020000}"/>
    <cellStyle name="Normal 6 6 2 3 2" xfId="651" xr:uid="{00000000-0005-0000-0000-00008B020000}"/>
    <cellStyle name="Normal 6 6 2 4" xfId="652" xr:uid="{00000000-0005-0000-0000-00008C020000}"/>
    <cellStyle name="Normal 6 6 3" xfId="653" xr:uid="{00000000-0005-0000-0000-00008D020000}"/>
    <cellStyle name="Normal 6 6 3 2" xfId="654" xr:uid="{00000000-0005-0000-0000-00008E020000}"/>
    <cellStyle name="Normal 6 6 3 2 2" xfId="655" xr:uid="{00000000-0005-0000-0000-00008F020000}"/>
    <cellStyle name="Normal 6 6 3 3" xfId="656" xr:uid="{00000000-0005-0000-0000-000090020000}"/>
    <cellStyle name="Normal 6 6 4" xfId="657" xr:uid="{00000000-0005-0000-0000-000091020000}"/>
    <cellStyle name="Normal 6 6 4 2" xfId="658" xr:uid="{00000000-0005-0000-0000-000092020000}"/>
    <cellStyle name="Normal 6 6 5" xfId="659" xr:uid="{00000000-0005-0000-0000-000093020000}"/>
    <cellStyle name="Normal 6 7" xfId="660" xr:uid="{00000000-0005-0000-0000-000094020000}"/>
    <cellStyle name="Normal 6 7 2" xfId="661" xr:uid="{00000000-0005-0000-0000-000095020000}"/>
    <cellStyle name="Normal 6 7 2 2" xfId="662" xr:uid="{00000000-0005-0000-0000-000096020000}"/>
    <cellStyle name="Normal 6 7 2 2 2" xfId="663" xr:uid="{00000000-0005-0000-0000-000097020000}"/>
    <cellStyle name="Normal 6 7 2 2 2 2" xfId="664" xr:uid="{00000000-0005-0000-0000-000098020000}"/>
    <cellStyle name="Normal 6 7 2 2 3" xfId="665" xr:uid="{00000000-0005-0000-0000-000099020000}"/>
    <cellStyle name="Normal 6 7 2 3" xfId="666" xr:uid="{00000000-0005-0000-0000-00009A020000}"/>
    <cellStyle name="Normal 6 7 2 3 2" xfId="667" xr:uid="{00000000-0005-0000-0000-00009B020000}"/>
    <cellStyle name="Normal 6 7 2 4" xfId="668" xr:uid="{00000000-0005-0000-0000-00009C020000}"/>
    <cellStyle name="Normal 6 7 3" xfId="669" xr:uid="{00000000-0005-0000-0000-00009D020000}"/>
    <cellStyle name="Normal 6 7 3 2" xfId="670" xr:uid="{00000000-0005-0000-0000-00009E020000}"/>
    <cellStyle name="Normal 6 7 3 2 2" xfId="671" xr:uid="{00000000-0005-0000-0000-00009F020000}"/>
    <cellStyle name="Normal 6 7 3 3" xfId="672" xr:uid="{00000000-0005-0000-0000-0000A0020000}"/>
    <cellStyle name="Normal 6 7 4" xfId="673" xr:uid="{00000000-0005-0000-0000-0000A1020000}"/>
    <cellStyle name="Normal 6 7 4 2" xfId="674" xr:uid="{00000000-0005-0000-0000-0000A2020000}"/>
    <cellStyle name="Normal 6 7 5" xfId="675" xr:uid="{00000000-0005-0000-0000-0000A3020000}"/>
    <cellStyle name="Normal 6 8" xfId="676" xr:uid="{00000000-0005-0000-0000-0000A4020000}"/>
    <cellStyle name="Normal 6 8 2" xfId="677" xr:uid="{00000000-0005-0000-0000-0000A5020000}"/>
    <cellStyle name="Normal 6 8 2 2" xfId="678" xr:uid="{00000000-0005-0000-0000-0000A6020000}"/>
    <cellStyle name="Normal 6 8 2 2 2" xfId="679" xr:uid="{00000000-0005-0000-0000-0000A7020000}"/>
    <cellStyle name="Normal 6 8 2 3" xfId="680" xr:uid="{00000000-0005-0000-0000-0000A8020000}"/>
    <cellStyle name="Normal 6 8 3" xfId="681" xr:uid="{00000000-0005-0000-0000-0000A9020000}"/>
    <cellStyle name="Normal 6 8 3 2" xfId="682" xr:uid="{00000000-0005-0000-0000-0000AA020000}"/>
    <cellStyle name="Normal 6 8 4" xfId="683" xr:uid="{00000000-0005-0000-0000-0000AB020000}"/>
    <cellStyle name="Normal 6 9" xfId="684" xr:uid="{00000000-0005-0000-0000-0000AC020000}"/>
    <cellStyle name="Normal 6 9 2" xfId="685" xr:uid="{00000000-0005-0000-0000-0000AD020000}"/>
    <cellStyle name="Normal 6 9 2 2" xfId="686" xr:uid="{00000000-0005-0000-0000-0000AE020000}"/>
    <cellStyle name="Normal 6 9 3" xfId="687" xr:uid="{00000000-0005-0000-0000-0000AF020000}"/>
    <cellStyle name="Normal 60" xfId="688" xr:uid="{00000000-0005-0000-0000-0000B0020000}"/>
    <cellStyle name="Normal 61" xfId="689" xr:uid="{00000000-0005-0000-0000-0000B1020000}"/>
    <cellStyle name="Normal 62" xfId="903" xr:uid="{CC5492AC-F28E-4723-8C60-DF92E50F44DD}"/>
    <cellStyle name="Normal 63" xfId="904" xr:uid="{49384A5E-F3D4-47BD-9729-6FAEFEA6641B}"/>
    <cellStyle name="Normal 64" xfId="905" xr:uid="{64C0A0EC-2CB7-4866-A868-A7FE52F32812}"/>
    <cellStyle name="Normal 65" xfId="906" xr:uid="{B84424B0-912D-4BB6-AFC9-A86215A1546E}"/>
    <cellStyle name="Normal 66" xfId="907" xr:uid="{5CCC3B68-60C1-4706-81A0-FB56665DD0AA}"/>
    <cellStyle name="Normal 67" xfId="908" xr:uid="{FDF51286-6DA1-45F7-849F-922389EE6D58}"/>
    <cellStyle name="Normal 68" xfId="909" xr:uid="{EB339A4D-E5E5-4D43-AEA2-D348F7F63729}"/>
    <cellStyle name="Normal 69" xfId="911" xr:uid="{DF6809A7-D880-43A8-A3A3-8F7B77457FDA}"/>
    <cellStyle name="Normal 7" xfId="690" xr:uid="{00000000-0005-0000-0000-0000B2020000}"/>
    <cellStyle name="Normal 7 2" xfId="691" xr:uid="{00000000-0005-0000-0000-0000B3020000}"/>
    <cellStyle name="Normal 7 3" xfId="692" xr:uid="{00000000-0005-0000-0000-0000B4020000}"/>
    <cellStyle name="Normal 70" xfId="912" xr:uid="{8254C881-1F1C-4938-8918-CBF5457AF622}"/>
    <cellStyle name="Normal 71" xfId="913" xr:uid="{9BD0FF19-8B04-46B5-B784-5E33C1E25316}"/>
    <cellStyle name="Normal 72" xfId="914" xr:uid="{E55C13AE-35BB-435C-8AFE-5F814CA74D66}"/>
    <cellStyle name="Normal 73" xfId="915" xr:uid="{338B8FAF-3B42-4444-B744-7D7ED76654E4}"/>
    <cellStyle name="Normal 8" xfId="693" xr:uid="{00000000-0005-0000-0000-0000B5020000}"/>
    <cellStyle name="Normal 8 2" xfId="694" xr:uid="{00000000-0005-0000-0000-0000B6020000}"/>
    <cellStyle name="Normal 8 3" xfId="695" xr:uid="{00000000-0005-0000-0000-0000B7020000}"/>
    <cellStyle name="Normal 8 4" xfId="696" xr:uid="{00000000-0005-0000-0000-0000B8020000}"/>
    <cellStyle name="Normal 9" xfId="697" xr:uid="{00000000-0005-0000-0000-0000B9020000}"/>
    <cellStyle name="Normal 9 2" xfId="698" xr:uid="{00000000-0005-0000-0000-0000BA020000}"/>
    <cellStyle name="Normal 9 2 2" xfId="699" xr:uid="{00000000-0005-0000-0000-0000BB020000}"/>
    <cellStyle name="Normal 9 2 2 2" xfId="700" xr:uid="{00000000-0005-0000-0000-0000BC020000}"/>
    <cellStyle name="Normal 9 2 2 2 2" xfId="701" xr:uid="{00000000-0005-0000-0000-0000BD020000}"/>
    <cellStyle name="Normal 9 2 2 2 2 2" xfId="702" xr:uid="{00000000-0005-0000-0000-0000BE020000}"/>
    <cellStyle name="Normal 9 2 2 2 3" xfId="703" xr:uid="{00000000-0005-0000-0000-0000BF020000}"/>
    <cellStyle name="Normal 9 2 2 3" xfId="704" xr:uid="{00000000-0005-0000-0000-0000C0020000}"/>
    <cellStyle name="Normal 9 2 2 3 2" xfId="705" xr:uid="{00000000-0005-0000-0000-0000C1020000}"/>
    <cellStyle name="Normal 9 2 2 4" xfId="706" xr:uid="{00000000-0005-0000-0000-0000C2020000}"/>
    <cellStyle name="Normal 9 2 3" xfId="707" xr:uid="{00000000-0005-0000-0000-0000C3020000}"/>
    <cellStyle name="Normal 9 2 3 2" xfId="708" xr:uid="{00000000-0005-0000-0000-0000C4020000}"/>
    <cellStyle name="Normal 9 2 3 2 2" xfId="709" xr:uid="{00000000-0005-0000-0000-0000C5020000}"/>
    <cellStyle name="Normal 9 2 3 3" xfId="710" xr:uid="{00000000-0005-0000-0000-0000C6020000}"/>
    <cellStyle name="Normal 9 2 4" xfId="711" xr:uid="{00000000-0005-0000-0000-0000C7020000}"/>
    <cellStyle name="Normal 9 2 4 2" xfId="712" xr:uid="{00000000-0005-0000-0000-0000C8020000}"/>
    <cellStyle name="Normal 9 2 5" xfId="713" xr:uid="{00000000-0005-0000-0000-0000C9020000}"/>
    <cellStyle name="Normal 9 3" xfId="714" xr:uid="{00000000-0005-0000-0000-0000CA020000}"/>
    <cellStyle name="Normal 9 3 2" xfId="715" xr:uid="{00000000-0005-0000-0000-0000CB020000}"/>
    <cellStyle name="Normal 9 3 2 2" xfId="716" xr:uid="{00000000-0005-0000-0000-0000CC020000}"/>
    <cellStyle name="Normal 9 3 2 2 2" xfId="717" xr:uid="{00000000-0005-0000-0000-0000CD020000}"/>
    <cellStyle name="Normal 9 3 2 3" xfId="718" xr:uid="{00000000-0005-0000-0000-0000CE020000}"/>
    <cellStyle name="Normal 9 3 3" xfId="719" xr:uid="{00000000-0005-0000-0000-0000CF020000}"/>
    <cellStyle name="Normal 9 3 3 2" xfId="720" xr:uid="{00000000-0005-0000-0000-0000D0020000}"/>
    <cellStyle name="Normal 9 3 4" xfId="721" xr:uid="{00000000-0005-0000-0000-0000D1020000}"/>
    <cellStyle name="Normal 9 4" xfId="722" xr:uid="{00000000-0005-0000-0000-0000D2020000}"/>
    <cellStyle name="Normal 9 4 2" xfId="723" xr:uid="{00000000-0005-0000-0000-0000D3020000}"/>
    <cellStyle name="Normal 9 4 2 2" xfId="724" xr:uid="{00000000-0005-0000-0000-0000D4020000}"/>
    <cellStyle name="Normal 9 4 3" xfId="725" xr:uid="{00000000-0005-0000-0000-0000D5020000}"/>
    <cellStyle name="Normal 9 5" xfId="726" xr:uid="{00000000-0005-0000-0000-0000D6020000}"/>
    <cellStyle name="Normal 9 5 2" xfId="727" xr:uid="{00000000-0005-0000-0000-0000D7020000}"/>
    <cellStyle name="Normal 9 6" xfId="728" xr:uid="{00000000-0005-0000-0000-0000D8020000}"/>
    <cellStyle name="Porcentaje" xfId="910" builtinId="5"/>
    <cellStyle name="Porcentaje 2" xfId="729" xr:uid="{00000000-0005-0000-0000-0000DA020000}"/>
    <cellStyle name="Porcentaje 3" xfId="730" xr:uid="{00000000-0005-0000-0000-0000DB020000}"/>
    <cellStyle name="Porcentaje 4" xfId="731" xr:uid="{00000000-0005-0000-0000-0000DC020000}"/>
    <cellStyle name="Porcentaje 5" xfId="732" xr:uid="{00000000-0005-0000-0000-0000DD020000}"/>
    <cellStyle name="Porcentual 2" xfId="733" xr:uid="{00000000-0005-0000-0000-0000DE020000}"/>
    <cellStyle name="Porcentual 2 2" xfId="734" xr:uid="{00000000-0005-0000-0000-0000DF020000}"/>
    <cellStyle name="Porcentual 2 3" xfId="3" xr:uid="{00000000-0005-0000-0000-0000E0020000}"/>
    <cellStyle name="Porcentual 2 3 2" xfId="735" xr:uid="{00000000-0005-0000-0000-0000E1020000}"/>
    <cellStyle name="Porcentual 2 4" xfId="736" xr:uid="{00000000-0005-0000-0000-0000E2020000}"/>
    <cellStyle name="Porcentual 2 5" xfId="737" xr:uid="{00000000-0005-0000-0000-0000E3020000}"/>
    <cellStyle name="Porcentual 2 6" xfId="738" xr:uid="{00000000-0005-0000-0000-0000E4020000}"/>
    <cellStyle name="Porcentual 3" xfId="739" xr:uid="{00000000-0005-0000-0000-0000E5020000}"/>
    <cellStyle name="Porcentual 3 2" xfId="740" xr:uid="{00000000-0005-0000-0000-0000E6020000}"/>
    <cellStyle name="Porcentual 3 3" xfId="741" xr:uid="{00000000-0005-0000-0000-0000E7020000}"/>
    <cellStyle name="Porcentual 3 4" xfId="742" xr:uid="{00000000-0005-0000-0000-0000E8020000}"/>
    <cellStyle name="Porcentual 3 5" xfId="743" xr:uid="{00000000-0005-0000-0000-0000E9020000}"/>
    <cellStyle name="Porcentual 3 6" xfId="744" xr:uid="{00000000-0005-0000-0000-0000EA020000}"/>
    <cellStyle name="Porcentual 3 7" xfId="745" xr:uid="{00000000-0005-0000-0000-0000EB020000}"/>
    <cellStyle name="Porcentual 4" xfId="746" xr:uid="{00000000-0005-0000-0000-0000EC020000}"/>
    <cellStyle name="Porcentual 4 2" xfId="747" xr:uid="{00000000-0005-0000-0000-0000ED020000}"/>
    <cellStyle name="Porcentual 4 3" xfId="748" xr:uid="{00000000-0005-0000-0000-0000EE020000}"/>
    <cellStyle name="Porcentual 4 4" xfId="749" xr:uid="{00000000-0005-0000-0000-0000EF020000}"/>
    <cellStyle name="Porcentual 4 5" xfId="750" xr:uid="{00000000-0005-0000-0000-0000F0020000}"/>
    <cellStyle name="Porcentual 4 6" xfId="751" xr:uid="{00000000-0005-0000-0000-0000F1020000}"/>
    <cellStyle name="Porcentual 4 7" xfId="752" xr:uid="{00000000-0005-0000-0000-0000F2020000}"/>
    <cellStyle name="Porcentual 5" xfId="753" xr:uid="{00000000-0005-0000-0000-0000F3020000}"/>
    <cellStyle name="Porcentual 5 10" xfId="754" xr:uid="{00000000-0005-0000-0000-0000F4020000}"/>
    <cellStyle name="Porcentual 5 10 2" xfId="755" xr:uid="{00000000-0005-0000-0000-0000F5020000}"/>
    <cellStyle name="Porcentual 5 11" xfId="756" xr:uid="{00000000-0005-0000-0000-0000F6020000}"/>
    <cellStyle name="Porcentual 5 12" xfId="757" xr:uid="{00000000-0005-0000-0000-0000F7020000}"/>
    <cellStyle name="Porcentual 5 13" xfId="758" xr:uid="{00000000-0005-0000-0000-0000F8020000}"/>
    <cellStyle name="Porcentual 5 14" xfId="759" xr:uid="{00000000-0005-0000-0000-0000F9020000}"/>
    <cellStyle name="Porcentual 5 15" xfId="760" xr:uid="{00000000-0005-0000-0000-0000FA020000}"/>
    <cellStyle name="Porcentual 5 2" xfId="761" xr:uid="{00000000-0005-0000-0000-0000FB020000}"/>
    <cellStyle name="Porcentual 5 2 2" xfId="762" xr:uid="{00000000-0005-0000-0000-0000FC020000}"/>
    <cellStyle name="Porcentual 5 2 2 2" xfId="763" xr:uid="{00000000-0005-0000-0000-0000FD020000}"/>
    <cellStyle name="Porcentual 5 2 2 2 2" xfId="764" xr:uid="{00000000-0005-0000-0000-0000FE020000}"/>
    <cellStyle name="Porcentual 5 2 2 2 2 2" xfId="765" xr:uid="{00000000-0005-0000-0000-0000FF020000}"/>
    <cellStyle name="Porcentual 5 2 2 2 3" xfId="766" xr:uid="{00000000-0005-0000-0000-000000030000}"/>
    <cellStyle name="Porcentual 5 2 2 3" xfId="767" xr:uid="{00000000-0005-0000-0000-000001030000}"/>
    <cellStyle name="Porcentual 5 2 2 3 2" xfId="768" xr:uid="{00000000-0005-0000-0000-000002030000}"/>
    <cellStyle name="Porcentual 5 2 2 4" xfId="769" xr:uid="{00000000-0005-0000-0000-000003030000}"/>
    <cellStyle name="Porcentual 5 2 3" xfId="770" xr:uid="{00000000-0005-0000-0000-000004030000}"/>
    <cellStyle name="Porcentual 5 2 3 2" xfId="771" xr:uid="{00000000-0005-0000-0000-000005030000}"/>
    <cellStyle name="Porcentual 5 2 3 2 2" xfId="772" xr:uid="{00000000-0005-0000-0000-000006030000}"/>
    <cellStyle name="Porcentual 5 2 3 3" xfId="773" xr:uid="{00000000-0005-0000-0000-000007030000}"/>
    <cellStyle name="Porcentual 5 2 4" xfId="774" xr:uid="{00000000-0005-0000-0000-000008030000}"/>
    <cellStyle name="Porcentual 5 2 4 2" xfId="775" xr:uid="{00000000-0005-0000-0000-000009030000}"/>
    <cellStyle name="Porcentual 5 2 5" xfId="776" xr:uid="{00000000-0005-0000-0000-00000A030000}"/>
    <cellStyle name="Porcentual 5 3" xfId="777" xr:uid="{00000000-0005-0000-0000-00000B030000}"/>
    <cellStyle name="Porcentual 5 3 2" xfId="778" xr:uid="{00000000-0005-0000-0000-00000C030000}"/>
    <cellStyle name="Porcentual 5 3 2 2" xfId="779" xr:uid="{00000000-0005-0000-0000-00000D030000}"/>
    <cellStyle name="Porcentual 5 3 2 2 2" xfId="780" xr:uid="{00000000-0005-0000-0000-00000E030000}"/>
    <cellStyle name="Porcentual 5 3 2 2 2 2" xfId="781" xr:uid="{00000000-0005-0000-0000-00000F030000}"/>
    <cellStyle name="Porcentual 5 3 2 2 3" xfId="782" xr:uid="{00000000-0005-0000-0000-000010030000}"/>
    <cellStyle name="Porcentual 5 3 2 3" xfId="783" xr:uid="{00000000-0005-0000-0000-000011030000}"/>
    <cellStyle name="Porcentual 5 3 2 3 2" xfId="784" xr:uid="{00000000-0005-0000-0000-000012030000}"/>
    <cellStyle name="Porcentual 5 3 2 4" xfId="785" xr:uid="{00000000-0005-0000-0000-000013030000}"/>
    <cellStyle name="Porcentual 5 3 3" xfId="786" xr:uid="{00000000-0005-0000-0000-000014030000}"/>
    <cellStyle name="Porcentual 5 3 3 2" xfId="787" xr:uid="{00000000-0005-0000-0000-000015030000}"/>
    <cellStyle name="Porcentual 5 3 3 2 2" xfId="788" xr:uid="{00000000-0005-0000-0000-000016030000}"/>
    <cellStyle name="Porcentual 5 3 3 3" xfId="789" xr:uid="{00000000-0005-0000-0000-000017030000}"/>
    <cellStyle name="Porcentual 5 3 4" xfId="790" xr:uid="{00000000-0005-0000-0000-000018030000}"/>
    <cellStyle name="Porcentual 5 3 4 2" xfId="791" xr:uid="{00000000-0005-0000-0000-000019030000}"/>
    <cellStyle name="Porcentual 5 3 5" xfId="792" xr:uid="{00000000-0005-0000-0000-00001A030000}"/>
    <cellStyle name="Porcentual 5 4" xfId="793" xr:uid="{00000000-0005-0000-0000-00001B030000}"/>
    <cellStyle name="Porcentual 5 4 2" xfId="794" xr:uid="{00000000-0005-0000-0000-00001C030000}"/>
    <cellStyle name="Porcentual 5 4 2 2" xfId="795" xr:uid="{00000000-0005-0000-0000-00001D030000}"/>
    <cellStyle name="Porcentual 5 4 2 2 2" xfId="796" xr:uid="{00000000-0005-0000-0000-00001E030000}"/>
    <cellStyle name="Porcentual 5 4 2 2 2 2" xfId="797" xr:uid="{00000000-0005-0000-0000-00001F030000}"/>
    <cellStyle name="Porcentual 5 4 2 2 3" xfId="798" xr:uid="{00000000-0005-0000-0000-000020030000}"/>
    <cellStyle name="Porcentual 5 4 2 3" xfId="799" xr:uid="{00000000-0005-0000-0000-000021030000}"/>
    <cellStyle name="Porcentual 5 4 2 3 2" xfId="800" xr:uid="{00000000-0005-0000-0000-000022030000}"/>
    <cellStyle name="Porcentual 5 4 2 4" xfId="801" xr:uid="{00000000-0005-0000-0000-000023030000}"/>
    <cellStyle name="Porcentual 5 4 3" xfId="802" xr:uid="{00000000-0005-0000-0000-000024030000}"/>
    <cellStyle name="Porcentual 5 4 3 2" xfId="803" xr:uid="{00000000-0005-0000-0000-000025030000}"/>
    <cellStyle name="Porcentual 5 4 3 2 2" xfId="804" xr:uid="{00000000-0005-0000-0000-000026030000}"/>
    <cellStyle name="Porcentual 5 4 3 3" xfId="805" xr:uid="{00000000-0005-0000-0000-000027030000}"/>
    <cellStyle name="Porcentual 5 4 4" xfId="806" xr:uid="{00000000-0005-0000-0000-000028030000}"/>
    <cellStyle name="Porcentual 5 4 4 2" xfId="807" xr:uid="{00000000-0005-0000-0000-000029030000}"/>
    <cellStyle name="Porcentual 5 4 5" xfId="808" xr:uid="{00000000-0005-0000-0000-00002A030000}"/>
    <cellStyle name="Porcentual 5 5" xfId="809" xr:uid="{00000000-0005-0000-0000-00002B030000}"/>
    <cellStyle name="Porcentual 5 5 2" xfId="810" xr:uid="{00000000-0005-0000-0000-00002C030000}"/>
    <cellStyle name="Porcentual 5 5 2 2" xfId="811" xr:uid="{00000000-0005-0000-0000-00002D030000}"/>
    <cellStyle name="Porcentual 5 5 2 2 2" xfId="812" xr:uid="{00000000-0005-0000-0000-00002E030000}"/>
    <cellStyle name="Porcentual 5 5 2 2 2 2" xfId="813" xr:uid="{00000000-0005-0000-0000-00002F030000}"/>
    <cellStyle name="Porcentual 5 5 2 2 3" xfId="814" xr:uid="{00000000-0005-0000-0000-000030030000}"/>
    <cellStyle name="Porcentual 5 5 2 3" xfId="815" xr:uid="{00000000-0005-0000-0000-000031030000}"/>
    <cellStyle name="Porcentual 5 5 2 3 2" xfId="816" xr:uid="{00000000-0005-0000-0000-000032030000}"/>
    <cellStyle name="Porcentual 5 5 2 4" xfId="817" xr:uid="{00000000-0005-0000-0000-000033030000}"/>
    <cellStyle name="Porcentual 5 5 3" xfId="818" xr:uid="{00000000-0005-0000-0000-000034030000}"/>
    <cellStyle name="Porcentual 5 5 3 2" xfId="819" xr:uid="{00000000-0005-0000-0000-000035030000}"/>
    <cellStyle name="Porcentual 5 5 3 2 2" xfId="820" xr:uid="{00000000-0005-0000-0000-000036030000}"/>
    <cellStyle name="Porcentual 5 5 3 3" xfId="821" xr:uid="{00000000-0005-0000-0000-000037030000}"/>
    <cellStyle name="Porcentual 5 5 4" xfId="822" xr:uid="{00000000-0005-0000-0000-000038030000}"/>
    <cellStyle name="Porcentual 5 5 4 2" xfId="823" xr:uid="{00000000-0005-0000-0000-000039030000}"/>
    <cellStyle name="Porcentual 5 5 5" xfId="824" xr:uid="{00000000-0005-0000-0000-00003A030000}"/>
    <cellStyle name="Porcentual 5 6" xfId="825" xr:uid="{00000000-0005-0000-0000-00003B030000}"/>
    <cellStyle name="Porcentual 5 6 2" xfId="826" xr:uid="{00000000-0005-0000-0000-00003C030000}"/>
    <cellStyle name="Porcentual 5 6 2 2" xfId="827" xr:uid="{00000000-0005-0000-0000-00003D030000}"/>
    <cellStyle name="Porcentual 5 6 2 2 2" xfId="828" xr:uid="{00000000-0005-0000-0000-00003E030000}"/>
    <cellStyle name="Porcentual 5 6 2 2 2 2" xfId="829" xr:uid="{00000000-0005-0000-0000-00003F030000}"/>
    <cellStyle name="Porcentual 5 6 2 2 3" xfId="830" xr:uid="{00000000-0005-0000-0000-000040030000}"/>
    <cellStyle name="Porcentual 5 6 2 3" xfId="831" xr:uid="{00000000-0005-0000-0000-000041030000}"/>
    <cellStyle name="Porcentual 5 6 2 3 2" xfId="832" xr:uid="{00000000-0005-0000-0000-000042030000}"/>
    <cellStyle name="Porcentual 5 6 2 4" xfId="833" xr:uid="{00000000-0005-0000-0000-000043030000}"/>
    <cellStyle name="Porcentual 5 6 3" xfId="834" xr:uid="{00000000-0005-0000-0000-000044030000}"/>
    <cellStyle name="Porcentual 5 6 3 2" xfId="835" xr:uid="{00000000-0005-0000-0000-000045030000}"/>
    <cellStyle name="Porcentual 5 6 3 2 2" xfId="836" xr:uid="{00000000-0005-0000-0000-000046030000}"/>
    <cellStyle name="Porcentual 5 6 3 3" xfId="837" xr:uid="{00000000-0005-0000-0000-000047030000}"/>
    <cellStyle name="Porcentual 5 6 4" xfId="838" xr:uid="{00000000-0005-0000-0000-000048030000}"/>
    <cellStyle name="Porcentual 5 6 4 2" xfId="839" xr:uid="{00000000-0005-0000-0000-000049030000}"/>
    <cellStyle name="Porcentual 5 6 5" xfId="840" xr:uid="{00000000-0005-0000-0000-00004A030000}"/>
    <cellStyle name="Porcentual 5 7" xfId="841" xr:uid="{00000000-0005-0000-0000-00004B030000}"/>
    <cellStyle name="Porcentual 5 7 2" xfId="842" xr:uid="{00000000-0005-0000-0000-00004C030000}"/>
    <cellStyle name="Porcentual 5 7 2 2" xfId="843" xr:uid="{00000000-0005-0000-0000-00004D030000}"/>
    <cellStyle name="Porcentual 5 7 2 2 2" xfId="844" xr:uid="{00000000-0005-0000-0000-00004E030000}"/>
    <cellStyle name="Porcentual 5 7 2 2 2 2" xfId="845" xr:uid="{00000000-0005-0000-0000-00004F030000}"/>
    <cellStyle name="Porcentual 5 7 2 2 3" xfId="846" xr:uid="{00000000-0005-0000-0000-000050030000}"/>
    <cellStyle name="Porcentual 5 7 2 3" xfId="847" xr:uid="{00000000-0005-0000-0000-000051030000}"/>
    <cellStyle name="Porcentual 5 7 2 3 2" xfId="848" xr:uid="{00000000-0005-0000-0000-000052030000}"/>
    <cellStyle name="Porcentual 5 7 2 4" xfId="849" xr:uid="{00000000-0005-0000-0000-000053030000}"/>
    <cellStyle name="Porcentual 5 7 3" xfId="850" xr:uid="{00000000-0005-0000-0000-000054030000}"/>
    <cellStyle name="Porcentual 5 7 3 2" xfId="851" xr:uid="{00000000-0005-0000-0000-000055030000}"/>
    <cellStyle name="Porcentual 5 7 3 2 2" xfId="852" xr:uid="{00000000-0005-0000-0000-000056030000}"/>
    <cellStyle name="Porcentual 5 7 3 3" xfId="853" xr:uid="{00000000-0005-0000-0000-000057030000}"/>
    <cellStyle name="Porcentual 5 7 4" xfId="854" xr:uid="{00000000-0005-0000-0000-000058030000}"/>
    <cellStyle name="Porcentual 5 7 4 2" xfId="855" xr:uid="{00000000-0005-0000-0000-000059030000}"/>
    <cellStyle name="Porcentual 5 7 5" xfId="856" xr:uid="{00000000-0005-0000-0000-00005A030000}"/>
    <cellStyle name="Porcentual 5 8" xfId="857" xr:uid="{00000000-0005-0000-0000-00005B030000}"/>
    <cellStyle name="Porcentual 5 8 2" xfId="858" xr:uid="{00000000-0005-0000-0000-00005C030000}"/>
    <cellStyle name="Porcentual 5 8 2 2" xfId="859" xr:uid="{00000000-0005-0000-0000-00005D030000}"/>
    <cellStyle name="Porcentual 5 8 2 2 2" xfId="860" xr:uid="{00000000-0005-0000-0000-00005E030000}"/>
    <cellStyle name="Porcentual 5 8 2 3" xfId="861" xr:uid="{00000000-0005-0000-0000-00005F030000}"/>
    <cellStyle name="Porcentual 5 8 3" xfId="862" xr:uid="{00000000-0005-0000-0000-000060030000}"/>
    <cellStyle name="Porcentual 5 8 3 2" xfId="863" xr:uid="{00000000-0005-0000-0000-000061030000}"/>
    <cellStyle name="Porcentual 5 8 4" xfId="864" xr:uid="{00000000-0005-0000-0000-000062030000}"/>
    <cellStyle name="Porcentual 5 9" xfId="865" xr:uid="{00000000-0005-0000-0000-000063030000}"/>
    <cellStyle name="Porcentual 5 9 2" xfId="866" xr:uid="{00000000-0005-0000-0000-000064030000}"/>
    <cellStyle name="Porcentual 5 9 2 2" xfId="867" xr:uid="{00000000-0005-0000-0000-000065030000}"/>
    <cellStyle name="Porcentual 5 9 3" xfId="868" xr:uid="{00000000-0005-0000-0000-000066030000}"/>
    <cellStyle name="Porcentual 6" xfId="869" xr:uid="{00000000-0005-0000-0000-000067030000}"/>
    <cellStyle name="Porcentual 6 2" xfId="870" xr:uid="{00000000-0005-0000-0000-000068030000}"/>
    <cellStyle name="Porcentual 6 2 2" xfId="871" xr:uid="{00000000-0005-0000-0000-000069030000}"/>
    <cellStyle name="Porcentual 6 2 2 2" xfId="872" xr:uid="{00000000-0005-0000-0000-00006A030000}"/>
    <cellStyle name="Porcentual 6 2 2 2 2" xfId="873" xr:uid="{00000000-0005-0000-0000-00006B030000}"/>
    <cellStyle name="Porcentual 6 2 2 2 3" xfId="874" xr:uid="{00000000-0005-0000-0000-00006C030000}"/>
    <cellStyle name="Porcentual 6 2 2 2 3 2" xfId="875" xr:uid="{00000000-0005-0000-0000-00006D030000}"/>
    <cellStyle name="Porcentual 6 2 2 2 3 2 2" xfId="876" xr:uid="{00000000-0005-0000-0000-00006E030000}"/>
    <cellStyle name="Porcentual 6 2 2 2 3 2 2 2" xfId="877" xr:uid="{00000000-0005-0000-0000-00006F030000}"/>
    <cellStyle name="Porcentual 6 2 2 2 3 2 2 2 2" xfId="878" xr:uid="{00000000-0005-0000-0000-000070030000}"/>
    <cellStyle name="Porcentual 6 2 2 2 3 2 2 2 2 2" xfId="879" xr:uid="{00000000-0005-0000-0000-000071030000}"/>
    <cellStyle name="Porcentual 6 2 2 2 3 2 2 2 2 2 2" xfId="880" xr:uid="{00000000-0005-0000-0000-000072030000}"/>
    <cellStyle name="Porcentual 6 2 2 2 3 2 2 2 2 2 2 2" xfId="881" xr:uid="{00000000-0005-0000-0000-000073030000}"/>
    <cellStyle name="Porcentual 6 2 2 2 3 2 2 2 2 2 2 2 2" xfId="882" xr:uid="{00000000-0005-0000-0000-000074030000}"/>
    <cellStyle name="Porcentual 6 3" xfId="883" xr:uid="{00000000-0005-0000-0000-000075030000}"/>
    <cellStyle name="Porcentual 7" xfId="884" xr:uid="{00000000-0005-0000-0000-000076030000}"/>
    <cellStyle name="Porcentual 8" xfId="885" xr:uid="{00000000-0005-0000-0000-000077030000}"/>
    <cellStyle name="Porcentual 8 2" xfId="886" xr:uid="{00000000-0005-0000-0000-000078030000}"/>
    <cellStyle name="Porcentual 9 2" xfId="887" xr:uid="{00000000-0005-0000-0000-000079030000}"/>
    <cellStyle name="Porcentual 9 2 2" xfId="888" xr:uid="{00000000-0005-0000-0000-00007A030000}"/>
    <cellStyle name="Porcentual 9 2 2 2" xfId="889" xr:uid="{00000000-0005-0000-0000-00007B030000}"/>
    <cellStyle name="Porcentual 9 2 2 2 2" xfId="890" xr:uid="{00000000-0005-0000-0000-00007C030000}"/>
    <cellStyle name="Porcentual 9 2 2 2 2 2" xfId="891" xr:uid="{00000000-0005-0000-0000-00007D030000}"/>
    <cellStyle name="Porcentual 9 2 2 2 3" xfId="892" xr:uid="{00000000-0005-0000-0000-00007E030000}"/>
    <cellStyle name="Porcentual 9 2 2 3" xfId="893" xr:uid="{00000000-0005-0000-0000-00007F030000}"/>
    <cellStyle name="Porcentual 9 2 2 3 2" xfId="894" xr:uid="{00000000-0005-0000-0000-000080030000}"/>
    <cellStyle name="Porcentual 9 2 2 4" xfId="895" xr:uid="{00000000-0005-0000-0000-000081030000}"/>
    <cellStyle name="Porcentual 9 2 3" xfId="896" xr:uid="{00000000-0005-0000-0000-000082030000}"/>
    <cellStyle name="Porcentual 9 2 3 2" xfId="897" xr:uid="{00000000-0005-0000-0000-000083030000}"/>
    <cellStyle name="Porcentual 9 2 3 2 2" xfId="898" xr:uid="{00000000-0005-0000-0000-000084030000}"/>
    <cellStyle name="Porcentual 9 2 3 3" xfId="899" xr:uid="{00000000-0005-0000-0000-000085030000}"/>
    <cellStyle name="Porcentual 9 2 4" xfId="900" xr:uid="{00000000-0005-0000-0000-000086030000}"/>
    <cellStyle name="Porcentual 9 2 4 2" xfId="901" xr:uid="{00000000-0005-0000-0000-000087030000}"/>
    <cellStyle name="Porcentual 9 2 5" xfId="902" xr:uid="{00000000-0005-0000-0000-000088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E078-F013-455E-B32F-123CE8D87BF7}">
  <dimension ref="A1:O73"/>
  <sheetViews>
    <sheetView showGridLines="0" topLeftCell="B40" workbookViewId="0">
      <selection activeCell="L73" sqref="L73:M73"/>
    </sheetView>
  </sheetViews>
  <sheetFormatPr baseColWidth="10" defaultColWidth="9.140625" defaultRowHeight="15" x14ac:dyDescent="0.25"/>
  <cols>
    <col min="1" max="1" width="99" style="3" bestFit="1" customWidth="1"/>
    <col min="2" max="2" width="13.42578125" style="3" customWidth="1"/>
    <col min="3" max="3" width="21.140625" style="3" bestFit="1" customWidth="1"/>
    <col min="4" max="4" width="22.28515625" style="3" bestFit="1" customWidth="1"/>
    <col min="5" max="5" width="21.140625" style="3" bestFit="1" customWidth="1"/>
    <col min="6" max="8" width="22.28515625" style="3" bestFit="1" customWidth="1"/>
    <col min="9" max="11" width="21.140625" style="3" bestFit="1" customWidth="1"/>
    <col min="12" max="12" width="24.7109375" style="3" bestFit="1" customWidth="1"/>
    <col min="13" max="13" width="16.42578125" style="3" bestFit="1" customWidth="1"/>
    <col min="14" max="14" width="9.140625" style="3"/>
    <col min="15" max="15" width="17.42578125" style="3" bestFit="1" customWidth="1"/>
    <col min="16" max="16384" width="9.140625" style="3"/>
  </cols>
  <sheetData>
    <row r="1" spans="1:15" x14ac:dyDescent="0.25">
      <c r="A1" s="7"/>
    </row>
    <row r="2" spans="1:15" x14ac:dyDescent="0.25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5" x14ac:dyDescent="0.25">
      <c r="A3" s="76" t="s">
        <v>65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5" x14ac:dyDescent="0.25">
      <c r="A4" s="76" t="s">
        <v>30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</row>
    <row r="5" spans="1:15" x14ac:dyDescent="0.25">
      <c r="A5" s="6"/>
    </row>
    <row r="6" spans="1:15" ht="15" customHeight="1" x14ac:dyDescent="0.25">
      <c r="A6" s="67" t="s">
        <v>41</v>
      </c>
      <c r="B6" s="68" t="s">
        <v>42</v>
      </c>
      <c r="C6" s="65" t="s">
        <v>43</v>
      </c>
      <c r="D6" s="69" t="s">
        <v>44</v>
      </c>
      <c r="E6" s="65" t="s">
        <v>45</v>
      </c>
      <c r="F6" s="69" t="s">
        <v>46</v>
      </c>
      <c r="G6" s="65" t="s">
        <v>47</v>
      </c>
      <c r="H6" s="69" t="s">
        <v>48</v>
      </c>
      <c r="I6" s="65" t="s">
        <v>2</v>
      </c>
      <c r="J6" s="69" t="s">
        <v>1</v>
      </c>
      <c r="K6" s="65" t="s">
        <v>3</v>
      </c>
      <c r="L6" s="71" t="s">
        <v>49</v>
      </c>
      <c r="M6" s="66"/>
    </row>
    <row r="7" spans="1:15" x14ac:dyDescent="0.25">
      <c r="A7" s="67"/>
      <c r="B7" s="68"/>
      <c r="C7" s="66"/>
      <c r="D7" s="70"/>
      <c r="E7" s="66"/>
      <c r="F7" s="70"/>
      <c r="G7" s="66"/>
      <c r="H7" s="70"/>
      <c r="I7" s="66"/>
      <c r="J7" s="70"/>
      <c r="K7" s="66"/>
      <c r="L7" s="2" t="s">
        <v>50</v>
      </c>
      <c r="M7" s="1" t="s">
        <v>51</v>
      </c>
    </row>
    <row r="8" spans="1:15" x14ac:dyDescent="0.25">
      <c r="A8" s="4" t="s">
        <v>4</v>
      </c>
      <c r="B8" s="9" t="s">
        <v>22</v>
      </c>
      <c r="C8" s="12">
        <v>5240005950.3999996</v>
      </c>
      <c r="D8" s="13">
        <v>64043769638.440002</v>
      </c>
      <c r="E8" s="12">
        <v>2901654096.02</v>
      </c>
      <c r="F8" s="13">
        <v>90318548862.580002</v>
      </c>
      <c r="G8" s="12">
        <v>35106661993.440002</v>
      </c>
      <c r="H8" s="13">
        <v>55073076373.760002</v>
      </c>
      <c r="I8" s="12">
        <v>2798519560.6599998</v>
      </c>
      <c r="J8" s="13">
        <v>6789982384.04</v>
      </c>
      <c r="K8" s="12">
        <v>19855900108.970001</v>
      </c>
      <c r="L8" s="23">
        <v>282128118968.31</v>
      </c>
      <c r="M8" s="24">
        <f>+(L8/$L$71)</f>
        <v>0.68193528120010494</v>
      </c>
    </row>
    <row r="9" spans="1:15" x14ac:dyDescent="0.25">
      <c r="A9" s="5" t="s">
        <v>5</v>
      </c>
      <c r="B9" s="10" t="s">
        <v>22</v>
      </c>
      <c r="C9" s="14">
        <v>5240005950.3999996</v>
      </c>
      <c r="D9" s="15">
        <v>64043769638.440002</v>
      </c>
      <c r="E9" s="14">
        <v>2901654096.02</v>
      </c>
      <c r="F9" s="15">
        <v>90318548862.580002</v>
      </c>
      <c r="G9" s="14">
        <v>35106661993.440002</v>
      </c>
      <c r="H9" s="15">
        <v>55073076373.760002</v>
      </c>
      <c r="I9" s="14">
        <v>2798519560.6599998</v>
      </c>
      <c r="J9" s="15">
        <v>6789982384.04</v>
      </c>
      <c r="K9" s="14">
        <v>19855900108.970001</v>
      </c>
      <c r="L9" s="14">
        <v>282128118968.31</v>
      </c>
      <c r="M9" s="25"/>
    </row>
    <row r="10" spans="1:15" s="8" customFormat="1" ht="15" customHeight="1" x14ac:dyDescent="0.25">
      <c r="A10" s="8" t="s">
        <v>6</v>
      </c>
      <c r="B10" s="11" t="s">
        <v>7</v>
      </c>
      <c r="C10" s="16">
        <v>5240005950.3999996</v>
      </c>
      <c r="D10" s="17">
        <v>64043769638.440002</v>
      </c>
      <c r="E10" s="16">
        <v>2901654096.02</v>
      </c>
      <c r="F10" s="17">
        <v>90318548862.580002</v>
      </c>
      <c r="G10" s="16">
        <v>35106661993.440002</v>
      </c>
      <c r="H10" s="17">
        <v>55073076373.760002</v>
      </c>
      <c r="I10" s="16">
        <v>2798519560.6599998</v>
      </c>
      <c r="J10" s="17">
        <v>6789982384.04</v>
      </c>
      <c r="K10" s="16">
        <v>19855900108.970001</v>
      </c>
      <c r="L10" s="16">
        <v>282128118968.31</v>
      </c>
      <c r="M10" s="19"/>
    </row>
    <row r="11" spans="1:15" x14ac:dyDescent="0.25">
      <c r="A11" s="4" t="s">
        <v>8</v>
      </c>
      <c r="B11" s="9" t="s">
        <v>22</v>
      </c>
      <c r="C11" s="12">
        <v>14655474.41</v>
      </c>
      <c r="D11" s="13">
        <v>354223636.48000002</v>
      </c>
      <c r="E11" s="12">
        <v>137092822.28999999</v>
      </c>
      <c r="F11" s="13">
        <v>989841596.34000003</v>
      </c>
      <c r="G11" s="12">
        <v>939636101.75</v>
      </c>
      <c r="H11" s="13">
        <v>5654480254.7700005</v>
      </c>
      <c r="I11" s="12">
        <v>311085561.60000002</v>
      </c>
      <c r="J11" s="13">
        <v>112728097.3</v>
      </c>
      <c r="K11" s="12">
        <v>868352735.80999994</v>
      </c>
      <c r="L11" s="12">
        <v>9382096280.75</v>
      </c>
      <c r="M11" s="26">
        <f>+(L11/$L$71)</f>
        <v>2.2677578147318109E-2</v>
      </c>
      <c r="O11" s="30"/>
    </row>
    <row r="12" spans="1:15" x14ac:dyDescent="0.25">
      <c r="A12" s="5" t="s">
        <v>26</v>
      </c>
      <c r="B12" s="10" t="s">
        <v>22</v>
      </c>
      <c r="C12" s="18" t="s">
        <v>22</v>
      </c>
      <c r="D12" s="15">
        <v>354223636.48000002</v>
      </c>
      <c r="E12" s="18" t="s">
        <v>22</v>
      </c>
      <c r="F12" s="6" t="s">
        <v>22</v>
      </c>
      <c r="G12" s="14">
        <v>939636101.75</v>
      </c>
      <c r="H12" s="15">
        <v>5654480254.7700005</v>
      </c>
      <c r="I12" s="14">
        <v>311085561.60000002</v>
      </c>
      <c r="J12" s="6" t="s">
        <v>22</v>
      </c>
      <c r="K12" s="14">
        <v>868352735.80999994</v>
      </c>
      <c r="L12" s="14">
        <v>8127778290.4099998</v>
      </c>
      <c r="M12" s="25"/>
    </row>
    <row r="13" spans="1:15" s="8" customFormat="1" x14ac:dyDescent="0.25">
      <c r="A13" s="8" t="s">
        <v>9</v>
      </c>
      <c r="B13" s="11" t="s">
        <v>10</v>
      </c>
      <c r="C13" s="19" t="s">
        <v>22</v>
      </c>
      <c r="D13" s="17">
        <v>354223636.48000002</v>
      </c>
      <c r="E13" s="19" t="s">
        <v>22</v>
      </c>
      <c r="F13" s="20" t="s">
        <v>22</v>
      </c>
      <c r="G13" s="16">
        <v>939636101.75</v>
      </c>
      <c r="H13" s="17">
        <v>5654480254.7700005</v>
      </c>
      <c r="I13" s="16">
        <v>311085561.60000002</v>
      </c>
      <c r="J13" s="20" t="s">
        <v>22</v>
      </c>
      <c r="K13" s="16">
        <v>868352735.80999994</v>
      </c>
      <c r="L13" s="16">
        <v>8127778290.4099998</v>
      </c>
      <c r="M13" s="19"/>
    </row>
    <row r="14" spans="1:15" x14ac:dyDescent="0.25">
      <c r="A14" s="5" t="s">
        <v>33</v>
      </c>
      <c r="B14" s="10" t="s">
        <v>22</v>
      </c>
      <c r="C14" s="14">
        <v>14655474.41</v>
      </c>
      <c r="D14" s="6" t="s">
        <v>22</v>
      </c>
      <c r="E14" s="18" t="s">
        <v>22</v>
      </c>
      <c r="F14" s="6" t="s">
        <v>22</v>
      </c>
      <c r="G14" s="18" t="s">
        <v>22</v>
      </c>
      <c r="H14" s="6" t="s">
        <v>22</v>
      </c>
      <c r="I14" s="18" t="s">
        <v>22</v>
      </c>
      <c r="J14" s="6" t="s">
        <v>22</v>
      </c>
      <c r="K14" s="18" t="s">
        <v>22</v>
      </c>
      <c r="L14" s="14">
        <v>14655474.41</v>
      </c>
      <c r="M14" s="25"/>
    </row>
    <row r="15" spans="1:15" s="8" customFormat="1" x14ac:dyDescent="0.25">
      <c r="A15" s="8" t="s">
        <v>9</v>
      </c>
      <c r="B15" s="11" t="s">
        <v>10</v>
      </c>
      <c r="C15" s="16">
        <v>14655474.41</v>
      </c>
      <c r="D15" s="20" t="s">
        <v>22</v>
      </c>
      <c r="E15" s="19" t="s">
        <v>22</v>
      </c>
      <c r="F15" s="20" t="s">
        <v>22</v>
      </c>
      <c r="G15" s="19" t="s">
        <v>22</v>
      </c>
      <c r="H15" s="20" t="s">
        <v>22</v>
      </c>
      <c r="I15" s="19" t="s">
        <v>22</v>
      </c>
      <c r="J15" s="20" t="s">
        <v>22</v>
      </c>
      <c r="K15" s="19" t="s">
        <v>22</v>
      </c>
      <c r="L15" s="16">
        <v>14655474.41</v>
      </c>
      <c r="M15" s="19"/>
    </row>
    <row r="16" spans="1:15" x14ac:dyDescent="0.25">
      <c r="A16" s="5" t="s">
        <v>64</v>
      </c>
      <c r="B16" s="10" t="s">
        <v>22</v>
      </c>
      <c r="C16" s="18" t="s">
        <v>22</v>
      </c>
      <c r="D16" s="6" t="s">
        <v>22</v>
      </c>
      <c r="E16" s="14">
        <v>27254403.969999999</v>
      </c>
      <c r="F16" s="6" t="s">
        <v>22</v>
      </c>
      <c r="G16" s="18" t="s">
        <v>22</v>
      </c>
      <c r="H16" s="6" t="s">
        <v>22</v>
      </c>
      <c r="I16" s="18" t="s">
        <v>22</v>
      </c>
      <c r="J16" s="6" t="s">
        <v>22</v>
      </c>
      <c r="K16" s="18" t="s">
        <v>22</v>
      </c>
      <c r="L16" s="14">
        <v>27254403.969999999</v>
      </c>
      <c r="M16" s="25"/>
    </row>
    <row r="17" spans="1:13" s="8" customFormat="1" x14ac:dyDescent="0.25">
      <c r="A17" s="8" t="s">
        <v>9</v>
      </c>
      <c r="B17" s="11" t="s">
        <v>11</v>
      </c>
      <c r="C17" s="19" t="s">
        <v>22</v>
      </c>
      <c r="D17" s="20" t="s">
        <v>22</v>
      </c>
      <c r="E17" s="16">
        <v>27254403.969999999</v>
      </c>
      <c r="F17" s="20" t="s">
        <v>22</v>
      </c>
      <c r="G17" s="19" t="s">
        <v>22</v>
      </c>
      <c r="H17" s="20" t="s">
        <v>22</v>
      </c>
      <c r="I17" s="19" t="s">
        <v>22</v>
      </c>
      <c r="J17" s="20" t="s">
        <v>22</v>
      </c>
      <c r="K17" s="19" t="s">
        <v>22</v>
      </c>
      <c r="L17" s="16">
        <v>27254403.969999999</v>
      </c>
      <c r="M17" s="19"/>
    </row>
    <row r="18" spans="1:13" x14ac:dyDescent="0.25">
      <c r="A18" s="5" t="s">
        <v>63</v>
      </c>
      <c r="B18" s="10" t="s">
        <v>22</v>
      </c>
      <c r="C18" s="18" t="s">
        <v>22</v>
      </c>
      <c r="D18" s="6" t="s">
        <v>22</v>
      </c>
      <c r="E18" s="14">
        <v>109838418.31999999</v>
      </c>
      <c r="F18" s="6" t="s">
        <v>22</v>
      </c>
      <c r="G18" s="18" t="s">
        <v>22</v>
      </c>
      <c r="H18" s="6" t="s">
        <v>22</v>
      </c>
      <c r="I18" s="18" t="s">
        <v>22</v>
      </c>
      <c r="J18" s="6" t="s">
        <v>22</v>
      </c>
      <c r="K18" s="18" t="s">
        <v>22</v>
      </c>
      <c r="L18" s="14">
        <v>109838418.31999999</v>
      </c>
      <c r="M18" s="25"/>
    </row>
    <row r="19" spans="1:13" s="8" customFormat="1" x14ac:dyDescent="0.25">
      <c r="A19" s="8" t="s">
        <v>9</v>
      </c>
      <c r="B19" s="11" t="s">
        <v>11</v>
      </c>
      <c r="C19" s="19" t="s">
        <v>22</v>
      </c>
      <c r="D19" s="20" t="s">
        <v>22</v>
      </c>
      <c r="E19" s="16">
        <v>109838418.31999999</v>
      </c>
      <c r="F19" s="20" t="s">
        <v>22</v>
      </c>
      <c r="G19" s="19" t="s">
        <v>22</v>
      </c>
      <c r="H19" s="20" t="s">
        <v>22</v>
      </c>
      <c r="I19" s="19" t="s">
        <v>22</v>
      </c>
      <c r="J19" s="20" t="s">
        <v>22</v>
      </c>
      <c r="K19" s="19" t="s">
        <v>22</v>
      </c>
      <c r="L19" s="16">
        <v>109838418.31999999</v>
      </c>
      <c r="M19" s="19"/>
    </row>
    <row r="20" spans="1:13" x14ac:dyDescent="0.25">
      <c r="A20" s="5" t="s">
        <v>37</v>
      </c>
      <c r="B20" s="10" t="s">
        <v>22</v>
      </c>
      <c r="C20" s="18" t="s">
        <v>22</v>
      </c>
      <c r="D20" s="6" t="s">
        <v>22</v>
      </c>
      <c r="E20" s="18" t="s">
        <v>22</v>
      </c>
      <c r="F20" s="15">
        <v>989841596.34000003</v>
      </c>
      <c r="G20" s="18" t="s">
        <v>22</v>
      </c>
      <c r="H20" s="6" t="s">
        <v>22</v>
      </c>
      <c r="I20" s="18" t="s">
        <v>22</v>
      </c>
      <c r="J20" s="15">
        <v>112728097.3</v>
      </c>
      <c r="K20" s="18" t="s">
        <v>22</v>
      </c>
      <c r="L20" s="14">
        <v>1102569693.6400001</v>
      </c>
      <c r="M20" s="25"/>
    </row>
    <row r="21" spans="1:13" s="8" customFormat="1" x14ac:dyDescent="0.25">
      <c r="A21" s="8" t="s">
        <v>9</v>
      </c>
      <c r="B21" s="11" t="s">
        <v>10</v>
      </c>
      <c r="C21" s="19" t="s">
        <v>22</v>
      </c>
      <c r="D21" s="20" t="s">
        <v>22</v>
      </c>
      <c r="E21" s="19" t="s">
        <v>22</v>
      </c>
      <c r="F21" s="17">
        <v>989841596.34000003</v>
      </c>
      <c r="G21" s="19" t="s">
        <v>22</v>
      </c>
      <c r="H21" s="20" t="s">
        <v>22</v>
      </c>
      <c r="I21" s="19" t="s">
        <v>22</v>
      </c>
      <c r="J21" s="17">
        <v>112728097.3</v>
      </c>
      <c r="K21" s="19" t="s">
        <v>22</v>
      </c>
      <c r="L21" s="16">
        <v>1102569693.6400001</v>
      </c>
      <c r="M21" s="19"/>
    </row>
    <row r="22" spans="1:13" x14ac:dyDescent="0.25">
      <c r="A22" s="4" t="s">
        <v>12</v>
      </c>
      <c r="B22" s="9" t="s">
        <v>22</v>
      </c>
      <c r="C22" s="21" t="s">
        <v>22</v>
      </c>
      <c r="D22" s="22" t="s">
        <v>22</v>
      </c>
      <c r="E22" s="12">
        <v>44303440.939999998</v>
      </c>
      <c r="F22" s="13">
        <v>3425053919.6500001</v>
      </c>
      <c r="G22" s="12">
        <v>663927093.23000002</v>
      </c>
      <c r="H22" s="13">
        <v>5227333530.6199999</v>
      </c>
      <c r="I22" s="12">
        <v>18242620.399999999</v>
      </c>
      <c r="J22" s="13">
        <v>654266581.22000003</v>
      </c>
      <c r="K22" s="12">
        <v>552077126.88</v>
      </c>
      <c r="L22" s="12">
        <v>10585204312.940001</v>
      </c>
      <c r="M22" s="26">
        <f>+(L22/$L$71)</f>
        <v>2.5585625091542583E-2</v>
      </c>
    </row>
    <row r="23" spans="1:13" x14ac:dyDescent="0.25">
      <c r="A23" s="5" t="s">
        <v>13</v>
      </c>
      <c r="B23" s="10" t="s">
        <v>22</v>
      </c>
      <c r="C23" s="18" t="s">
        <v>22</v>
      </c>
      <c r="D23" s="6" t="s">
        <v>22</v>
      </c>
      <c r="E23" s="18" t="s">
        <v>22</v>
      </c>
      <c r="F23" s="15">
        <v>908312842.89999998</v>
      </c>
      <c r="G23" s="14">
        <v>26122.95</v>
      </c>
      <c r="H23" s="15">
        <v>1542279972.3</v>
      </c>
      <c r="I23" s="18" t="s">
        <v>22</v>
      </c>
      <c r="J23" s="15">
        <v>2319770.29</v>
      </c>
      <c r="K23" s="18" t="s">
        <v>22</v>
      </c>
      <c r="L23" s="14">
        <v>2452938708.4400001</v>
      </c>
      <c r="M23" s="25"/>
    </row>
    <row r="24" spans="1:13" s="8" customFormat="1" x14ac:dyDescent="0.25">
      <c r="A24" s="8" t="s">
        <v>14</v>
      </c>
      <c r="B24" s="11" t="s">
        <v>15</v>
      </c>
      <c r="C24" s="19" t="s">
        <v>22</v>
      </c>
      <c r="D24" s="20" t="s">
        <v>22</v>
      </c>
      <c r="E24" s="19" t="s">
        <v>22</v>
      </c>
      <c r="F24" s="17">
        <v>908312842.89999998</v>
      </c>
      <c r="G24" s="16">
        <v>26122.95</v>
      </c>
      <c r="H24" s="17">
        <v>1542279972.3</v>
      </c>
      <c r="I24" s="19" t="s">
        <v>22</v>
      </c>
      <c r="J24" s="17">
        <v>2319770.29</v>
      </c>
      <c r="K24" s="19" t="s">
        <v>22</v>
      </c>
      <c r="L24" s="16">
        <v>2452938708.4400001</v>
      </c>
      <c r="M24" s="19"/>
    </row>
    <row r="25" spans="1:13" x14ac:dyDescent="0.25">
      <c r="A25" s="5" t="s">
        <v>16</v>
      </c>
      <c r="B25" s="10" t="s">
        <v>22</v>
      </c>
      <c r="C25" s="18" t="s">
        <v>22</v>
      </c>
      <c r="D25" s="6" t="s">
        <v>22</v>
      </c>
      <c r="E25" s="18" t="s">
        <v>22</v>
      </c>
      <c r="F25" s="15">
        <v>2516741076.75</v>
      </c>
      <c r="G25" s="18" t="s">
        <v>22</v>
      </c>
      <c r="H25" s="15">
        <v>2050783096.5999999</v>
      </c>
      <c r="I25" s="18" t="s">
        <v>22</v>
      </c>
      <c r="J25" s="15">
        <v>123894105.55</v>
      </c>
      <c r="K25" s="14">
        <v>212084171.88999999</v>
      </c>
      <c r="L25" s="14">
        <v>4903502450.79</v>
      </c>
      <c r="M25" s="25"/>
    </row>
    <row r="26" spans="1:13" s="8" customFormat="1" x14ac:dyDescent="0.25">
      <c r="A26" s="8" t="s">
        <v>14</v>
      </c>
      <c r="B26" s="11" t="s">
        <v>15</v>
      </c>
      <c r="C26" s="19" t="s">
        <v>22</v>
      </c>
      <c r="D26" s="20" t="s">
        <v>22</v>
      </c>
      <c r="E26" s="19" t="s">
        <v>22</v>
      </c>
      <c r="F26" s="17">
        <v>2516741076.75</v>
      </c>
      <c r="G26" s="19" t="s">
        <v>22</v>
      </c>
      <c r="H26" s="17">
        <v>2050783096.5999999</v>
      </c>
      <c r="I26" s="19" t="s">
        <v>22</v>
      </c>
      <c r="J26" s="17">
        <v>123894105.55</v>
      </c>
      <c r="K26" s="16">
        <v>212084171.88999999</v>
      </c>
      <c r="L26" s="16">
        <v>4903502450.79</v>
      </c>
      <c r="M26" s="19"/>
    </row>
    <row r="27" spans="1:13" x14ac:dyDescent="0.25">
      <c r="A27" s="5" t="s">
        <v>27</v>
      </c>
      <c r="B27" s="10" t="s">
        <v>22</v>
      </c>
      <c r="C27" s="18" t="s">
        <v>22</v>
      </c>
      <c r="D27" s="6" t="s">
        <v>22</v>
      </c>
      <c r="E27" s="14">
        <v>44303440.939999998</v>
      </c>
      <c r="F27" s="6" t="s">
        <v>22</v>
      </c>
      <c r="G27" s="14">
        <v>115076449.17</v>
      </c>
      <c r="H27" s="15">
        <v>578223571.15999997</v>
      </c>
      <c r="I27" s="14">
        <v>18242620.399999999</v>
      </c>
      <c r="J27" s="15">
        <v>150116725.5</v>
      </c>
      <c r="K27" s="14">
        <v>15636531.77</v>
      </c>
      <c r="L27" s="14">
        <v>921599338.94000006</v>
      </c>
      <c r="M27" s="25"/>
    </row>
    <row r="28" spans="1:13" s="8" customFormat="1" x14ac:dyDescent="0.25">
      <c r="A28" s="8" t="s">
        <v>14</v>
      </c>
      <c r="B28" s="11" t="s">
        <v>17</v>
      </c>
      <c r="C28" s="19" t="s">
        <v>22</v>
      </c>
      <c r="D28" s="20" t="s">
        <v>22</v>
      </c>
      <c r="E28" s="16">
        <v>44303440.939999998</v>
      </c>
      <c r="F28" s="20" t="s">
        <v>22</v>
      </c>
      <c r="G28" s="16">
        <v>115076449.17</v>
      </c>
      <c r="H28" s="17">
        <v>578223571.15999997</v>
      </c>
      <c r="I28" s="16">
        <v>18242620.399999999</v>
      </c>
      <c r="J28" s="17">
        <v>150116725.5</v>
      </c>
      <c r="K28" s="16">
        <v>15636531.77</v>
      </c>
      <c r="L28" s="16">
        <v>921599338.94000006</v>
      </c>
      <c r="M28" s="19"/>
    </row>
    <row r="29" spans="1:13" x14ac:dyDescent="0.25">
      <c r="A29" s="27" t="s">
        <v>52</v>
      </c>
      <c r="B29" s="10" t="s">
        <v>22</v>
      </c>
      <c r="C29" s="18" t="s">
        <v>22</v>
      </c>
      <c r="D29" s="6" t="s">
        <v>22</v>
      </c>
      <c r="E29" s="18" t="s">
        <v>22</v>
      </c>
      <c r="F29" s="6" t="s">
        <v>22</v>
      </c>
      <c r="G29" s="14">
        <v>324356423.22000003</v>
      </c>
      <c r="H29" s="15">
        <v>682015940.39999998</v>
      </c>
      <c r="I29" s="18" t="s">
        <v>22</v>
      </c>
      <c r="J29" s="15">
        <v>294361327.70999998</v>
      </c>
      <c r="K29" s="14">
        <v>324356423.22000003</v>
      </c>
      <c r="L29" s="14">
        <v>1625090114.55</v>
      </c>
      <c r="M29" s="25"/>
    </row>
    <row r="30" spans="1:13" s="8" customFormat="1" x14ac:dyDescent="0.25">
      <c r="A30" s="8" t="s">
        <v>14</v>
      </c>
      <c r="B30" s="11" t="s">
        <v>15</v>
      </c>
      <c r="C30" s="19" t="s">
        <v>22</v>
      </c>
      <c r="D30" s="20" t="s">
        <v>22</v>
      </c>
      <c r="E30" s="19" t="s">
        <v>22</v>
      </c>
      <c r="F30" s="20" t="s">
        <v>22</v>
      </c>
      <c r="G30" s="16">
        <v>324356423.22000003</v>
      </c>
      <c r="H30" s="17">
        <v>682015940.39999998</v>
      </c>
      <c r="I30" s="19" t="s">
        <v>22</v>
      </c>
      <c r="J30" s="17">
        <v>294361327.70999998</v>
      </c>
      <c r="K30" s="16">
        <v>324356423.22000003</v>
      </c>
      <c r="L30" s="16">
        <v>1625090114.55</v>
      </c>
      <c r="M30" s="19"/>
    </row>
    <row r="31" spans="1:13" x14ac:dyDescent="0.25">
      <c r="A31" s="5" t="s">
        <v>34</v>
      </c>
      <c r="B31" s="10" t="s">
        <v>22</v>
      </c>
      <c r="C31" s="18" t="s">
        <v>22</v>
      </c>
      <c r="D31" s="6" t="s">
        <v>22</v>
      </c>
      <c r="E31" s="18" t="s">
        <v>22</v>
      </c>
      <c r="F31" s="6" t="s">
        <v>22</v>
      </c>
      <c r="G31" s="14">
        <v>224468097.88999999</v>
      </c>
      <c r="H31" s="15">
        <v>374030950.16000003</v>
      </c>
      <c r="I31" s="18" t="s">
        <v>22</v>
      </c>
      <c r="J31" s="15">
        <v>83574652.170000002</v>
      </c>
      <c r="K31" s="18" t="s">
        <v>22</v>
      </c>
      <c r="L31" s="14">
        <v>682073700.22000003</v>
      </c>
      <c r="M31" s="25"/>
    </row>
    <row r="32" spans="1:13" s="8" customFormat="1" x14ac:dyDescent="0.25">
      <c r="A32" s="8" t="s">
        <v>14</v>
      </c>
      <c r="B32" s="11" t="s">
        <v>17</v>
      </c>
      <c r="C32" s="19" t="s">
        <v>22</v>
      </c>
      <c r="D32" s="20" t="s">
        <v>22</v>
      </c>
      <c r="E32" s="19" t="s">
        <v>22</v>
      </c>
      <c r="F32" s="20" t="s">
        <v>22</v>
      </c>
      <c r="G32" s="16">
        <v>224468097.88999999</v>
      </c>
      <c r="H32" s="17">
        <v>374030950.16000003</v>
      </c>
      <c r="I32" s="19" t="s">
        <v>22</v>
      </c>
      <c r="J32" s="17">
        <v>83574652.170000002</v>
      </c>
      <c r="K32" s="19" t="s">
        <v>22</v>
      </c>
      <c r="L32" s="16">
        <v>682073700.22000003</v>
      </c>
      <c r="M32" s="19"/>
    </row>
    <row r="33" spans="1:13" x14ac:dyDescent="0.25">
      <c r="A33" s="4" t="s">
        <v>62</v>
      </c>
      <c r="B33" s="9" t="s">
        <v>22</v>
      </c>
      <c r="C33" s="21" t="s">
        <v>22</v>
      </c>
      <c r="D33" s="22" t="s">
        <v>22</v>
      </c>
      <c r="E33" s="21" t="s">
        <v>22</v>
      </c>
      <c r="F33" s="13">
        <v>804863191.23000002</v>
      </c>
      <c r="G33" s="12">
        <v>215655615.52000001</v>
      </c>
      <c r="H33" s="22" t="s">
        <v>22</v>
      </c>
      <c r="I33" s="12">
        <v>107837189.58</v>
      </c>
      <c r="J33" s="22" t="s">
        <v>22</v>
      </c>
      <c r="K33" s="12">
        <v>94348626.920000002</v>
      </c>
      <c r="L33" s="12">
        <v>1222704623.25</v>
      </c>
      <c r="M33" s="26">
        <f>+(L33/$L$71)</f>
        <v>2.955414100975572E-3</v>
      </c>
    </row>
    <row r="34" spans="1:13" x14ac:dyDescent="0.25">
      <c r="A34" s="27" t="s">
        <v>53</v>
      </c>
      <c r="B34" s="10" t="s">
        <v>22</v>
      </c>
      <c r="C34" s="18" t="s">
        <v>22</v>
      </c>
      <c r="D34" s="6" t="s">
        <v>22</v>
      </c>
      <c r="E34" s="18" t="s">
        <v>22</v>
      </c>
      <c r="F34" s="15">
        <v>804863191.23000002</v>
      </c>
      <c r="G34" s="14">
        <v>215655615.52000001</v>
      </c>
      <c r="H34" s="6" t="s">
        <v>22</v>
      </c>
      <c r="I34" s="14">
        <v>107837189.58</v>
      </c>
      <c r="J34" s="6" t="s">
        <v>22</v>
      </c>
      <c r="K34" s="14">
        <v>94348626.920000002</v>
      </c>
      <c r="L34" s="14">
        <v>1222704623.25</v>
      </c>
      <c r="M34" s="25"/>
    </row>
    <row r="35" spans="1:13" s="8" customFormat="1" x14ac:dyDescent="0.25">
      <c r="A35" s="8" t="s">
        <v>23</v>
      </c>
      <c r="B35" s="11" t="s">
        <v>17</v>
      </c>
      <c r="C35" s="19" t="s">
        <v>22</v>
      </c>
      <c r="D35" s="20" t="s">
        <v>22</v>
      </c>
      <c r="E35" s="19" t="s">
        <v>22</v>
      </c>
      <c r="F35" s="17">
        <v>804863191.23000002</v>
      </c>
      <c r="G35" s="16">
        <v>215655615.52000001</v>
      </c>
      <c r="H35" s="20" t="s">
        <v>22</v>
      </c>
      <c r="I35" s="16">
        <v>107837189.58</v>
      </c>
      <c r="J35" s="20" t="s">
        <v>22</v>
      </c>
      <c r="K35" s="16">
        <v>94348626.920000002</v>
      </c>
      <c r="L35" s="16">
        <v>1222704623.25</v>
      </c>
      <c r="M35" s="19"/>
    </row>
    <row r="36" spans="1:13" x14ac:dyDescent="0.25">
      <c r="A36" s="4" t="s">
        <v>18</v>
      </c>
      <c r="B36" s="9" t="s">
        <v>22</v>
      </c>
      <c r="C36" s="12">
        <v>1111801146.1700001</v>
      </c>
      <c r="D36" s="13">
        <v>24564300860.43</v>
      </c>
      <c r="E36" s="12">
        <v>66110928.280000001</v>
      </c>
      <c r="F36" s="13">
        <v>31913841321.869999</v>
      </c>
      <c r="G36" s="12">
        <v>27227141897.009998</v>
      </c>
      <c r="H36" s="13">
        <v>16297175818.98</v>
      </c>
      <c r="I36" s="12">
        <v>3505176815.9299998</v>
      </c>
      <c r="J36" s="22" t="s">
        <v>22</v>
      </c>
      <c r="K36" s="12">
        <v>5713180730.7399998</v>
      </c>
      <c r="L36" s="12">
        <v>110398729519.41</v>
      </c>
      <c r="M36" s="26">
        <f>+(L36/$L$71)</f>
        <v>0.26684610146005883</v>
      </c>
    </row>
    <row r="37" spans="1:13" x14ac:dyDescent="0.25">
      <c r="A37" s="5" t="s">
        <v>36</v>
      </c>
      <c r="B37" s="10" t="s">
        <v>22</v>
      </c>
      <c r="C37" s="18" t="s">
        <v>22</v>
      </c>
      <c r="D37" s="15">
        <v>10692385277.16</v>
      </c>
      <c r="E37" s="18" t="s">
        <v>22</v>
      </c>
      <c r="F37" s="15">
        <v>9635048681.9099998</v>
      </c>
      <c r="G37" s="14">
        <v>6605444338.6899996</v>
      </c>
      <c r="H37" s="15">
        <v>8688825653.3899994</v>
      </c>
      <c r="I37" s="14">
        <v>34256390</v>
      </c>
      <c r="J37" s="6" t="s">
        <v>22</v>
      </c>
      <c r="K37" s="14">
        <v>1231253683.46</v>
      </c>
      <c r="L37" s="14">
        <v>36887214024.610001</v>
      </c>
      <c r="M37" s="25"/>
    </row>
    <row r="38" spans="1:13" s="8" customFormat="1" x14ac:dyDescent="0.25">
      <c r="A38" s="8" t="s">
        <v>20</v>
      </c>
      <c r="B38" s="11" t="s">
        <v>19</v>
      </c>
      <c r="C38" s="19" t="s">
        <v>22</v>
      </c>
      <c r="D38" s="17">
        <v>10692385277.16</v>
      </c>
      <c r="E38" s="19" t="s">
        <v>22</v>
      </c>
      <c r="F38" s="17">
        <v>9635048681.9099998</v>
      </c>
      <c r="G38" s="16">
        <v>6605444338.6899996</v>
      </c>
      <c r="H38" s="17">
        <v>8688825653.3899994</v>
      </c>
      <c r="I38" s="16">
        <v>34256390</v>
      </c>
      <c r="J38" s="20" t="s">
        <v>22</v>
      </c>
      <c r="K38" s="16">
        <v>1231253683.46</v>
      </c>
      <c r="L38" s="16">
        <v>36887214024.610001</v>
      </c>
      <c r="M38" s="19"/>
    </row>
    <row r="39" spans="1:13" x14ac:dyDescent="0.25">
      <c r="A39" s="5" t="s">
        <v>38</v>
      </c>
      <c r="B39" s="10" t="s">
        <v>22</v>
      </c>
      <c r="C39" s="18" t="s">
        <v>22</v>
      </c>
      <c r="D39" s="15">
        <v>4414204853.8699999</v>
      </c>
      <c r="E39" s="18" t="s">
        <v>22</v>
      </c>
      <c r="F39" s="15">
        <v>1836233134.1900001</v>
      </c>
      <c r="G39" s="14">
        <v>1514494022.77</v>
      </c>
      <c r="H39" s="15">
        <v>1453005565.45</v>
      </c>
      <c r="I39" s="18" t="s">
        <v>22</v>
      </c>
      <c r="J39" s="6" t="s">
        <v>22</v>
      </c>
      <c r="K39" s="14">
        <v>331431871.94</v>
      </c>
      <c r="L39" s="14">
        <v>9549369448.2199993</v>
      </c>
      <c r="M39" s="25"/>
    </row>
    <row r="40" spans="1:13" s="8" customFormat="1" x14ac:dyDescent="0.25">
      <c r="A40" s="8" t="s">
        <v>20</v>
      </c>
      <c r="B40" s="11" t="s">
        <v>19</v>
      </c>
      <c r="C40" s="19" t="s">
        <v>22</v>
      </c>
      <c r="D40" s="17">
        <v>4414204853.8699999</v>
      </c>
      <c r="E40" s="19" t="s">
        <v>22</v>
      </c>
      <c r="F40" s="17">
        <v>1836233134.1900001</v>
      </c>
      <c r="G40" s="16">
        <v>1514494022.77</v>
      </c>
      <c r="H40" s="17">
        <v>1453005565.45</v>
      </c>
      <c r="I40" s="19" t="s">
        <v>22</v>
      </c>
      <c r="J40" s="20" t="s">
        <v>22</v>
      </c>
      <c r="K40" s="16">
        <v>331431871.94</v>
      </c>
      <c r="L40" s="16">
        <v>9549369448.2199993</v>
      </c>
      <c r="M40" s="19"/>
    </row>
    <row r="41" spans="1:13" x14ac:dyDescent="0.25">
      <c r="A41" s="27" t="s">
        <v>54</v>
      </c>
      <c r="B41" s="10" t="s">
        <v>22</v>
      </c>
      <c r="C41" s="18" t="s">
        <v>22</v>
      </c>
      <c r="D41" s="15">
        <v>1546851781.8399999</v>
      </c>
      <c r="E41" s="18" t="s">
        <v>22</v>
      </c>
      <c r="F41" s="6" t="s">
        <v>22</v>
      </c>
      <c r="G41" s="14">
        <v>2136923971</v>
      </c>
      <c r="H41" s="15">
        <v>2625950179.79</v>
      </c>
      <c r="I41" s="18" t="s">
        <v>22</v>
      </c>
      <c r="J41" s="6" t="s">
        <v>22</v>
      </c>
      <c r="K41" s="14">
        <v>355323018.81</v>
      </c>
      <c r="L41" s="14">
        <v>6665048951.4399996</v>
      </c>
      <c r="M41" s="25"/>
    </row>
    <row r="42" spans="1:13" s="8" customFormat="1" x14ac:dyDescent="0.25">
      <c r="A42" s="8" t="s">
        <v>20</v>
      </c>
      <c r="B42" s="11" t="s">
        <v>19</v>
      </c>
      <c r="C42" s="19" t="s">
        <v>22</v>
      </c>
      <c r="D42" s="17">
        <v>1546851781.8399999</v>
      </c>
      <c r="E42" s="19" t="s">
        <v>22</v>
      </c>
      <c r="F42" s="20" t="s">
        <v>22</v>
      </c>
      <c r="G42" s="16">
        <v>2136923971</v>
      </c>
      <c r="H42" s="17">
        <v>2625950179.79</v>
      </c>
      <c r="I42" s="19" t="s">
        <v>22</v>
      </c>
      <c r="J42" s="20" t="s">
        <v>22</v>
      </c>
      <c r="K42" s="16">
        <v>355323018.81</v>
      </c>
      <c r="L42" s="16">
        <v>6665048951.4399996</v>
      </c>
      <c r="M42" s="19"/>
    </row>
    <row r="43" spans="1:13" x14ac:dyDescent="0.25">
      <c r="A43" s="27" t="s">
        <v>55</v>
      </c>
      <c r="B43" s="10" t="s">
        <v>22</v>
      </c>
      <c r="C43" s="18" t="s">
        <v>22</v>
      </c>
      <c r="D43" s="6" t="s">
        <v>22</v>
      </c>
      <c r="E43" s="14">
        <v>66110928.280000001</v>
      </c>
      <c r="F43" s="15">
        <v>13166737776.18</v>
      </c>
      <c r="G43" s="14">
        <v>3253617355.1100001</v>
      </c>
      <c r="H43" s="6" t="s">
        <v>22</v>
      </c>
      <c r="I43" s="18" t="s">
        <v>22</v>
      </c>
      <c r="J43" s="6" t="s">
        <v>22</v>
      </c>
      <c r="K43" s="14">
        <v>1308889754.6300001</v>
      </c>
      <c r="L43" s="14">
        <v>17795355814.200001</v>
      </c>
      <c r="M43" s="25"/>
    </row>
    <row r="44" spans="1:13" s="8" customFormat="1" x14ac:dyDescent="0.25">
      <c r="A44" s="8" t="s">
        <v>20</v>
      </c>
      <c r="B44" s="11" t="s">
        <v>19</v>
      </c>
      <c r="C44" s="19" t="s">
        <v>22</v>
      </c>
      <c r="D44" s="20" t="s">
        <v>22</v>
      </c>
      <c r="E44" s="16">
        <v>66110928.280000001</v>
      </c>
      <c r="F44" s="17">
        <v>13166737776.18</v>
      </c>
      <c r="G44" s="16">
        <v>3253617355.1100001</v>
      </c>
      <c r="H44" s="20" t="s">
        <v>22</v>
      </c>
      <c r="I44" s="19" t="s">
        <v>22</v>
      </c>
      <c r="J44" s="20" t="s">
        <v>22</v>
      </c>
      <c r="K44" s="16">
        <v>1308889754.6300001</v>
      </c>
      <c r="L44" s="16">
        <v>17795355814.200001</v>
      </c>
      <c r="M44" s="19"/>
    </row>
    <row r="45" spans="1:13" x14ac:dyDescent="0.25">
      <c r="A45" s="5" t="s">
        <v>32</v>
      </c>
      <c r="B45" s="10" t="s">
        <v>22</v>
      </c>
      <c r="C45" s="18" t="s">
        <v>22</v>
      </c>
      <c r="D45" s="6" t="s">
        <v>22</v>
      </c>
      <c r="E45" s="18" t="s">
        <v>22</v>
      </c>
      <c r="F45" s="6" t="s">
        <v>22</v>
      </c>
      <c r="G45" s="14">
        <v>6108096524.21</v>
      </c>
      <c r="H45" s="6" t="s">
        <v>22</v>
      </c>
      <c r="I45" s="14">
        <v>929001102.38999999</v>
      </c>
      <c r="J45" s="6" t="s">
        <v>22</v>
      </c>
      <c r="K45" s="14">
        <v>357888261.04000002</v>
      </c>
      <c r="L45" s="14">
        <v>7394985887.6400003</v>
      </c>
      <c r="M45" s="25"/>
    </row>
    <row r="46" spans="1:13" s="8" customFormat="1" x14ac:dyDescent="0.25">
      <c r="A46" s="8" t="s">
        <v>20</v>
      </c>
      <c r="B46" s="11" t="s">
        <v>19</v>
      </c>
      <c r="C46" s="19" t="s">
        <v>22</v>
      </c>
      <c r="D46" s="20" t="s">
        <v>22</v>
      </c>
      <c r="E46" s="19" t="s">
        <v>22</v>
      </c>
      <c r="F46" s="20" t="s">
        <v>22</v>
      </c>
      <c r="G46" s="16">
        <v>6108096524.21</v>
      </c>
      <c r="H46" s="20" t="s">
        <v>22</v>
      </c>
      <c r="I46" s="16">
        <v>929001102.38999999</v>
      </c>
      <c r="J46" s="20" t="s">
        <v>22</v>
      </c>
      <c r="K46" s="16">
        <v>357888261.04000002</v>
      </c>
      <c r="L46" s="16">
        <v>7394985887.6400003</v>
      </c>
      <c r="M46" s="19"/>
    </row>
    <row r="47" spans="1:13" x14ac:dyDescent="0.25">
      <c r="A47" s="5" t="s">
        <v>40</v>
      </c>
      <c r="B47" s="10" t="s">
        <v>22</v>
      </c>
      <c r="C47" s="18" t="s">
        <v>22</v>
      </c>
      <c r="D47" s="15">
        <v>1936256482.6400001</v>
      </c>
      <c r="E47" s="18" t="s">
        <v>22</v>
      </c>
      <c r="F47" s="6" t="s">
        <v>22</v>
      </c>
      <c r="G47" s="14">
        <v>1821495576.78</v>
      </c>
      <c r="H47" s="6" t="s">
        <v>22</v>
      </c>
      <c r="I47" s="14">
        <v>333607249.30000001</v>
      </c>
      <c r="J47" s="6" t="s">
        <v>22</v>
      </c>
      <c r="K47" s="14">
        <v>644529277.71000004</v>
      </c>
      <c r="L47" s="14">
        <v>4735888586.4300003</v>
      </c>
      <c r="M47" s="25"/>
    </row>
    <row r="48" spans="1:13" s="8" customFormat="1" x14ac:dyDescent="0.25">
      <c r="A48" s="8" t="s">
        <v>20</v>
      </c>
      <c r="B48" s="11" t="s">
        <v>19</v>
      </c>
      <c r="C48" s="19" t="s">
        <v>22</v>
      </c>
      <c r="D48" s="17">
        <v>1936256482.6400001</v>
      </c>
      <c r="E48" s="19" t="s">
        <v>22</v>
      </c>
      <c r="F48" s="20" t="s">
        <v>22</v>
      </c>
      <c r="G48" s="16">
        <v>1821495576.78</v>
      </c>
      <c r="H48" s="20" t="s">
        <v>22</v>
      </c>
      <c r="I48" s="16">
        <v>333607249.30000001</v>
      </c>
      <c r="J48" s="20" t="s">
        <v>22</v>
      </c>
      <c r="K48" s="16">
        <v>644529277.71000004</v>
      </c>
      <c r="L48" s="16">
        <v>4735888586.4300003</v>
      </c>
      <c r="M48" s="19"/>
    </row>
    <row r="49" spans="1:13" x14ac:dyDescent="0.25">
      <c r="A49" s="5" t="s">
        <v>28</v>
      </c>
      <c r="B49" s="10" t="s">
        <v>22</v>
      </c>
      <c r="C49" s="14">
        <v>366042409.94</v>
      </c>
      <c r="D49" s="15">
        <v>71103733.370000005</v>
      </c>
      <c r="E49" s="18" t="s">
        <v>22</v>
      </c>
      <c r="F49" s="6" t="s">
        <v>22</v>
      </c>
      <c r="G49" s="14">
        <v>678642596.57000005</v>
      </c>
      <c r="H49" s="6" t="s">
        <v>22</v>
      </c>
      <c r="I49" s="18" t="s">
        <v>22</v>
      </c>
      <c r="J49" s="6" t="s">
        <v>22</v>
      </c>
      <c r="K49" s="18" t="s">
        <v>22</v>
      </c>
      <c r="L49" s="14">
        <v>1115788739.8800001</v>
      </c>
      <c r="M49" s="25"/>
    </row>
    <row r="50" spans="1:13" s="8" customFormat="1" x14ac:dyDescent="0.25">
      <c r="A50" s="8" t="s">
        <v>20</v>
      </c>
      <c r="B50" s="11" t="s">
        <v>19</v>
      </c>
      <c r="C50" s="16">
        <v>366042409.94</v>
      </c>
      <c r="D50" s="17">
        <v>71103733.370000005</v>
      </c>
      <c r="E50" s="19" t="s">
        <v>22</v>
      </c>
      <c r="F50" s="20" t="s">
        <v>22</v>
      </c>
      <c r="G50" s="16">
        <v>678642596.57000005</v>
      </c>
      <c r="H50" s="20" t="s">
        <v>22</v>
      </c>
      <c r="I50" s="19" t="s">
        <v>22</v>
      </c>
      <c r="J50" s="20" t="s">
        <v>22</v>
      </c>
      <c r="K50" s="19" t="s">
        <v>22</v>
      </c>
      <c r="L50" s="16">
        <v>1115788739.8800001</v>
      </c>
      <c r="M50" s="19"/>
    </row>
    <row r="51" spans="1:13" x14ac:dyDescent="0.25">
      <c r="A51" s="5" t="s">
        <v>31</v>
      </c>
      <c r="B51" s="10" t="s">
        <v>22</v>
      </c>
      <c r="C51" s="18" t="s">
        <v>22</v>
      </c>
      <c r="D51" s="15">
        <v>2114945041.3699999</v>
      </c>
      <c r="E51" s="18" t="s">
        <v>22</v>
      </c>
      <c r="F51" s="15">
        <v>1795932170.77</v>
      </c>
      <c r="G51" s="14">
        <v>704218373.02999997</v>
      </c>
      <c r="H51" s="15">
        <v>1233974348.8499999</v>
      </c>
      <c r="I51" s="18" t="s">
        <v>22</v>
      </c>
      <c r="J51" s="6" t="s">
        <v>22</v>
      </c>
      <c r="K51" s="14">
        <v>544211032.51999998</v>
      </c>
      <c r="L51" s="14">
        <v>6393280966.54</v>
      </c>
      <c r="M51" s="25"/>
    </row>
    <row r="52" spans="1:13" s="8" customFormat="1" x14ac:dyDescent="0.25">
      <c r="A52" s="8" t="s">
        <v>20</v>
      </c>
      <c r="B52" s="11" t="s">
        <v>19</v>
      </c>
      <c r="C52" s="19" t="s">
        <v>22</v>
      </c>
      <c r="D52" s="17">
        <v>2114945041.3699999</v>
      </c>
      <c r="E52" s="19" t="s">
        <v>22</v>
      </c>
      <c r="F52" s="17">
        <v>1795932170.77</v>
      </c>
      <c r="G52" s="16">
        <v>704218373.02999997</v>
      </c>
      <c r="H52" s="17">
        <v>1233974348.8499999</v>
      </c>
      <c r="I52" s="19" t="s">
        <v>22</v>
      </c>
      <c r="J52" s="20" t="s">
        <v>22</v>
      </c>
      <c r="K52" s="16">
        <v>544211032.51999998</v>
      </c>
      <c r="L52" s="16">
        <v>6393280966.54</v>
      </c>
      <c r="M52" s="19"/>
    </row>
    <row r="53" spans="1:13" x14ac:dyDescent="0.25">
      <c r="A53" s="5" t="s">
        <v>24</v>
      </c>
      <c r="B53" s="10" t="s">
        <v>22</v>
      </c>
      <c r="C53" s="14">
        <v>89182590.560000002</v>
      </c>
      <c r="D53" s="6" t="s">
        <v>22</v>
      </c>
      <c r="E53" s="18" t="s">
        <v>22</v>
      </c>
      <c r="F53" s="6" t="s">
        <v>22</v>
      </c>
      <c r="G53" s="14">
        <v>133780641.73</v>
      </c>
      <c r="H53" s="6" t="s">
        <v>22</v>
      </c>
      <c r="I53" s="18" t="s">
        <v>22</v>
      </c>
      <c r="J53" s="6" t="s">
        <v>22</v>
      </c>
      <c r="K53" s="18" t="s">
        <v>22</v>
      </c>
      <c r="L53" s="14">
        <v>222963232.28999999</v>
      </c>
      <c r="M53" s="25"/>
    </row>
    <row r="54" spans="1:13" s="8" customFormat="1" x14ac:dyDescent="0.25">
      <c r="A54" s="8" t="s">
        <v>20</v>
      </c>
      <c r="B54" s="11" t="s">
        <v>19</v>
      </c>
      <c r="C54" s="16">
        <v>89182590.560000002</v>
      </c>
      <c r="D54" s="20" t="s">
        <v>22</v>
      </c>
      <c r="E54" s="19" t="s">
        <v>22</v>
      </c>
      <c r="F54" s="20" t="s">
        <v>22</v>
      </c>
      <c r="G54" s="16">
        <v>133780641.73</v>
      </c>
      <c r="H54" s="20" t="s">
        <v>22</v>
      </c>
      <c r="I54" s="19" t="s">
        <v>22</v>
      </c>
      <c r="J54" s="20" t="s">
        <v>22</v>
      </c>
      <c r="K54" s="19" t="s">
        <v>22</v>
      </c>
      <c r="L54" s="16">
        <v>222963232.28999999</v>
      </c>
      <c r="M54" s="19"/>
    </row>
    <row r="55" spans="1:13" x14ac:dyDescent="0.25">
      <c r="A55" s="27" t="s">
        <v>66</v>
      </c>
      <c r="B55" s="10" t="s">
        <v>22</v>
      </c>
      <c r="C55" s="14">
        <v>272000933.01999998</v>
      </c>
      <c r="D55" s="6" t="s">
        <v>22</v>
      </c>
      <c r="E55" s="18" t="s">
        <v>22</v>
      </c>
      <c r="F55" s="6" t="s">
        <v>22</v>
      </c>
      <c r="G55" s="14">
        <v>527303277.08999997</v>
      </c>
      <c r="H55" s="6" t="s">
        <v>22</v>
      </c>
      <c r="I55" s="18" t="s">
        <v>22</v>
      </c>
      <c r="J55" s="6" t="s">
        <v>22</v>
      </c>
      <c r="K55" s="14">
        <v>234331049.19</v>
      </c>
      <c r="L55" s="14">
        <v>1033635259.3</v>
      </c>
      <c r="M55" s="25"/>
    </row>
    <row r="56" spans="1:13" s="8" customFormat="1" x14ac:dyDescent="0.25">
      <c r="A56" s="8" t="s">
        <v>20</v>
      </c>
      <c r="B56" s="11" t="s">
        <v>19</v>
      </c>
      <c r="C56" s="16">
        <v>272000933.01999998</v>
      </c>
      <c r="D56" s="20" t="s">
        <v>22</v>
      </c>
      <c r="E56" s="19" t="s">
        <v>22</v>
      </c>
      <c r="F56" s="20" t="s">
        <v>22</v>
      </c>
      <c r="G56" s="16">
        <v>527303277.08999997</v>
      </c>
      <c r="H56" s="20" t="s">
        <v>22</v>
      </c>
      <c r="I56" s="19" t="s">
        <v>22</v>
      </c>
      <c r="J56" s="20" t="s">
        <v>22</v>
      </c>
      <c r="K56" s="16">
        <v>234331049.19</v>
      </c>
      <c r="L56" s="16">
        <v>1033635259.3</v>
      </c>
      <c r="M56" s="19"/>
    </row>
    <row r="57" spans="1:13" x14ac:dyDescent="0.25">
      <c r="A57" s="27" t="s">
        <v>56</v>
      </c>
      <c r="B57" s="10" t="s">
        <v>22</v>
      </c>
      <c r="C57" s="14">
        <v>312541955.97000003</v>
      </c>
      <c r="D57" s="15">
        <v>196511323.84</v>
      </c>
      <c r="E57" s="18" t="s">
        <v>22</v>
      </c>
      <c r="F57" s="6" t="s">
        <v>22</v>
      </c>
      <c r="G57" s="14">
        <v>2310021670.2800002</v>
      </c>
      <c r="H57" s="6" t="s">
        <v>22</v>
      </c>
      <c r="I57" s="14">
        <v>1644678144.02</v>
      </c>
      <c r="J57" s="6" t="s">
        <v>22</v>
      </c>
      <c r="K57" s="14">
        <v>215851046.43000001</v>
      </c>
      <c r="L57" s="14">
        <v>4679604140.54</v>
      </c>
      <c r="M57" s="25"/>
    </row>
    <row r="58" spans="1:13" s="8" customFormat="1" x14ac:dyDescent="0.25">
      <c r="A58" s="8" t="s">
        <v>20</v>
      </c>
      <c r="B58" s="11" t="s">
        <v>19</v>
      </c>
      <c r="C58" s="16">
        <v>312541955.97000003</v>
      </c>
      <c r="D58" s="17">
        <v>196511323.84</v>
      </c>
      <c r="E58" s="19" t="s">
        <v>22</v>
      </c>
      <c r="F58" s="20" t="s">
        <v>22</v>
      </c>
      <c r="G58" s="16">
        <v>2310021670.2800002</v>
      </c>
      <c r="H58" s="20" t="s">
        <v>22</v>
      </c>
      <c r="I58" s="16">
        <v>1644678144.02</v>
      </c>
      <c r="J58" s="20" t="s">
        <v>22</v>
      </c>
      <c r="K58" s="16">
        <v>215851046.43000001</v>
      </c>
      <c r="L58" s="16">
        <v>4679604140.54</v>
      </c>
      <c r="M58" s="19"/>
    </row>
    <row r="59" spans="1:13" x14ac:dyDescent="0.25">
      <c r="A59" s="5" t="s">
        <v>39</v>
      </c>
      <c r="B59" s="10" t="s">
        <v>22</v>
      </c>
      <c r="C59" s="18" t="s">
        <v>22</v>
      </c>
      <c r="D59" s="15">
        <v>360079138.60000002</v>
      </c>
      <c r="E59" s="18" t="s">
        <v>22</v>
      </c>
      <c r="F59" s="6" t="s">
        <v>22</v>
      </c>
      <c r="G59" s="18" t="s">
        <v>22</v>
      </c>
      <c r="H59" s="6" t="s">
        <v>22</v>
      </c>
      <c r="I59" s="18" t="s">
        <v>22</v>
      </c>
      <c r="J59" s="6" t="s">
        <v>22</v>
      </c>
      <c r="K59" s="18" t="s">
        <v>22</v>
      </c>
      <c r="L59" s="14">
        <v>360079138.60000002</v>
      </c>
      <c r="M59" s="25"/>
    </row>
    <row r="60" spans="1:13" s="8" customFormat="1" x14ac:dyDescent="0.25">
      <c r="A60" s="8" t="s">
        <v>20</v>
      </c>
      <c r="B60" s="11" t="s">
        <v>19</v>
      </c>
      <c r="C60" s="19" t="s">
        <v>22</v>
      </c>
      <c r="D60" s="17">
        <v>360079138.60000002</v>
      </c>
      <c r="E60" s="19" t="s">
        <v>22</v>
      </c>
      <c r="F60" s="20" t="s">
        <v>22</v>
      </c>
      <c r="G60" s="19" t="s">
        <v>22</v>
      </c>
      <c r="H60" s="20" t="s">
        <v>22</v>
      </c>
      <c r="I60" s="19" t="s">
        <v>22</v>
      </c>
      <c r="J60" s="20" t="s">
        <v>22</v>
      </c>
      <c r="K60" s="19" t="s">
        <v>22</v>
      </c>
      <c r="L60" s="16">
        <v>360079138.60000002</v>
      </c>
      <c r="M60" s="19"/>
    </row>
    <row r="61" spans="1:13" x14ac:dyDescent="0.25">
      <c r="A61" s="27" t="s">
        <v>57</v>
      </c>
      <c r="B61" s="10" t="s">
        <v>22</v>
      </c>
      <c r="C61" s="18" t="s">
        <v>22</v>
      </c>
      <c r="D61" s="15">
        <v>1075450615.78</v>
      </c>
      <c r="E61" s="18" t="s">
        <v>22</v>
      </c>
      <c r="F61" s="15">
        <v>3099671914.8299999</v>
      </c>
      <c r="G61" s="14">
        <v>163443689.13999999</v>
      </c>
      <c r="H61" s="6" t="s">
        <v>22</v>
      </c>
      <c r="I61" s="18" t="s">
        <v>22</v>
      </c>
      <c r="J61" s="6" t="s">
        <v>22</v>
      </c>
      <c r="K61" s="18" t="s">
        <v>22</v>
      </c>
      <c r="L61" s="14">
        <v>4338566219.75</v>
      </c>
      <c r="M61" s="25"/>
    </row>
    <row r="62" spans="1:13" s="8" customFormat="1" x14ac:dyDescent="0.25">
      <c r="A62" s="8" t="s">
        <v>20</v>
      </c>
      <c r="B62" s="11" t="s">
        <v>19</v>
      </c>
      <c r="C62" s="19" t="s">
        <v>22</v>
      </c>
      <c r="D62" s="17">
        <v>1075450615.78</v>
      </c>
      <c r="E62" s="19" t="s">
        <v>22</v>
      </c>
      <c r="F62" s="17">
        <v>3099671914.8299999</v>
      </c>
      <c r="G62" s="16">
        <v>163443689.13999999</v>
      </c>
      <c r="H62" s="20" t="s">
        <v>22</v>
      </c>
      <c r="I62" s="19" t="s">
        <v>22</v>
      </c>
      <c r="J62" s="20" t="s">
        <v>22</v>
      </c>
      <c r="K62" s="19" t="s">
        <v>22</v>
      </c>
      <c r="L62" s="16">
        <v>4338566219.75</v>
      </c>
      <c r="M62" s="19"/>
    </row>
    <row r="63" spans="1:13" x14ac:dyDescent="0.25">
      <c r="A63" s="27" t="s">
        <v>58</v>
      </c>
      <c r="B63" s="10" t="s">
        <v>22</v>
      </c>
      <c r="C63" s="18" t="s">
        <v>22</v>
      </c>
      <c r="D63" s="6" t="s">
        <v>22</v>
      </c>
      <c r="E63" s="18" t="s">
        <v>22</v>
      </c>
      <c r="F63" s="15">
        <v>2380217643.9899998</v>
      </c>
      <c r="G63" s="18" t="s">
        <v>22</v>
      </c>
      <c r="H63" s="6" t="s">
        <v>22</v>
      </c>
      <c r="I63" s="18" t="s">
        <v>22</v>
      </c>
      <c r="J63" s="6" t="s">
        <v>22</v>
      </c>
      <c r="K63" s="18" t="s">
        <v>22</v>
      </c>
      <c r="L63" s="14">
        <v>2380217643.9899998</v>
      </c>
      <c r="M63" s="25"/>
    </row>
    <row r="64" spans="1:13" s="8" customFormat="1" x14ac:dyDescent="0.25">
      <c r="A64" s="8" t="s">
        <v>20</v>
      </c>
      <c r="B64" s="11" t="s">
        <v>19</v>
      </c>
      <c r="C64" s="19" t="s">
        <v>22</v>
      </c>
      <c r="D64" s="20" t="s">
        <v>22</v>
      </c>
      <c r="E64" s="19" t="s">
        <v>22</v>
      </c>
      <c r="F64" s="17">
        <v>2380217643.9899998</v>
      </c>
      <c r="G64" s="19" t="s">
        <v>22</v>
      </c>
      <c r="H64" s="20" t="s">
        <v>22</v>
      </c>
      <c r="I64" s="19" t="s">
        <v>22</v>
      </c>
      <c r="J64" s="20" t="s">
        <v>22</v>
      </c>
      <c r="K64" s="19" t="s">
        <v>22</v>
      </c>
      <c r="L64" s="16">
        <v>2380217643.9899998</v>
      </c>
      <c r="M64" s="19"/>
    </row>
    <row r="65" spans="1:14" x14ac:dyDescent="0.25">
      <c r="A65" s="5" t="s">
        <v>35</v>
      </c>
      <c r="B65" s="10" t="s">
        <v>22</v>
      </c>
      <c r="C65" s="18" t="s">
        <v>22</v>
      </c>
      <c r="D65" s="15">
        <v>1785700745.6500001</v>
      </c>
      <c r="E65" s="18" t="s">
        <v>22</v>
      </c>
      <c r="F65" s="6" t="s">
        <v>22</v>
      </c>
      <c r="G65" s="18" t="s">
        <v>22</v>
      </c>
      <c r="H65" s="15">
        <v>877435515.22000003</v>
      </c>
      <c r="I65" s="18" t="s">
        <v>22</v>
      </c>
      <c r="J65" s="6" t="s">
        <v>22</v>
      </c>
      <c r="K65" s="18" t="s">
        <v>22</v>
      </c>
      <c r="L65" s="14">
        <v>2663136260.8699999</v>
      </c>
      <c r="M65" s="25"/>
    </row>
    <row r="66" spans="1:14" s="8" customFormat="1" x14ac:dyDescent="0.25">
      <c r="A66" s="8" t="s">
        <v>20</v>
      </c>
      <c r="B66" s="11" t="s">
        <v>19</v>
      </c>
      <c r="C66" s="19" t="s">
        <v>22</v>
      </c>
      <c r="D66" s="17">
        <v>1785700745.6500001</v>
      </c>
      <c r="E66" s="19" t="s">
        <v>22</v>
      </c>
      <c r="F66" s="20" t="s">
        <v>22</v>
      </c>
      <c r="G66" s="19" t="s">
        <v>22</v>
      </c>
      <c r="H66" s="17">
        <v>877435515.22000003</v>
      </c>
      <c r="I66" s="19" t="s">
        <v>22</v>
      </c>
      <c r="J66" s="20" t="s">
        <v>22</v>
      </c>
      <c r="K66" s="19" t="s">
        <v>22</v>
      </c>
      <c r="L66" s="16">
        <v>2663136260.8699999</v>
      </c>
      <c r="M66" s="19"/>
      <c r="N66" s="3"/>
    </row>
    <row r="67" spans="1:14" x14ac:dyDescent="0.25">
      <c r="A67" s="5" t="s">
        <v>29</v>
      </c>
      <c r="B67" s="10" t="s">
        <v>22</v>
      </c>
      <c r="C67" s="14">
        <v>72033256.680000007</v>
      </c>
      <c r="D67" s="6" t="s">
        <v>22</v>
      </c>
      <c r="E67" s="18" t="s">
        <v>22</v>
      </c>
      <c r="F67" s="6" t="s">
        <v>22</v>
      </c>
      <c r="G67" s="18" t="s">
        <v>22</v>
      </c>
      <c r="H67" s="6" t="s">
        <v>22</v>
      </c>
      <c r="I67" s="18" t="s">
        <v>22</v>
      </c>
      <c r="J67" s="6" t="s">
        <v>22</v>
      </c>
      <c r="K67" s="18" t="s">
        <v>22</v>
      </c>
      <c r="L67" s="14">
        <v>72033256.680000007</v>
      </c>
      <c r="M67" s="19"/>
    </row>
    <row r="68" spans="1:14" s="8" customFormat="1" x14ac:dyDescent="0.25">
      <c r="A68" s="8" t="s">
        <v>20</v>
      </c>
      <c r="B68" s="11" t="s">
        <v>19</v>
      </c>
      <c r="C68" s="16">
        <v>72033256.680000007</v>
      </c>
      <c r="D68" s="20" t="s">
        <v>22</v>
      </c>
      <c r="E68" s="19" t="s">
        <v>22</v>
      </c>
      <c r="F68" s="20" t="s">
        <v>22</v>
      </c>
      <c r="G68" s="19" t="s">
        <v>22</v>
      </c>
      <c r="H68" s="20" t="s">
        <v>22</v>
      </c>
      <c r="I68" s="19" t="s">
        <v>22</v>
      </c>
      <c r="J68" s="20" t="s">
        <v>22</v>
      </c>
      <c r="K68" s="19" t="s">
        <v>22</v>
      </c>
      <c r="L68" s="16">
        <v>72033256.680000007</v>
      </c>
      <c r="M68" s="19"/>
      <c r="N68" s="3"/>
    </row>
    <row r="69" spans="1:14" x14ac:dyDescent="0.25">
      <c r="A69" s="27" t="s">
        <v>59</v>
      </c>
      <c r="B69" s="10" t="s">
        <v>22</v>
      </c>
      <c r="C69" s="18" t="s">
        <v>22</v>
      </c>
      <c r="D69" s="15">
        <v>370811866.31</v>
      </c>
      <c r="E69" s="18" t="s">
        <v>22</v>
      </c>
      <c r="F69" s="6" t="s">
        <v>22</v>
      </c>
      <c r="G69" s="14">
        <v>1269659860.6099999</v>
      </c>
      <c r="H69" s="15">
        <v>1417984556.28</v>
      </c>
      <c r="I69" s="14">
        <v>563633930.22000003</v>
      </c>
      <c r="J69" s="6" t="s">
        <v>22</v>
      </c>
      <c r="K69" s="14">
        <v>489471735.00999999</v>
      </c>
      <c r="L69" s="14">
        <v>4111561948.4299998</v>
      </c>
      <c r="M69" s="19"/>
    </row>
    <row r="70" spans="1:14" s="8" customFormat="1" x14ac:dyDescent="0.25">
      <c r="A70" s="8" t="s">
        <v>20</v>
      </c>
      <c r="B70" s="11" t="s">
        <v>19</v>
      </c>
      <c r="C70" s="19" t="s">
        <v>22</v>
      </c>
      <c r="D70" s="17">
        <v>370811866.31</v>
      </c>
      <c r="E70" s="19" t="s">
        <v>22</v>
      </c>
      <c r="F70" s="20" t="s">
        <v>22</v>
      </c>
      <c r="G70" s="16">
        <v>1269659860.6099999</v>
      </c>
      <c r="H70" s="17">
        <v>1417984556.28</v>
      </c>
      <c r="I70" s="16">
        <v>563633930.22000003</v>
      </c>
      <c r="J70" s="20" t="s">
        <v>22</v>
      </c>
      <c r="K70" s="16">
        <v>489471735.00999999</v>
      </c>
      <c r="L70" s="16">
        <v>4111561948.4299998</v>
      </c>
      <c r="M70" s="19"/>
    </row>
    <row r="71" spans="1:14" x14ac:dyDescent="0.25">
      <c r="A71" s="4" t="s">
        <v>25</v>
      </c>
      <c r="B71" s="9" t="s">
        <v>22</v>
      </c>
      <c r="C71" s="12">
        <v>6366462570.9799995</v>
      </c>
      <c r="D71" s="13">
        <v>88962294135.350006</v>
      </c>
      <c r="E71" s="12">
        <v>3149161287.5300002</v>
      </c>
      <c r="F71" s="13">
        <v>127452148891.67</v>
      </c>
      <c r="G71" s="12">
        <v>64153022700.949997</v>
      </c>
      <c r="H71" s="13">
        <v>82252065978.130005</v>
      </c>
      <c r="I71" s="12">
        <v>6740861748.1700001</v>
      </c>
      <c r="J71" s="13">
        <v>7556977062.5600004</v>
      </c>
      <c r="K71" s="12">
        <v>27083859329.32</v>
      </c>
      <c r="L71" s="12">
        <v>413716853704.65997</v>
      </c>
      <c r="M71" s="74">
        <f>+L71/L72</f>
        <v>0.28938481384472808</v>
      </c>
    </row>
    <row r="72" spans="1:14" x14ac:dyDescent="0.25">
      <c r="A72" s="4" t="s">
        <v>21</v>
      </c>
      <c r="B72" s="9" t="s">
        <v>22</v>
      </c>
      <c r="C72" s="12">
        <v>23822662563.400002</v>
      </c>
      <c r="D72" s="13">
        <v>301119344075.77002</v>
      </c>
      <c r="E72" s="12">
        <v>13552676953.870001</v>
      </c>
      <c r="F72" s="13">
        <v>431099062195.89001</v>
      </c>
      <c r="G72" s="12">
        <v>223417365418.79999</v>
      </c>
      <c r="H72" s="13">
        <v>278957108512.52002</v>
      </c>
      <c r="I72" s="12">
        <v>22787479910.450001</v>
      </c>
      <c r="J72" s="13">
        <v>29327912065.110001</v>
      </c>
      <c r="K72" s="12">
        <v>94568797842.029999</v>
      </c>
      <c r="L72" s="12">
        <v>1429642586312.9199</v>
      </c>
      <c r="M72" s="75"/>
    </row>
    <row r="73" spans="1:14" x14ac:dyDescent="0.25">
      <c r="A73" s="28" t="s">
        <v>60</v>
      </c>
      <c r="B73" s="9" t="s">
        <v>22</v>
      </c>
      <c r="C73" s="29">
        <f>+C71/C72</f>
        <v>0.26724395537386858</v>
      </c>
      <c r="D73" s="29">
        <f t="shared" ref="D73:K73" si="0">+D71/D72</f>
        <v>0.2954386554221658</v>
      </c>
      <c r="E73" s="29">
        <f t="shared" si="0"/>
        <v>0.23236452091708343</v>
      </c>
      <c r="F73" s="29">
        <f t="shared" si="0"/>
        <v>0.29564469067148225</v>
      </c>
      <c r="G73" s="29">
        <f t="shared" si="0"/>
        <v>0.28714429865688357</v>
      </c>
      <c r="H73" s="29">
        <f t="shared" si="0"/>
        <v>0.29485560133857786</v>
      </c>
      <c r="I73" s="29">
        <f t="shared" si="0"/>
        <v>0.29581427058455645</v>
      </c>
      <c r="J73" s="29">
        <f t="shared" si="0"/>
        <v>0.25767183991083259</v>
      </c>
      <c r="K73" s="29">
        <f t="shared" si="0"/>
        <v>0.28639318620250975</v>
      </c>
      <c r="L73" s="63" t="s">
        <v>61</v>
      </c>
      <c r="M73" s="6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L73:M73"/>
    <mergeCell ref="M71:M72"/>
    <mergeCell ref="I6:I7"/>
    <mergeCell ref="A6:A7"/>
    <mergeCell ref="B6:B7"/>
    <mergeCell ref="C6:C7"/>
    <mergeCell ref="D6:D7"/>
    <mergeCell ref="E6:E7"/>
    <mergeCell ref="J6:J7"/>
    <mergeCell ref="K6:K7"/>
    <mergeCell ref="L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0566-09D1-4D05-A967-9EACB7FF7615}">
  <dimension ref="A1:N71"/>
  <sheetViews>
    <sheetView showGridLines="0" topLeftCell="B46" workbookViewId="0">
      <selection activeCell="L71" sqref="L71:M71"/>
    </sheetView>
  </sheetViews>
  <sheetFormatPr baseColWidth="10" defaultColWidth="9.140625" defaultRowHeight="15" x14ac:dyDescent="0.25"/>
  <cols>
    <col min="1" max="1" width="99" style="31" bestFit="1" customWidth="1"/>
    <col min="2" max="2" width="15.28515625" style="31" customWidth="1"/>
    <col min="3" max="3" width="21.140625" style="31" bestFit="1" customWidth="1"/>
    <col min="4" max="4" width="22.28515625" style="31" bestFit="1" customWidth="1"/>
    <col min="5" max="5" width="21.140625" style="31" bestFit="1" customWidth="1"/>
    <col min="6" max="8" width="22.28515625" style="31" bestFit="1" customWidth="1"/>
    <col min="9" max="11" width="21.140625" style="31" bestFit="1" customWidth="1"/>
    <col min="12" max="12" width="24.7109375" style="31" bestFit="1" customWidth="1"/>
    <col min="13" max="13" width="16.42578125" style="31" bestFit="1" customWidth="1"/>
    <col min="14" max="14" width="17.42578125" style="31" bestFit="1" customWidth="1"/>
    <col min="15" max="16384" width="9.140625" style="31"/>
  </cols>
  <sheetData>
    <row r="1" spans="1:14" x14ac:dyDescent="0.25">
      <c r="A1" s="37"/>
    </row>
    <row r="2" spans="1:14" x14ac:dyDescent="0.25">
      <c r="A2" s="72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4" x14ac:dyDescent="0.25">
      <c r="A3" s="72" t="s">
        <v>68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4" x14ac:dyDescent="0.25">
      <c r="A4" s="72" t="s">
        <v>30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4" x14ac:dyDescent="0.25">
      <c r="A5" s="36"/>
    </row>
    <row r="6" spans="1:14" ht="15" customHeight="1" x14ac:dyDescent="0.25">
      <c r="A6" s="67" t="s">
        <v>41</v>
      </c>
      <c r="B6" s="68" t="s">
        <v>42</v>
      </c>
      <c r="C6" s="65" t="s">
        <v>43</v>
      </c>
      <c r="D6" s="69" t="s">
        <v>44</v>
      </c>
      <c r="E6" s="65" t="s">
        <v>45</v>
      </c>
      <c r="F6" s="69" t="s">
        <v>46</v>
      </c>
      <c r="G6" s="65" t="s">
        <v>47</v>
      </c>
      <c r="H6" s="69" t="s">
        <v>48</v>
      </c>
      <c r="I6" s="65" t="s">
        <v>2</v>
      </c>
      <c r="J6" s="69" t="s">
        <v>1</v>
      </c>
      <c r="K6" s="65" t="s">
        <v>3</v>
      </c>
      <c r="L6" s="71" t="s">
        <v>49</v>
      </c>
      <c r="M6" s="66"/>
    </row>
    <row r="7" spans="1:14" x14ac:dyDescent="0.25">
      <c r="A7" s="67"/>
      <c r="B7" s="68"/>
      <c r="C7" s="66"/>
      <c r="D7" s="70"/>
      <c r="E7" s="66"/>
      <c r="F7" s="70"/>
      <c r="G7" s="66"/>
      <c r="H7" s="70"/>
      <c r="I7" s="66"/>
      <c r="J7" s="70"/>
      <c r="K7" s="66"/>
      <c r="L7" s="2" t="s">
        <v>50</v>
      </c>
      <c r="M7" s="1" t="s">
        <v>51</v>
      </c>
    </row>
    <row r="8" spans="1:14" x14ac:dyDescent="0.25">
      <c r="A8" s="33" t="s">
        <v>4</v>
      </c>
      <c r="B8" s="32" t="s">
        <v>22</v>
      </c>
      <c r="C8" s="45">
        <v>5209019708.4200001</v>
      </c>
      <c r="D8" s="49">
        <v>63515839641.839996</v>
      </c>
      <c r="E8" s="47">
        <v>2882416774.6700001</v>
      </c>
      <c r="F8" s="49">
        <v>84601995986.110001</v>
      </c>
      <c r="G8" s="47">
        <v>34790846877.370003</v>
      </c>
      <c r="H8" s="49">
        <v>55718946844.449997</v>
      </c>
      <c r="I8" s="47">
        <v>2785484750.8299999</v>
      </c>
      <c r="J8" s="49">
        <v>7331698451.6800003</v>
      </c>
      <c r="K8" s="47">
        <v>19721855139.16</v>
      </c>
      <c r="L8" s="49">
        <v>276558104174.53003</v>
      </c>
      <c r="M8" s="58">
        <f>+(L8/$L$69)</f>
        <v>0.66558496326844108</v>
      </c>
    </row>
    <row r="9" spans="1:14" x14ac:dyDescent="0.25">
      <c r="A9" s="35" t="s">
        <v>5</v>
      </c>
      <c r="B9" s="34" t="s">
        <v>22</v>
      </c>
      <c r="C9" s="42">
        <v>5209019708.4200001</v>
      </c>
      <c r="D9" s="50">
        <v>63515839641.839996</v>
      </c>
      <c r="E9" s="42">
        <v>2882416774.6700001</v>
      </c>
      <c r="F9" s="50">
        <v>84601995986.110001</v>
      </c>
      <c r="G9" s="42">
        <v>34790846877.370003</v>
      </c>
      <c r="H9" s="50">
        <v>55718946844.449997</v>
      </c>
      <c r="I9" s="42">
        <v>2785484750.8299999</v>
      </c>
      <c r="J9" s="50">
        <v>7331698451.6800003</v>
      </c>
      <c r="K9" s="42">
        <v>19721855139.16</v>
      </c>
      <c r="L9" s="50">
        <v>276558104174.53003</v>
      </c>
      <c r="M9" s="56"/>
    </row>
    <row r="10" spans="1:14" s="38" customFormat="1" ht="15" customHeight="1" x14ac:dyDescent="0.25">
      <c r="A10" s="38" t="s">
        <v>6</v>
      </c>
      <c r="B10" s="39" t="s">
        <v>7</v>
      </c>
      <c r="C10" s="43">
        <v>5209019708.4200001</v>
      </c>
      <c r="D10" s="51">
        <v>63515839641.839996</v>
      </c>
      <c r="E10" s="43">
        <v>2882416774.6700001</v>
      </c>
      <c r="F10" s="51">
        <v>84601995986.110001</v>
      </c>
      <c r="G10" s="43">
        <v>34790846877.370003</v>
      </c>
      <c r="H10" s="51">
        <v>55718946844.449997</v>
      </c>
      <c r="I10" s="43">
        <v>2785484750.8299999</v>
      </c>
      <c r="J10" s="51">
        <v>7331698451.6800003</v>
      </c>
      <c r="K10" s="43">
        <v>19721855139.16</v>
      </c>
      <c r="L10" s="51">
        <v>276558104174.53003</v>
      </c>
      <c r="M10" s="54"/>
    </row>
    <row r="11" spans="1:14" x14ac:dyDescent="0.25">
      <c r="A11" s="33" t="s">
        <v>8</v>
      </c>
      <c r="B11" s="32" t="s">
        <v>22</v>
      </c>
      <c r="C11" s="45">
        <v>7583808.96</v>
      </c>
      <c r="D11" s="52">
        <v>808932076.57000005</v>
      </c>
      <c r="E11" s="47">
        <v>59354655.799999997</v>
      </c>
      <c r="F11" s="52">
        <v>615269438.61000001</v>
      </c>
      <c r="G11" s="47">
        <v>1226178702.77</v>
      </c>
      <c r="H11" s="52">
        <v>3930211132.1399999</v>
      </c>
      <c r="I11" s="47">
        <v>362333410.42000002</v>
      </c>
      <c r="J11" s="52">
        <v>84415470.609999999</v>
      </c>
      <c r="K11" s="47">
        <v>924667434.22000003</v>
      </c>
      <c r="L11" s="52">
        <v>8018946130.1000004</v>
      </c>
      <c r="M11" s="59">
        <f>+(L11/$L$69)</f>
        <v>1.9298982329174357E-2</v>
      </c>
      <c r="N11" s="60"/>
    </row>
    <row r="12" spans="1:14" x14ac:dyDescent="0.25">
      <c r="A12" s="35" t="s">
        <v>26</v>
      </c>
      <c r="B12" s="34" t="s">
        <v>22</v>
      </c>
      <c r="C12" s="36" t="s">
        <v>22</v>
      </c>
      <c r="D12" s="50">
        <v>808932076.57000005</v>
      </c>
      <c r="E12" s="36" t="s">
        <v>22</v>
      </c>
      <c r="F12" s="53" t="s">
        <v>22</v>
      </c>
      <c r="G12" s="42">
        <v>1226178702.77</v>
      </c>
      <c r="H12" s="50">
        <v>3930211132.1399999</v>
      </c>
      <c r="I12" s="42">
        <v>362333410.42000002</v>
      </c>
      <c r="J12" s="53" t="s">
        <v>22</v>
      </c>
      <c r="K12" s="42">
        <v>924667434.22000003</v>
      </c>
      <c r="L12" s="50">
        <v>7252322756.1199999</v>
      </c>
      <c r="M12" s="56"/>
    </row>
    <row r="13" spans="1:14" s="38" customFormat="1" x14ac:dyDescent="0.25">
      <c r="A13" s="38" t="s">
        <v>9</v>
      </c>
      <c r="B13" s="39" t="s">
        <v>10</v>
      </c>
      <c r="C13" s="44" t="s">
        <v>22</v>
      </c>
      <c r="D13" s="51">
        <v>808932076.57000005</v>
      </c>
      <c r="E13" s="44" t="s">
        <v>22</v>
      </c>
      <c r="F13" s="54" t="s">
        <v>22</v>
      </c>
      <c r="G13" s="43">
        <v>1226178702.77</v>
      </c>
      <c r="H13" s="51">
        <v>3930211132.1399999</v>
      </c>
      <c r="I13" s="43">
        <v>362333410.42000002</v>
      </c>
      <c r="J13" s="54" t="s">
        <v>22</v>
      </c>
      <c r="K13" s="43">
        <v>924667434.22000003</v>
      </c>
      <c r="L13" s="51">
        <v>7252322756.1199999</v>
      </c>
      <c r="M13" s="54"/>
    </row>
    <row r="14" spans="1:14" x14ac:dyDescent="0.25">
      <c r="A14" s="35" t="s">
        <v>33</v>
      </c>
      <c r="B14" s="34" t="s">
        <v>22</v>
      </c>
      <c r="C14" s="42">
        <v>7583808.96</v>
      </c>
      <c r="D14" s="53" t="s">
        <v>22</v>
      </c>
      <c r="E14" s="36" t="s">
        <v>22</v>
      </c>
      <c r="F14" s="53" t="s">
        <v>22</v>
      </c>
      <c r="G14" s="36" t="s">
        <v>22</v>
      </c>
      <c r="H14" s="53" t="s">
        <v>22</v>
      </c>
      <c r="I14" s="36" t="s">
        <v>22</v>
      </c>
      <c r="J14" s="53" t="s">
        <v>22</v>
      </c>
      <c r="K14" s="36" t="s">
        <v>22</v>
      </c>
      <c r="L14" s="50">
        <v>7583808.96</v>
      </c>
      <c r="M14" s="56"/>
    </row>
    <row r="15" spans="1:14" s="38" customFormat="1" x14ac:dyDescent="0.25">
      <c r="A15" s="38" t="s">
        <v>9</v>
      </c>
      <c r="B15" s="39" t="s">
        <v>10</v>
      </c>
      <c r="C15" s="43">
        <v>7583808.96</v>
      </c>
      <c r="D15" s="54" t="s">
        <v>22</v>
      </c>
      <c r="E15" s="44" t="s">
        <v>22</v>
      </c>
      <c r="F15" s="54" t="s">
        <v>22</v>
      </c>
      <c r="G15" s="44" t="s">
        <v>22</v>
      </c>
      <c r="H15" s="54" t="s">
        <v>22</v>
      </c>
      <c r="I15" s="44" t="s">
        <v>22</v>
      </c>
      <c r="J15" s="54" t="s">
        <v>22</v>
      </c>
      <c r="K15" s="44" t="s">
        <v>22</v>
      </c>
      <c r="L15" s="51">
        <v>7583808.96</v>
      </c>
      <c r="M15" s="54"/>
    </row>
    <row r="16" spans="1:14" x14ac:dyDescent="0.25">
      <c r="A16" s="35" t="s">
        <v>67</v>
      </c>
      <c r="B16" s="34" t="s">
        <v>22</v>
      </c>
      <c r="C16" s="36" t="s">
        <v>22</v>
      </c>
      <c r="D16" s="53" t="s">
        <v>22</v>
      </c>
      <c r="E16" s="42">
        <v>59354655.799999997</v>
      </c>
      <c r="F16" s="53" t="s">
        <v>22</v>
      </c>
      <c r="G16" s="36" t="s">
        <v>22</v>
      </c>
      <c r="H16" s="53" t="s">
        <v>22</v>
      </c>
      <c r="I16" s="36" t="s">
        <v>22</v>
      </c>
      <c r="J16" s="53" t="s">
        <v>22</v>
      </c>
      <c r="K16" s="36" t="s">
        <v>22</v>
      </c>
      <c r="L16" s="50">
        <v>59354655.799999997</v>
      </c>
      <c r="M16" s="56"/>
    </row>
    <row r="17" spans="1:13" s="38" customFormat="1" x14ac:dyDescent="0.25">
      <c r="A17" s="38" t="s">
        <v>9</v>
      </c>
      <c r="B17" s="39" t="s">
        <v>11</v>
      </c>
      <c r="C17" s="44" t="s">
        <v>22</v>
      </c>
      <c r="D17" s="54" t="s">
        <v>22</v>
      </c>
      <c r="E17" s="43">
        <v>59354655.799999997</v>
      </c>
      <c r="F17" s="54" t="s">
        <v>22</v>
      </c>
      <c r="G17" s="44" t="s">
        <v>22</v>
      </c>
      <c r="H17" s="54" t="s">
        <v>22</v>
      </c>
      <c r="I17" s="44" t="s">
        <v>22</v>
      </c>
      <c r="J17" s="54" t="s">
        <v>22</v>
      </c>
      <c r="K17" s="44" t="s">
        <v>22</v>
      </c>
      <c r="L17" s="51">
        <v>59354655.799999997</v>
      </c>
      <c r="M17" s="54"/>
    </row>
    <row r="18" spans="1:13" x14ac:dyDescent="0.25">
      <c r="A18" s="35" t="s">
        <v>37</v>
      </c>
      <c r="B18" s="34" t="s">
        <v>22</v>
      </c>
      <c r="C18" s="36" t="s">
        <v>22</v>
      </c>
      <c r="D18" s="53" t="s">
        <v>22</v>
      </c>
      <c r="E18" s="36" t="s">
        <v>22</v>
      </c>
      <c r="F18" s="50">
        <v>615269438.61000001</v>
      </c>
      <c r="G18" s="36" t="s">
        <v>22</v>
      </c>
      <c r="H18" s="53" t="s">
        <v>22</v>
      </c>
      <c r="I18" s="36" t="s">
        <v>22</v>
      </c>
      <c r="J18" s="50">
        <v>84415470.609999999</v>
      </c>
      <c r="K18" s="36" t="s">
        <v>22</v>
      </c>
      <c r="L18" s="50">
        <v>699684909.22000003</v>
      </c>
      <c r="M18" s="56"/>
    </row>
    <row r="19" spans="1:13" s="38" customFormat="1" x14ac:dyDescent="0.25">
      <c r="A19" s="38" t="s">
        <v>9</v>
      </c>
      <c r="B19" s="39" t="s">
        <v>10</v>
      </c>
      <c r="C19" s="44" t="s">
        <v>22</v>
      </c>
      <c r="D19" s="54" t="s">
        <v>22</v>
      </c>
      <c r="E19" s="44" t="s">
        <v>22</v>
      </c>
      <c r="F19" s="51">
        <v>615269438.61000001</v>
      </c>
      <c r="G19" s="44" t="s">
        <v>22</v>
      </c>
      <c r="H19" s="54" t="s">
        <v>22</v>
      </c>
      <c r="I19" s="44" t="s">
        <v>22</v>
      </c>
      <c r="J19" s="51">
        <v>84415470.609999999</v>
      </c>
      <c r="K19" s="44" t="s">
        <v>22</v>
      </c>
      <c r="L19" s="51">
        <v>699684909.22000003</v>
      </c>
      <c r="M19" s="54"/>
    </row>
    <row r="20" spans="1:13" x14ac:dyDescent="0.25">
      <c r="A20" s="33" t="s">
        <v>12</v>
      </c>
      <c r="B20" s="32" t="s">
        <v>22</v>
      </c>
      <c r="C20" s="46" t="s">
        <v>22</v>
      </c>
      <c r="D20" s="55" t="s">
        <v>22</v>
      </c>
      <c r="E20" s="47">
        <v>44112478.32</v>
      </c>
      <c r="F20" s="52">
        <v>3386267812.3000002</v>
      </c>
      <c r="G20" s="47">
        <v>661936993.00999999</v>
      </c>
      <c r="H20" s="52">
        <v>5167350160.5</v>
      </c>
      <c r="I20" s="47">
        <v>18163988.620000001</v>
      </c>
      <c r="J20" s="52">
        <v>646524706.11000001</v>
      </c>
      <c r="K20" s="47">
        <v>548053298.88999999</v>
      </c>
      <c r="L20" s="52">
        <v>10472409437.75</v>
      </c>
      <c r="M20" s="59">
        <f>+(L20/$L$69)</f>
        <v>2.5203666592095643E-2</v>
      </c>
    </row>
    <row r="21" spans="1:13" x14ac:dyDescent="0.25">
      <c r="A21" s="35" t="s">
        <v>13</v>
      </c>
      <c r="B21" s="34" t="s">
        <v>22</v>
      </c>
      <c r="C21" s="36" t="s">
        <v>22</v>
      </c>
      <c r="D21" s="53" t="s">
        <v>22</v>
      </c>
      <c r="E21" s="36" t="s">
        <v>22</v>
      </c>
      <c r="F21" s="50">
        <v>900363730.61000001</v>
      </c>
      <c r="G21" s="42">
        <v>25870.34</v>
      </c>
      <c r="H21" s="50">
        <v>1529132001.0699999</v>
      </c>
      <c r="I21" s="36" t="s">
        <v>22</v>
      </c>
      <c r="J21" s="50">
        <v>2297338.2999999998</v>
      </c>
      <c r="K21" s="36" t="s">
        <v>22</v>
      </c>
      <c r="L21" s="50">
        <v>2431818940.3200002</v>
      </c>
      <c r="M21" s="56"/>
    </row>
    <row r="22" spans="1:13" s="38" customFormat="1" x14ac:dyDescent="0.25">
      <c r="A22" s="38" t="s">
        <v>14</v>
      </c>
      <c r="B22" s="39" t="s">
        <v>15</v>
      </c>
      <c r="C22" s="44" t="s">
        <v>22</v>
      </c>
      <c r="D22" s="54" t="s">
        <v>22</v>
      </c>
      <c r="E22" s="44" t="s">
        <v>22</v>
      </c>
      <c r="F22" s="51">
        <v>900363730.61000001</v>
      </c>
      <c r="G22" s="43">
        <v>25870.34</v>
      </c>
      <c r="H22" s="51">
        <v>1529132001.0699999</v>
      </c>
      <c r="I22" s="44" t="s">
        <v>22</v>
      </c>
      <c r="J22" s="51">
        <v>2297338.2999999998</v>
      </c>
      <c r="K22" s="44" t="s">
        <v>22</v>
      </c>
      <c r="L22" s="51">
        <v>2431818940.3200002</v>
      </c>
      <c r="M22" s="54"/>
    </row>
    <row r="23" spans="1:13" x14ac:dyDescent="0.25">
      <c r="A23" s="35" t="s">
        <v>16</v>
      </c>
      <c r="B23" s="34" t="s">
        <v>22</v>
      </c>
      <c r="C23" s="36" t="s">
        <v>22</v>
      </c>
      <c r="D23" s="53" t="s">
        <v>22</v>
      </c>
      <c r="E23" s="36" t="s">
        <v>22</v>
      </c>
      <c r="F23" s="50">
        <v>2485904081.6900001</v>
      </c>
      <c r="G23" s="36" t="s">
        <v>22</v>
      </c>
      <c r="H23" s="50">
        <v>2019979509.72</v>
      </c>
      <c r="I23" s="36" t="s">
        <v>22</v>
      </c>
      <c r="J23" s="50">
        <v>121496370.23999999</v>
      </c>
      <c r="K23" s="42">
        <v>209018584.81999999</v>
      </c>
      <c r="L23" s="50">
        <v>4836398546.4700003</v>
      </c>
      <c r="M23" s="56"/>
    </row>
    <row r="24" spans="1:13" s="38" customFormat="1" x14ac:dyDescent="0.25">
      <c r="A24" s="38" t="s">
        <v>14</v>
      </c>
      <c r="B24" s="39" t="s">
        <v>15</v>
      </c>
      <c r="C24" s="44" t="s">
        <v>22</v>
      </c>
      <c r="D24" s="54" t="s">
        <v>22</v>
      </c>
      <c r="E24" s="44" t="s">
        <v>22</v>
      </c>
      <c r="F24" s="51">
        <v>2485904081.6900001</v>
      </c>
      <c r="G24" s="44" t="s">
        <v>22</v>
      </c>
      <c r="H24" s="51">
        <v>2019979509.72</v>
      </c>
      <c r="I24" s="44" t="s">
        <v>22</v>
      </c>
      <c r="J24" s="51">
        <v>121496370.23999999</v>
      </c>
      <c r="K24" s="43">
        <v>209018584.81999999</v>
      </c>
      <c r="L24" s="51">
        <v>4836398546.4700003</v>
      </c>
      <c r="M24" s="54"/>
    </row>
    <row r="25" spans="1:13" x14ac:dyDescent="0.25">
      <c r="A25" s="35" t="s">
        <v>27</v>
      </c>
      <c r="B25" s="34" t="s">
        <v>22</v>
      </c>
      <c r="C25" s="36" t="s">
        <v>22</v>
      </c>
      <c r="D25" s="53" t="s">
        <v>22</v>
      </c>
      <c r="E25" s="42">
        <v>44112478.32</v>
      </c>
      <c r="F25" s="53" t="s">
        <v>22</v>
      </c>
      <c r="G25" s="42">
        <v>114593944.70999999</v>
      </c>
      <c r="H25" s="50">
        <v>565092185.63999999</v>
      </c>
      <c r="I25" s="42">
        <v>18163988.620000001</v>
      </c>
      <c r="J25" s="50">
        <v>146340100.93000001</v>
      </c>
      <c r="K25" s="42">
        <v>15569133.1</v>
      </c>
      <c r="L25" s="50">
        <v>903871831.32000005</v>
      </c>
      <c r="M25" s="56"/>
    </row>
    <row r="26" spans="1:13" s="38" customFormat="1" x14ac:dyDescent="0.25">
      <c r="A26" s="38" t="s">
        <v>14</v>
      </c>
      <c r="B26" s="39" t="s">
        <v>17</v>
      </c>
      <c r="C26" s="44" t="s">
        <v>22</v>
      </c>
      <c r="D26" s="54" t="s">
        <v>22</v>
      </c>
      <c r="E26" s="43">
        <v>44112478.32</v>
      </c>
      <c r="F26" s="54" t="s">
        <v>22</v>
      </c>
      <c r="G26" s="43">
        <v>114593944.70999999</v>
      </c>
      <c r="H26" s="51">
        <v>565092185.63999999</v>
      </c>
      <c r="I26" s="43">
        <v>18163988.620000001</v>
      </c>
      <c r="J26" s="51">
        <v>146340100.93000001</v>
      </c>
      <c r="K26" s="43">
        <v>15569133.1</v>
      </c>
      <c r="L26" s="51">
        <v>903871831.32000005</v>
      </c>
      <c r="M26" s="54"/>
    </row>
    <row r="27" spans="1:13" x14ac:dyDescent="0.25">
      <c r="A27" s="41" t="s">
        <v>52</v>
      </c>
      <c r="B27" s="34" t="s">
        <v>22</v>
      </c>
      <c r="C27" s="36" t="s">
        <v>22</v>
      </c>
      <c r="D27" s="53" t="s">
        <v>22</v>
      </c>
      <c r="E27" s="36" t="s">
        <v>22</v>
      </c>
      <c r="F27" s="53" t="s">
        <v>22</v>
      </c>
      <c r="G27" s="42">
        <v>323465580.97000003</v>
      </c>
      <c r="H27" s="50">
        <v>680142788.69000006</v>
      </c>
      <c r="I27" s="36" t="s">
        <v>22</v>
      </c>
      <c r="J27" s="50">
        <v>293548861.55000001</v>
      </c>
      <c r="K27" s="42">
        <v>323465580.97000003</v>
      </c>
      <c r="L27" s="50">
        <v>1620622812.1800001</v>
      </c>
      <c r="M27" s="56"/>
    </row>
    <row r="28" spans="1:13" s="38" customFormat="1" x14ac:dyDescent="0.25">
      <c r="A28" s="38" t="s">
        <v>14</v>
      </c>
      <c r="B28" s="39" t="s">
        <v>15</v>
      </c>
      <c r="C28" s="44" t="s">
        <v>22</v>
      </c>
      <c r="D28" s="54" t="s">
        <v>22</v>
      </c>
      <c r="E28" s="44" t="s">
        <v>22</v>
      </c>
      <c r="F28" s="54" t="s">
        <v>22</v>
      </c>
      <c r="G28" s="43">
        <v>323465580.97000003</v>
      </c>
      <c r="H28" s="51">
        <v>680142788.69000006</v>
      </c>
      <c r="I28" s="44" t="s">
        <v>22</v>
      </c>
      <c r="J28" s="51">
        <v>293548861.55000001</v>
      </c>
      <c r="K28" s="43">
        <v>323465580.97000003</v>
      </c>
      <c r="L28" s="51">
        <v>1620622812.1800001</v>
      </c>
      <c r="M28" s="54"/>
    </row>
    <row r="29" spans="1:13" x14ac:dyDescent="0.25">
      <c r="A29" s="35" t="s">
        <v>34</v>
      </c>
      <c r="B29" s="34" t="s">
        <v>22</v>
      </c>
      <c r="C29" s="36" t="s">
        <v>22</v>
      </c>
      <c r="D29" s="53" t="s">
        <v>22</v>
      </c>
      <c r="E29" s="36" t="s">
        <v>22</v>
      </c>
      <c r="F29" s="53" t="s">
        <v>22</v>
      </c>
      <c r="G29" s="42">
        <v>223851596.99000001</v>
      </c>
      <c r="H29" s="50">
        <v>373003675.38</v>
      </c>
      <c r="I29" s="36" t="s">
        <v>22</v>
      </c>
      <c r="J29" s="50">
        <v>82842035.090000004</v>
      </c>
      <c r="K29" s="36" t="s">
        <v>22</v>
      </c>
      <c r="L29" s="50">
        <v>679697307.46000004</v>
      </c>
      <c r="M29" s="56"/>
    </row>
    <row r="30" spans="1:13" s="38" customFormat="1" x14ac:dyDescent="0.25">
      <c r="A30" s="38" t="s">
        <v>14</v>
      </c>
      <c r="B30" s="39" t="s">
        <v>17</v>
      </c>
      <c r="C30" s="44" t="s">
        <v>22</v>
      </c>
      <c r="D30" s="54" t="s">
        <v>22</v>
      </c>
      <c r="E30" s="44" t="s">
        <v>22</v>
      </c>
      <c r="F30" s="54" t="s">
        <v>22</v>
      </c>
      <c r="G30" s="43">
        <v>223851596.99000001</v>
      </c>
      <c r="H30" s="51">
        <v>373003675.38</v>
      </c>
      <c r="I30" s="44" t="s">
        <v>22</v>
      </c>
      <c r="J30" s="51">
        <v>82842035.090000004</v>
      </c>
      <c r="K30" s="44" t="s">
        <v>22</v>
      </c>
      <c r="L30" s="51">
        <v>679697307.46000004</v>
      </c>
      <c r="M30" s="54"/>
    </row>
    <row r="31" spans="1:13" x14ac:dyDescent="0.25">
      <c r="A31" s="40" t="s">
        <v>69</v>
      </c>
      <c r="B31" s="32" t="s">
        <v>22</v>
      </c>
      <c r="C31" s="46" t="s">
        <v>22</v>
      </c>
      <c r="D31" s="55" t="s">
        <v>22</v>
      </c>
      <c r="E31" s="48" t="s">
        <v>22</v>
      </c>
      <c r="F31" s="52">
        <v>802355451.25</v>
      </c>
      <c r="G31" s="47">
        <v>209102301.47</v>
      </c>
      <c r="H31" s="55" t="s">
        <v>22</v>
      </c>
      <c r="I31" s="47">
        <v>104858138.53</v>
      </c>
      <c r="J31" s="55" t="s">
        <v>22</v>
      </c>
      <c r="K31" s="47">
        <v>91481573.439999998</v>
      </c>
      <c r="L31" s="52">
        <v>1207797464.6900001</v>
      </c>
      <c r="M31" s="59">
        <f>+(L31/$L$69)</f>
        <v>2.9067737268841363E-3</v>
      </c>
    </row>
    <row r="32" spans="1:13" x14ac:dyDescent="0.25">
      <c r="A32" s="41" t="s">
        <v>53</v>
      </c>
      <c r="B32" s="34" t="s">
        <v>22</v>
      </c>
      <c r="C32" s="36" t="s">
        <v>22</v>
      </c>
      <c r="D32" s="53" t="s">
        <v>22</v>
      </c>
      <c r="E32" s="36" t="s">
        <v>22</v>
      </c>
      <c r="F32" s="50">
        <v>802355451.25</v>
      </c>
      <c r="G32" s="42">
        <v>209102301.47</v>
      </c>
      <c r="H32" s="53" t="s">
        <v>22</v>
      </c>
      <c r="I32" s="42">
        <v>104858138.53</v>
      </c>
      <c r="J32" s="53" t="s">
        <v>22</v>
      </c>
      <c r="K32" s="42">
        <v>91481573.439999998</v>
      </c>
      <c r="L32" s="50">
        <v>1207797464.6900001</v>
      </c>
      <c r="M32" s="56"/>
    </row>
    <row r="33" spans="1:13" s="38" customFormat="1" x14ac:dyDescent="0.25">
      <c r="A33" s="38" t="s">
        <v>23</v>
      </c>
      <c r="B33" s="39" t="s">
        <v>17</v>
      </c>
      <c r="C33" s="44" t="s">
        <v>22</v>
      </c>
      <c r="D33" s="54" t="s">
        <v>22</v>
      </c>
      <c r="E33" s="44" t="s">
        <v>22</v>
      </c>
      <c r="F33" s="51">
        <v>802355451.25</v>
      </c>
      <c r="G33" s="43">
        <v>209102301.47</v>
      </c>
      <c r="H33" s="54" t="s">
        <v>22</v>
      </c>
      <c r="I33" s="43">
        <v>104858138.53</v>
      </c>
      <c r="J33" s="54" t="s">
        <v>22</v>
      </c>
      <c r="K33" s="43">
        <v>91481573.439999998</v>
      </c>
      <c r="L33" s="51">
        <v>1207797464.6900001</v>
      </c>
      <c r="M33" s="54"/>
    </row>
    <row r="34" spans="1:13" x14ac:dyDescent="0.25">
      <c r="A34" s="33" t="s">
        <v>18</v>
      </c>
      <c r="B34" s="32" t="s">
        <v>22</v>
      </c>
      <c r="C34" s="45">
        <v>1105878175.4300001</v>
      </c>
      <c r="D34" s="52">
        <v>25219477490.68</v>
      </c>
      <c r="E34" s="47">
        <v>160667448.97999999</v>
      </c>
      <c r="F34" s="52">
        <v>38399846533.25</v>
      </c>
      <c r="G34" s="47">
        <v>27118167895.540001</v>
      </c>
      <c r="H34" s="52">
        <v>18074464036.959999</v>
      </c>
      <c r="I34" s="47">
        <v>3490538085.8000002</v>
      </c>
      <c r="J34" s="55" t="s">
        <v>22</v>
      </c>
      <c r="K34" s="47">
        <v>5685049441.0500002</v>
      </c>
      <c r="L34" s="52">
        <v>119254089107.69</v>
      </c>
      <c r="M34" s="59">
        <f>+(L34/$L$69)</f>
        <v>0.28700561408340486</v>
      </c>
    </row>
    <row r="35" spans="1:13" x14ac:dyDescent="0.25">
      <c r="A35" s="35" t="s">
        <v>36</v>
      </c>
      <c r="B35" s="34" t="s">
        <v>22</v>
      </c>
      <c r="C35" s="36" t="s">
        <v>22</v>
      </c>
      <c r="D35" s="50">
        <v>11441390672.32</v>
      </c>
      <c r="E35" s="36" t="s">
        <v>22</v>
      </c>
      <c r="F35" s="50">
        <v>9621917045.3799992</v>
      </c>
      <c r="G35" s="42">
        <v>6596441758.9499998</v>
      </c>
      <c r="H35" s="50">
        <v>9949650297.7299995</v>
      </c>
      <c r="I35" s="42">
        <v>34209701.859999999</v>
      </c>
      <c r="J35" s="53" t="s">
        <v>22</v>
      </c>
      <c r="K35" s="42">
        <v>1229575604.1400001</v>
      </c>
      <c r="L35" s="50">
        <v>38873185080.379997</v>
      </c>
      <c r="M35" s="56"/>
    </row>
    <row r="36" spans="1:13" s="38" customFormat="1" x14ac:dyDescent="0.25">
      <c r="A36" s="38" t="s">
        <v>20</v>
      </c>
      <c r="B36" s="39" t="s">
        <v>19</v>
      </c>
      <c r="C36" s="44" t="s">
        <v>22</v>
      </c>
      <c r="D36" s="51">
        <v>11441390672.32</v>
      </c>
      <c r="E36" s="44" t="s">
        <v>22</v>
      </c>
      <c r="F36" s="51">
        <v>9621917045.3799992</v>
      </c>
      <c r="G36" s="43">
        <v>6596441758.9499998</v>
      </c>
      <c r="H36" s="51">
        <v>9949650297.7299995</v>
      </c>
      <c r="I36" s="43">
        <v>34209701.859999999</v>
      </c>
      <c r="J36" s="54" t="s">
        <v>22</v>
      </c>
      <c r="K36" s="43">
        <v>1229575604.1400001</v>
      </c>
      <c r="L36" s="51">
        <v>38873185080.379997</v>
      </c>
      <c r="M36" s="54"/>
    </row>
    <row r="37" spans="1:13" x14ac:dyDescent="0.25">
      <c r="A37" s="35" t="s">
        <v>38</v>
      </c>
      <c r="B37" s="34" t="s">
        <v>22</v>
      </c>
      <c r="C37" s="36" t="s">
        <v>22</v>
      </c>
      <c r="D37" s="50">
        <v>4375070241.7799997</v>
      </c>
      <c r="E37" s="36" t="s">
        <v>22</v>
      </c>
      <c r="F37" s="50">
        <v>1819953810.0899999</v>
      </c>
      <c r="G37" s="42">
        <v>1501067111.6800001</v>
      </c>
      <c r="H37" s="50">
        <v>1440123786.95</v>
      </c>
      <c r="I37" s="36" t="s">
        <v>22</v>
      </c>
      <c r="J37" s="53" t="s">
        <v>22</v>
      </c>
      <c r="K37" s="42">
        <v>328493526.72000003</v>
      </c>
      <c r="L37" s="50">
        <v>9464708477.2199993</v>
      </c>
      <c r="M37" s="56"/>
    </row>
    <row r="38" spans="1:13" s="38" customFormat="1" x14ac:dyDescent="0.25">
      <c r="A38" s="38" t="s">
        <v>20</v>
      </c>
      <c r="B38" s="39" t="s">
        <v>19</v>
      </c>
      <c r="C38" s="44" t="s">
        <v>22</v>
      </c>
      <c r="D38" s="51">
        <v>4375070241.7799997</v>
      </c>
      <c r="E38" s="44" t="s">
        <v>22</v>
      </c>
      <c r="F38" s="51">
        <v>1819953810.0899999</v>
      </c>
      <c r="G38" s="43">
        <v>1501067111.6800001</v>
      </c>
      <c r="H38" s="51">
        <v>1440123786.95</v>
      </c>
      <c r="I38" s="44" t="s">
        <v>22</v>
      </c>
      <c r="J38" s="54" t="s">
        <v>22</v>
      </c>
      <c r="K38" s="43">
        <v>328493526.72000003</v>
      </c>
      <c r="L38" s="51">
        <v>9464708477.2199993</v>
      </c>
      <c r="M38" s="54"/>
    </row>
    <row r="39" spans="1:13" x14ac:dyDescent="0.25">
      <c r="A39" s="41" t="s">
        <v>54</v>
      </c>
      <c r="B39" s="34" t="s">
        <v>22</v>
      </c>
      <c r="C39" s="36" t="s">
        <v>22</v>
      </c>
      <c r="D39" s="50">
        <v>1537389672.21</v>
      </c>
      <c r="E39" s="36" t="s">
        <v>22</v>
      </c>
      <c r="F39" s="53" t="s">
        <v>22</v>
      </c>
      <c r="G39" s="42">
        <v>2123852383.1800001</v>
      </c>
      <c r="H39" s="50">
        <v>2609887213.1599998</v>
      </c>
      <c r="I39" s="36" t="s">
        <v>22</v>
      </c>
      <c r="J39" s="53" t="s">
        <v>22</v>
      </c>
      <c r="K39" s="42">
        <v>353149503.92000002</v>
      </c>
      <c r="L39" s="50">
        <v>6624278772.4700003</v>
      </c>
      <c r="M39" s="56"/>
    </row>
    <row r="40" spans="1:13" s="38" customFormat="1" x14ac:dyDescent="0.25">
      <c r="A40" s="38" t="s">
        <v>20</v>
      </c>
      <c r="B40" s="39" t="s">
        <v>19</v>
      </c>
      <c r="C40" s="44" t="s">
        <v>22</v>
      </c>
      <c r="D40" s="51">
        <v>1537389672.21</v>
      </c>
      <c r="E40" s="44" t="s">
        <v>22</v>
      </c>
      <c r="F40" s="54" t="s">
        <v>22</v>
      </c>
      <c r="G40" s="43">
        <v>2123852383.1800001</v>
      </c>
      <c r="H40" s="51">
        <v>2609887213.1599998</v>
      </c>
      <c r="I40" s="44" t="s">
        <v>22</v>
      </c>
      <c r="J40" s="54" t="s">
        <v>22</v>
      </c>
      <c r="K40" s="43">
        <v>353149503.92000002</v>
      </c>
      <c r="L40" s="51">
        <v>6624278772.4700003</v>
      </c>
      <c r="M40" s="54"/>
    </row>
    <row r="41" spans="1:13" x14ac:dyDescent="0.25">
      <c r="A41" s="41" t="s">
        <v>55</v>
      </c>
      <c r="B41" s="34" t="s">
        <v>22</v>
      </c>
      <c r="C41" s="36" t="s">
        <v>22</v>
      </c>
      <c r="D41" s="53" t="s">
        <v>22</v>
      </c>
      <c r="E41" s="42">
        <v>65629406.689999998</v>
      </c>
      <c r="F41" s="50">
        <v>19712109859.529999</v>
      </c>
      <c r="G41" s="42">
        <v>3229919502.8899999</v>
      </c>
      <c r="H41" s="53" t="s">
        <v>22</v>
      </c>
      <c r="I41" s="36" t="s">
        <v>22</v>
      </c>
      <c r="J41" s="53" t="s">
        <v>22</v>
      </c>
      <c r="K41" s="42">
        <v>1299356403.72</v>
      </c>
      <c r="L41" s="50">
        <v>24307015172.830002</v>
      </c>
      <c r="M41" s="56"/>
    </row>
    <row r="42" spans="1:13" s="38" customFormat="1" x14ac:dyDescent="0.25">
      <c r="A42" s="38" t="s">
        <v>20</v>
      </c>
      <c r="B42" s="39" t="s">
        <v>19</v>
      </c>
      <c r="C42" s="44" t="s">
        <v>22</v>
      </c>
      <c r="D42" s="54" t="s">
        <v>22</v>
      </c>
      <c r="E42" s="43">
        <v>65629406.689999998</v>
      </c>
      <c r="F42" s="51">
        <v>19712109859.529999</v>
      </c>
      <c r="G42" s="43">
        <v>3229919502.8899999</v>
      </c>
      <c r="H42" s="54" t="s">
        <v>22</v>
      </c>
      <c r="I42" s="44" t="s">
        <v>22</v>
      </c>
      <c r="J42" s="54" t="s">
        <v>22</v>
      </c>
      <c r="K42" s="43">
        <v>1299356403.72</v>
      </c>
      <c r="L42" s="51">
        <v>24307015172.830002</v>
      </c>
      <c r="M42" s="54"/>
    </row>
    <row r="43" spans="1:13" x14ac:dyDescent="0.25">
      <c r="A43" s="35" t="s">
        <v>32</v>
      </c>
      <c r="B43" s="34" t="s">
        <v>22</v>
      </c>
      <c r="C43" s="36" t="s">
        <v>22</v>
      </c>
      <c r="D43" s="53" t="s">
        <v>22</v>
      </c>
      <c r="E43" s="36" t="s">
        <v>22</v>
      </c>
      <c r="F43" s="53" t="s">
        <v>22</v>
      </c>
      <c r="G43" s="42">
        <v>6099060085.8999996</v>
      </c>
      <c r="H43" s="53" t="s">
        <v>22</v>
      </c>
      <c r="I43" s="42">
        <v>927626719.86000001</v>
      </c>
      <c r="J43" s="53" t="s">
        <v>22</v>
      </c>
      <c r="K43" s="42">
        <v>357358794.10000002</v>
      </c>
      <c r="L43" s="50">
        <v>7384045599.8599997</v>
      </c>
      <c r="M43" s="56"/>
    </row>
    <row r="44" spans="1:13" s="38" customFormat="1" x14ac:dyDescent="0.25">
      <c r="A44" s="38" t="s">
        <v>20</v>
      </c>
      <c r="B44" s="39" t="s">
        <v>19</v>
      </c>
      <c r="C44" s="44" t="s">
        <v>22</v>
      </c>
      <c r="D44" s="54" t="s">
        <v>22</v>
      </c>
      <c r="E44" s="44" t="s">
        <v>22</v>
      </c>
      <c r="F44" s="54" t="s">
        <v>22</v>
      </c>
      <c r="G44" s="43">
        <v>6099060085.8999996</v>
      </c>
      <c r="H44" s="54" t="s">
        <v>22</v>
      </c>
      <c r="I44" s="43">
        <v>927626719.86000001</v>
      </c>
      <c r="J44" s="54" t="s">
        <v>22</v>
      </c>
      <c r="K44" s="43">
        <v>357358794.10000002</v>
      </c>
      <c r="L44" s="51">
        <v>7384045599.8599997</v>
      </c>
      <c r="M44" s="54"/>
    </row>
    <row r="45" spans="1:13" x14ac:dyDescent="0.25">
      <c r="A45" s="35" t="s">
        <v>40</v>
      </c>
      <c r="B45" s="34" t="s">
        <v>22</v>
      </c>
      <c r="C45" s="36" t="s">
        <v>22</v>
      </c>
      <c r="D45" s="50">
        <v>1925137798.4200001</v>
      </c>
      <c r="E45" s="36" t="s">
        <v>22</v>
      </c>
      <c r="F45" s="53" t="s">
        <v>22</v>
      </c>
      <c r="G45" s="42">
        <v>1811035891.1500001</v>
      </c>
      <c r="H45" s="53" t="s">
        <v>22</v>
      </c>
      <c r="I45" s="42">
        <v>331691555.94999999</v>
      </c>
      <c r="J45" s="53" t="s">
        <v>22</v>
      </c>
      <c r="K45" s="42">
        <v>640828157.74000001</v>
      </c>
      <c r="L45" s="50">
        <v>4708693403.2600002</v>
      </c>
      <c r="M45" s="56"/>
    </row>
    <row r="46" spans="1:13" s="38" customFormat="1" x14ac:dyDescent="0.25">
      <c r="A46" s="38" t="s">
        <v>20</v>
      </c>
      <c r="B46" s="39" t="s">
        <v>19</v>
      </c>
      <c r="C46" s="44" t="s">
        <v>22</v>
      </c>
      <c r="D46" s="51">
        <v>1925137798.4200001</v>
      </c>
      <c r="E46" s="44" t="s">
        <v>22</v>
      </c>
      <c r="F46" s="54" t="s">
        <v>22</v>
      </c>
      <c r="G46" s="43">
        <v>1811035891.1500001</v>
      </c>
      <c r="H46" s="54" t="s">
        <v>22</v>
      </c>
      <c r="I46" s="43">
        <v>331691555.94999999</v>
      </c>
      <c r="J46" s="54" t="s">
        <v>22</v>
      </c>
      <c r="K46" s="43">
        <v>640828157.74000001</v>
      </c>
      <c r="L46" s="51">
        <v>4708693403.2600002</v>
      </c>
      <c r="M46" s="54"/>
    </row>
    <row r="47" spans="1:13" x14ac:dyDescent="0.25">
      <c r="A47" s="35" t="s">
        <v>28</v>
      </c>
      <c r="B47" s="34" t="s">
        <v>22</v>
      </c>
      <c r="C47" s="42">
        <v>363614016.97000003</v>
      </c>
      <c r="D47" s="50">
        <v>70632018.060000002</v>
      </c>
      <c r="E47" s="36" t="s">
        <v>22</v>
      </c>
      <c r="F47" s="53" t="s">
        <v>22</v>
      </c>
      <c r="G47" s="42">
        <v>674140356.17999995</v>
      </c>
      <c r="H47" s="53" t="s">
        <v>22</v>
      </c>
      <c r="I47" s="36" t="s">
        <v>22</v>
      </c>
      <c r="J47" s="53" t="s">
        <v>22</v>
      </c>
      <c r="K47" s="36" t="s">
        <v>22</v>
      </c>
      <c r="L47" s="50">
        <v>1108386391.21</v>
      </c>
      <c r="M47" s="56"/>
    </row>
    <row r="48" spans="1:13" s="38" customFormat="1" x14ac:dyDescent="0.25">
      <c r="A48" s="38" t="s">
        <v>20</v>
      </c>
      <c r="B48" s="39" t="s">
        <v>19</v>
      </c>
      <c r="C48" s="43">
        <v>363614016.97000003</v>
      </c>
      <c r="D48" s="51">
        <v>70632018.060000002</v>
      </c>
      <c r="E48" s="44" t="s">
        <v>22</v>
      </c>
      <c r="F48" s="54" t="s">
        <v>22</v>
      </c>
      <c r="G48" s="43">
        <v>674140356.17999995</v>
      </c>
      <c r="H48" s="54" t="s">
        <v>22</v>
      </c>
      <c r="I48" s="44" t="s">
        <v>22</v>
      </c>
      <c r="J48" s="54" t="s">
        <v>22</v>
      </c>
      <c r="K48" s="44" t="s">
        <v>22</v>
      </c>
      <c r="L48" s="51">
        <v>1108386391.21</v>
      </c>
      <c r="M48" s="54"/>
    </row>
    <row r="49" spans="1:13" x14ac:dyDescent="0.25">
      <c r="A49" s="35" t="s">
        <v>31</v>
      </c>
      <c r="B49" s="34" t="s">
        <v>22</v>
      </c>
      <c r="C49" s="36" t="s">
        <v>22</v>
      </c>
      <c r="D49" s="50">
        <v>2106874411.8800001</v>
      </c>
      <c r="E49" s="36" t="s">
        <v>22</v>
      </c>
      <c r="F49" s="50">
        <v>1789078894.29</v>
      </c>
      <c r="G49" s="42">
        <v>701531075.99000001</v>
      </c>
      <c r="H49" s="50">
        <v>1229265503.21</v>
      </c>
      <c r="I49" s="36" t="s">
        <v>22</v>
      </c>
      <c r="J49" s="53" t="s">
        <v>22</v>
      </c>
      <c r="K49" s="42">
        <v>542134323.41999996</v>
      </c>
      <c r="L49" s="50">
        <v>6368884208.79</v>
      </c>
      <c r="M49" s="56"/>
    </row>
    <row r="50" spans="1:13" s="38" customFormat="1" x14ac:dyDescent="0.25">
      <c r="A50" s="38" t="s">
        <v>20</v>
      </c>
      <c r="B50" s="39" t="s">
        <v>19</v>
      </c>
      <c r="C50" s="44" t="s">
        <v>22</v>
      </c>
      <c r="D50" s="51">
        <v>2106874411.8800001</v>
      </c>
      <c r="E50" s="44" t="s">
        <v>22</v>
      </c>
      <c r="F50" s="51">
        <v>1789078894.29</v>
      </c>
      <c r="G50" s="43">
        <v>701531075.99000001</v>
      </c>
      <c r="H50" s="51">
        <v>1229265503.21</v>
      </c>
      <c r="I50" s="44" t="s">
        <v>22</v>
      </c>
      <c r="J50" s="54" t="s">
        <v>22</v>
      </c>
      <c r="K50" s="43">
        <v>542134323.41999996</v>
      </c>
      <c r="L50" s="51">
        <v>6368884208.79</v>
      </c>
      <c r="M50" s="54"/>
    </row>
    <row r="51" spans="1:13" x14ac:dyDescent="0.25">
      <c r="A51" s="35" t="s">
        <v>24</v>
      </c>
      <c r="B51" s="34" t="s">
        <v>22</v>
      </c>
      <c r="C51" s="42">
        <v>88899834.040000007</v>
      </c>
      <c r="D51" s="53" t="s">
        <v>22</v>
      </c>
      <c r="E51" s="36" t="s">
        <v>22</v>
      </c>
      <c r="F51" s="53" t="s">
        <v>22</v>
      </c>
      <c r="G51" s="42">
        <v>133356485.53</v>
      </c>
      <c r="H51" s="53" t="s">
        <v>22</v>
      </c>
      <c r="I51" s="36" t="s">
        <v>22</v>
      </c>
      <c r="J51" s="53" t="s">
        <v>22</v>
      </c>
      <c r="K51" s="36" t="s">
        <v>22</v>
      </c>
      <c r="L51" s="50">
        <v>222256319.56999999</v>
      </c>
      <c r="M51" s="56"/>
    </row>
    <row r="52" spans="1:13" s="38" customFormat="1" x14ac:dyDescent="0.25">
      <c r="A52" s="38" t="s">
        <v>20</v>
      </c>
      <c r="B52" s="39" t="s">
        <v>19</v>
      </c>
      <c r="C52" s="43">
        <v>88899834.040000007</v>
      </c>
      <c r="D52" s="54" t="s">
        <v>22</v>
      </c>
      <c r="E52" s="44" t="s">
        <v>22</v>
      </c>
      <c r="F52" s="54" t="s">
        <v>22</v>
      </c>
      <c r="G52" s="43">
        <v>133356485.53</v>
      </c>
      <c r="H52" s="54" t="s">
        <v>22</v>
      </c>
      <c r="I52" s="44" t="s">
        <v>22</v>
      </c>
      <c r="J52" s="54" t="s">
        <v>22</v>
      </c>
      <c r="K52" s="44" t="s">
        <v>22</v>
      </c>
      <c r="L52" s="51">
        <v>222256319.56999999</v>
      </c>
      <c r="M52" s="54"/>
    </row>
    <row r="53" spans="1:13" x14ac:dyDescent="0.25">
      <c r="A53" s="41" t="s">
        <v>70</v>
      </c>
      <c r="B53" s="34" t="s">
        <v>22</v>
      </c>
      <c r="C53" s="42">
        <v>270521105.73000002</v>
      </c>
      <c r="D53" s="53" t="s">
        <v>22</v>
      </c>
      <c r="E53" s="36" t="s">
        <v>22</v>
      </c>
      <c r="F53" s="53" t="s">
        <v>22</v>
      </c>
      <c r="G53" s="42">
        <v>524434471.56999999</v>
      </c>
      <c r="H53" s="53" t="s">
        <v>22</v>
      </c>
      <c r="I53" s="36" t="s">
        <v>22</v>
      </c>
      <c r="J53" s="53" t="s">
        <v>22</v>
      </c>
      <c r="K53" s="42">
        <v>233056165.75999999</v>
      </c>
      <c r="L53" s="50">
        <v>1028011743.0599999</v>
      </c>
      <c r="M53" s="56"/>
    </row>
    <row r="54" spans="1:13" s="38" customFormat="1" x14ac:dyDescent="0.25">
      <c r="A54" s="38" t="s">
        <v>20</v>
      </c>
      <c r="B54" s="39" t="s">
        <v>19</v>
      </c>
      <c r="C54" s="43">
        <v>270521105.73000002</v>
      </c>
      <c r="D54" s="54" t="s">
        <v>22</v>
      </c>
      <c r="E54" s="44" t="s">
        <v>22</v>
      </c>
      <c r="F54" s="54" t="s">
        <v>22</v>
      </c>
      <c r="G54" s="43">
        <v>524434471.56999999</v>
      </c>
      <c r="H54" s="54" t="s">
        <v>22</v>
      </c>
      <c r="I54" s="44" t="s">
        <v>22</v>
      </c>
      <c r="J54" s="54" t="s">
        <v>22</v>
      </c>
      <c r="K54" s="43">
        <v>233056165.75999999</v>
      </c>
      <c r="L54" s="51">
        <v>1028011743.0599999</v>
      </c>
      <c r="M54" s="54"/>
    </row>
    <row r="55" spans="1:13" x14ac:dyDescent="0.25">
      <c r="A55" s="41" t="s">
        <v>56</v>
      </c>
      <c r="B55" s="34" t="s">
        <v>22</v>
      </c>
      <c r="C55" s="42">
        <v>311101194.06999999</v>
      </c>
      <c r="D55" s="50">
        <v>195605442.19</v>
      </c>
      <c r="E55" s="36" t="s">
        <v>22</v>
      </c>
      <c r="F55" s="53" t="s">
        <v>22</v>
      </c>
      <c r="G55" s="42">
        <v>2299372888.2199998</v>
      </c>
      <c r="H55" s="53" t="s">
        <v>22</v>
      </c>
      <c r="I55" s="42">
        <v>1637096475.27</v>
      </c>
      <c r="J55" s="53" t="s">
        <v>22</v>
      </c>
      <c r="K55" s="42">
        <v>214856012.15000001</v>
      </c>
      <c r="L55" s="50">
        <v>4658032011.8999996</v>
      </c>
      <c r="M55" s="56"/>
    </row>
    <row r="56" spans="1:13" s="38" customFormat="1" x14ac:dyDescent="0.25">
      <c r="A56" s="38" t="s">
        <v>20</v>
      </c>
      <c r="B56" s="39" t="s">
        <v>19</v>
      </c>
      <c r="C56" s="43">
        <v>311101194.06999999</v>
      </c>
      <c r="D56" s="51">
        <v>195605442.19</v>
      </c>
      <c r="E56" s="44" t="s">
        <v>22</v>
      </c>
      <c r="F56" s="54" t="s">
        <v>22</v>
      </c>
      <c r="G56" s="43">
        <v>2299372888.2199998</v>
      </c>
      <c r="H56" s="54" t="s">
        <v>22</v>
      </c>
      <c r="I56" s="43">
        <v>1637096475.27</v>
      </c>
      <c r="J56" s="54" t="s">
        <v>22</v>
      </c>
      <c r="K56" s="43">
        <v>214856012.15000001</v>
      </c>
      <c r="L56" s="51">
        <v>4658032011.8999996</v>
      </c>
      <c r="M56" s="54"/>
    </row>
    <row r="57" spans="1:13" x14ac:dyDescent="0.25">
      <c r="A57" s="35" t="s">
        <v>39</v>
      </c>
      <c r="B57" s="34" t="s">
        <v>22</v>
      </c>
      <c r="C57" s="36" t="s">
        <v>22</v>
      </c>
      <c r="D57" s="50">
        <v>358792744.18000001</v>
      </c>
      <c r="E57" s="36" t="s">
        <v>22</v>
      </c>
      <c r="F57" s="53" t="s">
        <v>22</v>
      </c>
      <c r="G57" s="36" t="s">
        <v>22</v>
      </c>
      <c r="H57" s="53" t="s">
        <v>22</v>
      </c>
      <c r="I57" s="36" t="s">
        <v>22</v>
      </c>
      <c r="J57" s="53" t="s">
        <v>22</v>
      </c>
      <c r="K57" s="36" t="s">
        <v>22</v>
      </c>
      <c r="L57" s="50">
        <v>358792744.18000001</v>
      </c>
      <c r="M57" s="56"/>
    </row>
    <row r="58" spans="1:13" s="38" customFormat="1" x14ac:dyDescent="0.25">
      <c r="A58" s="38" t="s">
        <v>20</v>
      </c>
      <c r="B58" s="39" t="s">
        <v>19</v>
      </c>
      <c r="C58" s="44" t="s">
        <v>22</v>
      </c>
      <c r="D58" s="51">
        <v>358792744.18000001</v>
      </c>
      <c r="E58" s="44" t="s">
        <v>22</v>
      </c>
      <c r="F58" s="54" t="s">
        <v>22</v>
      </c>
      <c r="G58" s="44" t="s">
        <v>22</v>
      </c>
      <c r="H58" s="54" t="s">
        <v>22</v>
      </c>
      <c r="I58" s="44" t="s">
        <v>22</v>
      </c>
      <c r="J58" s="54" t="s">
        <v>22</v>
      </c>
      <c r="K58" s="44" t="s">
        <v>22</v>
      </c>
      <c r="L58" s="51">
        <v>358792744.18000001</v>
      </c>
      <c r="M58" s="54"/>
    </row>
    <row r="59" spans="1:13" x14ac:dyDescent="0.25">
      <c r="A59" s="41" t="s">
        <v>57</v>
      </c>
      <c r="B59" s="34" t="s">
        <v>22</v>
      </c>
      <c r="C59" s="36" t="s">
        <v>22</v>
      </c>
      <c r="D59" s="50">
        <v>1070402452.8200001</v>
      </c>
      <c r="E59" s="36" t="s">
        <v>22</v>
      </c>
      <c r="F59" s="50">
        <v>3085122061.29</v>
      </c>
      <c r="G59" s="42">
        <v>162676484.80000001</v>
      </c>
      <c r="H59" s="53" t="s">
        <v>22</v>
      </c>
      <c r="I59" s="36" t="s">
        <v>22</v>
      </c>
      <c r="J59" s="53" t="s">
        <v>22</v>
      </c>
      <c r="K59" s="36" t="s">
        <v>22</v>
      </c>
      <c r="L59" s="50">
        <v>4318200998.9099998</v>
      </c>
      <c r="M59" s="56"/>
    </row>
    <row r="60" spans="1:13" s="38" customFormat="1" x14ac:dyDescent="0.25">
      <c r="A60" s="38" t="s">
        <v>20</v>
      </c>
      <c r="B60" s="39" t="s">
        <v>19</v>
      </c>
      <c r="C60" s="44" t="s">
        <v>22</v>
      </c>
      <c r="D60" s="51">
        <v>1070402452.8200001</v>
      </c>
      <c r="E60" s="44" t="s">
        <v>22</v>
      </c>
      <c r="F60" s="51">
        <v>3085122061.29</v>
      </c>
      <c r="G60" s="43">
        <v>162676484.80000001</v>
      </c>
      <c r="H60" s="54" t="s">
        <v>22</v>
      </c>
      <c r="I60" s="44" t="s">
        <v>22</v>
      </c>
      <c r="J60" s="54" t="s">
        <v>22</v>
      </c>
      <c r="K60" s="44" t="s">
        <v>22</v>
      </c>
      <c r="L60" s="51">
        <v>4318200998.9099998</v>
      </c>
      <c r="M60" s="54"/>
    </row>
    <row r="61" spans="1:13" x14ac:dyDescent="0.25">
      <c r="A61" s="41" t="s">
        <v>58</v>
      </c>
      <c r="B61" s="34" t="s">
        <v>22</v>
      </c>
      <c r="C61" s="36" t="s">
        <v>22</v>
      </c>
      <c r="D61" s="53" t="s">
        <v>22</v>
      </c>
      <c r="E61" s="36" t="s">
        <v>22</v>
      </c>
      <c r="F61" s="50">
        <v>2371664862.6700001</v>
      </c>
      <c r="G61" s="36" t="s">
        <v>22</v>
      </c>
      <c r="H61" s="53" t="s">
        <v>22</v>
      </c>
      <c r="I61" s="36" t="s">
        <v>22</v>
      </c>
      <c r="J61" s="53" t="s">
        <v>22</v>
      </c>
      <c r="K61" s="36" t="s">
        <v>22</v>
      </c>
      <c r="L61" s="50">
        <v>2371664862.6700001</v>
      </c>
      <c r="M61" s="56"/>
    </row>
    <row r="62" spans="1:13" s="38" customFormat="1" x14ac:dyDescent="0.25">
      <c r="A62" s="38" t="s">
        <v>20</v>
      </c>
      <c r="B62" s="39" t="s">
        <v>19</v>
      </c>
      <c r="C62" s="44" t="s">
        <v>22</v>
      </c>
      <c r="D62" s="54" t="s">
        <v>22</v>
      </c>
      <c r="E62" s="44" t="s">
        <v>22</v>
      </c>
      <c r="F62" s="51">
        <v>2371664862.6700001</v>
      </c>
      <c r="G62" s="44" t="s">
        <v>22</v>
      </c>
      <c r="H62" s="54" t="s">
        <v>22</v>
      </c>
      <c r="I62" s="44" t="s">
        <v>22</v>
      </c>
      <c r="J62" s="54" t="s">
        <v>22</v>
      </c>
      <c r="K62" s="44" t="s">
        <v>22</v>
      </c>
      <c r="L62" s="51">
        <v>2371664862.6700001</v>
      </c>
      <c r="M62" s="54"/>
    </row>
    <row r="63" spans="1:13" x14ac:dyDescent="0.25">
      <c r="A63" s="35" t="s">
        <v>35</v>
      </c>
      <c r="B63" s="34" t="s">
        <v>22</v>
      </c>
      <c r="C63" s="36" t="s">
        <v>22</v>
      </c>
      <c r="D63" s="50">
        <v>1769817735.03</v>
      </c>
      <c r="E63" s="36" t="s">
        <v>22</v>
      </c>
      <c r="F63" s="53" t="s">
        <v>22</v>
      </c>
      <c r="G63" s="36" t="s">
        <v>22</v>
      </c>
      <c r="H63" s="50">
        <v>869631118.17999995</v>
      </c>
      <c r="I63" s="36" t="s">
        <v>22</v>
      </c>
      <c r="J63" s="53" t="s">
        <v>22</v>
      </c>
      <c r="K63" s="36" t="s">
        <v>22</v>
      </c>
      <c r="L63" s="50">
        <v>2639448853.21</v>
      </c>
      <c r="M63" s="56"/>
    </row>
    <row r="64" spans="1:13" s="38" customFormat="1" x14ac:dyDescent="0.25">
      <c r="A64" s="38" t="s">
        <v>20</v>
      </c>
      <c r="B64" s="39" t="s">
        <v>19</v>
      </c>
      <c r="C64" s="44" t="s">
        <v>22</v>
      </c>
      <c r="D64" s="51">
        <v>1769817735.03</v>
      </c>
      <c r="E64" s="44" t="s">
        <v>22</v>
      </c>
      <c r="F64" s="54" t="s">
        <v>22</v>
      </c>
      <c r="G64" s="44" t="s">
        <v>22</v>
      </c>
      <c r="H64" s="51">
        <v>869631118.17999995</v>
      </c>
      <c r="I64" s="44" t="s">
        <v>22</v>
      </c>
      <c r="J64" s="54" t="s">
        <v>22</v>
      </c>
      <c r="K64" s="44" t="s">
        <v>22</v>
      </c>
      <c r="L64" s="51">
        <v>2639448853.21</v>
      </c>
      <c r="M64" s="54"/>
    </row>
    <row r="65" spans="1:13" x14ac:dyDescent="0.25">
      <c r="A65" s="35" t="s">
        <v>29</v>
      </c>
      <c r="B65" s="34" t="s">
        <v>22</v>
      </c>
      <c r="C65" s="42">
        <v>71742024.620000005</v>
      </c>
      <c r="D65" s="53" t="s">
        <v>22</v>
      </c>
      <c r="E65" s="36" t="s">
        <v>22</v>
      </c>
      <c r="F65" s="53" t="s">
        <v>22</v>
      </c>
      <c r="G65" s="36" t="s">
        <v>22</v>
      </c>
      <c r="H65" s="53" t="s">
        <v>22</v>
      </c>
      <c r="I65" s="36" t="s">
        <v>22</v>
      </c>
      <c r="J65" s="53" t="s">
        <v>22</v>
      </c>
      <c r="K65" s="36" t="s">
        <v>22</v>
      </c>
      <c r="L65" s="50">
        <v>71742024.620000005</v>
      </c>
      <c r="M65" s="56"/>
    </row>
    <row r="66" spans="1:13" s="38" customFormat="1" x14ac:dyDescent="0.25">
      <c r="A66" s="38" t="s">
        <v>20</v>
      </c>
      <c r="B66" s="39" t="s">
        <v>19</v>
      </c>
      <c r="C66" s="43">
        <v>71742024.620000005</v>
      </c>
      <c r="D66" s="54" t="s">
        <v>22</v>
      </c>
      <c r="E66" s="44" t="s">
        <v>22</v>
      </c>
      <c r="F66" s="54" t="s">
        <v>22</v>
      </c>
      <c r="G66" s="44" t="s">
        <v>22</v>
      </c>
      <c r="H66" s="54" t="s">
        <v>22</v>
      </c>
      <c r="I66" s="44" t="s">
        <v>22</v>
      </c>
      <c r="J66" s="54" t="s">
        <v>22</v>
      </c>
      <c r="K66" s="44" t="s">
        <v>22</v>
      </c>
      <c r="L66" s="51">
        <v>71742024.620000005</v>
      </c>
      <c r="M66" s="54"/>
    </row>
    <row r="67" spans="1:13" x14ac:dyDescent="0.25">
      <c r="A67" s="41" t="s">
        <v>59</v>
      </c>
      <c r="B67" s="34" t="s">
        <v>22</v>
      </c>
      <c r="C67" s="36" t="s">
        <v>22</v>
      </c>
      <c r="D67" s="50">
        <v>368364301.79000002</v>
      </c>
      <c r="E67" s="42">
        <v>95038042.290000007</v>
      </c>
      <c r="F67" s="53" t="s">
        <v>22</v>
      </c>
      <c r="G67" s="42">
        <v>1261279399.5</v>
      </c>
      <c r="H67" s="50">
        <v>1975906117.73</v>
      </c>
      <c r="I67" s="42">
        <v>559913632.86000001</v>
      </c>
      <c r="J67" s="53" t="s">
        <v>22</v>
      </c>
      <c r="K67" s="42">
        <v>486240949.38</v>
      </c>
      <c r="L67" s="50">
        <v>4746742443.5500002</v>
      </c>
      <c r="M67" s="56"/>
    </row>
    <row r="68" spans="1:13" s="38" customFormat="1" x14ac:dyDescent="0.25">
      <c r="A68" s="38" t="s">
        <v>20</v>
      </c>
      <c r="B68" s="39" t="s">
        <v>19</v>
      </c>
      <c r="C68" s="44" t="s">
        <v>22</v>
      </c>
      <c r="D68" s="51">
        <v>368364301.79000002</v>
      </c>
      <c r="E68" s="43">
        <v>95038042.290000007</v>
      </c>
      <c r="F68" s="54" t="s">
        <v>22</v>
      </c>
      <c r="G68" s="43">
        <v>1261279399.5</v>
      </c>
      <c r="H68" s="51">
        <v>1975906117.73</v>
      </c>
      <c r="I68" s="43">
        <v>559913632.86000001</v>
      </c>
      <c r="J68" s="54" t="s">
        <v>22</v>
      </c>
      <c r="K68" s="43">
        <v>486240949.38</v>
      </c>
      <c r="L68" s="51">
        <v>4746742443.5500002</v>
      </c>
      <c r="M68" s="54"/>
    </row>
    <row r="69" spans="1:13" x14ac:dyDescent="0.25">
      <c r="A69" s="33" t="s">
        <v>25</v>
      </c>
      <c r="B69" s="32" t="s">
        <v>22</v>
      </c>
      <c r="C69" s="45">
        <v>6322481692.8100004</v>
      </c>
      <c r="D69" s="52">
        <v>89544249209.089996</v>
      </c>
      <c r="E69" s="47">
        <v>3146551357.77</v>
      </c>
      <c r="F69" s="52">
        <v>127805735221.52</v>
      </c>
      <c r="G69" s="47">
        <v>64006232770.160004</v>
      </c>
      <c r="H69" s="52">
        <v>82890972174.050003</v>
      </c>
      <c r="I69" s="47">
        <v>6761378374.1999998</v>
      </c>
      <c r="J69" s="52">
        <v>8062638628.3999996</v>
      </c>
      <c r="K69" s="47">
        <v>26971106886.759998</v>
      </c>
      <c r="L69" s="52">
        <v>415511346314.76001</v>
      </c>
      <c r="M69" s="61">
        <f>+L69/L70</f>
        <v>0.28874007793392492</v>
      </c>
    </row>
    <row r="70" spans="1:13" x14ac:dyDescent="0.25">
      <c r="A70" s="33" t="s">
        <v>21</v>
      </c>
      <c r="B70" s="32" t="s">
        <v>22</v>
      </c>
      <c r="C70" s="45">
        <v>23527867287.630001</v>
      </c>
      <c r="D70" s="52">
        <v>303150867715.09998</v>
      </c>
      <c r="E70" s="47">
        <v>13898243491</v>
      </c>
      <c r="F70" s="52">
        <v>434284706021.40002</v>
      </c>
      <c r="G70" s="47">
        <v>224573627980.88</v>
      </c>
      <c r="H70" s="52">
        <v>281184213886.57001</v>
      </c>
      <c r="I70" s="47">
        <v>22766680728.540001</v>
      </c>
      <c r="J70" s="52">
        <v>29331788480.240002</v>
      </c>
      <c r="K70" s="47">
        <v>95237330101.869995</v>
      </c>
      <c r="L70" s="52">
        <v>1439049782378.48</v>
      </c>
      <c r="M70" s="62"/>
    </row>
    <row r="71" spans="1:13" x14ac:dyDescent="0.25">
      <c r="A71" s="40" t="s">
        <v>60</v>
      </c>
      <c r="B71" s="32" t="s">
        <v>22</v>
      </c>
      <c r="C71" s="57">
        <f>+C69/C70</f>
        <v>0.26872311100352497</v>
      </c>
      <c r="D71" s="57">
        <f t="shared" ref="D71:K71" si="0">+D69/D70</f>
        <v>0.29537850207720118</v>
      </c>
      <c r="E71" s="57">
        <f t="shared" si="0"/>
        <v>0.22639921079290293</v>
      </c>
      <c r="F71" s="57">
        <f t="shared" si="0"/>
        <v>0.29429020513382342</v>
      </c>
      <c r="G71" s="57">
        <f t="shared" si="0"/>
        <v>0.28501224006413362</v>
      </c>
      <c r="H71" s="57">
        <f t="shared" si="0"/>
        <v>0.29479241038577048</v>
      </c>
      <c r="I71" s="57">
        <f t="shared" si="0"/>
        <v>0.29698568951792909</v>
      </c>
      <c r="J71" s="57">
        <f t="shared" si="0"/>
        <v>0.2748771570418071</v>
      </c>
      <c r="K71" s="57">
        <f t="shared" si="0"/>
        <v>0.28319889751120203</v>
      </c>
      <c r="L71" s="63" t="s">
        <v>61</v>
      </c>
      <c r="M71" s="6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M69:M70"/>
    <mergeCell ref="L71:M71"/>
    <mergeCell ref="I6:I7"/>
    <mergeCell ref="A6:A7"/>
    <mergeCell ref="B6:B7"/>
    <mergeCell ref="C6:C7"/>
    <mergeCell ref="D6:D7"/>
    <mergeCell ref="E6:E7"/>
    <mergeCell ref="J6:J7"/>
    <mergeCell ref="K6:K7"/>
    <mergeCell ref="L6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A37D-2E31-4536-A7E5-674C7246A57E}">
  <dimension ref="A1:M71"/>
  <sheetViews>
    <sheetView showGridLines="0" tabSelected="1" workbookViewId="0">
      <selection activeCell="I85" sqref="I85"/>
    </sheetView>
  </sheetViews>
  <sheetFormatPr baseColWidth="10" defaultColWidth="9.140625" defaultRowHeight="15" x14ac:dyDescent="0.25"/>
  <cols>
    <col min="1" max="1" width="99" style="78" bestFit="1" customWidth="1"/>
    <col min="2" max="2" width="14.7109375" style="78" customWidth="1"/>
    <col min="3" max="3" width="21.140625" style="78" bestFit="1" customWidth="1"/>
    <col min="4" max="4" width="22.28515625" style="78" bestFit="1" customWidth="1"/>
    <col min="5" max="5" width="21.140625" style="78" bestFit="1" customWidth="1"/>
    <col min="6" max="8" width="22.28515625" style="78" bestFit="1" customWidth="1"/>
    <col min="9" max="11" width="21.140625" style="78" bestFit="1" customWidth="1"/>
    <col min="12" max="12" width="24.7109375" style="78" bestFit="1" customWidth="1"/>
    <col min="13" max="13" width="16.42578125" style="78" bestFit="1" customWidth="1"/>
    <col min="14" max="16384" width="9.140625" style="78"/>
  </cols>
  <sheetData>
    <row r="1" spans="1:13" x14ac:dyDescent="0.25">
      <c r="A1" s="85"/>
    </row>
    <row r="2" spans="1:13" x14ac:dyDescent="0.25">
      <c r="A2" s="84" t="s">
        <v>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3" x14ac:dyDescent="0.25">
      <c r="A3" s="84" t="s">
        <v>72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3" x14ac:dyDescent="0.25">
      <c r="A4" s="84" t="s">
        <v>30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3" x14ac:dyDescent="0.25">
      <c r="A5" s="86"/>
    </row>
    <row r="6" spans="1:13" ht="15" customHeight="1" x14ac:dyDescent="0.25">
      <c r="A6" s="67" t="s">
        <v>41</v>
      </c>
      <c r="B6" s="68" t="s">
        <v>42</v>
      </c>
      <c r="C6" s="68" t="s">
        <v>43</v>
      </c>
      <c r="D6" s="65" t="s">
        <v>44</v>
      </c>
      <c r="E6" s="69" t="s">
        <v>45</v>
      </c>
      <c r="F6" s="65" t="s">
        <v>46</v>
      </c>
      <c r="G6" s="69" t="s">
        <v>47</v>
      </c>
      <c r="H6" s="65" t="s">
        <v>48</v>
      </c>
      <c r="I6" s="69" t="s">
        <v>2</v>
      </c>
      <c r="J6" s="65" t="s">
        <v>1</v>
      </c>
      <c r="K6" s="71" t="s">
        <v>3</v>
      </c>
      <c r="L6" s="71" t="s">
        <v>49</v>
      </c>
      <c r="M6" s="66"/>
    </row>
    <row r="7" spans="1:13" x14ac:dyDescent="0.25">
      <c r="A7" s="67"/>
      <c r="B7" s="68"/>
      <c r="C7" s="94"/>
      <c r="D7" s="66"/>
      <c r="E7" s="70"/>
      <c r="F7" s="66"/>
      <c r="G7" s="70"/>
      <c r="H7" s="66"/>
      <c r="I7" s="70"/>
      <c r="J7" s="66"/>
      <c r="K7" s="99"/>
      <c r="L7" s="2" t="s">
        <v>50</v>
      </c>
      <c r="M7" s="1" t="s">
        <v>51</v>
      </c>
    </row>
    <row r="8" spans="1:13" x14ac:dyDescent="0.25">
      <c r="A8" s="80" t="s">
        <v>4</v>
      </c>
      <c r="B8" s="79" t="s">
        <v>22</v>
      </c>
      <c r="C8" s="95">
        <v>5214199200.1800003</v>
      </c>
      <c r="D8" s="100">
        <v>62699595681.019997</v>
      </c>
      <c r="E8" s="97">
        <v>2841576070.73</v>
      </c>
      <c r="F8" s="100">
        <v>80395424471.860001</v>
      </c>
      <c r="G8" s="97">
        <v>34340187407.630001</v>
      </c>
      <c r="H8" s="100">
        <v>56051172639.660004</v>
      </c>
      <c r="I8" s="97">
        <v>1973195773.49</v>
      </c>
      <c r="J8" s="100">
        <v>7981631303.5299997</v>
      </c>
      <c r="K8" s="97">
        <v>19458658936.32</v>
      </c>
      <c r="L8" s="106">
        <v>270955641484.42001</v>
      </c>
      <c r="M8" s="107">
        <f>+(L8/$L$69)</f>
        <v>0.65246004515613398</v>
      </c>
    </row>
    <row r="9" spans="1:13" x14ac:dyDescent="0.25">
      <c r="A9" s="82" t="s">
        <v>5</v>
      </c>
      <c r="B9" s="81" t="s">
        <v>22</v>
      </c>
      <c r="C9" s="91">
        <v>5214199200.1800003</v>
      </c>
      <c r="D9" s="101">
        <v>62699595681.019997</v>
      </c>
      <c r="E9" s="91">
        <v>2841576070.73</v>
      </c>
      <c r="F9" s="101">
        <v>80395424471.860001</v>
      </c>
      <c r="G9" s="91">
        <v>34340187407.630001</v>
      </c>
      <c r="H9" s="101">
        <v>56051172639.660004</v>
      </c>
      <c r="I9" s="91">
        <v>1973195773.49</v>
      </c>
      <c r="J9" s="101">
        <v>7981631303.5299997</v>
      </c>
      <c r="K9" s="91">
        <v>19458658936.32</v>
      </c>
      <c r="L9" s="101">
        <v>270955641484.42001</v>
      </c>
      <c r="M9" s="108"/>
    </row>
    <row r="10" spans="1:13" s="87" customFormat="1" x14ac:dyDescent="0.25">
      <c r="A10" s="87" t="s">
        <v>6</v>
      </c>
      <c r="B10" s="88" t="s">
        <v>7</v>
      </c>
      <c r="C10" s="92">
        <v>5214199200.1800003</v>
      </c>
      <c r="D10" s="102">
        <v>62699595681.019997</v>
      </c>
      <c r="E10" s="92">
        <v>2841576070.73</v>
      </c>
      <c r="F10" s="102">
        <v>80395424471.860001</v>
      </c>
      <c r="G10" s="92">
        <v>34340187407.630001</v>
      </c>
      <c r="H10" s="102">
        <v>56051172639.660004</v>
      </c>
      <c r="I10" s="92">
        <v>1973195773.49</v>
      </c>
      <c r="J10" s="102">
        <v>7981631303.5299997</v>
      </c>
      <c r="K10" s="92">
        <v>19458658936.32</v>
      </c>
      <c r="L10" s="102">
        <v>270955641484.42001</v>
      </c>
      <c r="M10" s="104"/>
    </row>
    <row r="11" spans="1:13" x14ac:dyDescent="0.25">
      <c r="A11" s="80" t="s">
        <v>8</v>
      </c>
      <c r="B11" s="79" t="s">
        <v>22</v>
      </c>
      <c r="C11" s="95">
        <v>7450438.2800000003</v>
      </c>
      <c r="D11" s="100">
        <v>1474449388.2</v>
      </c>
      <c r="E11" s="97">
        <v>67756932.629999995</v>
      </c>
      <c r="F11" s="100">
        <v>3691753351.6799998</v>
      </c>
      <c r="G11" s="97">
        <v>1441721982.0699999</v>
      </c>
      <c r="H11" s="100">
        <v>4092100212.3400002</v>
      </c>
      <c r="I11" s="97">
        <v>1170826153.5999999</v>
      </c>
      <c r="J11" s="100">
        <v>2178469.62</v>
      </c>
      <c r="K11" s="97">
        <v>515569075.95999998</v>
      </c>
      <c r="L11" s="100">
        <v>12463806004.379999</v>
      </c>
      <c r="M11" s="109">
        <f>+(L11/$L$69)</f>
        <v>3.0012792440428544E-2</v>
      </c>
    </row>
    <row r="12" spans="1:13" x14ac:dyDescent="0.25">
      <c r="A12" s="82" t="s">
        <v>26</v>
      </c>
      <c r="B12" s="81" t="s">
        <v>22</v>
      </c>
      <c r="C12" s="86" t="s">
        <v>22</v>
      </c>
      <c r="D12" s="101">
        <v>1474449388.2</v>
      </c>
      <c r="E12" s="86" t="s">
        <v>22</v>
      </c>
      <c r="F12" s="103" t="s">
        <v>22</v>
      </c>
      <c r="G12" s="91">
        <v>1441721982.0699999</v>
      </c>
      <c r="H12" s="101">
        <v>3375601714.0999999</v>
      </c>
      <c r="I12" s="91">
        <v>357632947.04000002</v>
      </c>
      <c r="J12" s="103" t="s">
        <v>22</v>
      </c>
      <c r="K12" s="91">
        <v>515569075.95999998</v>
      </c>
      <c r="L12" s="101">
        <v>7164975107.3699999</v>
      </c>
      <c r="M12" s="108"/>
    </row>
    <row r="13" spans="1:13" s="87" customFormat="1" x14ac:dyDescent="0.25">
      <c r="A13" s="87" t="s">
        <v>9</v>
      </c>
      <c r="B13" s="88" t="s">
        <v>10</v>
      </c>
      <c r="C13" s="93" t="s">
        <v>22</v>
      </c>
      <c r="D13" s="102">
        <v>1474449388.2</v>
      </c>
      <c r="E13" s="93" t="s">
        <v>22</v>
      </c>
      <c r="F13" s="104" t="s">
        <v>22</v>
      </c>
      <c r="G13" s="92">
        <v>1441721982.0699999</v>
      </c>
      <c r="H13" s="102">
        <v>3375601714.0999999</v>
      </c>
      <c r="I13" s="92">
        <v>357632947.04000002</v>
      </c>
      <c r="J13" s="104" t="s">
        <v>22</v>
      </c>
      <c r="K13" s="92">
        <v>515569075.95999998</v>
      </c>
      <c r="L13" s="102">
        <v>7164975107.3699999</v>
      </c>
      <c r="M13" s="104"/>
    </row>
    <row r="14" spans="1:13" x14ac:dyDescent="0.25">
      <c r="A14" s="82" t="s">
        <v>33</v>
      </c>
      <c r="B14" s="81" t="s">
        <v>22</v>
      </c>
      <c r="C14" s="91">
        <v>7450438.2800000003</v>
      </c>
      <c r="D14" s="103" t="s">
        <v>22</v>
      </c>
      <c r="E14" s="86" t="s">
        <v>22</v>
      </c>
      <c r="F14" s="103" t="s">
        <v>22</v>
      </c>
      <c r="G14" s="86" t="s">
        <v>22</v>
      </c>
      <c r="H14" s="103" t="s">
        <v>22</v>
      </c>
      <c r="I14" s="86" t="s">
        <v>22</v>
      </c>
      <c r="J14" s="103" t="s">
        <v>22</v>
      </c>
      <c r="K14" s="86" t="s">
        <v>22</v>
      </c>
      <c r="L14" s="101">
        <v>7450438.2800000003</v>
      </c>
      <c r="M14" s="108"/>
    </row>
    <row r="15" spans="1:13" s="87" customFormat="1" x14ac:dyDescent="0.25">
      <c r="A15" s="87" t="s">
        <v>9</v>
      </c>
      <c r="B15" s="88" t="s">
        <v>10</v>
      </c>
      <c r="C15" s="92">
        <v>7450438.2800000003</v>
      </c>
      <c r="D15" s="104" t="s">
        <v>22</v>
      </c>
      <c r="E15" s="93" t="s">
        <v>22</v>
      </c>
      <c r="F15" s="104" t="s">
        <v>22</v>
      </c>
      <c r="G15" s="93" t="s">
        <v>22</v>
      </c>
      <c r="H15" s="104" t="s">
        <v>22</v>
      </c>
      <c r="I15" s="93" t="s">
        <v>22</v>
      </c>
      <c r="J15" s="104" t="s">
        <v>22</v>
      </c>
      <c r="K15" s="93" t="s">
        <v>22</v>
      </c>
      <c r="L15" s="102">
        <v>7450438.2800000003</v>
      </c>
      <c r="M15" s="104"/>
    </row>
    <row r="16" spans="1:13" x14ac:dyDescent="0.25">
      <c r="A16" s="82" t="s">
        <v>37</v>
      </c>
      <c r="B16" s="81" t="s">
        <v>22</v>
      </c>
      <c r="C16" s="86" t="s">
        <v>22</v>
      </c>
      <c r="D16" s="103" t="s">
        <v>22</v>
      </c>
      <c r="E16" s="86" t="s">
        <v>22</v>
      </c>
      <c r="F16" s="101">
        <v>3691753351.6799998</v>
      </c>
      <c r="G16" s="86" t="s">
        <v>22</v>
      </c>
      <c r="H16" s="101">
        <v>716498498.24000001</v>
      </c>
      <c r="I16" s="91">
        <v>813193206.55999994</v>
      </c>
      <c r="J16" s="101">
        <v>2178469.62</v>
      </c>
      <c r="K16" s="86" t="s">
        <v>22</v>
      </c>
      <c r="L16" s="101">
        <v>5223623526.1000004</v>
      </c>
      <c r="M16" s="108"/>
    </row>
    <row r="17" spans="1:13" s="87" customFormat="1" x14ac:dyDescent="0.25">
      <c r="A17" s="87" t="s">
        <v>9</v>
      </c>
      <c r="B17" s="88" t="s">
        <v>10</v>
      </c>
      <c r="C17" s="93" t="s">
        <v>22</v>
      </c>
      <c r="D17" s="104" t="s">
        <v>22</v>
      </c>
      <c r="E17" s="93" t="s">
        <v>22</v>
      </c>
      <c r="F17" s="102">
        <v>3691753351.6799998</v>
      </c>
      <c r="G17" s="93" t="s">
        <v>22</v>
      </c>
      <c r="H17" s="102">
        <v>716498498.24000001</v>
      </c>
      <c r="I17" s="92">
        <v>813193206.55999994</v>
      </c>
      <c r="J17" s="102">
        <v>2178469.62</v>
      </c>
      <c r="K17" s="93" t="s">
        <v>22</v>
      </c>
      <c r="L17" s="102">
        <v>5223623526.1000004</v>
      </c>
      <c r="M17" s="104"/>
    </row>
    <row r="18" spans="1:13" x14ac:dyDescent="0.25">
      <c r="A18" s="82" t="s">
        <v>71</v>
      </c>
      <c r="B18" s="81" t="s">
        <v>22</v>
      </c>
      <c r="C18" s="86" t="s">
        <v>22</v>
      </c>
      <c r="D18" s="103" t="s">
        <v>22</v>
      </c>
      <c r="E18" s="91">
        <v>67756932.629999995</v>
      </c>
      <c r="F18" s="103" t="s">
        <v>22</v>
      </c>
      <c r="G18" s="86" t="s">
        <v>22</v>
      </c>
      <c r="H18" s="103" t="s">
        <v>22</v>
      </c>
      <c r="I18" s="86" t="s">
        <v>22</v>
      </c>
      <c r="J18" s="103" t="s">
        <v>22</v>
      </c>
      <c r="K18" s="86" t="s">
        <v>22</v>
      </c>
      <c r="L18" s="101">
        <v>67756932.629999995</v>
      </c>
      <c r="M18" s="108"/>
    </row>
    <row r="19" spans="1:13" s="87" customFormat="1" x14ac:dyDescent="0.25">
      <c r="A19" s="87" t="s">
        <v>9</v>
      </c>
      <c r="B19" s="88" t="s">
        <v>10</v>
      </c>
      <c r="C19" s="93" t="s">
        <v>22</v>
      </c>
      <c r="D19" s="104" t="s">
        <v>22</v>
      </c>
      <c r="E19" s="92">
        <v>67756932.629999995</v>
      </c>
      <c r="F19" s="104" t="s">
        <v>22</v>
      </c>
      <c r="G19" s="93" t="s">
        <v>22</v>
      </c>
      <c r="H19" s="104" t="s">
        <v>22</v>
      </c>
      <c r="I19" s="93" t="s">
        <v>22</v>
      </c>
      <c r="J19" s="104" t="s">
        <v>22</v>
      </c>
      <c r="K19" s="93" t="s">
        <v>22</v>
      </c>
      <c r="L19" s="102">
        <v>67756932.629999995</v>
      </c>
      <c r="M19" s="104"/>
    </row>
    <row r="20" spans="1:13" x14ac:dyDescent="0.25">
      <c r="A20" s="80" t="s">
        <v>12</v>
      </c>
      <c r="B20" s="79" t="s">
        <v>22</v>
      </c>
      <c r="C20" s="96" t="s">
        <v>22</v>
      </c>
      <c r="D20" s="105" t="s">
        <v>22</v>
      </c>
      <c r="E20" s="97">
        <v>42951933.700000003</v>
      </c>
      <c r="F20" s="100">
        <v>3268463797.6799998</v>
      </c>
      <c r="G20" s="97">
        <v>653593036.38999999</v>
      </c>
      <c r="H20" s="100">
        <v>5070987982.8400002</v>
      </c>
      <c r="I20" s="97">
        <v>17686116.59</v>
      </c>
      <c r="J20" s="100">
        <v>636006268.46000004</v>
      </c>
      <c r="K20" s="97">
        <v>534830903.17000002</v>
      </c>
      <c r="L20" s="100">
        <v>10224520038.83</v>
      </c>
      <c r="M20" s="109">
        <f>+(L20/$L$69)</f>
        <v>2.4620601252985562E-2</v>
      </c>
    </row>
    <row r="21" spans="1:13" x14ac:dyDescent="0.25">
      <c r="A21" s="82" t="s">
        <v>13</v>
      </c>
      <c r="B21" s="81" t="s">
        <v>22</v>
      </c>
      <c r="C21" s="86" t="s">
        <v>22</v>
      </c>
      <c r="D21" s="103" t="s">
        <v>22</v>
      </c>
      <c r="E21" s="86" t="s">
        <v>22</v>
      </c>
      <c r="F21" s="101">
        <v>884654845.36000001</v>
      </c>
      <c r="G21" s="91">
        <v>25401.439999999999</v>
      </c>
      <c r="H21" s="101">
        <v>1501913313.3599999</v>
      </c>
      <c r="I21" s="86" t="s">
        <v>22</v>
      </c>
      <c r="J21" s="101">
        <v>2255699.11</v>
      </c>
      <c r="K21" s="86" t="s">
        <v>22</v>
      </c>
      <c r="L21" s="101">
        <v>2388849259.27</v>
      </c>
      <c r="M21" s="108"/>
    </row>
    <row r="22" spans="1:13" s="87" customFormat="1" x14ac:dyDescent="0.25">
      <c r="A22" s="87" t="s">
        <v>14</v>
      </c>
      <c r="B22" s="88" t="s">
        <v>15</v>
      </c>
      <c r="C22" s="93" t="s">
        <v>22</v>
      </c>
      <c r="D22" s="104" t="s">
        <v>22</v>
      </c>
      <c r="E22" s="93" t="s">
        <v>22</v>
      </c>
      <c r="F22" s="102">
        <v>884654845.36000001</v>
      </c>
      <c r="G22" s="92">
        <v>25401.439999999999</v>
      </c>
      <c r="H22" s="102">
        <v>1501913313.3599999</v>
      </c>
      <c r="I22" s="93" t="s">
        <v>22</v>
      </c>
      <c r="J22" s="102">
        <v>2255699.11</v>
      </c>
      <c r="K22" s="93" t="s">
        <v>22</v>
      </c>
      <c r="L22" s="102">
        <v>2388849259.27</v>
      </c>
      <c r="M22" s="104"/>
    </row>
    <row r="23" spans="1:13" x14ac:dyDescent="0.25">
      <c r="A23" s="82" t="s">
        <v>16</v>
      </c>
      <c r="B23" s="81" t="s">
        <v>22</v>
      </c>
      <c r="C23" s="86" t="s">
        <v>22</v>
      </c>
      <c r="D23" s="103" t="s">
        <v>22</v>
      </c>
      <c r="E23" s="86" t="s">
        <v>22</v>
      </c>
      <c r="F23" s="101">
        <v>2383808952.3200002</v>
      </c>
      <c r="G23" s="86" t="s">
        <v>22</v>
      </c>
      <c r="H23" s="101">
        <v>1971622219.46</v>
      </c>
      <c r="I23" s="86" t="s">
        <v>22</v>
      </c>
      <c r="J23" s="101">
        <v>119921941.08</v>
      </c>
      <c r="K23" s="91">
        <v>199815189.69</v>
      </c>
      <c r="L23" s="101">
        <v>4675168302.5500002</v>
      </c>
      <c r="M23" s="108"/>
    </row>
    <row r="24" spans="1:13" s="87" customFormat="1" x14ac:dyDescent="0.25">
      <c r="A24" s="87" t="s">
        <v>14</v>
      </c>
      <c r="B24" s="88" t="s">
        <v>15</v>
      </c>
      <c r="C24" s="93" t="s">
        <v>22</v>
      </c>
      <c r="D24" s="104" t="s">
        <v>22</v>
      </c>
      <c r="E24" s="93" t="s">
        <v>22</v>
      </c>
      <c r="F24" s="102">
        <v>2383808952.3200002</v>
      </c>
      <c r="G24" s="93" t="s">
        <v>22</v>
      </c>
      <c r="H24" s="102">
        <v>1971622219.46</v>
      </c>
      <c r="I24" s="93" t="s">
        <v>22</v>
      </c>
      <c r="J24" s="102">
        <v>119921941.08</v>
      </c>
      <c r="K24" s="92">
        <v>199815189.69</v>
      </c>
      <c r="L24" s="102">
        <v>4675168302.5500002</v>
      </c>
      <c r="M24" s="104"/>
    </row>
    <row r="25" spans="1:13" x14ac:dyDescent="0.25">
      <c r="A25" s="82" t="s">
        <v>27</v>
      </c>
      <c r="B25" s="81" t="s">
        <v>22</v>
      </c>
      <c r="C25" s="86" t="s">
        <v>22</v>
      </c>
      <c r="D25" s="103" t="s">
        <v>22</v>
      </c>
      <c r="E25" s="91">
        <v>42951933.700000003</v>
      </c>
      <c r="F25" s="103" t="s">
        <v>22</v>
      </c>
      <c r="G25" s="91">
        <v>112357703.56999999</v>
      </c>
      <c r="H25" s="101">
        <v>556057535.99000001</v>
      </c>
      <c r="I25" s="91">
        <v>17686116.59</v>
      </c>
      <c r="J25" s="101">
        <v>144231072.58000001</v>
      </c>
      <c r="K25" s="91">
        <v>15159528.51</v>
      </c>
      <c r="L25" s="101">
        <v>888443890.94000006</v>
      </c>
      <c r="M25" s="108"/>
    </row>
    <row r="26" spans="1:13" s="87" customFormat="1" x14ac:dyDescent="0.25">
      <c r="A26" s="87" t="s">
        <v>14</v>
      </c>
      <c r="B26" s="88" t="s">
        <v>17</v>
      </c>
      <c r="C26" s="93" t="s">
        <v>22</v>
      </c>
      <c r="D26" s="104" t="s">
        <v>22</v>
      </c>
      <c r="E26" s="92">
        <v>42951933.700000003</v>
      </c>
      <c r="F26" s="104" t="s">
        <v>22</v>
      </c>
      <c r="G26" s="92">
        <v>112357703.56999999</v>
      </c>
      <c r="H26" s="102">
        <v>556057535.99000001</v>
      </c>
      <c r="I26" s="92">
        <v>17686116.59</v>
      </c>
      <c r="J26" s="102">
        <v>144231072.58000001</v>
      </c>
      <c r="K26" s="92">
        <v>15159528.51</v>
      </c>
      <c r="L26" s="102">
        <v>888443890.94000006</v>
      </c>
      <c r="M26" s="104"/>
    </row>
    <row r="27" spans="1:13" x14ac:dyDescent="0.25">
      <c r="A27" s="90" t="s">
        <v>52</v>
      </c>
      <c r="B27" s="81" t="s">
        <v>22</v>
      </c>
      <c r="C27" s="86" t="s">
        <v>22</v>
      </c>
      <c r="D27" s="103" t="s">
        <v>22</v>
      </c>
      <c r="E27" s="86" t="s">
        <v>22</v>
      </c>
      <c r="F27" s="103" t="s">
        <v>22</v>
      </c>
      <c r="G27" s="91">
        <v>319856184.97000003</v>
      </c>
      <c r="H27" s="101">
        <v>672553404.38</v>
      </c>
      <c r="I27" s="86" t="s">
        <v>22</v>
      </c>
      <c r="J27" s="101">
        <v>288180961.47000003</v>
      </c>
      <c r="K27" s="91">
        <v>319856184.97000003</v>
      </c>
      <c r="L27" s="101">
        <v>1600446735.79</v>
      </c>
      <c r="M27" s="108"/>
    </row>
    <row r="28" spans="1:13" s="87" customFormat="1" x14ac:dyDescent="0.25">
      <c r="A28" s="87" t="s">
        <v>14</v>
      </c>
      <c r="B28" s="88" t="s">
        <v>15</v>
      </c>
      <c r="C28" s="93" t="s">
        <v>22</v>
      </c>
      <c r="D28" s="104" t="s">
        <v>22</v>
      </c>
      <c r="E28" s="93" t="s">
        <v>22</v>
      </c>
      <c r="F28" s="104" t="s">
        <v>22</v>
      </c>
      <c r="G28" s="92">
        <v>319856184.97000003</v>
      </c>
      <c r="H28" s="102">
        <v>672553404.38</v>
      </c>
      <c r="I28" s="93" t="s">
        <v>22</v>
      </c>
      <c r="J28" s="102">
        <v>288180961.47000003</v>
      </c>
      <c r="K28" s="92">
        <v>319856184.97000003</v>
      </c>
      <c r="L28" s="102">
        <v>1600446735.79</v>
      </c>
      <c r="M28" s="104"/>
    </row>
    <row r="29" spans="1:13" x14ac:dyDescent="0.25">
      <c r="A29" s="82" t="s">
        <v>34</v>
      </c>
      <c r="B29" s="81" t="s">
        <v>22</v>
      </c>
      <c r="C29" s="86" t="s">
        <v>22</v>
      </c>
      <c r="D29" s="103" t="s">
        <v>22</v>
      </c>
      <c r="E29" s="86" t="s">
        <v>22</v>
      </c>
      <c r="F29" s="103" t="s">
        <v>22</v>
      </c>
      <c r="G29" s="91">
        <v>221353746.41</v>
      </c>
      <c r="H29" s="101">
        <v>368841509.64999998</v>
      </c>
      <c r="I29" s="86" t="s">
        <v>22</v>
      </c>
      <c r="J29" s="101">
        <v>81416594.219999999</v>
      </c>
      <c r="K29" s="86" t="s">
        <v>22</v>
      </c>
      <c r="L29" s="101">
        <v>671611850.27999997</v>
      </c>
      <c r="M29" s="108"/>
    </row>
    <row r="30" spans="1:13" s="87" customFormat="1" x14ac:dyDescent="0.25">
      <c r="A30" s="87" t="s">
        <v>14</v>
      </c>
      <c r="B30" s="88" t="s">
        <v>17</v>
      </c>
      <c r="C30" s="93" t="s">
        <v>22</v>
      </c>
      <c r="D30" s="104" t="s">
        <v>22</v>
      </c>
      <c r="E30" s="93" t="s">
        <v>22</v>
      </c>
      <c r="F30" s="104" t="s">
        <v>22</v>
      </c>
      <c r="G30" s="92">
        <v>221353746.41</v>
      </c>
      <c r="H30" s="102">
        <v>368841509.64999998</v>
      </c>
      <c r="I30" s="93" t="s">
        <v>22</v>
      </c>
      <c r="J30" s="102">
        <v>81416594.219999999</v>
      </c>
      <c r="K30" s="93" t="s">
        <v>22</v>
      </c>
      <c r="L30" s="102">
        <v>671611850.27999997</v>
      </c>
      <c r="M30" s="104"/>
    </row>
    <row r="31" spans="1:13" x14ac:dyDescent="0.25">
      <c r="A31" s="80" t="s">
        <v>69</v>
      </c>
      <c r="B31" s="79" t="s">
        <v>22</v>
      </c>
      <c r="C31" s="96" t="s">
        <v>22</v>
      </c>
      <c r="D31" s="105" t="s">
        <v>22</v>
      </c>
      <c r="E31" s="98" t="s">
        <v>22</v>
      </c>
      <c r="F31" s="100">
        <v>773306306.90999997</v>
      </c>
      <c r="G31" s="97">
        <v>206877069.84999999</v>
      </c>
      <c r="H31" s="105" t="s">
        <v>22</v>
      </c>
      <c r="I31" s="97">
        <v>103646805.37</v>
      </c>
      <c r="J31" s="105" t="s">
        <v>22</v>
      </c>
      <c r="K31" s="97">
        <v>90508041.879999995</v>
      </c>
      <c r="L31" s="100">
        <v>1174338224.01</v>
      </c>
      <c r="M31" s="109">
        <f>+(L31/$L$69)</f>
        <v>2.8278015045875909E-3</v>
      </c>
    </row>
    <row r="32" spans="1:13" x14ac:dyDescent="0.25">
      <c r="A32" s="90" t="s">
        <v>53</v>
      </c>
      <c r="B32" s="81" t="s">
        <v>22</v>
      </c>
      <c r="C32" s="86" t="s">
        <v>22</v>
      </c>
      <c r="D32" s="103" t="s">
        <v>22</v>
      </c>
      <c r="E32" s="86" t="s">
        <v>22</v>
      </c>
      <c r="F32" s="101">
        <v>773306306.90999997</v>
      </c>
      <c r="G32" s="91">
        <v>206877069.84999999</v>
      </c>
      <c r="H32" s="103" t="s">
        <v>22</v>
      </c>
      <c r="I32" s="91">
        <v>103646805.37</v>
      </c>
      <c r="J32" s="103" t="s">
        <v>22</v>
      </c>
      <c r="K32" s="91">
        <v>90508041.879999995</v>
      </c>
      <c r="L32" s="101">
        <v>1174338224.01</v>
      </c>
      <c r="M32" s="108"/>
    </row>
    <row r="33" spans="1:13" s="87" customFormat="1" x14ac:dyDescent="0.25">
      <c r="A33" s="87" t="s">
        <v>23</v>
      </c>
      <c r="B33" s="88" t="s">
        <v>17</v>
      </c>
      <c r="C33" s="93" t="s">
        <v>22</v>
      </c>
      <c r="D33" s="104" t="s">
        <v>22</v>
      </c>
      <c r="E33" s="93" t="s">
        <v>22</v>
      </c>
      <c r="F33" s="102">
        <v>773306306.90999997</v>
      </c>
      <c r="G33" s="92">
        <v>206877069.84999999</v>
      </c>
      <c r="H33" s="104" t="s">
        <v>22</v>
      </c>
      <c r="I33" s="92">
        <v>103646805.37</v>
      </c>
      <c r="J33" s="104" t="s">
        <v>22</v>
      </c>
      <c r="K33" s="92">
        <v>90508041.879999995</v>
      </c>
      <c r="L33" s="102">
        <v>1174338224.01</v>
      </c>
      <c r="M33" s="104"/>
    </row>
    <row r="34" spans="1:13" x14ac:dyDescent="0.25">
      <c r="A34" s="80" t="s">
        <v>18</v>
      </c>
      <c r="B34" s="79" t="s">
        <v>22</v>
      </c>
      <c r="C34" s="95">
        <v>1088721519.79</v>
      </c>
      <c r="D34" s="100">
        <v>25124632625.459999</v>
      </c>
      <c r="E34" s="97">
        <v>131555986.83</v>
      </c>
      <c r="F34" s="100">
        <v>39654756284.389999</v>
      </c>
      <c r="G34" s="97">
        <v>27032235017.09</v>
      </c>
      <c r="H34" s="100">
        <v>17774910123.380001</v>
      </c>
      <c r="I34" s="97">
        <v>3441043323.8499999</v>
      </c>
      <c r="J34" s="105" t="s">
        <v>22</v>
      </c>
      <c r="K34" s="97">
        <v>6216956695.5900002</v>
      </c>
      <c r="L34" s="100">
        <v>120464811576.38</v>
      </c>
      <c r="M34" s="109">
        <f>+(L34/$L$69)</f>
        <v>0.29007875964586433</v>
      </c>
    </row>
    <row r="35" spans="1:13" x14ac:dyDescent="0.25">
      <c r="A35" s="82" t="s">
        <v>36</v>
      </c>
      <c r="B35" s="81" t="s">
        <v>22</v>
      </c>
      <c r="C35" s="86" t="s">
        <v>22</v>
      </c>
      <c r="D35" s="101">
        <v>11571644570.540001</v>
      </c>
      <c r="E35" s="86" t="s">
        <v>22</v>
      </c>
      <c r="F35" s="101">
        <v>11336226211.799999</v>
      </c>
      <c r="G35" s="91">
        <v>6490836709.1999998</v>
      </c>
      <c r="H35" s="101">
        <v>9790362403.8799992</v>
      </c>
      <c r="I35" s="91">
        <v>33662025.189999998</v>
      </c>
      <c r="J35" s="103" t="s">
        <v>22</v>
      </c>
      <c r="K35" s="91">
        <v>1209890841.1099999</v>
      </c>
      <c r="L35" s="101">
        <v>40432622761.720001</v>
      </c>
      <c r="M35" s="108"/>
    </row>
    <row r="36" spans="1:13" s="87" customFormat="1" x14ac:dyDescent="0.25">
      <c r="A36" s="87" t="s">
        <v>20</v>
      </c>
      <c r="B36" s="88" t="s">
        <v>19</v>
      </c>
      <c r="C36" s="93" t="s">
        <v>22</v>
      </c>
      <c r="D36" s="102">
        <v>11571644570.540001</v>
      </c>
      <c r="E36" s="93" t="s">
        <v>22</v>
      </c>
      <c r="F36" s="102">
        <v>11336226211.799999</v>
      </c>
      <c r="G36" s="92">
        <v>6490836709.1999998</v>
      </c>
      <c r="H36" s="102">
        <v>9790362403.8799992</v>
      </c>
      <c r="I36" s="92">
        <v>33662025.189999998</v>
      </c>
      <c r="J36" s="104" t="s">
        <v>22</v>
      </c>
      <c r="K36" s="92">
        <v>1209890841.1099999</v>
      </c>
      <c r="L36" s="102">
        <v>40432622761.720001</v>
      </c>
      <c r="M36" s="104"/>
    </row>
    <row r="37" spans="1:13" x14ac:dyDescent="0.25">
      <c r="A37" s="82" t="s">
        <v>38</v>
      </c>
      <c r="B37" s="81" t="s">
        <v>22</v>
      </c>
      <c r="C37" s="86" t="s">
        <v>22</v>
      </c>
      <c r="D37" s="101">
        <v>4293701762.4099998</v>
      </c>
      <c r="E37" s="86" t="s">
        <v>22</v>
      </c>
      <c r="F37" s="101">
        <v>1786105925.1700001</v>
      </c>
      <c r="G37" s="91">
        <v>1473149948.8599999</v>
      </c>
      <c r="H37" s="101">
        <v>1413340060.9400001</v>
      </c>
      <c r="I37" s="86" t="s">
        <v>22</v>
      </c>
      <c r="J37" s="103" t="s">
        <v>22</v>
      </c>
      <c r="K37" s="91">
        <v>322384134.81</v>
      </c>
      <c r="L37" s="101">
        <v>9288681832.1900005</v>
      </c>
      <c r="M37" s="108"/>
    </row>
    <row r="38" spans="1:13" s="87" customFormat="1" x14ac:dyDescent="0.25">
      <c r="A38" s="87" t="s">
        <v>20</v>
      </c>
      <c r="B38" s="88" t="s">
        <v>19</v>
      </c>
      <c r="C38" s="93" t="s">
        <v>22</v>
      </c>
      <c r="D38" s="102">
        <v>4293701762.4099998</v>
      </c>
      <c r="E38" s="93" t="s">
        <v>22</v>
      </c>
      <c r="F38" s="102">
        <v>1786105925.1700001</v>
      </c>
      <c r="G38" s="92">
        <v>1473149948.8599999</v>
      </c>
      <c r="H38" s="102">
        <v>1413340060.9400001</v>
      </c>
      <c r="I38" s="93" t="s">
        <v>22</v>
      </c>
      <c r="J38" s="104" t="s">
        <v>22</v>
      </c>
      <c r="K38" s="92">
        <v>322384134.81</v>
      </c>
      <c r="L38" s="102">
        <v>9288681832.1900005</v>
      </c>
      <c r="M38" s="104"/>
    </row>
    <row r="39" spans="1:13" x14ac:dyDescent="0.25">
      <c r="A39" s="90" t="s">
        <v>54</v>
      </c>
      <c r="B39" s="81" t="s">
        <v>22</v>
      </c>
      <c r="C39" s="86" t="s">
        <v>22</v>
      </c>
      <c r="D39" s="101">
        <v>1513932201.5599999</v>
      </c>
      <c r="E39" s="86" t="s">
        <v>22</v>
      </c>
      <c r="F39" s="103" t="s">
        <v>22</v>
      </c>
      <c r="G39" s="91">
        <v>2091446672.48</v>
      </c>
      <c r="H39" s="101">
        <v>2570065589.6599998</v>
      </c>
      <c r="I39" s="86" t="s">
        <v>22</v>
      </c>
      <c r="J39" s="103" t="s">
        <v>22</v>
      </c>
      <c r="K39" s="91">
        <v>347761153.61000001</v>
      </c>
      <c r="L39" s="101">
        <v>6523205617.3100004</v>
      </c>
      <c r="M39" s="108"/>
    </row>
    <row r="40" spans="1:13" s="87" customFormat="1" x14ac:dyDescent="0.25">
      <c r="A40" s="87" t="s">
        <v>20</v>
      </c>
      <c r="B40" s="88" t="s">
        <v>19</v>
      </c>
      <c r="C40" s="93" t="s">
        <v>22</v>
      </c>
      <c r="D40" s="102">
        <v>1513932201.5599999</v>
      </c>
      <c r="E40" s="93" t="s">
        <v>22</v>
      </c>
      <c r="F40" s="104" t="s">
        <v>22</v>
      </c>
      <c r="G40" s="92">
        <v>2091446672.48</v>
      </c>
      <c r="H40" s="102">
        <v>2570065589.6599998</v>
      </c>
      <c r="I40" s="93" t="s">
        <v>22</v>
      </c>
      <c r="J40" s="104" t="s">
        <v>22</v>
      </c>
      <c r="K40" s="92">
        <v>347761153.61000001</v>
      </c>
      <c r="L40" s="102">
        <v>6523205617.3100004</v>
      </c>
      <c r="M40" s="104"/>
    </row>
    <row r="41" spans="1:13" x14ac:dyDescent="0.25">
      <c r="A41" s="90" t="s">
        <v>73</v>
      </c>
      <c r="B41" s="81" t="s">
        <v>22</v>
      </c>
      <c r="C41" s="86" t="s">
        <v>22</v>
      </c>
      <c r="D41" s="103" t="s">
        <v>22</v>
      </c>
      <c r="E41" s="91">
        <v>38515388.340000004</v>
      </c>
      <c r="F41" s="101">
        <v>19384690856.110001</v>
      </c>
      <c r="G41" s="91">
        <v>3176270399.2600002</v>
      </c>
      <c r="H41" s="103" t="s">
        <v>22</v>
      </c>
      <c r="I41" s="86" t="s">
        <v>22</v>
      </c>
      <c r="J41" s="103" t="s">
        <v>22</v>
      </c>
      <c r="K41" s="91">
        <v>1277774037.25</v>
      </c>
      <c r="L41" s="101">
        <v>23877250680.959999</v>
      </c>
      <c r="M41" s="108"/>
    </row>
    <row r="42" spans="1:13" s="87" customFormat="1" x14ac:dyDescent="0.25">
      <c r="A42" s="87" t="s">
        <v>20</v>
      </c>
      <c r="B42" s="88" t="s">
        <v>19</v>
      </c>
      <c r="C42" s="93" t="s">
        <v>22</v>
      </c>
      <c r="D42" s="104" t="s">
        <v>22</v>
      </c>
      <c r="E42" s="92">
        <v>38515388.340000004</v>
      </c>
      <c r="F42" s="102">
        <v>19384690856.110001</v>
      </c>
      <c r="G42" s="92">
        <v>3176270399.2600002</v>
      </c>
      <c r="H42" s="104" t="s">
        <v>22</v>
      </c>
      <c r="I42" s="93" t="s">
        <v>22</v>
      </c>
      <c r="J42" s="104" t="s">
        <v>22</v>
      </c>
      <c r="K42" s="92">
        <v>1277774037.25</v>
      </c>
      <c r="L42" s="102">
        <v>23877250680.959999</v>
      </c>
      <c r="M42" s="104"/>
    </row>
    <row r="43" spans="1:13" x14ac:dyDescent="0.25">
      <c r="A43" s="82" t="s">
        <v>32</v>
      </c>
      <c r="B43" s="81" t="s">
        <v>22</v>
      </c>
      <c r="C43" s="86" t="s">
        <v>22</v>
      </c>
      <c r="D43" s="103" t="s">
        <v>22</v>
      </c>
      <c r="E43" s="86" t="s">
        <v>22</v>
      </c>
      <c r="F43" s="103" t="s">
        <v>22</v>
      </c>
      <c r="G43" s="91">
        <v>6039956319.0299997</v>
      </c>
      <c r="H43" s="103" t="s">
        <v>22</v>
      </c>
      <c r="I43" s="91">
        <v>918637427.63999999</v>
      </c>
      <c r="J43" s="103" t="s">
        <v>22</v>
      </c>
      <c r="K43" s="91">
        <v>353895760.36000001</v>
      </c>
      <c r="L43" s="101">
        <v>7312489507.0299997</v>
      </c>
      <c r="M43" s="108"/>
    </row>
    <row r="44" spans="1:13" s="87" customFormat="1" x14ac:dyDescent="0.25">
      <c r="A44" s="87" t="s">
        <v>20</v>
      </c>
      <c r="B44" s="88" t="s">
        <v>19</v>
      </c>
      <c r="C44" s="93" t="s">
        <v>22</v>
      </c>
      <c r="D44" s="104" t="s">
        <v>22</v>
      </c>
      <c r="E44" s="93" t="s">
        <v>22</v>
      </c>
      <c r="F44" s="104" t="s">
        <v>22</v>
      </c>
      <c r="G44" s="92">
        <v>6039956319.0299997</v>
      </c>
      <c r="H44" s="104" t="s">
        <v>22</v>
      </c>
      <c r="I44" s="92">
        <v>918637427.63999999</v>
      </c>
      <c r="J44" s="104" t="s">
        <v>22</v>
      </c>
      <c r="K44" s="92">
        <v>353895760.36000001</v>
      </c>
      <c r="L44" s="102">
        <v>7312489507.0299997</v>
      </c>
      <c r="M44" s="104"/>
    </row>
    <row r="45" spans="1:13" x14ac:dyDescent="0.25">
      <c r="A45" s="82" t="s">
        <v>40</v>
      </c>
      <c r="B45" s="81" t="s">
        <v>22</v>
      </c>
      <c r="C45" s="86" t="s">
        <v>22</v>
      </c>
      <c r="D45" s="101">
        <v>1896906842.23</v>
      </c>
      <c r="E45" s="86" t="s">
        <v>22</v>
      </c>
      <c r="F45" s="103" t="s">
        <v>22</v>
      </c>
      <c r="G45" s="91">
        <v>2094964271.6600001</v>
      </c>
      <c r="H45" s="103" t="s">
        <v>22</v>
      </c>
      <c r="I45" s="91">
        <v>326827504.25</v>
      </c>
      <c r="J45" s="103" t="s">
        <v>22</v>
      </c>
      <c r="K45" s="91">
        <v>1252403119.47</v>
      </c>
      <c r="L45" s="101">
        <v>5571101737.6099997</v>
      </c>
      <c r="M45" s="108"/>
    </row>
    <row r="46" spans="1:13" s="87" customFormat="1" x14ac:dyDescent="0.25">
      <c r="A46" s="87" t="s">
        <v>20</v>
      </c>
      <c r="B46" s="88" t="s">
        <v>19</v>
      </c>
      <c r="C46" s="93" t="s">
        <v>22</v>
      </c>
      <c r="D46" s="102">
        <v>1896906842.23</v>
      </c>
      <c r="E46" s="93" t="s">
        <v>22</v>
      </c>
      <c r="F46" s="104" t="s">
        <v>22</v>
      </c>
      <c r="G46" s="92">
        <v>2094964271.6600001</v>
      </c>
      <c r="H46" s="104" t="s">
        <v>22</v>
      </c>
      <c r="I46" s="92">
        <v>326827504.25</v>
      </c>
      <c r="J46" s="104" t="s">
        <v>22</v>
      </c>
      <c r="K46" s="92">
        <v>1252403119.47</v>
      </c>
      <c r="L46" s="102">
        <v>5571101737.6099997</v>
      </c>
      <c r="M46" s="104"/>
    </row>
    <row r="47" spans="1:13" x14ac:dyDescent="0.25">
      <c r="A47" s="82" t="s">
        <v>28</v>
      </c>
      <c r="B47" s="81" t="s">
        <v>22</v>
      </c>
      <c r="C47" s="91">
        <v>357274777.12</v>
      </c>
      <c r="D47" s="101">
        <v>69400620.810000002</v>
      </c>
      <c r="E47" s="86" t="s">
        <v>22</v>
      </c>
      <c r="F47" s="103" t="s">
        <v>22</v>
      </c>
      <c r="G47" s="91">
        <v>662387406.11000001</v>
      </c>
      <c r="H47" s="103" t="s">
        <v>22</v>
      </c>
      <c r="I47" s="86" t="s">
        <v>22</v>
      </c>
      <c r="J47" s="103" t="s">
        <v>22</v>
      </c>
      <c r="K47" s="86" t="s">
        <v>22</v>
      </c>
      <c r="L47" s="101">
        <v>1089062804.04</v>
      </c>
      <c r="M47" s="108"/>
    </row>
    <row r="48" spans="1:13" s="87" customFormat="1" x14ac:dyDescent="0.25">
      <c r="A48" s="87" t="s">
        <v>20</v>
      </c>
      <c r="B48" s="88" t="s">
        <v>19</v>
      </c>
      <c r="C48" s="92">
        <v>357274777.12</v>
      </c>
      <c r="D48" s="102">
        <v>69400620.810000002</v>
      </c>
      <c r="E48" s="93" t="s">
        <v>22</v>
      </c>
      <c r="F48" s="104" t="s">
        <v>22</v>
      </c>
      <c r="G48" s="92">
        <v>662387406.11000001</v>
      </c>
      <c r="H48" s="104" t="s">
        <v>22</v>
      </c>
      <c r="I48" s="93" t="s">
        <v>22</v>
      </c>
      <c r="J48" s="104" t="s">
        <v>22</v>
      </c>
      <c r="K48" s="93" t="s">
        <v>22</v>
      </c>
      <c r="L48" s="102">
        <v>1089062804.04</v>
      </c>
      <c r="M48" s="104"/>
    </row>
    <row r="49" spans="1:13" x14ac:dyDescent="0.25">
      <c r="A49" s="82" t="s">
        <v>31</v>
      </c>
      <c r="B49" s="81" t="s">
        <v>22</v>
      </c>
      <c r="C49" s="86" t="s">
        <v>22</v>
      </c>
      <c r="D49" s="101">
        <v>2079610476.46</v>
      </c>
      <c r="E49" s="86" t="s">
        <v>22</v>
      </c>
      <c r="F49" s="101">
        <v>1765927380.74</v>
      </c>
      <c r="G49" s="91">
        <v>692452937.36000001</v>
      </c>
      <c r="H49" s="101">
        <v>1213358235.49</v>
      </c>
      <c r="I49" s="86" t="s">
        <v>22</v>
      </c>
      <c r="J49" s="103" t="s">
        <v>22</v>
      </c>
      <c r="K49" s="91">
        <v>535118852.97000003</v>
      </c>
      <c r="L49" s="101">
        <v>6286467883.0200005</v>
      </c>
      <c r="M49" s="108"/>
    </row>
    <row r="50" spans="1:13" s="87" customFormat="1" x14ac:dyDescent="0.25">
      <c r="A50" s="87" t="s">
        <v>20</v>
      </c>
      <c r="B50" s="88" t="s">
        <v>19</v>
      </c>
      <c r="C50" s="93" t="s">
        <v>22</v>
      </c>
      <c r="D50" s="102">
        <v>2079610476.46</v>
      </c>
      <c r="E50" s="93" t="s">
        <v>22</v>
      </c>
      <c r="F50" s="102">
        <v>1765927380.74</v>
      </c>
      <c r="G50" s="92">
        <v>692452937.36000001</v>
      </c>
      <c r="H50" s="102">
        <v>1213358235.49</v>
      </c>
      <c r="I50" s="93" t="s">
        <v>22</v>
      </c>
      <c r="J50" s="104" t="s">
        <v>22</v>
      </c>
      <c r="K50" s="92">
        <v>535118852.97000003</v>
      </c>
      <c r="L50" s="102">
        <v>6286467883.0200005</v>
      </c>
      <c r="M50" s="104"/>
    </row>
    <row r="51" spans="1:13" x14ac:dyDescent="0.25">
      <c r="A51" s="82" t="s">
        <v>24</v>
      </c>
      <c r="B51" s="81" t="s">
        <v>22</v>
      </c>
      <c r="C51" s="91">
        <v>87798150.359999999</v>
      </c>
      <c r="D51" s="103" t="s">
        <v>22</v>
      </c>
      <c r="E51" s="86" t="s">
        <v>22</v>
      </c>
      <c r="F51" s="103" t="s">
        <v>22</v>
      </c>
      <c r="G51" s="91">
        <v>131703876.55</v>
      </c>
      <c r="H51" s="103" t="s">
        <v>22</v>
      </c>
      <c r="I51" s="86" t="s">
        <v>22</v>
      </c>
      <c r="J51" s="103" t="s">
        <v>22</v>
      </c>
      <c r="K51" s="86" t="s">
        <v>22</v>
      </c>
      <c r="L51" s="101">
        <v>219502026.91</v>
      </c>
      <c r="M51" s="108"/>
    </row>
    <row r="52" spans="1:13" s="87" customFormat="1" x14ac:dyDescent="0.25">
      <c r="A52" s="87" t="s">
        <v>20</v>
      </c>
      <c r="B52" s="88" t="s">
        <v>19</v>
      </c>
      <c r="C52" s="92">
        <v>87798150.359999999</v>
      </c>
      <c r="D52" s="104" t="s">
        <v>22</v>
      </c>
      <c r="E52" s="93" t="s">
        <v>22</v>
      </c>
      <c r="F52" s="104" t="s">
        <v>22</v>
      </c>
      <c r="G52" s="92">
        <v>131703876.55</v>
      </c>
      <c r="H52" s="104" t="s">
        <v>22</v>
      </c>
      <c r="I52" s="93" t="s">
        <v>22</v>
      </c>
      <c r="J52" s="104" t="s">
        <v>22</v>
      </c>
      <c r="K52" s="93" t="s">
        <v>22</v>
      </c>
      <c r="L52" s="102">
        <v>219502026.91</v>
      </c>
      <c r="M52" s="104"/>
    </row>
    <row r="53" spans="1:13" x14ac:dyDescent="0.25">
      <c r="A53" s="90" t="s">
        <v>70</v>
      </c>
      <c r="B53" s="81" t="s">
        <v>22</v>
      </c>
      <c r="C53" s="91">
        <v>266872249.61000001</v>
      </c>
      <c r="D53" s="103" t="s">
        <v>22</v>
      </c>
      <c r="E53" s="86" t="s">
        <v>22</v>
      </c>
      <c r="F53" s="103" t="s">
        <v>22</v>
      </c>
      <c r="G53" s="91">
        <v>517360768.67000002</v>
      </c>
      <c r="H53" s="103" t="s">
        <v>22</v>
      </c>
      <c r="I53" s="86" t="s">
        <v>22</v>
      </c>
      <c r="J53" s="103" t="s">
        <v>22</v>
      </c>
      <c r="K53" s="91">
        <v>229912646.09</v>
      </c>
      <c r="L53" s="101">
        <v>1014145664.37</v>
      </c>
      <c r="M53" s="108"/>
    </row>
    <row r="54" spans="1:13" s="87" customFormat="1" x14ac:dyDescent="0.25">
      <c r="A54" s="87" t="s">
        <v>20</v>
      </c>
      <c r="B54" s="88" t="s">
        <v>19</v>
      </c>
      <c r="C54" s="92">
        <v>266872249.61000001</v>
      </c>
      <c r="D54" s="104" t="s">
        <v>22</v>
      </c>
      <c r="E54" s="93" t="s">
        <v>22</v>
      </c>
      <c r="F54" s="104" t="s">
        <v>22</v>
      </c>
      <c r="G54" s="92">
        <v>517360768.67000002</v>
      </c>
      <c r="H54" s="104" t="s">
        <v>22</v>
      </c>
      <c r="I54" s="93" t="s">
        <v>22</v>
      </c>
      <c r="J54" s="104" t="s">
        <v>22</v>
      </c>
      <c r="K54" s="92">
        <v>229912646.09</v>
      </c>
      <c r="L54" s="102">
        <v>1014145664.37</v>
      </c>
      <c r="M54" s="104"/>
    </row>
    <row r="55" spans="1:13" x14ac:dyDescent="0.25">
      <c r="A55" s="90" t="s">
        <v>56</v>
      </c>
      <c r="B55" s="81" t="s">
        <v>22</v>
      </c>
      <c r="C55" s="91">
        <v>306668526.69</v>
      </c>
      <c r="D55" s="101">
        <v>192818394.47999999</v>
      </c>
      <c r="E55" s="86" t="s">
        <v>22</v>
      </c>
      <c r="F55" s="103" t="s">
        <v>22</v>
      </c>
      <c r="G55" s="91">
        <v>2266610702.0100002</v>
      </c>
      <c r="H55" s="103" t="s">
        <v>22</v>
      </c>
      <c r="I55" s="91">
        <v>1613770611.1400001</v>
      </c>
      <c r="J55" s="103" t="s">
        <v>22</v>
      </c>
      <c r="K55" s="91">
        <v>211794676.28999999</v>
      </c>
      <c r="L55" s="101">
        <v>4591662910.6099997</v>
      </c>
      <c r="M55" s="108"/>
    </row>
    <row r="56" spans="1:13" s="87" customFormat="1" x14ac:dyDescent="0.25">
      <c r="A56" s="87" t="s">
        <v>20</v>
      </c>
      <c r="B56" s="88" t="s">
        <v>19</v>
      </c>
      <c r="C56" s="92">
        <v>306668526.69</v>
      </c>
      <c r="D56" s="102">
        <v>192818394.47999999</v>
      </c>
      <c r="E56" s="93" t="s">
        <v>22</v>
      </c>
      <c r="F56" s="104" t="s">
        <v>22</v>
      </c>
      <c r="G56" s="92">
        <v>2266610702.0100002</v>
      </c>
      <c r="H56" s="104" t="s">
        <v>22</v>
      </c>
      <c r="I56" s="92">
        <v>1613770611.1400001</v>
      </c>
      <c r="J56" s="104" t="s">
        <v>22</v>
      </c>
      <c r="K56" s="92">
        <v>211794676.28999999</v>
      </c>
      <c r="L56" s="102">
        <v>4591662910.6099997</v>
      </c>
      <c r="M56" s="104"/>
    </row>
    <row r="57" spans="1:13" x14ac:dyDescent="0.25">
      <c r="A57" s="82" t="s">
        <v>39</v>
      </c>
      <c r="B57" s="81" t="s">
        <v>22</v>
      </c>
      <c r="C57" s="86" t="s">
        <v>22</v>
      </c>
      <c r="D57" s="101">
        <v>354272956.81999999</v>
      </c>
      <c r="E57" s="86" t="s">
        <v>22</v>
      </c>
      <c r="F57" s="103" t="s">
        <v>22</v>
      </c>
      <c r="G57" s="86" t="s">
        <v>22</v>
      </c>
      <c r="H57" s="103" t="s">
        <v>22</v>
      </c>
      <c r="I57" s="86" t="s">
        <v>22</v>
      </c>
      <c r="J57" s="103" t="s">
        <v>22</v>
      </c>
      <c r="K57" s="86" t="s">
        <v>22</v>
      </c>
      <c r="L57" s="101">
        <v>354272956.81999999</v>
      </c>
      <c r="M57" s="108"/>
    </row>
    <row r="58" spans="1:13" s="87" customFormat="1" x14ac:dyDescent="0.25">
      <c r="A58" s="87" t="s">
        <v>20</v>
      </c>
      <c r="B58" s="88" t="s">
        <v>19</v>
      </c>
      <c r="C58" s="93" t="s">
        <v>22</v>
      </c>
      <c r="D58" s="102">
        <v>354272956.81999999</v>
      </c>
      <c r="E58" s="93" t="s">
        <v>22</v>
      </c>
      <c r="F58" s="104" t="s">
        <v>22</v>
      </c>
      <c r="G58" s="93" t="s">
        <v>22</v>
      </c>
      <c r="H58" s="104" t="s">
        <v>22</v>
      </c>
      <c r="I58" s="93" t="s">
        <v>22</v>
      </c>
      <c r="J58" s="104" t="s">
        <v>22</v>
      </c>
      <c r="K58" s="93" t="s">
        <v>22</v>
      </c>
      <c r="L58" s="102">
        <v>354272956.81999999</v>
      </c>
      <c r="M58" s="104"/>
    </row>
    <row r="59" spans="1:13" x14ac:dyDescent="0.25">
      <c r="A59" s="90" t="s">
        <v>57</v>
      </c>
      <c r="B59" s="81" t="s">
        <v>22</v>
      </c>
      <c r="C59" s="86" t="s">
        <v>22</v>
      </c>
      <c r="D59" s="101">
        <v>1054925230.09</v>
      </c>
      <c r="E59" s="86" t="s">
        <v>22</v>
      </c>
      <c r="F59" s="101">
        <v>3040513492.6700001</v>
      </c>
      <c r="G59" s="91">
        <v>160324303.91</v>
      </c>
      <c r="H59" s="103" t="s">
        <v>22</v>
      </c>
      <c r="I59" s="86" t="s">
        <v>22</v>
      </c>
      <c r="J59" s="103" t="s">
        <v>22</v>
      </c>
      <c r="K59" s="86" t="s">
        <v>22</v>
      </c>
      <c r="L59" s="101">
        <v>4255763026.6700001</v>
      </c>
      <c r="M59" s="108"/>
    </row>
    <row r="60" spans="1:13" s="87" customFormat="1" x14ac:dyDescent="0.25">
      <c r="A60" s="87" t="s">
        <v>20</v>
      </c>
      <c r="B60" s="88" t="s">
        <v>19</v>
      </c>
      <c r="C60" s="93" t="s">
        <v>22</v>
      </c>
      <c r="D60" s="102">
        <v>1054925230.09</v>
      </c>
      <c r="E60" s="93" t="s">
        <v>22</v>
      </c>
      <c r="F60" s="102">
        <v>3040513492.6700001</v>
      </c>
      <c r="G60" s="92">
        <v>160324303.91</v>
      </c>
      <c r="H60" s="104" t="s">
        <v>22</v>
      </c>
      <c r="I60" s="93" t="s">
        <v>22</v>
      </c>
      <c r="J60" s="104" t="s">
        <v>22</v>
      </c>
      <c r="K60" s="93" t="s">
        <v>22</v>
      </c>
      <c r="L60" s="102">
        <v>4255763026.6700001</v>
      </c>
      <c r="M60" s="104"/>
    </row>
    <row r="61" spans="1:13" x14ac:dyDescent="0.25">
      <c r="A61" s="90" t="s">
        <v>58</v>
      </c>
      <c r="B61" s="81" t="s">
        <v>22</v>
      </c>
      <c r="C61" s="86" t="s">
        <v>22</v>
      </c>
      <c r="D61" s="103" t="s">
        <v>22</v>
      </c>
      <c r="E61" s="86" t="s">
        <v>22</v>
      </c>
      <c r="F61" s="101">
        <v>2341292417.9000001</v>
      </c>
      <c r="G61" s="86" t="s">
        <v>22</v>
      </c>
      <c r="H61" s="103" t="s">
        <v>22</v>
      </c>
      <c r="I61" s="86" t="s">
        <v>22</v>
      </c>
      <c r="J61" s="103" t="s">
        <v>22</v>
      </c>
      <c r="K61" s="86" t="s">
        <v>22</v>
      </c>
      <c r="L61" s="101">
        <v>2341292417.9000001</v>
      </c>
      <c r="M61" s="108"/>
    </row>
    <row r="62" spans="1:13" s="87" customFormat="1" x14ac:dyDescent="0.25">
      <c r="A62" s="87" t="s">
        <v>20</v>
      </c>
      <c r="B62" s="88" t="s">
        <v>19</v>
      </c>
      <c r="C62" s="93" t="s">
        <v>22</v>
      </c>
      <c r="D62" s="104" t="s">
        <v>22</v>
      </c>
      <c r="E62" s="93" t="s">
        <v>22</v>
      </c>
      <c r="F62" s="102">
        <v>2341292417.9000001</v>
      </c>
      <c r="G62" s="93" t="s">
        <v>22</v>
      </c>
      <c r="H62" s="104" t="s">
        <v>22</v>
      </c>
      <c r="I62" s="93" t="s">
        <v>22</v>
      </c>
      <c r="J62" s="104" t="s">
        <v>22</v>
      </c>
      <c r="K62" s="93" t="s">
        <v>22</v>
      </c>
      <c r="L62" s="102">
        <v>2341292417.9000001</v>
      </c>
      <c r="M62" s="104"/>
    </row>
    <row r="63" spans="1:13" x14ac:dyDescent="0.25">
      <c r="A63" s="82" t="s">
        <v>35</v>
      </c>
      <c r="B63" s="81" t="s">
        <v>22</v>
      </c>
      <c r="C63" s="86" t="s">
        <v>22</v>
      </c>
      <c r="D63" s="101">
        <v>1736797294.23</v>
      </c>
      <c r="E63" s="86" t="s">
        <v>22</v>
      </c>
      <c r="F63" s="103" t="s">
        <v>22</v>
      </c>
      <c r="G63" s="86" t="s">
        <v>22</v>
      </c>
      <c r="H63" s="101">
        <v>853405942.97000003</v>
      </c>
      <c r="I63" s="86" t="s">
        <v>22</v>
      </c>
      <c r="J63" s="103" t="s">
        <v>22</v>
      </c>
      <c r="K63" s="86" t="s">
        <v>22</v>
      </c>
      <c r="L63" s="101">
        <v>2590203237.1999998</v>
      </c>
      <c r="M63" s="108"/>
    </row>
    <row r="64" spans="1:13" s="87" customFormat="1" x14ac:dyDescent="0.25">
      <c r="A64" s="87" t="s">
        <v>20</v>
      </c>
      <c r="B64" s="88" t="s">
        <v>19</v>
      </c>
      <c r="C64" s="93" t="s">
        <v>22</v>
      </c>
      <c r="D64" s="102">
        <v>1736797294.23</v>
      </c>
      <c r="E64" s="93" t="s">
        <v>22</v>
      </c>
      <c r="F64" s="104" t="s">
        <v>22</v>
      </c>
      <c r="G64" s="93" t="s">
        <v>22</v>
      </c>
      <c r="H64" s="102">
        <v>853405942.97000003</v>
      </c>
      <c r="I64" s="93" t="s">
        <v>22</v>
      </c>
      <c r="J64" s="104" t="s">
        <v>22</v>
      </c>
      <c r="K64" s="93" t="s">
        <v>22</v>
      </c>
      <c r="L64" s="102">
        <v>2590203237.1999998</v>
      </c>
      <c r="M64" s="104"/>
    </row>
    <row r="65" spans="1:13" x14ac:dyDescent="0.25">
      <c r="A65" s="82" t="s">
        <v>29</v>
      </c>
      <c r="B65" s="81" t="s">
        <v>22</v>
      </c>
      <c r="C65" s="91">
        <v>70107816.010000005</v>
      </c>
      <c r="D65" s="103" t="s">
        <v>22</v>
      </c>
      <c r="E65" s="86" t="s">
        <v>22</v>
      </c>
      <c r="F65" s="103" t="s">
        <v>22</v>
      </c>
      <c r="G65" s="86" t="s">
        <v>22</v>
      </c>
      <c r="H65" s="103" t="s">
        <v>22</v>
      </c>
      <c r="I65" s="86" t="s">
        <v>22</v>
      </c>
      <c r="J65" s="103" t="s">
        <v>22</v>
      </c>
      <c r="K65" s="86" t="s">
        <v>22</v>
      </c>
      <c r="L65" s="101">
        <v>70107816.010000005</v>
      </c>
      <c r="M65" s="108"/>
    </row>
    <row r="66" spans="1:13" s="87" customFormat="1" x14ac:dyDescent="0.25">
      <c r="A66" s="87" t="s">
        <v>20</v>
      </c>
      <c r="B66" s="88" t="s">
        <v>19</v>
      </c>
      <c r="C66" s="92">
        <v>70107816.010000005</v>
      </c>
      <c r="D66" s="104" t="s">
        <v>22</v>
      </c>
      <c r="E66" s="93" t="s">
        <v>22</v>
      </c>
      <c r="F66" s="104" t="s">
        <v>22</v>
      </c>
      <c r="G66" s="93" t="s">
        <v>22</v>
      </c>
      <c r="H66" s="104" t="s">
        <v>22</v>
      </c>
      <c r="I66" s="93" t="s">
        <v>22</v>
      </c>
      <c r="J66" s="104" t="s">
        <v>22</v>
      </c>
      <c r="K66" s="93" t="s">
        <v>22</v>
      </c>
      <c r="L66" s="102">
        <v>70107816.010000005</v>
      </c>
      <c r="M66" s="104"/>
    </row>
    <row r="67" spans="1:13" x14ac:dyDescent="0.25">
      <c r="A67" s="90" t="s">
        <v>59</v>
      </c>
      <c r="B67" s="81" t="s">
        <v>22</v>
      </c>
      <c r="C67" s="86" t="s">
        <v>22</v>
      </c>
      <c r="D67" s="101">
        <v>360622275.82999998</v>
      </c>
      <c r="E67" s="91">
        <v>93040598.489999995</v>
      </c>
      <c r="F67" s="103" t="s">
        <v>22</v>
      </c>
      <c r="G67" s="91">
        <v>1234770701.99</v>
      </c>
      <c r="H67" s="101">
        <v>1934377890.4400001</v>
      </c>
      <c r="I67" s="91">
        <v>548145755.63</v>
      </c>
      <c r="J67" s="103" t="s">
        <v>22</v>
      </c>
      <c r="K67" s="91">
        <v>476021473.63</v>
      </c>
      <c r="L67" s="101">
        <v>4646978696.0100002</v>
      </c>
      <c r="M67" s="108"/>
    </row>
    <row r="68" spans="1:13" s="87" customFormat="1" x14ac:dyDescent="0.25">
      <c r="A68" s="87" t="s">
        <v>20</v>
      </c>
      <c r="B68" s="88" t="s">
        <v>19</v>
      </c>
      <c r="C68" s="93" t="s">
        <v>22</v>
      </c>
      <c r="D68" s="102">
        <v>360622275.82999998</v>
      </c>
      <c r="E68" s="92">
        <v>93040598.489999995</v>
      </c>
      <c r="F68" s="104" t="s">
        <v>22</v>
      </c>
      <c r="G68" s="92">
        <v>1234770701.99</v>
      </c>
      <c r="H68" s="102">
        <v>1934377890.4400001</v>
      </c>
      <c r="I68" s="92">
        <v>548145755.63</v>
      </c>
      <c r="J68" s="104" t="s">
        <v>22</v>
      </c>
      <c r="K68" s="92">
        <v>476021473.63</v>
      </c>
      <c r="L68" s="102">
        <v>4646978696.0100002</v>
      </c>
      <c r="M68" s="104"/>
    </row>
    <row r="69" spans="1:13" x14ac:dyDescent="0.25">
      <c r="A69" s="80" t="s">
        <v>25</v>
      </c>
      <c r="B69" s="79" t="s">
        <v>22</v>
      </c>
      <c r="C69" s="95">
        <v>6310371158.25</v>
      </c>
      <c r="D69" s="100">
        <v>89298677694.679993</v>
      </c>
      <c r="E69" s="97">
        <v>3083840923.8899999</v>
      </c>
      <c r="F69" s="100">
        <v>127783704212.52</v>
      </c>
      <c r="G69" s="97">
        <v>63674614513.029999</v>
      </c>
      <c r="H69" s="100">
        <v>82989170958.220001</v>
      </c>
      <c r="I69" s="97">
        <v>6706398172.8999996</v>
      </c>
      <c r="J69" s="100">
        <v>8619816041.6100006</v>
      </c>
      <c r="K69" s="97">
        <v>26816523652.919998</v>
      </c>
      <c r="L69" s="100">
        <v>415283117328.02002</v>
      </c>
      <c r="M69" s="111">
        <f>+L69/L70</f>
        <v>0.28696620722845179</v>
      </c>
    </row>
    <row r="70" spans="1:13" x14ac:dyDescent="0.25">
      <c r="A70" s="80" t="s">
        <v>21</v>
      </c>
      <c r="B70" s="79" t="s">
        <v>22</v>
      </c>
      <c r="C70" s="95">
        <v>23986102670.080002</v>
      </c>
      <c r="D70" s="100">
        <v>305128079633.27002</v>
      </c>
      <c r="E70" s="97">
        <v>13997498547.889999</v>
      </c>
      <c r="F70" s="100">
        <v>436342813759.85999</v>
      </c>
      <c r="G70" s="97">
        <v>225977923562.92001</v>
      </c>
      <c r="H70" s="100">
        <v>282927132376.82001</v>
      </c>
      <c r="I70" s="97">
        <v>22726747503.790001</v>
      </c>
      <c r="J70" s="100">
        <v>29266207470.939999</v>
      </c>
      <c r="K70" s="97">
        <v>95637232347.380005</v>
      </c>
      <c r="L70" s="100">
        <v>1447149897330.6499</v>
      </c>
      <c r="M70" s="112"/>
    </row>
    <row r="71" spans="1:13" x14ac:dyDescent="0.25">
      <c r="A71" s="89" t="s">
        <v>60</v>
      </c>
      <c r="B71" s="79" t="s">
        <v>22</v>
      </c>
      <c r="C71" s="110">
        <f>+C69/C70</f>
        <v>0.26308447208147268</v>
      </c>
      <c r="D71" s="110">
        <f t="shared" ref="D71:L71" si="0">+D69/D70</f>
        <v>0.29265965230734275</v>
      </c>
      <c r="E71" s="110">
        <f t="shared" si="0"/>
        <v>0.22031371629289162</v>
      </c>
      <c r="F71" s="110">
        <f t="shared" si="0"/>
        <v>0.29285162991785951</v>
      </c>
      <c r="G71" s="110">
        <f t="shared" si="0"/>
        <v>0.28177360650586208</v>
      </c>
      <c r="H71" s="110">
        <f t="shared" si="0"/>
        <v>0.2933234796572633</v>
      </c>
      <c r="I71" s="110">
        <f t="shared" si="0"/>
        <v>0.2950883390499065</v>
      </c>
      <c r="J71" s="110">
        <f t="shared" si="0"/>
        <v>0.29453136523306211</v>
      </c>
      <c r="K71" s="110">
        <f t="shared" si="0"/>
        <v>0.2803983657276406</v>
      </c>
      <c r="L71" s="63" t="s">
        <v>61</v>
      </c>
      <c r="M71" s="64"/>
    </row>
  </sheetData>
  <sheetProtection formatCells="0" formatColumns="0" formatRows="0" insertColumns="0" insertRows="0" insertHyperlinks="0" deleteColumns="0" deleteRows="0" sort="0" autoFilter="0" pivotTables="0"/>
  <mergeCells count="17">
    <mergeCell ref="L71:M71"/>
    <mergeCell ref="M69:M70"/>
    <mergeCell ref="I6:I7"/>
    <mergeCell ref="A6:A7"/>
    <mergeCell ref="B6:B7"/>
    <mergeCell ref="C6:C7"/>
    <mergeCell ref="D6:D7"/>
    <mergeCell ref="E6:E7"/>
    <mergeCell ref="J6:J7"/>
    <mergeCell ref="K6:K7"/>
    <mergeCell ref="L6:M6"/>
    <mergeCell ref="A2:L2"/>
    <mergeCell ref="A3:L3"/>
    <mergeCell ref="A4:L4"/>
    <mergeCell ref="F6:F7"/>
    <mergeCell ref="G6:G7"/>
    <mergeCell ref="H6:H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D34BE7CF-0944-40CB-BDAB-61A9B56B82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EED82F-A6AD-4DD5-AEEF-C0BE4EED37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D7246D-9B35-42B5-B0CA-C72B92050A7C}">
  <ds:schemaRefs>
    <ds:schemaRef ds:uri="http://schemas.microsoft.com/office/infopath/2007/PartnerControls"/>
    <ds:schemaRef ds:uri="3d356bbc-c7e3-4705-a35e-a22d7fa248ea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Fernandez Brea</dc:creator>
  <cp:lastModifiedBy>Nadia Mercedes Ureña</cp:lastModifiedBy>
  <cp:revision/>
  <dcterms:created xsi:type="dcterms:W3CDTF">2016-07-11T15:42:24Z</dcterms:created>
  <dcterms:modified xsi:type="dcterms:W3CDTF">2026-04-10T20:37:28Z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