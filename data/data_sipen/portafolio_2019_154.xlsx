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705" yWindow="345" windowWidth="12675" windowHeight="12360" activeTab="11"/>
  </bookViews>
  <sheets>
    <sheet name="Enero" sheetId="4" r:id="rId1"/>
    <sheet name="Febrero" sheetId="5" r:id="rId2"/>
    <sheet name="Marzo" sheetId="6" r:id="rId3"/>
    <sheet name="Abril" sheetId="7" r:id="rId4"/>
    <sheet name="Mayo" sheetId="8" r:id="rId5"/>
    <sheet name="Junio" sheetId="9" r:id="rId6"/>
    <sheet name="Julio" sheetId="10" r:id="rId7"/>
    <sheet name="Agosto" sheetId="11" r:id="rId8"/>
    <sheet name="Septiembre" sheetId="12" r:id="rId9"/>
    <sheet name="Octubre" sheetId="13" r:id="rId10"/>
    <sheet name="Noviembre" sheetId="14" r:id="rId11"/>
    <sheet name="Diciembre" sheetId="15" r:id="rId12"/>
  </sheets>
  <definedNames>
    <definedName name="SegmentaciónDeDatos_Calificación_de_Riesgo">#N/A</definedName>
    <definedName name="SegmentaciónDeDatos_Nombre_AFP">#N/A</definedName>
    <definedName name="SegmentaciónDeDatos_Tipo_Moneda">#N/A</definedName>
  </definedNames>
  <calcPr calcId="125725"/>
</workbook>
</file>

<file path=xl/calcChain.xml><?xml version="1.0" encoding="utf-8"?>
<calcChain xmlns="http://schemas.openxmlformats.org/spreadsheetml/2006/main">
  <c r="G18" i="15"/>
  <c r="E18"/>
  <c r="C18"/>
  <c r="G17"/>
  <c r="E17"/>
  <c r="C17"/>
  <c r="G16"/>
  <c r="G19" s="1"/>
  <c r="E16"/>
  <c r="C16"/>
  <c r="I11"/>
  <c r="G11"/>
  <c r="E11"/>
  <c r="C11"/>
  <c r="K10"/>
  <c r="H10" s="1"/>
  <c r="F18" s="1"/>
  <c r="K9"/>
  <c r="H9" s="1"/>
  <c r="F17" s="1"/>
  <c r="K8"/>
  <c r="F8" s="1"/>
  <c r="G18" i="14"/>
  <c r="E18"/>
  <c r="C18"/>
  <c r="G17"/>
  <c r="E17"/>
  <c r="E19" s="1"/>
  <c r="C17"/>
  <c r="G16"/>
  <c r="E16"/>
  <c r="C16"/>
  <c r="I16" s="1"/>
  <c r="I11"/>
  <c r="G11"/>
  <c r="E11"/>
  <c r="C11"/>
  <c r="K11" s="1"/>
  <c r="K10"/>
  <c r="H10" s="1"/>
  <c r="F18" s="1"/>
  <c r="K9"/>
  <c r="F9" s="1"/>
  <c r="K8"/>
  <c r="H8" s="1"/>
  <c r="F16" s="1"/>
  <c r="G18" i="13"/>
  <c r="E18"/>
  <c r="C18"/>
  <c r="G17"/>
  <c r="E17"/>
  <c r="C17"/>
  <c r="G16"/>
  <c r="E16"/>
  <c r="C16"/>
  <c r="I11"/>
  <c r="G11"/>
  <c r="E11"/>
  <c r="C11"/>
  <c r="K10"/>
  <c r="F10" s="1"/>
  <c r="K9"/>
  <c r="H9" s="1"/>
  <c r="F17" s="1"/>
  <c r="K8"/>
  <c r="J8" s="1"/>
  <c r="H16" s="1"/>
  <c r="G18" i="12"/>
  <c r="E18"/>
  <c r="C18"/>
  <c r="G17"/>
  <c r="E17"/>
  <c r="C17"/>
  <c r="G16"/>
  <c r="G19" s="1"/>
  <c r="E16"/>
  <c r="C16"/>
  <c r="I11"/>
  <c r="G11"/>
  <c r="E11"/>
  <c r="C11"/>
  <c r="K10"/>
  <c r="F10" s="1"/>
  <c r="K9"/>
  <c r="F9" s="1"/>
  <c r="K8"/>
  <c r="H8" s="1"/>
  <c r="F16" s="1"/>
  <c r="G18" i="11"/>
  <c r="E18"/>
  <c r="C18"/>
  <c r="G17"/>
  <c r="E17"/>
  <c r="C17"/>
  <c r="G16"/>
  <c r="E16"/>
  <c r="C16"/>
  <c r="I11"/>
  <c r="G11"/>
  <c r="E11"/>
  <c r="C11"/>
  <c r="K10"/>
  <c r="F10" s="1"/>
  <c r="K9"/>
  <c r="H9" s="1"/>
  <c r="F17" s="1"/>
  <c r="K8"/>
  <c r="J8" s="1"/>
  <c r="H16" s="1"/>
  <c r="G18" i="10"/>
  <c r="E18"/>
  <c r="C18"/>
  <c r="G17"/>
  <c r="E17"/>
  <c r="C17"/>
  <c r="G16"/>
  <c r="E16"/>
  <c r="C16"/>
  <c r="I11"/>
  <c r="G11"/>
  <c r="E11"/>
  <c r="C11"/>
  <c r="K10"/>
  <c r="K9"/>
  <c r="K8"/>
  <c r="G18" i="9"/>
  <c r="E18"/>
  <c r="C18"/>
  <c r="G17"/>
  <c r="E17"/>
  <c r="C17"/>
  <c r="G16"/>
  <c r="E16"/>
  <c r="C16"/>
  <c r="I11"/>
  <c r="G11"/>
  <c r="E11"/>
  <c r="C11"/>
  <c r="K10"/>
  <c r="J10" s="1"/>
  <c r="H18" s="1"/>
  <c r="K9"/>
  <c r="H9" s="1"/>
  <c r="F17" s="1"/>
  <c r="K8"/>
  <c r="F8" s="1"/>
  <c r="G18" i="8"/>
  <c r="E18"/>
  <c r="C18"/>
  <c r="G17"/>
  <c r="E17"/>
  <c r="C17"/>
  <c r="G16"/>
  <c r="E16"/>
  <c r="C16"/>
  <c r="I11"/>
  <c r="G11"/>
  <c r="E11"/>
  <c r="C11"/>
  <c r="K10"/>
  <c r="F10" s="1"/>
  <c r="K9"/>
  <c r="H9" s="1"/>
  <c r="F17" s="1"/>
  <c r="K8"/>
  <c r="J8" s="1"/>
  <c r="H16" s="1"/>
  <c r="G18" i="7"/>
  <c r="E18"/>
  <c r="C18"/>
  <c r="G17"/>
  <c r="E17"/>
  <c r="C17"/>
  <c r="G16"/>
  <c r="E16"/>
  <c r="C16"/>
  <c r="I11"/>
  <c r="G11"/>
  <c r="E11"/>
  <c r="C11"/>
  <c r="K10"/>
  <c r="F10" s="1"/>
  <c r="K9"/>
  <c r="H9" s="1"/>
  <c r="F17" s="1"/>
  <c r="K8"/>
  <c r="J8" s="1"/>
  <c r="H16" s="1"/>
  <c r="G18" i="6"/>
  <c r="E18"/>
  <c r="C18"/>
  <c r="G17"/>
  <c r="E17"/>
  <c r="C17"/>
  <c r="E16"/>
  <c r="C16"/>
  <c r="G11"/>
  <c r="E11"/>
  <c r="C11"/>
  <c r="K10"/>
  <c r="J10" s="1"/>
  <c r="H18" s="1"/>
  <c r="K9"/>
  <c r="F9" s="1"/>
  <c r="G18" i="5"/>
  <c r="E18"/>
  <c r="C18"/>
  <c r="G17"/>
  <c r="E17"/>
  <c r="C17"/>
  <c r="G16"/>
  <c r="E16"/>
  <c r="C16"/>
  <c r="I11"/>
  <c r="G11"/>
  <c r="E11"/>
  <c r="C11"/>
  <c r="K10"/>
  <c r="F10" s="1"/>
  <c r="K9"/>
  <c r="H9" s="1"/>
  <c r="F17" s="1"/>
  <c r="K8"/>
  <c r="J8" s="1"/>
  <c r="H16" s="1"/>
  <c r="G18" i="4"/>
  <c r="E18"/>
  <c r="C18"/>
  <c r="G17"/>
  <c r="E17"/>
  <c r="C17"/>
  <c r="G16"/>
  <c r="E16"/>
  <c r="C16"/>
  <c r="I11"/>
  <c r="G11"/>
  <c r="E11"/>
  <c r="C11"/>
  <c r="K10"/>
  <c r="K9"/>
  <c r="K8"/>
  <c r="I17" i="15" l="1"/>
  <c r="I16"/>
  <c r="I18"/>
  <c r="D8"/>
  <c r="D16" s="1"/>
  <c r="F9"/>
  <c r="D9"/>
  <c r="K11"/>
  <c r="D10"/>
  <c r="H8"/>
  <c r="F16" s="1"/>
  <c r="J9"/>
  <c r="H17" s="1"/>
  <c r="C19"/>
  <c r="J8"/>
  <c r="H16" s="1"/>
  <c r="F10"/>
  <c r="D18" s="1"/>
  <c r="E19"/>
  <c r="J10"/>
  <c r="H18" s="1"/>
  <c r="G19" i="14"/>
  <c r="D8"/>
  <c r="F10"/>
  <c r="D18" s="1"/>
  <c r="D10"/>
  <c r="J10"/>
  <c r="H18" s="1"/>
  <c r="C19"/>
  <c r="F11"/>
  <c r="D9"/>
  <c r="D17" s="1"/>
  <c r="F8"/>
  <c r="I18"/>
  <c r="H11"/>
  <c r="F19" s="1"/>
  <c r="D11"/>
  <c r="J11"/>
  <c r="H19" s="1"/>
  <c r="I17"/>
  <c r="J9"/>
  <c r="H17" s="1"/>
  <c r="J8"/>
  <c r="H16" s="1"/>
  <c r="H9"/>
  <c r="F17" s="1"/>
  <c r="G19" i="13"/>
  <c r="I18"/>
  <c r="E19"/>
  <c r="D8"/>
  <c r="D9"/>
  <c r="K11"/>
  <c r="D11" s="1"/>
  <c r="D10"/>
  <c r="D18" s="1"/>
  <c r="H8"/>
  <c r="F16" s="1"/>
  <c r="F8"/>
  <c r="F9"/>
  <c r="I17"/>
  <c r="I16"/>
  <c r="J10"/>
  <c r="H18" s="1"/>
  <c r="C19"/>
  <c r="I19" s="1"/>
  <c r="J9"/>
  <c r="H17" s="1"/>
  <c r="H10"/>
  <c r="F18" s="1"/>
  <c r="K11" i="12"/>
  <c r="D11" s="1"/>
  <c r="I16"/>
  <c r="I17"/>
  <c r="E19"/>
  <c r="I19" s="1"/>
  <c r="D10"/>
  <c r="D18" s="1"/>
  <c r="D9"/>
  <c r="J10"/>
  <c r="H18" s="1"/>
  <c r="C19"/>
  <c r="H10"/>
  <c r="F18" s="1"/>
  <c r="F8"/>
  <c r="I18"/>
  <c r="D17"/>
  <c r="H11"/>
  <c r="F19" s="1"/>
  <c r="J8"/>
  <c r="H16" s="1"/>
  <c r="H9"/>
  <c r="F17" s="1"/>
  <c r="D8"/>
  <c r="J9"/>
  <c r="H17" s="1"/>
  <c r="G19" i="11"/>
  <c r="I18"/>
  <c r="E19"/>
  <c r="D8"/>
  <c r="D9"/>
  <c r="K11"/>
  <c r="D11" s="1"/>
  <c r="D10"/>
  <c r="D18" s="1"/>
  <c r="H8"/>
  <c r="F16" s="1"/>
  <c r="F8"/>
  <c r="F9"/>
  <c r="I17"/>
  <c r="I16"/>
  <c r="J10"/>
  <c r="H18" s="1"/>
  <c r="C19"/>
  <c r="J9"/>
  <c r="H17" s="1"/>
  <c r="H10"/>
  <c r="F18" s="1"/>
  <c r="F10" i="10"/>
  <c r="H9"/>
  <c r="F17" s="1"/>
  <c r="J8"/>
  <c r="H16" s="1"/>
  <c r="G19"/>
  <c r="I18"/>
  <c r="E19"/>
  <c r="D10"/>
  <c r="D18" s="1"/>
  <c r="K11"/>
  <c r="H11" s="1"/>
  <c r="F19" s="1"/>
  <c r="H8"/>
  <c r="F16" s="1"/>
  <c r="F8"/>
  <c r="F9"/>
  <c r="I17"/>
  <c r="D8"/>
  <c r="D9"/>
  <c r="I16"/>
  <c r="J10"/>
  <c r="H18" s="1"/>
  <c r="C19"/>
  <c r="J9"/>
  <c r="H17" s="1"/>
  <c r="H10"/>
  <c r="F18" s="1"/>
  <c r="I17" i="9"/>
  <c r="G19"/>
  <c r="I19" s="1"/>
  <c r="E19"/>
  <c r="I18"/>
  <c r="D9"/>
  <c r="D10"/>
  <c r="F9"/>
  <c r="K11"/>
  <c r="D11" s="1"/>
  <c r="C19"/>
  <c r="J9"/>
  <c r="H17" s="1"/>
  <c r="H10"/>
  <c r="F18" s="1"/>
  <c r="F10"/>
  <c r="D8"/>
  <c r="D16" s="1"/>
  <c r="J8"/>
  <c r="H16" s="1"/>
  <c r="H8"/>
  <c r="F16" s="1"/>
  <c r="I16"/>
  <c r="G19" i="8"/>
  <c r="I18"/>
  <c r="E19"/>
  <c r="D8"/>
  <c r="D9"/>
  <c r="K11"/>
  <c r="D11" s="1"/>
  <c r="D10"/>
  <c r="D18" s="1"/>
  <c r="H8"/>
  <c r="F16" s="1"/>
  <c r="F8"/>
  <c r="F9"/>
  <c r="I17"/>
  <c r="I16"/>
  <c r="J10"/>
  <c r="H18" s="1"/>
  <c r="C19"/>
  <c r="J9"/>
  <c r="H17" s="1"/>
  <c r="H10"/>
  <c r="F18" s="1"/>
  <c r="G19" i="7"/>
  <c r="I18"/>
  <c r="E19"/>
  <c r="D8"/>
  <c r="D9"/>
  <c r="K11"/>
  <c r="D11" s="1"/>
  <c r="D10"/>
  <c r="D18" s="1"/>
  <c r="H8"/>
  <c r="F16" s="1"/>
  <c r="F8"/>
  <c r="F9"/>
  <c r="I17"/>
  <c r="I16"/>
  <c r="J10"/>
  <c r="H18" s="1"/>
  <c r="C19"/>
  <c r="I19" s="1"/>
  <c r="J9"/>
  <c r="H17" s="1"/>
  <c r="H10"/>
  <c r="F18" s="1"/>
  <c r="I17" i="6"/>
  <c r="I18"/>
  <c r="D10"/>
  <c r="E19"/>
  <c r="H10"/>
  <c r="F18" s="1"/>
  <c r="F10"/>
  <c r="C19"/>
  <c r="J9"/>
  <c r="H17" s="1"/>
  <c r="H9"/>
  <c r="F17" s="1"/>
  <c r="D9"/>
  <c r="D17" s="1"/>
  <c r="G19" i="5"/>
  <c r="I18"/>
  <c r="E19"/>
  <c r="D8"/>
  <c r="D9"/>
  <c r="K11"/>
  <c r="D11" s="1"/>
  <c r="D10"/>
  <c r="D18" s="1"/>
  <c r="H8"/>
  <c r="F16" s="1"/>
  <c r="F8"/>
  <c r="F9"/>
  <c r="I17"/>
  <c r="I16"/>
  <c r="J10"/>
  <c r="H18" s="1"/>
  <c r="C19"/>
  <c r="J9"/>
  <c r="H17" s="1"/>
  <c r="H10"/>
  <c r="F18" s="1"/>
  <c r="D10" i="4"/>
  <c r="H10"/>
  <c r="F10"/>
  <c r="J10"/>
  <c r="D9"/>
  <c r="F9"/>
  <c r="J9"/>
  <c r="H9"/>
  <c r="D8"/>
  <c r="J8"/>
  <c r="H8"/>
  <c r="F8"/>
  <c r="G19"/>
  <c r="E19"/>
  <c r="I18"/>
  <c r="C19"/>
  <c r="I17"/>
  <c r="K11"/>
  <c r="H11" s="1"/>
  <c r="I16"/>
  <c r="H11" i="15" l="1"/>
  <c r="F19" s="1"/>
  <c r="D11"/>
  <c r="D19" s="1"/>
  <c r="J11"/>
  <c r="H19" s="1"/>
  <c r="F11"/>
  <c r="D17"/>
  <c r="I19"/>
  <c r="I19" i="14"/>
  <c r="D16"/>
  <c r="D19"/>
  <c r="J11" i="13"/>
  <c r="H19" s="1"/>
  <c r="D16"/>
  <c r="D17"/>
  <c r="F11"/>
  <c r="D19" s="1"/>
  <c r="H11"/>
  <c r="F19" s="1"/>
  <c r="J11" i="12"/>
  <c r="H19" s="1"/>
  <c r="F11"/>
  <c r="D19" s="1"/>
  <c r="D16"/>
  <c r="I19" i="11"/>
  <c r="J11"/>
  <c r="H19" s="1"/>
  <c r="D16"/>
  <c r="D17"/>
  <c r="F11"/>
  <c r="D19" s="1"/>
  <c r="H11"/>
  <c r="F19" s="1"/>
  <c r="D11" i="10"/>
  <c r="I19"/>
  <c r="J11"/>
  <c r="H19" s="1"/>
  <c r="F11"/>
  <c r="D17"/>
  <c r="D16"/>
  <c r="D17" i="9"/>
  <c r="F11"/>
  <c r="D18"/>
  <c r="J11"/>
  <c r="H19" s="1"/>
  <c r="H11"/>
  <c r="F19" s="1"/>
  <c r="D19"/>
  <c r="J11" i="8"/>
  <c r="H19" s="1"/>
  <c r="F11"/>
  <c r="D19" s="1"/>
  <c r="H11"/>
  <c r="F19" s="1"/>
  <c r="D16"/>
  <c r="I19"/>
  <c r="D17"/>
  <c r="J11" i="7"/>
  <c r="H19" s="1"/>
  <c r="D16"/>
  <c r="D17"/>
  <c r="F11"/>
  <c r="D19" s="1"/>
  <c r="H11"/>
  <c r="F19" s="1"/>
  <c r="D18" i="6"/>
  <c r="I19" i="5"/>
  <c r="J11"/>
  <c r="H19" s="1"/>
  <c r="D16"/>
  <c r="D17"/>
  <c r="F11"/>
  <c r="D19" s="1"/>
  <c r="H11"/>
  <c r="F19" s="1"/>
  <c r="D11" i="4"/>
  <c r="J11"/>
  <c r="F11"/>
  <c r="I19"/>
  <c r="D19" i="10" l="1"/>
  <c r="D17" i="4"/>
  <c r="D16"/>
  <c r="D18"/>
  <c r="F16"/>
  <c r="F17"/>
  <c r="F18"/>
  <c r="H18"/>
  <c r="H16"/>
  <c r="H17"/>
  <c r="D19"/>
  <c r="F19"/>
  <c r="H19"/>
  <c r="K8" i="6"/>
  <c r="H8" s="1"/>
  <c r="F16" s="1"/>
  <c r="I11"/>
  <c r="K11" s="1"/>
  <c r="H11" s="1"/>
  <c r="F19" s="1"/>
  <c r="G16"/>
  <c r="I16" s="1"/>
  <c r="J8" l="1"/>
  <c r="H16" s="1"/>
  <c r="D8"/>
  <c r="D16" s="1"/>
  <c r="F8"/>
  <c r="D11"/>
  <c r="J11"/>
  <c r="H19" s="1"/>
  <c r="G19"/>
  <c r="I19" s="1"/>
  <c r="F11"/>
  <c r="D19" l="1"/>
</calcChain>
</file>

<file path=xl/sharedStrings.xml><?xml version="1.0" encoding="utf-8"?>
<sst xmlns="http://schemas.openxmlformats.org/spreadsheetml/2006/main" count="288" uniqueCount="26">
  <si>
    <t>Años</t>
  </si>
  <si>
    <t>1-3</t>
  </si>
  <si>
    <t>3-5</t>
  </si>
  <si>
    <t>5 en adelante</t>
  </si>
  <si>
    <t>0-3</t>
  </si>
  <si>
    <t>CCI</t>
  </si>
  <si>
    <t>REPARTO INDIVIDUALIZADO</t>
  </si>
  <si>
    <t>FONDO DE SOLIDARIDAD SOCIAL</t>
  </si>
  <si>
    <t xml:space="preserve">FONDO  </t>
  </si>
  <si>
    <t>TOTAL</t>
  </si>
  <si>
    <t xml:space="preserve">TOTAL </t>
  </si>
  <si>
    <t>Inversiones de los Fondos de Pensiones por plazo de instrumentos</t>
  </si>
  <si>
    <t>RD$</t>
  </si>
  <si>
    <t>&lt; 1</t>
  </si>
  <si>
    <t>Al 31 de enero de 2019</t>
  </si>
  <si>
    <t>Al 28 de febrero de 2019</t>
  </si>
  <si>
    <t>Al 31 de Marzo de 2019</t>
  </si>
  <si>
    <t>Al 30 de Abril de 2019</t>
  </si>
  <si>
    <t>Al 31 de Mayo de 2019</t>
  </si>
  <si>
    <t>Al 30 de Junio de 2019</t>
  </si>
  <si>
    <t>Al 31 de Julio de 2019</t>
  </si>
  <si>
    <t>Al 31 de Agosto de 2019</t>
  </si>
  <si>
    <t>Al 30 de Septiembre de 2019</t>
  </si>
  <si>
    <t>Al 31 de Octubre de 2019</t>
  </si>
  <si>
    <t>Al 30 de Noviembre de 2019</t>
  </si>
  <si>
    <t>Al 31 de Diciembre de 2019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</si>
</sst>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#,##0.0000000000000"/>
  </numFmts>
  <fonts count="9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theme="0"/>
      </left>
      <right style="thick">
        <color theme="0"/>
      </right>
      <top style="medium">
        <color indexed="64"/>
      </top>
      <bottom style="thick">
        <color theme="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/>
      <right/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</cellStyleXfs>
  <cellXfs count="51">
    <xf numFmtId="0" fontId="0" fillId="0" borderId="0" xfId="0"/>
    <xf numFmtId="0" fontId="3" fillId="0" borderId="0" xfId="1" applyFont="1"/>
    <xf numFmtId="0" fontId="3" fillId="0" borderId="0" xfId="1" applyFont="1" applyAlignment="1">
      <alignment horizontal="center"/>
    </xf>
    <xf numFmtId="164" fontId="5" fillId="0" borderId="0" xfId="2" applyFont="1" applyAlignment="1">
      <alignment horizontal="center"/>
    </xf>
    <xf numFmtId="164" fontId="4" fillId="0" borderId="0" xfId="2" applyFont="1" applyFill="1" applyBorder="1" applyAlignment="1">
      <alignment horizontal="center"/>
    </xf>
    <xf numFmtId="164" fontId="6" fillId="0" borderId="0" xfId="2" applyFont="1" applyFill="1" applyBorder="1" applyAlignment="1">
      <alignment horizontal="center" vertical="center"/>
    </xf>
    <xf numFmtId="10" fontId="6" fillId="0" borderId="1" xfId="3" applyNumberFormat="1" applyFont="1" applyBorder="1" applyAlignment="1">
      <alignment horizontal="center" vertical="center"/>
    </xf>
    <xf numFmtId="0" fontId="3" fillId="0" borderId="0" xfId="5" applyFont="1"/>
    <xf numFmtId="0" fontId="4" fillId="0" borderId="0" xfId="5" applyFont="1"/>
    <xf numFmtId="164" fontId="4" fillId="3" borderId="11" xfId="2" applyFont="1" applyFill="1" applyBorder="1" applyAlignment="1">
      <alignment horizontal="center"/>
    </xf>
    <xf numFmtId="164" fontId="6" fillId="3" borderId="12" xfId="2" applyFont="1" applyFill="1" applyBorder="1" applyAlignment="1">
      <alignment horizontal="center" vertical="center"/>
    </xf>
    <xf numFmtId="164" fontId="6" fillId="3" borderId="11" xfId="2" applyFont="1" applyFill="1" applyBorder="1" applyAlignment="1">
      <alignment horizontal="center" vertical="center"/>
    </xf>
    <xf numFmtId="10" fontId="6" fillId="3" borderId="4" xfId="4" applyNumberFormat="1" applyFont="1" applyFill="1" applyBorder="1" applyAlignment="1">
      <alignment horizontal="center" vertical="center"/>
    </xf>
    <xf numFmtId="164" fontId="5" fillId="0" borderId="1" xfId="2" applyFont="1" applyBorder="1" applyAlignment="1">
      <alignment horizontal="center" vertical="center"/>
    </xf>
    <xf numFmtId="164" fontId="5" fillId="0" borderId="3" xfId="2" applyFont="1" applyBorder="1" applyAlignment="1">
      <alignment horizontal="center" vertical="center"/>
    </xf>
    <xf numFmtId="0" fontId="4" fillId="3" borderId="13" xfId="2" applyNumberFormat="1" applyFont="1" applyFill="1" applyBorder="1" applyAlignment="1">
      <alignment horizontal="center" vertical="center" wrapText="1"/>
    </xf>
    <xf numFmtId="0" fontId="4" fillId="3" borderId="14" xfId="2" applyNumberFormat="1" applyFont="1" applyFill="1" applyBorder="1" applyAlignment="1">
      <alignment horizontal="center" vertical="center" wrapText="1"/>
    </xf>
    <xf numFmtId="164" fontId="5" fillId="0" borderId="3" xfId="2" applyFont="1" applyFill="1" applyBorder="1" applyAlignment="1">
      <alignment horizontal="center" vertical="center"/>
    </xf>
    <xf numFmtId="0" fontId="4" fillId="3" borderId="18" xfId="2" applyNumberFormat="1" applyFont="1" applyFill="1" applyBorder="1" applyAlignment="1">
      <alignment horizontal="center" vertical="center" wrapText="1"/>
    </xf>
    <xf numFmtId="10" fontId="6" fillId="0" borderId="2" xfId="3" applyNumberFormat="1" applyFont="1" applyBorder="1" applyAlignment="1">
      <alignment horizontal="center" vertical="center"/>
    </xf>
    <xf numFmtId="164" fontId="6" fillId="3" borderId="13" xfId="2" applyFont="1" applyFill="1" applyBorder="1" applyAlignment="1">
      <alignment horizontal="center" vertical="center"/>
    </xf>
    <xf numFmtId="164" fontId="6" fillId="3" borderId="15" xfId="2" applyFont="1" applyFill="1" applyBorder="1" applyAlignment="1">
      <alignment horizontal="center" vertical="center"/>
    </xf>
    <xf numFmtId="164" fontId="5" fillId="0" borderId="26" xfId="2" applyFont="1" applyBorder="1" applyAlignment="1">
      <alignment horizontal="center" vertical="center"/>
    </xf>
    <xf numFmtId="10" fontId="6" fillId="0" borderId="27" xfId="3" applyNumberFormat="1" applyFont="1" applyBorder="1" applyAlignment="1">
      <alignment horizontal="center" vertical="center"/>
    </xf>
    <xf numFmtId="164" fontId="5" fillId="0" borderId="27" xfId="2" applyFont="1" applyBorder="1" applyAlignment="1">
      <alignment horizontal="center" vertical="center"/>
    </xf>
    <xf numFmtId="10" fontId="6" fillId="0" borderId="28" xfId="3" applyNumberFormat="1" applyFont="1" applyBorder="1" applyAlignment="1">
      <alignment horizontal="center" vertical="center"/>
    </xf>
    <xf numFmtId="164" fontId="6" fillId="3" borderId="29" xfId="2" applyFont="1" applyFill="1" applyBorder="1" applyAlignment="1">
      <alignment horizontal="center" vertical="center"/>
    </xf>
    <xf numFmtId="164" fontId="6" fillId="3" borderId="30" xfId="2" applyFont="1" applyFill="1" applyBorder="1" applyAlignment="1">
      <alignment horizontal="center" vertical="center"/>
    </xf>
    <xf numFmtId="10" fontId="6" fillId="3" borderId="31" xfId="4" applyNumberFormat="1" applyFont="1" applyFill="1" applyBorder="1" applyAlignment="1">
      <alignment horizontal="center" vertical="center"/>
    </xf>
    <xf numFmtId="164" fontId="6" fillId="3" borderId="4" xfId="2" applyFont="1" applyFill="1" applyBorder="1" applyAlignment="1">
      <alignment horizontal="center" vertical="center"/>
    </xf>
    <xf numFmtId="0" fontId="4" fillId="0" borderId="0" xfId="1" applyFont="1" applyAlignment="1"/>
    <xf numFmtId="165" fontId="3" fillId="0" borderId="0" xfId="5" applyNumberFormat="1" applyFont="1"/>
    <xf numFmtId="0" fontId="7" fillId="2" borderId="21" xfId="5" applyFont="1" applyFill="1" applyBorder="1" applyAlignment="1">
      <alignment horizontal="center"/>
    </xf>
    <xf numFmtId="0" fontId="7" fillId="2" borderId="22" xfId="5" applyFont="1" applyFill="1" applyBorder="1" applyAlignment="1">
      <alignment horizontal="center"/>
    </xf>
    <xf numFmtId="0" fontId="4" fillId="0" borderId="0" xfId="1" applyFont="1" applyAlignment="1">
      <alignment horizontal="center"/>
    </xf>
    <xf numFmtId="164" fontId="7" fillId="2" borderId="5" xfId="2" applyFont="1" applyFill="1" applyBorder="1" applyAlignment="1">
      <alignment horizontal="center" vertical="center" wrapText="1"/>
    </xf>
    <xf numFmtId="164" fontId="7" fillId="2" borderId="8" xfId="2" applyFont="1" applyFill="1" applyBorder="1" applyAlignment="1">
      <alignment horizontal="center" vertical="center" wrapText="1"/>
    </xf>
    <xf numFmtId="0" fontId="7" fillId="2" borderId="6" xfId="5" applyFont="1" applyFill="1" applyBorder="1" applyAlignment="1">
      <alignment horizontal="center"/>
    </xf>
    <xf numFmtId="164" fontId="7" fillId="2" borderId="7" xfId="2" applyFont="1" applyFill="1" applyBorder="1" applyAlignment="1">
      <alignment horizontal="center" vertical="center" wrapText="1"/>
    </xf>
    <xf numFmtId="164" fontId="7" fillId="2" borderId="10" xfId="2" applyFont="1" applyFill="1" applyBorder="1" applyAlignment="1">
      <alignment horizontal="center" vertical="center" wrapText="1"/>
    </xf>
    <xf numFmtId="164" fontId="7" fillId="2" borderId="9" xfId="2" applyFont="1" applyFill="1" applyBorder="1" applyAlignment="1">
      <alignment horizontal="center"/>
    </xf>
    <xf numFmtId="49" fontId="7" fillId="2" borderId="9" xfId="5" applyNumberFormat="1" applyFont="1" applyFill="1" applyBorder="1" applyAlignment="1">
      <alignment horizontal="center"/>
    </xf>
    <xf numFmtId="0" fontId="7" fillId="2" borderId="9" xfId="5" applyFont="1" applyFill="1" applyBorder="1" applyAlignment="1">
      <alignment horizontal="center"/>
    </xf>
    <xf numFmtId="164" fontId="7" fillId="2" borderId="16" xfId="2" applyFont="1" applyFill="1" applyBorder="1" applyAlignment="1">
      <alignment horizontal="center" vertical="center" wrapText="1"/>
    </xf>
    <xf numFmtId="164" fontId="7" fillId="2" borderId="17" xfId="2" applyFont="1" applyFill="1" applyBorder="1" applyAlignment="1">
      <alignment horizontal="center" vertical="center" wrapText="1"/>
    </xf>
    <xf numFmtId="0" fontId="7" fillId="2" borderId="23" xfId="5" applyFont="1" applyFill="1" applyBorder="1" applyAlignment="1">
      <alignment horizontal="center"/>
    </xf>
    <xf numFmtId="0" fontId="7" fillId="2" borderId="24" xfId="5" applyFont="1" applyFill="1" applyBorder="1" applyAlignment="1">
      <alignment horizontal="center"/>
    </xf>
    <xf numFmtId="0" fontId="7" fillId="2" borderId="25" xfId="5" applyFont="1" applyFill="1" applyBorder="1" applyAlignment="1">
      <alignment horizontal="center"/>
    </xf>
    <xf numFmtId="164" fontId="7" fillId="2" borderId="19" xfId="2" applyFont="1" applyFill="1" applyBorder="1" applyAlignment="1">
      <alignment horizontal="center" vertical="center" wrapText="1"/>
    </xf>
    <xf numFmtId="164" fontId="7" fillId="2" borderId="20" xfId="2" applyFont="1" applyFill="1" applyBorder="1" applyAlignment="1">
      <alignment horizontal="center" vertical="center" wrapText="1"/>
    </xf>
    <xf numFmtId="165" fontId="3" fillId="0" borderId="0" xfId="1" applyNumberFormat="1" applyFont="1"/>
  </cellXfs>
  <cellStyles count="6">
    <cellStyle name="Millares 2" xfId="2"/>
    <cellStyle name="Normal" xfId="0" builtinId="0"/>
    <cellStyle name="Normal 2" xfId="1"/>
    <cellStyle name="Normal 2 2" xfId="5"/>
    <cellStyle name="Porcentual" xfId="4" builtinId="5"/>
    <cellStyle name="Porcentual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B2:M20"/>
  <sheetViews>
    <sheetView showGridLines="0" zoomScale="90" zoomScaleNormal="90" workbookViewId="0">
      <selection activeCell="L23" sqref="L23"/>
    </sheetView>
  </sheetViews>
  <sheetFormatPr baseColWidth="10" defaultRowHeight="15.7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31.140625" style="1" bestFit="1" customWidth="1"/>
    <col min="13" max="13" width="19.7109375" style="1" bestFit="1" customWidth="1"/>
    <col min="14" max="14" width="19.140625" style="1" bestFit="1" customWidth="1"/>
    <col min="15" max="15" width="21.28515625" style="1" bestFit="1" customWidth="1"/>
    <col min="16" max="16" width="21.85546875" style="1" bestFit="1" customWidth="1"/>
    <col min="17" max="16384" width="11.42578125" style="1"/>
  </cols>
  <sheetData>
    <row r="2" spans="2:13">
      <c r="B2" s="34" t="s">
        <v>11</v>
      </c>
      <c r="C2" s="34"/>
      <c r="D2" s="34"/>
      <c r="E2" s="34"/>
      <c r="F2" s="34"/>
      <c r="G2" s="34"/>
      <c r="H2" s="34"/>
      <c r="I2" s="34"/>
      <c r="J2" s="34"/>
      <c r="K2" s="34"/>
      <c r="L2" s="30"/>
      <c r="M2" s="30"/>
    </row>
    <row r="3" spans="2:13">
      <c r="B3" s="34" t="s">
        <v>12</v>
      </c>
      <c r="C3" s="34"/>
      <c r="D3" s="34"/>
      <c r="E3" s="34"/>
      <c r="F3" s="34"/>
      <c r="G3" s="34"/>
      <c r="H3" s="34"/>
      <c r="I3" s="34"/>
      <c r="J3" s="34"/>
      <c r="K3" s="34"/>
      <c r="L3" s="30"/>
      <c r="M3" s="30"/>
    </row>
    <row r="4" spans="2:13">
      <c r="B4" s="34" t="s">
        <v>14</v>
      </c>
      <c r="C4" s="34"/>
      <c r="D4" s="34"/>
      <c r="E4" s="34"/>
      <c r="F4" s="34"/>
      <c r="G4" s="34"/>
      <c r="H4" s="34"/>
      <c r="I4" s="34"/>
      <c r="J4" s="34"/>
      <c r="K4" s="34"/>
      <c r="L4" s="30"/>
      <c r="M4" s="30"/>
    </row>
    <row r="5" spans="2:13" ht="16.5" thickBot="1">
      <c r="B5" s="2"/>
      <c r="C5" s="2"/>
      <c r="D5" s="2"/>
      <c r="I5" s="2"/>
      <c r="J5" s="2"/>
      <c r="K5" s="2"/>
    </row>
    <row r="6" spans="2:13" ht="16.5" thickBot="1">
      <c r="B6" s="35" t="s">
        <v>8</v>
      </c>
      <c r="C6" s="37" t="s">
        <v>0</v>
      </c>
      <c r="D6" s="37"/>
      <c r="E6" s="37"/>
      <c r="F6" s="37"/>
      <c r="G6" s="37"/>
      <c r="H6" s="37"/>
      <c r="I6" s="37"/>
      <c r="J6" s="37"/>
      <c r="K6" s="38" t="s">
        <v>9</v>
      </c>
    </row>
    <row r="7" spans="2:13" ht="17.25" thickTop="1" thickBot="1">
      <c r="B7" s="36"/>
      <c r="C7" s="40" t="s">
        <v>13</v>
      </c>
      <c r="D7" s="40"/>
      <c r="E7" s="41" t="s">
        <v>1</v>
      </c>
      <c r="F7" s="41"/>
      <c r="G7" s="42" t="s">
        <v>2</v>
      </c>
      <c r="H7" s="42"/>
      <c r="I7" s="42" t="s">
        <v>3</v>
      </c>
      <c r="J7" s="42"/>
      <c r="K7" s="39"/>
    </row>
    <row r="8" spans="2:13">
      <c r="B8" s="15" t="s">
        <v>5</v>
      </c>
      <c r="C8" s="17">
        <v>69429315046.479721</v>
      </c>
      <c r="D8" s="6">
        <f>+C8/K8</f>
        <v>0.14507875778815127</v>
      </c>
      <c r="E8" s="13">
        <v>67370429701.873459</v>
      </c>
      <c r="F8" s="6">
        <f>+E8/K8</f>
        <v>0.14077653288468306</v>
      </c>
      <c r="G8" s="13">
        <v>130087347427.10425</v>
      </c>
      <c r="H8" s="6">
        <f>+G8/K8</f>
        <v>0.27182913667008524</v>
      </c>
      <c r="I8" s="13">
        <v>211675835333.63159</v>
      </c>
      <c r="J8" s="6">
        <f>+I8/K8</f>
        <v>0.44231557265708049</v>
      </c>
      <c r="K8" s="20">
        <f>+C8+E8+G8+I8</f>
        <v>478562927509.08899</v>
      </c>
    </row>
    <row r="9" spans="2:13" ht="41.25" customHeight="1">
      <c r="B9" s="16" t="s">
        <v>6</v>
      </c>
      <c r="C9" s="14">
        <v>9420543105.8026009</v>
      </c>
      <c r="D9" s="6">
        <f t="shared" ref="D9:D11" si="0">+C9/K9</f>
        <v>0.26614052686555267</v>
      </c>
      <c r="E9" s="13">
        <v>8596788651.3469009</v>
      </c>
      <c r="F9" s="6">
        <f t="shared" ref="F9:F11" si="1">+E9/K9</f>
        <v>0.24286857300318482</v>
      </c>
      <c r="G9" s="13">
        <v>6354586993.2625999</v>
      </c>
      <c r="H9" s="6">
        <f t="shared" ref="H9:H11" si="2">+G9/K9</f>
        <v>0.17952395221865614</v>
      </c>
      <c r="I9" s="13">
        <v>11024956790.3116</v>
      </c>
      <c r="J9" s="6">
        <f t="shared" ref="J9:J11" si="3">+I9/K9</f>
        <v>0.31146694791260637</v>
      </c>
      <c r="K9" s="21">
        <f t="shared" ref="K9:K11" si="4">+C9+E9+G9+I9</f>
        <v>35396875540.723701</v>
      </c>
    </row>
    <row r="10" spans="2:13" ht="34.5" customHeight="1" thickBot="1">
      <c r="B10" s="18" t="s">
        <v>7</v>
      </c>
      <c r="C10" s="22">
        <v>2154338679.8059006</v>
      </c>
      <c r="D10" s="6">
        <f t="shared" si="0"/>
        <v>6.4463852713382466E-2</v>
      </c>
      <c r="E10" s="24">
        <v>3693429530.8205996</v>
      </c>
      <c r="F10" s="6">
        <f t="shared" si="1"/>
        <v>0.11051776562055131</v>
      </c>
      <c r="G10" s="24">
        <v>11464537460.669399</v>
      </c>
      <c r="H10" s="6">
        <f t="shared" si="2"/>
        <v>0.34305110019109625</v>
      </c>
      <c r="I10" s="24">
        <v>16107022977.652002</v>
      </c>
      <c r="J10" s="6">
        <f t="shared" si="3"/>
        <v>0.48196728147497003</v>
      </c>
      <c r="K10" s="26">
        <f t="shared" si="4"/>
        <v>33419328648.947899</v>
      </c>
    </row>
    <row r="11" spans="2:13" ht="16.5" thickBot="1">
      <c r="B11" s="9" t="s">
        <v>10</v>
      </c>
      <c r="C11" s="11">
        <f>SUM(C8:C10)</f>
        <v>81004196832.088226</v>
      </c>
      <c r="D11" s="12">
        <f t="shared" si="0"/>
        <v>0.14798554080915766</v>
      </c>
      <c r="E11" s="11">
        <f t="shared" ref="E11:G11" si="5">SUM(E8:E10)</f>
        <v>79660647884.04097</v>
      </c>
      <c r="F11" s="12">
        <f t="shared" si="1"/>
        <v>0.14553102825973396</v>
      </c>
      <c r="G11" s="11">
        <f t="shared" si="5"/>
        <v>147906471881.03625</v>
      </c>
      <c r="H11" s="12">
        <f t="shared" si="2"/>
        <v>0.27020845939452748</v>
      </c>
      <c r="I11" s="10">
        <f>SUM(I8:I10)</f>
        <v>238807815101.59518</v>
      </c>
      <c r="J11" s="12">
        <f t="shared" si="3"/>
        <v>0.43627497153658096</v>
      </c>
      <c r="K11" s="29">
        <f t="shared" si="4"/>
        <v>547379131698.76062</v>
      </c>
    </row>
    <row r="12" spans="2:13">
      <c r="B12" s="4"/>
      <c r="C12" s="5"/>
      <c r="D12" s="5"/>
      <c r="E12" s="5"/>
      <c r="F12" s="5"/>
      <c r="G12" s="5"/>
      <c r="H12" s="5"/>
      <c r="I12" s="5"/>
      <c r="J12" s="5"/>
      <c r="K12" s="5"/>
    </row>
    <row r="13" spans="2:13" ht="16.5" thickBot="1">
      <c r="B13" s="8"/>
      <c r="C13" s="3"/>
      <c r="D13" s="3"/>
      <c r="E13" s="3"/>
      <c r="F13" s="3"/>
      <c r="G13" s="3"/>
      <c r="H13" s="3"/>
      <c r="I13" s="7"/>
      <c r="J13" s="7"/>
      <c r="K13" s="7"/>
    </row>
    <row r="14" spans="2:13" ht="16.5" thickBot="1">
      <c r="B14" s="43" t="s">
        <v>8</v>
      </c>
      <c r="C14" s="45" t="s">
        <v>0</v>
      </c>
      <c r="D14" s="46"/>
      <c r="E14" s="46"/>
      <c r="F14" s="46"/>
      <c r="G14" s="46"/>
      <c r="H14" s="47"/>
      <c r="I14" s="48" t="s">
        <v>9</v>
      </c>
      <c r="J14" s="7"/>
      <c r="K14" s="7"/>
    </row>
    <row r="15" spans="2:13" ht="16.5" thickBot="1">
      <c r="B15" s="44"/>
      <c r="C15" s="32" t="s">
        <v>4</v>
      </c>
      <c r="D15" s="33"/>
      <c r="E15" s="32" t="s">
        <v>2</v>
      </c>
      <c r="F15" s="33"/>
      <c r="G15" s="32" t="s">
        <v>3</v>
      </c>
      <c r="H15" s="33"/>
      <c r="I15" s="49"/>
      <c r="J15" s="7"/>
      <c r="K15" s="7"/>
    </row>
    <row r="16" spans="2:13">
      <c r="B16" s="15" t="s">
        <v>5</v>
      </c>
      <c r="C16" s="14">
        <f>+C8+E8</f>
        <v>136799744748.35318</v>
      </c>
      <c r="D16" s="6">
        <f>+D8+F8</f>
        <v>0.28585529067283433</v>
      </c>
      <c r="E16" s="13">
        <f>+G8</f>
        <v>130087347427.10425</v>
      </c>
      <c r="F16" s="6">
        <f>+H8</f>
        <v>0.27182913667008524</v>
      </c>
      <c r="G16" s="13">
        <f>+I8</f>
        <v>211675835333.63159</v>
      </c>
      <c r="H16" s="19">
        <f>+J8</f>
        <v>0.44231557265708049</v>
      </c>
      <c r="I16" s="20">
        <f>+C16+E16+G16</f>
        <v>478562927509.08899</v>
      </c>
      <c r="J16" s="7"/>
      <c r="K16" s="7"/>
    </row>
    <row r="17" spans="2:11" ht="31.5">
      <c r="B17" s="16" t="s">
        <v>6</v>
      </c>
      <c r="C17" s="14">
        <f>+C9+E9</f>
        <v>18017331757.149502</v>
      </c>
      <c r="D17" s="6">
        <f t="shared" ref="D17:D19" si="6">+D9+F9</f>
        <v>0.50900909986873755</v>
      </c>
      <c r="E17" s="13">
        <f>+G9</f>
        <v>6354586993.2625999</v>
      </c>
      <c r="F17" s="6">
        <f t="shared" ref="F17:F18" si="7">+H9</f>
        <v>0.17952395221865614</v>
      </c>
      <c r="G17" s="13">
        <f>+I9</f>
        <v>11024956790.3116</v>
      </c>
      <c r="H17" s="19">
        <f t="shared" ref="H17:H19" si="8">+J9</f>
        <v>0.31146694791260637</v>
      </c>
      <c r="I17" s="21">
        <f t="shared" ref="I17:I19" si="9">+C17+E17+G17</f>
        <v>35396875540.723701</v>
      </c>
      <c r="J17" s="7"/>
      <c r="K17" s="7"/>
    </row>
    <row r="18" spans="2:11" ht="32.25" thickBot="1">
      <c r="B18" s="18" t="s">
        <v>7</v>
      </c>
      <c r="C18" s="22">
        <f>+C10+E10</f>
        <v>5847768210.6265001</v>
      </c>
      <c r="D18" s="23">
        <f t="shared" si="6"/>
        <v>0.17498161833393377</v>
      </c>
      <c r="E18" s="24">
        <f>+G10</f>
        <v>11464537460.669399</v>
      </c>
      <c r="F18" s="23">
        <f t="shared" si="7"/>
        <v>0.34305110019109625</v>
      </c>
      <c r="G18" s="24">
        <f>+I10</f>
        <v>16107022977.652002</v>
      </c>
      <c r="H18" s="25">
        <f t="shared" si="8"/>
        <v>0.48196728147497003</v>
      </c>
      <c r="I18" s="26">
        <f t="shared" si="9"/>
        <v>33419328648.947899</v>
      </c>
      <c r="J18" s="7"/>
      <c r="K18" s="7"/>
    </row>
    <row r="19" spans="2:11" ht="16.5" thickBot="1">
      <c r="B19" s="9" t="s">
        <v>10</v>
      </c>
      <c r="C19" s="10">
        <f>SUM(C16:C18)</f>
        <v>160664844716.12918</v>
      </c>
      <c r="D19" s="12">
        <f t="shared" si="6"/>
        <v>0.29351656906889162</v>
      </c>
      <c r="E19" s="27">
        <f t="shared" ref="E19:G19" si="10">SUM(E16:E18)</f>
        <v>147906471881.03625</v>
      </c>
      <c r="F19" s="12">
        <f>+H11</f>
        <v>0.27020845939452748</v>
      </c>
      <c r="G19" s="27">
        <f t="shared" si="10"/>
        <v>238807815101.59518</v>
      </c>
      <c r="H19" s="28">
        <f t="shared" si="8"/>
        <v>0.43627497153658096</v>
      </c>
      <c r="I19" s="29">
        <f t="shared" si="9"/>
        <v>547379131698.76062</v>
      </c>
      <c r="J19" s="7"/>
      <c r="K19" s="7"/>
    </row>
    <row r="20" spans="2:11">
      <c r="B20" s="2"/>
      <c r="C20" s="2"/>
      <c r="D20" s="2"/>
      <c r="I20" s="2"/>
      <c r="J20" s="2"/>
      <c r="K20" s="2"/>
    </row>
  </sheetData>
  <mergeCells count="16">
    <mergeCell ref="E15:F15"/>
    <mergeCell ref="G15:H15"/>
    <mergeCell ref="B2:K2"/>
    <mergeCell ref="B3:K3"/>
    <mergeCell ref="B4:K4"/>
    <mergeCell ref="B6:B7"/>
    <mergeCell ref="C6:J6"/>
    <mergeCell ref="K6:K7"/>
    <mergeCell ref="C7:D7"/>
    <mergeCell ref="E7:F7"/>
    <mergeCell ref="G7:H7"/>
    <mergeCell ref="I7:J7"/>
    <mergeCell ref="B14:B15"/>
    <mergeCell ref="C14:H14"/>
    <mergeCell ref="I14:I15"/>
    <mergeCell ref="C15:D15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2" min="2" max="5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2"/>
  <dimension ref="B2:M20"/>
  <sheetViews>
    <sheetView showGridLines="0" zoomScale="90" zoomScaleNormal="90" workbookViewId="0">
      <selection activeCell="K30" sqref="K30"/>
    </sheetView>
  </sheetViews>
  <sheetFormatPr baseColWidth="10" defaultRowHeight="15.7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31.140625" style="1" bestFit="1" customWidth="1"/>
    <col min="13" max="13" width="19.7109375" style="1" bestFit="1" customWidth="1"/>
    <col min="14" max="14" width="19.140625" style="1" bestFit="1" customWidth="1"/>
    <col min="15" max="15" width="21.28515625" style="1" bestFit="1" customWidth="1"/>
    <col min="16" max="16" width="21.85546875" style="1" bestFit="1" customWidth="1"/>
    <col min="17" max="16384" width="11.42578125" style="1"/>
  </cols>
  <sheetData>
    <row r="2" spans="2:13">
      <c r="B2" s="34" t="s">
        <v>11</v>
      </c>
      <c r="C2" s="34"/>
      <c r="D2" s="34"/>
      <c r="E2" s="34"/>
      <c r="F2" s="34"/>
      <c r="G2" s="34"/>
      <c r="H2" s="34"/>
      <c r="I2" s="34"/>
      <c r="J2" s="34"/>
      <c r="K2" s="34"/>
      <c r="L2" s="30"/>
      <c r="M2" s="30"/>
    </row>
    <row r="3" spans="2:13">
      <c r="B3" s="34" t="s">
        <v>12</v>
      </c>
      <c r="C3" s="34"/>
      <c r="D3" s="34"/>
      <c r="E3" s="34"/>
      <c r="F3" s="34"/>
      <c r="G3" s="34"/>
      <c r="H3" s="34"/>
      <c r="I3" s="34"/>
      <c r="J3" s="34"/>
      <c r="K3" s="34"/>
      <c r="L3" s="30"/>
      <c r="M3" s="30"/>
    </row>
    <row r="4" spans="2:13">
      <c r="B4" s="34" t="s">
        <v>15</v>
      </c>
      <c r="C4" s="34"/>
      <c r="D4" s="34"/>
      <c r="E4" s="34"/>
      <c r="F4" s="34"/>
      <c r="G4" s="34"/>
      <c r="H4" s="34"/>
      <c r="I4" s="34"/>
      <c r="J4" s="34"/>
      <c r="K4" s="34"/>
      <c r="L4" s="30"/>
      <c r="M4" s="30"/>
    </row>
    <row r="5" spans="2:13" ht="16.5" thickBot="1">
      <c r="B5" s="2"/>
      <c r="C5" s="2"/>
      <c r="D5" s="2"/>
      <c r="I5" s="2"/>
      <c r="J5" s="2"/>
      <c r="K5" s="2"/>
    </row>
    <row r="6" spans="2:13" ht="16.5" thickBot="1">
      <c r="B6" s="35" t="s">
        <v>8</v>
      </c>
      <c r="C6" s="37" t="s">
        <v>0</v>
      </c>
      <c r="D6" s="37"/>
      <c r="E6" s="37"/>
      <c r="F6" s="37"/>
      <c r="G6" s="37"/>
      <c r="H6" s="37"/>
      <c r="I6" s="37"/>
      <c r="J6" s="37"/>
      <c r="K6" s="38" t="s">
        <v>9</v>
      </c>
    </row>
    <row r="7" spans="2:13" ht="17.25" thickTop="1" thickBot="1">
      <c r="B7" s="36"/>
      <c r="C7" s="40" t="s">
        <v>13</v>
      </c>
      <c r="D7" s="40"/>
      <c r="E7" s="41" t="s">
        <v>1</v>
      </c>
      <c r="F7" s="41"/>
      <c r="G7" s="42" t="s">
        <v>2</v>
      </c>
      <c r="H7" s="42"/>
      <c r="I7" s="42" t="s">
        <v>3</v>
      </c>
      <c r="J7" s="42"/>
      <c r="K7" s="39"/>
    </row>
    <row r="8" spans="2:13">
      <c r="B8" s="15" t="s">
        <v>5</v>
      </c>
      <c r="C8" s="17">
        <v>64983871945.423866</v>
      </c>
      <c r="D8" s="6">
        <f>+C8/K8</f>
        <v>0.13393613366750565</v>
      </c>
      <c r="E8" s="13">
        <v>80161976647.41391</v>
      </c>
      <c r="F8" s="6">
        <f>+E8/K8</f>
        <v>0.16521922898525532</v>
      </c>
      <c r="G8" s="13">
        <v>142011745817.00369</v>
      </c>
      <c r="H8" s="6">
        <f>+G8/K8</f>
        <v>0.29269576589828694</v>
      </c>
      <c r="I8" s="13">
        <v>198027920253.03006</v>
      </c>
      <c r="J8" s="6">
        <f>+I8/K8</f>
        <v>0.40814887144895223</v>
      </c>
      <c r="K8" s="20">
        <f>+C8+E8+G8+I8</f>
        <v>485185514662.87146</v>
      </c>
    </row>
    <row r="9" spans="2:13" ht="41.25" customHeight="1">
      <c r="B9" s="16" t="s">
        <v>6</v>
      </c>
      <c r="C9" s="14">
        <v>9544314661.4422016</v>
      </c>
      <c r="D9" s="6">
        <f t="shared" ref="D9:D11" si="0">+C9/K9</f>
        <v>0.26809890594900299</v>
      </c>
      <c r="E9" s="13">
        <v>8760956715.8799992</v>
      </c>
      <c r="F9" s="6">
        <f t="shared" ref="F9:F11" si="1">+E9/K9</f>
        <v>0.24609445454296033</v>
      </c>
      <c r="G9" s="13">
        <v>7680510794.8463993</v>
      </c>
      <c r="H9" s="6">
        <f t="shared" ref="H9:H11" si="2">+G9/K9</f>
        <v>0.21574482969913727</v>
      </c>
      <c r="I9" s="13">
        <v>9614193992.0672016</v>
      </c>
      <c r="J9" s="6">
        <f t="shared" ref="J9:J11" si="3">+I9/K9</f>
        <v>0.27006180980889943</v>
      </c>
      <c r="K9" s="21">
        <f t="shared" ref="K9:K11" si="4">+C9+E9+G9+I9</f>
        <v>35599976164.235802</v>
      </c>
    </row>
    <row r="10" spans="2:13" ht="34.5" customHeight="1" thickBot="1">
      <c r="B10" s="18" t="s">
        <v>7</v>
      </c>
      <c r="C10" s="22">
        <v>2248155698.5664997</v>
      </c>
      <c r="D10" s="6">
        <f t="shared" si="0"/>
        <v>6.644737560665652E-2</v>
      </c>
      <c r="E10" s="24">
        <v>4342069444.8713007</v>
      </c>
      <c r="F10" s="6">
        <f t="shared" si="1"/>
        <v>0.12833591530049251</v>
      </c>
      <c r="G10" s="24">
        <v>12143797799.014103</v>
      </c>
      <c r="H10" s="6">
        <f t="shared" si="2"/>
        <v>0.35892687243899551</v>
      </c>
      <c r="I10" s="24">
        <v>15099603713.847301</v>
      </c>
      <c r="J10" s="6">
        <f t="shared" si="3"/>
        <v>0.44628983665385541</v>
      </c>
      <c r="K10" s="26">
        <f t="shared" si="4"/>
        <v>33833626656.299206</v>
      </c>
    </row>
    <row r="11" spans="2:13" ht="16.5" thickBot="1">
      <c r="B11" s="9" t="s">
        <v>10</v>
      </c>
      <c r="C11" s="11">
        <f>SUM(C8:C10)</f>
        <v>76776342305.432571</v>
      </c>
      <c r="D11" s="12">
        <f t="shared" si="0"/>
        <v>0.13843075343995806</v>
      </c>
      <c r="E11" s="11">
        <f t="shared" ref="E11:G11" si="5">SUM(E8:E10)</f>
        <v>93265002808.165222</v>
      </c>
      <c r="F11" s="12">
        <f t="shared" si="1"/>
        <v>0.1681604543877909</v>
      </c>
      <c r="G11" s="11">
        <f t="shared" si="5"/>
        <v>161836054410.8642</v>
      </c>
      <c r="H11" s="12">
        <f t="shared" si="2"/>
        <v>0.29179674718967136</v>
      </c>
      <c r="I11" s="10">
        <f>SUM(I8:I10)</f>
        <v>222741717958.94455</v>
      </c>
      <c r="J11" s="12">
        <f t="shared" si="3"/>
        <v>0.4016120449825798</v>
      </c>
      <c r="K11" s="29">
        <f t="shared" si="4"/>
        <v>554619117483.40649</v>
      </c>
    </row>
    <row r="12" spans="2:13">
      <c r="B12" s="4"/>
      <c r="C12" s="5"/>
      <c r="D12" s="5"/>
      <c r="E12" s="5"/>
      <c r="F12" s="5"/>
      <c r="G12" s="5"/>
      <c r="H12" s="5"/>
      <c r="I12" s="5"/>
      <c r="J12" s="5"/>
      <c r="K12" s="5"/>
    </row>
    <row r="13" spans="2:13" ht="16.5" thickBot="1">
      <c r="B13" s="8"/>
      <c r="C13" s="3"/>
      <c r="D13" s="3"/>
      <c r="E13" s="3"/>
      <c r="F13" s="3"/>
      <c r="G13" s="3"/>
      <c r="H13" s="3"/>
      <c r="I13" s="7"/>
      <c r="J13" s="7"/>
      <c r="K13" s="7"/>
    </row>
    <row r="14" spans="2:13" ht="16.5" thickBot="1">
      <c r="B14" s="43" t="s">
        <v>8</v>
      </c>
      <c r="C14" s="45" t="s">
        <v>0</v>
      </c>
      <c r="D14" s="46"/>
      <c r="E14" s="46"/>
      <c r="F14" s="46"/>
      <c r="G14" s="46"/>
      <c r="H14" s="47"/>
      <c r="I14" s="48" t="s">
        <v>9</v>
      </c>
      <c r="J14" s="7"/>
      <c r="K14" s="7"/>
    </row>
    <row r="15" spans="2:13" ht="16.5" thickBot="1">
      <c r="B15" s="44"/>
      <c r="C15" s="32" t="s">
        <v>4</v>
      </c>
      <c r="D15" s="33"/>
      <c r="E15" s="32" t="s">
        <v>2</v>
      </c>
      <c r="F15" s="33"/>
      <c r="G15" s="32" t="s">
        <v>3</v>
      </c>
      <c r="H15" s="33"/>
      <c r="I15" s="49"/>
      <c r="J15" s="7"/>
      <c r="K15" s="7"/>
    </row>
    <row r="16" spans="2:13">
      <c r="B16" s="15" t="s">
        <v>5</v>
      </c>
      <c r="C16" s="14">
        <f>+C8+E8</f>
        <v>145145848592.83777</v>
      </c>
      <c r="D16" s="6">
        <f>+D8+F8</f>
        <v>0.29915536265276099</v>
      </c>
      <c r="E16" s="13">
        <f>+G8</f>
        <v>142011745817.00369</v>
      </c>
      <c r="F16" s="6">
        <f>+H8</f>
        <v>0.29269576589828694</v>
      </c>
      <c r="G16" s="13">
        <f>+I8</f>
        <v>198027920253.03006</v>
      </c>
      <c r="H16" s="19">
        <f>+J8</f>
        <v>0.40814887144895223</v>
      </c>
      <c r="I16" s="20">
        <f>+C16+E16+G16</f>
        <v>485185514662.87146</v>
      </c>
      <c r="J16" s="7"/>
      <c r="K16" s="7"/>
    </row>
    <row r="17" spans="2:11" ht="31.5">
      <c r="B17" s="16" t="s">
        <v>6</v>
      </c>
      <c r="C17" s="14">
        <f>+C9+E9</f>
        <v>18305271377.322201</v>
      </c>
      <c r="D17" s="6">
        <f t="shared" ref="D17:D19" si="6">+D9+F9</f>
        <v>0.51419336049196329</v>
      </c>
      <c r="E17" s="13">
        <f>+G9</f>
        <v>7680510794.8463993</v>
      </c>
      <c r="F17" s="6">
        <f t="shared" ref="F17:F18" si="7">+H9</f>
        <v>0.21574482969913727</v>
      </c>
      <c r="G17" s="13">
        <f>+I9</f>
        <v>9614193992.0672016</v>
      </c>
      <c r="H17" s="19">
        <f t="shared" ref="H17:H19" si="8">+J9</f>
        <v>0.27006180980889943</v>
      </c>
      <c r="I17" s="21">
        <f t="shared" ref="I17:I19" si="9">+C17+E17+G17</f>
        <v>35599976164.235802</v>
      </c>
      <c r="J17" s="7"/>
      <c r="K17" s="7"/>
    </row>
    <row r="18" spans="2:11" ht="32.25" thickBot="1">
      <c r="B18" s="18" t="s">
        <v>7</v>
      </c>
      <c r="C18" s="22">
        <f>+C10+E10</f>
        <v>6590225143.4378004</v>
      </c>
      <c r="D18" s="23">
        <f t="shared" si="6"/>
        <v>0.19478329090714902</v>
      </c>
      <c r="E18" s="24">
        <f>+G10</f>
        <v>12143797799.014103</v>
      </c>
      <c r="F18" s="23">
        <f t="shared" si="7"/>
        <v>0.35892687243899551</v>
      </c>
      <c r="G18" s="24">
        <f>+I10</f>
        <v>15099603713.847301</v>
      </c>
      <c r="H18" s="25">
        <f t="shared" si="8"/>
        <v>0.44628983665385541</v>
      </c>
      <c r="I18" s="26">
        <f t="shared" si="9"/>
        <v>33833626656.299206</v>
      </c>
      <c r="J18" s="7"/>
      <c r="K18" s="7"/>
    </row>
    <row r="19" spans="2:11" ht="16.5" thickBot="1">
      <c r="B19" s="9" t="s">
        <v>10</v>
      </c>
      <c r="C19" s="10">
        <f>SUM(C16:C18)</f>
        <v>170041345113.59778</v>
      </c>
      <c r="D19" s="12">
        <f t="shared" si="6"/>
        <v>0.30659120782774896</v>
      </c>
      <c r="E19" s="27">
        <f t="shared" ref="E19:G19" si="10">SUM(E16:E18)</f>
        <v>161836054410.8642</v>
      </c>
      <c r="F19" s="12">
        <f>+H11</f>
        <v>0.29179674718967136</v>
      </c>
      <c r="G19" s="27">
        <f t="shared" si="10"/>
        <v>222741717958.94455</v>
      </c>
      <c r="H19" s="28">
        <f t="shared" si="8"/>
        <v>0.4016120449825798</v>
      </c>
      <c r="I19" s="29">
        <f t="shared" si="9"/>
        <v>554619117483.40649</v>
      </c>
      <c r="J19" s="7"/>
      <c r="K19" s="7"/>
    </row>
    <row r="20" spans="2:11">
      <c r="B20" s="2"/>
      <c r="C20" s="2"/>
      <c r="D20" s="2"/>
      <c r="I20" s="2"/>
      <c r="J20" s="2"/>
      <c r="K20" s="2"/>
    </row>
  </sheetData>
  <mergeCells count="16">
    <mergeCell ref="B2:K2"/>
    <mergeCell ref="B3:K3"/>
    <mergeCell ref="B4:K4"/>
    <mergeCell ref="B6:B7"/>
    <mergeCell ref="C6:J6"/>
    <mergeCell ref="K6:K7"/>
    <mergeCell ref="C7:D7"/>
    <mergeCell ref="E7:F7"/>
    <mergeCell ref="G7:H7"/>
    <mergeCell ref="I7:J7"/>
    <mergeCell ref="B14:B15"/>
    <mergeCell ref="C14:H14"/>
    <mergeCell ref="I14:I15"/>
    <mergeCell ref="C15:D15"/>
    <mergeCell ref="E15:F15"/>
    <mergeCell ref="G15:H15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2" min="2" max="5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 codeName="Hoja3"/>
  <dimension ref="B2:M20"/>
  <sheetViews>
    <sheetView showGridLines="0" zoomScale="90" zoomScaleNormal="90" workbookViewId="0">
      <selection activeCell="N22" sqref="N22"/>
    </sheetView>
  </sheetViews>
  <sheetFormatPr baseColWidth="10" defaultRowHeight="15.7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31.140625" style="1" bestFit="1" customWidth="1"/>
    <col min="13" max="13" width="19.7109375" style="1" bestFit="1" customWidth="1"/>
    <col min="14" max="14" width="19.140625" style="1" bestFit="1" customWidth="1"/>
    <col min="15" max="15" width="21.28515625" style="1" bestFit="1" customWidth="1"/>
    <col min="16" max="16" width="21.85546875" style="1" bestFit="1" customWidth="1"/>
    <col min="17" max="16384" width="11.42578125" style="1"/>
  </cols>
  <sheetData>
    <row r="2" spans="2:13">
      <c r="B2" s="34" t="s">
        <v>11</v>
      </c>
      <c r="C2" s="34"/>
      <c r="D2" s="34"/>
      <c r="E2" s="34"/>
      <c r="F2" s="34"/>
      <c r="G2" s="34"/>
      <c r="H2" s="34"/>
      <c r="I2" s="34"/>
      <c r="J2" s="34"/>
      <c r="K2" s="34"/>
      <c r="L2" s="30"/>
      <c r="M2" s="30"/>
    </row>
    <row r="3" spans="2:13">
      <c r="B3" s="34" t="s">
        <v>12</v>
      </c>
      <c r="C3" s="34"/>
      <c r="D3" s="34"/>
      <c r="E3" s="34"/>
      <c r="F3" s="34"/>
      <c r="G3" s="34"/>
      <c r="H3" s="34"/>
      <c r="I3" s="34"/>
      <c r="J3" s="34"/>
      <c r="K3" s="34"/>
      <c r="L3" s="30"/>
      <c r="M3" s="30"/>
    </row>
    <row r="4" spans="2:13">
      <c r="B4" s="34" t="s">
        <v>16</v>
      </c>
      <c r="C4" s="34"/>
      <c r="D4" s="34"/>
      <c r="E4" s="34"/>
      <c r="F4" s="34"/>
      <c r="G4" s="34"/>
      <c r="H4" s="34"/>
      <c r="I4" s="34"/>
      <c r="J4" s="34"/>
      <c r="K4" s="34"/>
      <c r="L4" s="30"/>
      <c r="M4" s="30"/>
    </row>
    <row r="5" spans="2:13" ht="16.5" thickBot="1">
      <c r="B5" s="2"/>
      <c r="C5" s="2"/>
      <c r="D5" s="2"/>
      <c r="I5" s="2"/>
      <c r="J5" s="2"/>
      <c r="K5" s="2"/>
    </row>
    <row r="6" spans="2:13" ht="16.5" thickBot="1">
      <c r="B6" s="35" t="s">
        <v>8</v>
      </c>
      <c r="C6" s="37" t="s">
        <v>0</v>
      </c>
      <c r="D6" s="37"/>
      <c r="E6" s="37"/>
      <c r="F6" s="37"/>
      <c r="G6" s="37"/>
      <c r="H6" s="37"/>
      <c r="I6" s="37"/>
      <c r="J6" s="37"/>
      <c r="K6" s="38" t="s">
        <v>9</v>
      </c>
    </row>
    <row r="7" spans="2:13" ht="17.25" thickTop="1" thickBot="1">
      <c r="B7" s="36"/>
      <c r="C7" s="40" t="s">
        <v>13</v>
      </c>
      <c r="D7" s="40"/>
      <c r="E7" s="41" t="s">
        <v>1</v>
      </c>
      <c r="F7" s="41"/>
      <c r="G7" s="42" t="s">
        <v>2</v>
      </c>
      <c r="H7" s="42"/>
      <c r="I7" s="42" t="s">
        <v>3</v>
      </c>
      <c r="J7" s="42"/>
      <c r="K7" s="39"/>
    </row>
    <row r="8" spans="2:13">
      <c r="B8" s="15" t="s">
        <v>5</v>
      </c>
      <c r="C8" s="17">
        <v>69716646053.356461</v>
      </c>
      <c r="D8" s="6">
        <f>+C8/K8</f>
        <v>0.14195106120326184</v>
      </c>
      <c r="E8" s="13">
        <v>87458242607.172485</v>
      </c>
      <c r="F8" s="6">
        <f>+E8/K8</f>
        <v>0.17807497996330765</v>
      </c>
      <c r="G8" s="13">
        <v>132989496862.04291</v>
      </c>
      <c r="H8" s="6">
        <f>+G8/K8</f>
        <v>0.27078181864926337</v>
      </c>
      <c r="I8" s="13">
        <v>200967173920.49673</v>
      </c>
      <c r="J8" s="6">
        <f>+I8/K8</f>
        <v>0.40919214018416711</v>
      </c>
      <c r="K8" s="20">
        <f>+C8+E8+G8+I8</f>
        <v>491131559443.0686</v>
      </c>
    </row>
    <row r="9" spans="2:13" ht="41.25" customHeight="1">
      <c r="B9" s="16" t="s">
        <v>6</v>
      </c>
      <c r="C9" s="14">
        <v>9959991376.885601</v>
      </c>
      <c r="D9" s="6">
        <f t="shared" ref="D9:D11" si="0">+C9/K9</f>
        <v>0.27770993672080607</v>
      </c>
      <c r="E9" s="13">
        <v>9433468090.7491989</v>
      </c>
      <c r="F9" s="6">
        <f t="shared" ref="F9:F11" si="1">+E9/K9</f>
        <v>0.26302912597087824</v>
      </c>
      <c r="G9" s="13">
        <v>6847949476.8274994</v>
      </c>
      <c r="H9" s="6">
        <f t="shared" ref="H9:H11" si="2">+G9/K9</f>
        <v>0.19093827935338034</v>
      </c>
      <c r="I9" s="13">
        <v>9623319176.155201</v>
      </c>
      <c r="J9" s="6">
        <f t="shared" ref="J9:J11" si="3">+I9/K9</f>
        <v>0.26832265795493537</v>
      </c>
      <c r="K9" s="21">
        <f t="shared" ref="K9:K11" si="4">+C9+E9+G9+I9</f>
        <v>35864728120.6175</v>
      </c>
    </row>
    <row r="10" spans="2:13" ht="34.5" customHeight="1" thickBot="1">
      <c r="B10" s="18" t="s">
        <v>7</v>
      </c>
      <c r="C10" s="22">
        <v>2362643451.2672</v>
      </c>
      <c r="D10" s="6">
        <f t="shared" si="0"/>
        <v>6.8941020252377402E-2</v>
      </c>
      <c r="E10" s="24">
        <v>5237497619.8048</v>
      </c>
      <c r="F10" s="6">
        <f t="shared" si="1"/>
        <v>0.15282815072459507</v>
      </c>
      <c r="G10" s="24">
        <v>11548320364.038799</v>
      </c>
      <c r="H10" s="6">
        <f t="shared" si="2"/>
        <v>0.33697551260691744</v>
      </c>
      <c r="I10" s="24">
        <v>15122041708.273201</v>
      </c>
      <c r="J10" s="6">
        <f t="shared" si="3"/>
        <v>0.44125531641610999</v>
      </c>
      <c r="K10" s="26">
        <f t="shared" si="4"/>
        <v>34270503143.384003</v>
      </c>
    </row>
    <row r="11" spans="2:13" ht="16.5" thickBot="1">
      <c r="B11" s="9" t="s">
        <v>10</v>
      </c>
      <c r="C11" s="11">
        <f>SUM(C8:C10)</f>
        <v>82039280881.509262</v>
      </c>
      <c r="D11" s="12">
        <f t="shared" si="0"/>
        <v>0.14616806524069989</v>
      </c>
      <c r="E11" s="11">
        <f t="shared" ref="E11:G11" si="5">SUM(E8:E10)</f>
        <v>102129208317.72649</v>
      </c>
      <c r="F11" s="12">
        <f t="shared" si="1"/>
        <v>0.18196196534105755</v>
      </c>
      <c r="G11" s="11">
        <f t="shared" si="5"/>
        <v>151385766702.90921</v>
      </c>
      <c r="H11" s="12">
        <f t="shared" si="2"/>
        <v>0.26972158198099899</v>
      </c>
      <c r="I11" s="10">
        <f>SUM(I8:I10)</f>
        <v>225712534804.92514</v>
      </c>
      <c r="J11" s="12">
        <f t="shared" si="3"/>
        <v>0.40214838743724363</v>
      </c>
      <c r="K11" s="29">
        <f t="shared" si="4"/>
        <v>561266790707.07007</v>
      </c>
    </row>
    <row r="12" spans="2:13">
      <c r="B12" s="4"/>
      <c r="C12" s="5"/>
      <c r="D12" s="5"/>
      <c r="E12" s="5"/>
      <c r="F12" s="5"/>
      <c r="G12" s="5"/>
      <c r="H12" s="5"/>
      <c r="I12" s="5"/>
      <c r="J12" s="5"/>
      <c r="K12" s="5"/>
    </row>
    <row r="13" spans="2:13" ht="16.5" thickBot="1">
      <c r="B13" s="8"/>
      <c r="C13" s="3"/>
      <c r="D13" s="3"/>
      <c r="E13" s="3"/>
      <c r="F13" s="3"/>
      <c r="G13" s="3"/>
      <c r="H13" s="3"/>
      <c r="I13" s="7"/>
      <c r="J13" s="7"/>
      <c r="K13" s="7"/>
    </row>
    <row r="14" spans="2:13" ht="16.5" thickBot="1">
      <c r="B14" s="43" t="s">
        <v>8</v>
      </c>
      <c r="C14" s="45" t="s">
        <v>0</v>
      </c>
      <c r="D14" s="46"/>
      <c r="E14" s="46"/>
      <c r="F14" s="46"/>
      <c r="G14" s="46"/>
      <c r="H14" s="47"/>
      <c r="I14" s="48" t="s">
        <v>9</v>
      </c>
      <c r="J14" s="7"/>
      <c r="K14" s="7"/>
    </row>
    <row r="15" spans="2:13" ht="16.5" thickBot="1">
      <c r="B15" s="44"/>
      <c r="C15" s="32" t="s">
        <v>4</v>
      </c>
      <c r="D15" s="33"/>
      <c r="E15" s="32" t="s">
        <v>2</v>
      </c>
      <c r="F15" s="33"/>
      <c r="G15" s="32" t="s">
        <v>3</v>
      </c>
      <c r="H15" s="33"/>
      <c r="I15" s="49"/>
      <c r="J15" s="7"/>
      <c r="K15" s="7"/>
    </row>
    <row r="16" spans="2:13">
      <c r="B16" s="15" t="s">
        <v>5</v>
      </c>
      <c r="C16" s="14">
        <f>+C8+E8</f>
        <v>157174888660.52893</v>
      </c>
      <c r="D16" s="6">
        <f>+D8+F8</f>
        <v>0.32002604116656952</v>
      </c>
      <c r="E16" s="13">
        <f>+G8</f>
        <v>132989496862.04291</v>
      </c>
      <c r="F16" s="6">
        <f>+H8</f>
        <v>0.27078181864926337</v>
      </c>
      <c r="G16" s="13">
        <f>+I8</f>
        <v>200967173920.49673</v>
      </c>
      <c r="H16" s="19">
        <f>+J8</f>
        <v>0.40919214018416711</v>
      </c>
      <c r="I16" s="20">
        <f>+C16+E16+G16</f>
        <v>491131559443.0686</v>
      </c>
      <c r="J16" s="7"/>
      <c r="K16" s="7"/>
    </row>
    <row r="17" spans="2:11" ht="31.5">
      <c r="B17" s="16" t="s">
        <v>6</v>
      </c>
      <c r="C17" s="14">
        <f>+C9+E9</f>
        <v>19393459467.6348</v>
      </c>
      <c r="D17" s="6">
        <f t="shared" ref="D17:D19" si="6">+D9+F9</f>
        <v>0.54073906269168437</v>
      </c>
      <c r="E17" s="13">
        <f>+G9</f>
        <v>6847949476.8274994</v>
      </c>
      <c r="F17" s="6">
        <f t="shared" ref="F17:F18" si="7">+H9</f>
        <v>0.19093827935338034</v>
      </c>
      <c r="G17" s="13">
        <f>+I9</f>
        <v>9623319176.155201</v>
      </c>
      <c r="H17" s="19">
        <f t="shared" ref="H17:H19" si="8">+J9</f>
        <v>0.26832265795493537</v>
      </c>
      <c r="I17" s="21">
        <f t="shared" ref="I17:I19" si="9">+C17+E17+G17</f>
        <v>35864728120.6175</v>
      </c>
      <c r="J17" s="7"/>
      <c r="K17" s="31"/>
    </row>
    <row r="18" spans="2:11" ht="32.25" thickBot="1">
      <c r="B18" s="18" t="s">
        <v>7</v>
      </c>
      <c r="C18" s="22">
        <f>+C10+E10</f>
        <v>7600141071.0720005</v>
      </c>
      <c r="D18" s="23">
        <f t="shared" si="6"/>
        <v>0.22176917097697246</v>
      </c>
      <c r="E18" s="24">
        <f>+G10</f>
        <v>11548320364.038799</v>
      </c>
      <c r="F18" s="23">
        <f t="shared" si="7"/>
        <v>0.33697551260691744</v>
      </c>
      <c r="G18" s="24">
        <f>+I10</f>
        <v>15122041708.273201</v>
      </c>
      <c r="H18" s="25">
        <f t="shared" si="8"/>
        <v>0.44125531641610999</v>
      </c>
      <c r="I18" s="26">
        <f t="shared" si="9"/>
        <v>34270503143.384003</v>
      </c>
      <c r="J18" s="7"/>
      <c r="K18" s="7"/>
    </row>
    <row r="19" spans="2:11" ht="16.5" thickBot="1">
      <c r="B19" s="9" t="s">
        <v>10</v>
      </c>
      <c r="C19" s="10">
        <f>SUM(C16:C18)</f>
        <v>184168489199.23572</v>
      </c>
      <c r="D19" s="12">
        <f t="shared" si="6"/>
        <v>0.32813003058175744</v>
      </c>
      <c r="E19" s="27">
        <f t="shared" ref="E19:G19" si="10">SUM(E16:E18)</f>
        <v>151385766702.90921</v>
      </c>
      <c r="F19" s="12">
        <f>+H11</f>
        <v>0.26972158198099899</v>
      </c>
      <c r="G19" s="27">
        <f t="shared" si="10"/>
        <v>225712534804.92514</v>
      </c>
      <c r="H19" s="28">
        <f t="shared" si="8"/>
        <v>0.40214838743724363</v>
      </c>
      <c r="I19" s="29">
        <f t="shared" si="9"/>
        <v>561266790707.07007</v>
      </c>
      <c r="J19" s="7"/>
      <c r="K19" s="7"/>
    </row>
    <row r="20" spans="2:11">
      <c r="B20" s="2"/>
      <c r="C20" s="2"/>
      <c r="D20" s="2"/>
      <c r="I20" s="2"/>
      <c r="J20" s="2"/>
      <c r="K20" s="2"/>
    </row>
  </sheetData>
  <mergeCells count="16">
    <mergeCell ref="B2:K2"/>
    <mergeCell ref="B3:K3"/>
    <mergeCell ref="B4:K4"/>
    <mergeCell ref="B6:B7"/>
    <mergeCell ref="C6:J6"/>
    <mergeCell ref="K6:K7"/>
    <mergeCell ref="C7:D7"/>
    <mergeCell ref="E7:F7"/>
    <mergeCell ref="G7:H7"/>
    <mergeCell ref="I7:J7"/>
    <mergeCell ref="B14:B15"/>
    <mergeCell ref="C14:H14"/>
    <mergeCell ref="I14:I15"/>
    <mergeCell ref="C15:D15"/>
    <mergeCell ref="E15:F15"/>
    <mergeCell ref="G15:H15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2" min="2" max="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B2:M20"/>
  <sheetViews>
    <sheetView showGridLines="0" zoomScale="90" zoomScaleNormal="90" workbookViewId="0">
      <selection activeCell="I35" sqref="I35"/>
    </sheetView>
  </sheetViews>
  <sheetFormatPr baseColWidth="10" defaultRowHeight="15.7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31.140625" style="1" bestFit="1" customWidth="1"/>
    <col min="13" max="13" width="19.7109375" style="1" bestFit="1" customWidth="1"/>
    <col min="14" max="14" width="19.140625" style="1" bestFit="1" customWidth="1"/>
    <col min="15" max="15" width="21.28515625" style="1" bestFit="1" customWidth="1"/>
    <col min="16" max="16" width="21.85546875" style="1" bestFit="1" customWidth="1"/>
    <col min="17" max="16384" width="11.42578125" style="1"/>
  </cols>
  <sheetData>
    <row r="2" spans="2:13">
      <c r="B2" s="34" t="s">
        <v>11</v>
      </c>
      <c r="C2" s="34"/>
      <c r="D2" s="34"/>
      <c r="E2" s="34"/>
      <c r="F2" s="34"/>
      <c r="G2" s="34"/>
      <c r="H2" s="34"/>
      <c r="I2" s="34"/>
      <c r="J2" s="34"/>
      <c r="K2" s="34"/>
      <c r="L2" s="30"/>
      <c r="M2" s="30"/>
    </row>
    <row r="3" spans="2:13">
      <c r="B3" s="34" t="s">
        <v>12</v>
      </c>
      <c r="C3" s="34"/>
      <c r="D3" s="34"/>
      <c r="E3" s="34"/>
      <c r="F3" s="34"/>
      <c r="G3" s="34"/>
      <c r="H3" s="34"/>
      <c r="I3" s="34"/>
      <c r="J3" s="34"/>
      <c r="K3" s="34"/>
      <c r="L3" s="30"/>
      <c r="M3" s="30"/>
    </row>
    <row r="4" spans="2:13">
      <c r="B4" s="34" t="s">
        <v>17</v>
      </c>
      <c r="C4" s="34"/>
      <c r="D4" s="34"/>
      <c r="E4" s="34"/>
      <c r="F4" s="34"/>
      <c r="G4" s="34"/>
      <c r="H4" s="34"/>
      <c r="I4" s="34"/>
      <c r="J4" s="34"/>
      <c r="K4" s="34"/>
      <c r="L4" s="30"/>
      <c r="M4" s="30"/>
    </row>
    <row r="5" spans="2:13" ht="16.5" thickBot="1">
      <c r="B5" s="2"/>
      <c r="C5" s="2"/>
      <c r="D5" s="2"/>
      <c r="I5" s="2"/>
      <c r="J5" s="2"/>
      <c r="K5" s="2"/>
    </row>
    <row r="6" spans="2:13" ht="16.5" thickBot="1">
      <c r="B6" s="35" t="s">
        <v>8</v>
      </c>
      <c r="C6" s="37" t="s">
        <v>0</v>
      </c>
      <c r="D6" s="37"/>
      <c r="E6" s="37"/>
      <c r="F6" s="37"/>
      <c r="G6" s="37"/>
      <c r="H6" s="37"/>
      <c r="I6" s="37"/>
      <c r="J6" s="37"/>
      <c r="K6" s="38" t="s">
        <v>9</v>
      </c>
    </row>
    <row r="7" spans="2:13" ht="17.25" thickTop="1" thickBot="1">
      <c r="B7" s="36"/>
      <c r="C7" s="40" t="s">
        <v>13</v>
      </c>
      <c r="D7" s="40"/>
      <c r="E7" s="41" t="s">
        <v>1</v>
      </c>
      <c r="F7" s="41"/>
      <c r="G7" s="42" t="s">
        <v>2</v>
      </c>
      <c r="H7" s="42"/>
      <c r="I7" s="42" t="s">
        <v>3</v>
      </c>
      <c r="J7" s="42"/>
      <c r="K7" s="39"/>
    </row>
    <row r="8" spans="2:13">
      <c r="B8" s="15" t="s">
        <v>5</v>
      </c>
      <c r="C8" s="17">
        <v>62544288930.277924</v>
      </c>
      <c r="D8" s="6">
        <f>+C8/K8</f>
        <v>0.12550053601691671</v>
      </c>
      <c r="E8" s="13">
        <v>91536301993.204056</v>
      </c>
      <c r="F8" s="6">
        <f>+E8/K8</f>
        <v>0.18367552276371243</v>
      </c>
      <c r="G8" s="13">
        <v>130451080642.71552</v>
      </c>
      <c r="H8" s="6">
        <f>+G8/K8</f>
        <v>0.26176139859703851</v>
      </c>
      <c r="I8" s="13">
        <v>213827067888.4877</v>
      </c>
      <c r="J8" s="6">
        <f>+I8/K8</f>
        <v>0.4290625426223324</v>
      </c>
      <c r="K8" s="20">
        <f>+C8+E8+G8+I8</f>
        <v>498358739454.68518</v>
      </c>
    </row>
    <row r="9" spans="2:13" ht="41.25" customHeight="1">
      <c r="B9" s="16" t="s">
        <v>6</v>
      </c>
      <c r="C9" s="14">
        <v>8965750929.2200012</v>
      </c>
      <c r="D9" s="6">
        <f t="shared" ref="D9:D11" si="0">+C9/K9</f>
        <v>0.24825429450584396</v>
      </c>
      <c r="E9" s="13">
        <v>9726461575.0836983</v>
      </c>
      <c r="F9" s="6">
        <f t="shared" ref="F9:F11" si="1">+E9/K9</f>
        <v>0.26931774877786741</v>
      </c>
      <c r="G9" s="13">
        <v>7084592586.7486992</v>
      </c>
      <c r="H9" s="6">
        <f t="shared" ref="H9:H11" si="2">+G9/K9</f>
        <v>0.1961665618830257</v>
      </c>
      <c r="I9" s="13">
        <v>10338384565.853798</v>
      </c>
      <c r="J9" s="6">
        <f t="shared" ref="J9:J11" si="3">+I9/K9</f>
        <v>0.28626139483326291</v>
      </c>
      <c r="K9" s="21">
        <f t="shared" ref="K9:K11" si="4">+C9+E9+G9+I9</f>
        <v>36115189656.906197</v>
      </c>
    </row>
    <row r="10" spans="2:13" ht="34.5" customHeight="1" thickBot="1">
      <c r="B10" s="18" t="s">
        <v>7</v>
      </c>
      <c r="C10" s="22">
        <v>2242833123.5492001</v>
      </c>
      <c r="D10" s="6">
        <f t="shared" si="0"/>
        <v>6.4427129387407939E-2</v>
      </c>
      <c r="E10" s="24">
        <v>5279859403.9908009</v>
      </c>
      <c r="F10" s="6">
        <f t="shared" si="1"/>
        <v>0.15166807614734062</v>
      </c>
      <c r="G10" s="24">
        <v>11616435273.770601</v>
      </c>
      <c r="H10" s="6">
        <f t="shared" si="2"/>
        <v>0.33369115630829077</v>
      </c>
      <c r="I10" s="24">
        <v>15672808488.1798</v>
      </c>
      <c r="J10" s="6">
        <f t="shared" si="3"/>
        <v>0.45021363815696069</v>
      </c>
      <c r="K10" s="26">
        <f t="shared" si="4"/>
        <v>34811936289.490402</v>
      </c>
    </row>
    <row r="11" spans="2:13" ht="16.5" thickBot="1">
      <c r="B11" s="9" t="s">
        <v>10</v>
      </c>
      <c r="C11" s="11">
        <f>SUM(C8:C10)</f>
        <v>73752872983.047119</v>
      </c>
      <c r="D11" s="12">
        <f t="shared" si="0"/>
        <v>0.12955331840372611</v>
      </c>
      <c r="E11" s="11">
        <f t="shared" ref="E11:G11" si="5">SUM(E8:E10)</f>
        <v>106542622972.27855</v>
      </c>
      <c r="F11" s="12">
        <f t="shared" si="1"/>
        <v>0.18715135830259116</v>
      </c>
      <c r="G11" s="11">
        <f t="shared" si="5"/>
        <v>149152108503.2348</v>
      </c>
      <c r="H11" s="12">
        <f t="shared" si="2"/>
        <v>0.26199861540239</v>
      </c>
      <c r="I11" s="10">
        <f>SUM(I8:I10)</f>
        <v>239838260942.5213</v>
      </c>
      <c r="J11" s="12">
        <f t="shared" si="3"/>
        <v>0.42129670789129264</v>
      </c>
      <c r="K11" s="29">
        <f t="shared" si="4"/>
        <v>569285865401.08179</v>
      </c>
    </row>
    <row r="12" spans="2:13">
      <c r="B12" s="4"/>
      <c r="C12" s="5"/>
      <c r="D12" s="5"/>
      <c r="E12" s="5"/>
      <c r="F12" s="5"/>
      <c r="G12" s="5"/>
      <c r="H12" s="5"/>
      <c r="I12" s="5"/>
      <c r="J12" s="5"/>
      <c r="K12" s="5"/>
    </row>
    <row r="13" spans="2:13" ht="16.5" thickBot="1">
      <c r="B13" s="8"/>
      <c r="C13" s="3"/>
      <c r="D13" s="3"/>
      <c r="E13" s="3"/>
      <c r="F13" s="3"/>
      <c r="G13" s="3"/>
      <c r="H13" s="3"/>
      <c r="I13" s="7"/>
      <c r="J13" s="7"/>
      <c r="K13" s="7"/>
    </row>
    <row r="14" spans="2:13" ht="16.5" thickBot="1">
      <c r="B14" s="43" t="s">
        <v>8</v>
      </c>
      <c r="C14" s="45" t="s">
        <v>0</v>
      </c>
      <c r="D14" s="46"/>
      <c r="E14" s="46"/>
      <c r="F14" s="46"/>
      <c r="G14" s="46"/>
      <c r="H14" s="47"/>
      <c r="I14" s="48" t="s">
        <v>9</v>
      </c>
      <c r="J14" s="7"/>
      <c r="K14" s="7"/>
    </row>
    <row r="15" spans="2:13" ht="16.5" thickBot="1">
      <c r="B15" s="44"/>
      <c r="C15" s="32" t="s">
        <v>4</v>
      </c>
      <c r="D15" s="33"/>
      <c r="E15" s="32" t="s">
        <v>2</v>
      </c>
      <c r="F15" s="33"/>
      <c r="G15" s="32" t="s">
        <v>3</v>
      </c>
      <c r="H15" s="33"/>
      <c r="I15" s="49"/>
      <c r="J15" s="7"/>
      <c r="K15" s="7"/>
    </row>
    <row r="16" spans="2:13">
      <c r="B16" s="15" t="s">
        <v>5</v>
      </c>
      <c r="C16" s="14">
        <f>+C8+E8</f>
        <v>154080590923.48199</v>
      </c>
      <c r="D16" s="6">
        <f>+D8+F8</f>
        <v>0.30917605878062915</v>
      </c>
      <c r="E16" s="13">
        <f>+G8</f>
        <v>130451080642.71552</v>
      </c>
      <c r="F16" s="6">
        <f>+H8</f>
        <v>0.26176139859703851</v>
      </c>
      <c r="G16" s="13">
        <f>+I8</f>
        <v>213827067888.4877</v>
      </c>
      <c r="H16" s="19">
        <f>+J8</f>
        <v>0.4290625426223324</v>
      </c>
      <c r="I16" s="20">
        <f>+C16+E16+G16</f>
        <v>498358739454.68518</v>
      </c>
      <c r="J16" s="7"/>
      <c r="K16" s="7"/>
    </row>
    <row r="17" spans="2:11" ht="31.5">
      <c r="B17" s="16" t="s">
        <v>6</v>
      </c>
      <c r="C17" s="14">
        <f>+C9+E9</f>
        <v>18692212504.303699</v>
      </c>
      <c r="D17" s="6">
        <f t="shared" ref="D17:D19" si="6">+D9+F9</f>
        <v>0.51757204328371142</v>
      </c>
      <c r="E17" s="13">
        <f>+G9</f>
        <v>7084592586.7486992</v>
      </c>
      <c r="F17" s="6">
        <f t="shared" ref="F17:F18" si="7">+H9</f>
        <v>0.1961665618830257</v>
      </c>
      <c r="G17" s="13">
        <f>+I9</f>
        <v>10338384565.853798</v>
      </c>
      <c r="H17" s="19">
        <f t="shared" ref="H17:H19" si="8">+J9</f>
        <v>0.28626139483326291</v>
      </c>
      <c r="I17" s="21">
        <f t="shared" ref="I17:I19" si="9">+C17+E17+G17</f>
        <v>36115189656.906197</v>
      </c>
      <c r="J17" s="7"/>
      <c r="K17" s="31"/>
    </row>
    <row r="18" spans="2:11" ht="32.25" thickBot="1">
      <c r="B18" s="18" t="s">
        <v>7</v>
      </c>
      <c r="C18" s="22">
        <f>+C10+E10</f>
        <v>7522692527.5400009</v>
      </c>
      <c r="D18" s="23">
        <f t="shared" si="6"/>
        <v>0.21609520553474856</v>
      </c>
      <c r="E18" s="24">
        <f>+G10</f>
        <v>11616435273.770601</v>
      </c>
      <c r="F18" s="23">
        <f t="shared" si="7"/>
        <v>0.33369115630829077</v>
      </c>
      <c r="G18" s="24">
        <f>+I10</f>
        <v>15672808488.1798</v>
      </c>
      <c r="H18" s="25">
        <f t="shared" si="8"/>
        <v>0.45021363815696069</v>
      </c>
      <c r="I18" s="26">
        <f t="shared" si="9"/>
        <v>34811936289.490402</v>
      </c>
      <c r="J18" s="7"/>
      <c r="K18" s="7"/>
    </row>
    <row r="19" spans="2:11" ht="16.5" thickBot="1">
      <c r="B19" s="9" t="s">
        <v>10</v>
      </c>
      <c r="C19" s="10">
        <f>SUM(C16:C18)</f>
        <v>180295495955.32571</v>
      </c>
      <c r="D19" s="12">
        <f t="shared" si="6"/>
        <v>0.3167046767063173</v>
      </c>
      <c r="E19" s="27">
        <f t="shared" ref="E19:G19" si="10">SUM(E16:E18)</f>
        <v>149152108503.2348</v>
      </c>
      <c r="F19" s="12">
        <f>+H11</f>
        <v>0.26199861540239</v>
      </c>
      <c r="G19" s="27">
        <f t="shared" si="10"/>
        <v>239838260942.5213</v>
      </c>
      <c r="H19" s="28">
        <f t="shared" si="8"/>
        <v>0.42129670789129264</v>
      </c>
      <c r="I19" s="29">
        <f t="shared" si="9"/>
        <v>569285865401.08179</v>
      </c>
      <c r="J19" s="7"/>
      <c r="K19" s="7"/>
    </row>
    <row r="20" spans="2:11">
      <c r="B20" s="2"/>
      <c r="C20" s="2"/>
      <c r="D20" s="2"/>
      <c r="I20" s="2"/>
      <c r="J20" s="2"/>
      <c r="K20" s="2"/>
    </row>
  </sheetData>
  <mergeCells count="16">
    <mergeCell ref="B14:B15"/>
    <mergeCell ref="C14:H14"/>
    <mergeCell ref="I14:I15"/>
    <mergeCell ref="C15:D15"/>
    <mergeCell ref="E15:F15"/>
    <mergeCell ref="G15:H15"/>
    <mergeCell ref="B2:K2"/>
    <mergeCell ref="B3:K3"/>
    <mergeCell ref="B4:K4"/>
    <mergeCell ref="B6:B7"/>
    <mergeCell ref="C6:J6"/>
    <mergeCell ref="K6:K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2" min="2" max="5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dimension ref="B2:M20"/>
  <sheetViews>
    <sheetView showGridLines="0" zoomScale="90" zoomScaleNormal="90" workbookViewId="0">
      <selection activeCell="M18" sqref="M18"/>
    </sheetView>
  </sheetViews>
  <sheetFormatPr baseColWidth="10" defaultRowHeight="15.7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31.140625" style="1" bestFit="1" customWidth="1"/>
    <col min="13" max="13" width="19.7109375" style="1" bestFit="1" customWidth="1"/>
    <col min="14" max="14" width="19.140625" style="1" bestFit="1" customWidth="1"/>
    <col min="15" max="15" width="21.28515625" style="1" bestFit="1" customWidth="1"/>
    <col min="16" max="16" width="21.85546875" style="1" bestFit="1" customWidth="1"/>
    <col min="17" max="16384" width="11.42578125" style="1"/>
  </cols>
  <sheetData>
    <row r="2" spans="2:13">
      <c r="B2" s="34" t="s">
        <v>11</v>
      </c>
      <c r="C2" s="34"/>
      <c r="D2" s="34"/>
      <c r="E2" s="34"/>
      <c r="F2" s="34"/>
      <c r="G2" s="34"/>
      <c r="H2" s="34"/>
      <c r="I2" s="34"/>
      <c r="J2" s="34"/>
      <c r="K2" s="34"/>
      <c r="L2" s="30"/>
      <c r="M2" s="30"/>
    </row>
    <row r="3" spans="2:13">
      <c r="B3" s="34" t="s">
        <v>12</v>
      </c>
      <c r="C3" s="34"/>
      <c r="D3" s="34"/>
      <c r="E3" s="34"/>
      <c r="F3" s="34"/>
      <c r="G3" s="34"/>
      <c r="H3" s="34"/>
      <c r="I3" s="34"/>
      <c r="J3" s="34"/>
      <c r="K3" s="34"/>
      <c r="L3" s="30"/>
      <c r="M3" s="30"/>
    </row>
    <row r="4" spans="2:13">
      <c r="B4" s="34" t="s">
        <v>18</v>
      </c>
      <c r="C4" s="34"/>
      <c r="D4" s="34"/>
      <c r="E4" s="34"/>
      <c r="F4" s="34"/>
      <c r="G4" s="34"/>
      <c r="H4" s="34"/>
      <c r="I4" s="34"/>
      <c r="J4" s="34"/>
      <c r="K4" s="34"/>
      <c r="L4" s="30"/>
      <c r="M4" s="30"/>
    </row>
    <row r="5" spans="2:13" ht="16.5" thickBot="1">
      <c r="B5" s="2"/>
      <c r="C5" s="2"/>
      <c r="D5" s="2"/>
      <c r="I5" s="2"/>
      <c r="J5" s="2"/>
      <c r="K5" s="2"/>
    </row>
    <row r="6" spans="2:13" ht="16.5" thickBot="1">
      <c r="B6" s="35" t="s">
        <v>8</v>
      </c>
      <c r="C6" s="37" t="s">
        <v>0</v>
      </c>
      <c r="D6" s="37"/>
      <c r="E6" s="37"/>
      <c r="F6" s="37"/>
      <c r="G6" s="37"/>
      <c r="H6" s="37"/>
      <c r="I6" s="37"/>
      <c r="J6" s="37"/>
      <c r="K6" s="38" t="s">
        <v>9</v>
      </c>
    </row>
    <row r="7" spans="2:13" ht="17.25" thickTop="1" thickBot="1">
      <c r="B7" s="36"/>
      <c r="C7" s="40" t="s">
        <v>13</v>
      </c>
      <c r="D7" s="40"/>
      <c r="E7" s="41" t="s">
        <v>1</v>
      </c>
      <c r="F7" s="41"/>
      <c r="G7" s="42" t="s">
        <v>2</v>
      </c>
      <c r="H7" s="42"/>
      <c r="I7" s="42" t="s">
        <v>3</v>
      </c>
      <c r="J7" s="42"/>
      <c r="K7" s="39"/>
    </row>
    <row r="8" spans="2:13">
      <c r="B8" s="15" t="s">
        <v>5</v>
      </c>
      <c r="C8" s="17">
        <v>58006551949.893707</v>
      </c>
      <c r="D8" s="6">
        <f>+C8/K8</f>
        <v>0.11418682977364171</v>
      </c>
      <c r="E8" s="13">
        <v>95576466301.392059</v>
      </c>
      <c r="F8" s="6">
        <f>+E8/K8</f>
        <v>0.18814380998461083</v>
      </c>
      <c r="G8" s="13">
        <v>139804170976.32419</v>
      </c>
      <c r="H8" s="6">
        <f>+G8/K8</f>
        <v>0.27520675744885198</v>
      </c>
      <c r="I8" s="13">
        <v>214609679280.63226</v>
      </c>
      <c r="J8" s="6">
        <f>+I8/K8</f>
        <v>0.42246260279289538</v>
      </c>
      <c r="K8" s="20">
        <f>+C8+E8+G8+I8</f>
        <v>507996868508.24225</v>
      </c>
    </row>
    <row r="9" spans="2:13" ht="41.25" customHeight="1">
      <c r="B9" s="16" t="s">
        <v>6</v>
      </c>
      <c r="C9" s="14">
        <v>6530908450.3373013</v>
      </c>
      <c r="D9" s="6">
        <f t="shared" ref="D9:D11" si="0">+C9/K9</f>
        <v>0.17903762966862832</v>
      </c>
      <c r="E9" s="13">
        <v>10061408100.093199</v>
      </c>
      <c r="F9" s="6">
        <f t="shared" ref="F9:F11" si="1">+E9/K9</f>
        <v>0.27582237158390854</v>
      </c>
      <c r="G9" s="13">
        <v>7838034948.5779009</v>
      </c>
      <c r="H9" s="6">
        <f t="shared" ref="H9:H11" si="2">+G9/K9</f>
        <v>0.21487105647312821</v>
      </c>
      <c r="I9" s="13">
        <v>12047502136.705101</v>
      </c>
      <c r="J9" s="6">
        <f t="shared" ref="J9:J11" si="3">+I9/K9</f>
        <v>0.33026894227433495</v>
      </c>
      <c r="K9" s="21">
        <f t="shared" ref="K9:K11" si="4">+C9+E9+G9+I9</f>
        <v>36477853635.713501</v>
      </c>
    </row>
    <row r="10" spans="2:13" ht="34.5" customHeight="1" thickBot="1">
      <c r="B10" s="18" t="s">
        <v>7</v>
      </c>
      <c r="C10" s="22">
        <v>2229518341.1087008</v>
      </c>
      <c r="D10" s="6">
        <f t="shared" si="0"/>
        <v>6.2826412811028465E-2</v>
      </c>
      <c r="E10" s="24">
        <v>5555992872.7089005</v>
      </c>
      <c r="F10" s="6">
        <f t="shared" si="1"/>
        <v>0.15656435534069582</v>
      </c>
      <c r="G10" s="24">
        <v>12579552812.848</v>
      </c>
      <c r="H10" s="6">
        <f t="shared" si="2"/>
        <v>0.35448381985729988</v>
      </c>
      <c r="I10" s="24">
        <v>15121895061.9382</v>
      </c>
      <c r="J10" s="6">
        <f t="shared" si="3"/>
        <v>0.42612541199097592</v>
      </c>
      <c r="K10" s="26">
        <f t="shared" si="4"/>
        <v>35486959088.603798</v>
      </c>
    </row>
    <row r="11" spans="2:13" ht="16.5" thickBot="1">
      <c r="B11" s="9" t="s">
        <v>10</v>
      </c>
      <c r="C11" s="11">
        <f>SUM(C8:C10)</f>
        <v>66766978741.339714</v>
      </c>
      <c r="D11" s="12">
        <f t="shared" si="0"/>
        <v>0.11512308640709444</v>
      </c>
      <c r="E11" s="11">
        <f t="shared" ref="E11:G11" si="5">SUM(E8:E10)</f>
        <v>111193867274.19415</v>
      </c>
      <c r="F11" s="12">
        <f t="shared" si="1"/>
        <v>0.19172623101215955</v>
      </c>
      <c r="G11" s="11">
        <f t="shared" si="5"/>
        <v>160221758737.75009</v>
      </c>
      <c r="H11" s="12">
        <f t="shared" si="2"/>
        <v>0.27626266341810707</v>
      </c>
      <c r="I11" s="10">
        <f>SUM(I8:I10)</f>
        <v>241779076479.27557</v>
      </c>
      <c r="J11" s="12">
        <f t="shared" si="3"/>
        <v>0.4168880191626389</v>
      </c>
      <c r="K11" s="29">
        <f t="shared" si="4"/>
        <v>579961681232.55957</v>
      </c>
    </row>
    <row r="12" spans="2:13">
      <c r="B12" s="4"/>
      <c r="C12" s="5"/>
      <c r="D12" s="5"/>
      <c r="E12" s="5"/>
      <c r="F12" s="5"/>
      <c r="G12" s="5"/>
      <c r="H12" s="5"/>
      <c r="I12" s="5"/>
      <c r="J12" s="5"/>
      <c r="K12" s="5"/>
    </row>
    <row r="13" spans="2:13" ht="16.5" thickBot="1">
      <c r="B13" s="8"/>
      <c r="C13" s="3"/>
      <c r="D13" s="3"/>
      <c r="E13" s="3"/>
      <c r="F13" s="3"/>
      <c r="G13" s="3"/>
      <c r="H13" s="3"/>
      <c r="I13" s="7"/>
      <c r="J13" s="7"/>
      <c r="K13" s="7"/>
    </row>
    <row r="14" spans="2:13" ht="16.5" thickBot="1">
      <c r="B14" s="43" t="s">
        <v>8</v>
      </c>
      <c r="C14" s="45" t="s">
        <v>0</v>
      </c>
      <c r="D14" s="46"/>
      <c r="E14" s="46"/>
      <c r="F14" s="46"/>
      <c r="G14" s="46"/>
      <c r="H14" s="47"/>
      <c r="I14" s="48" t="s">
        <v>9</v>
      </c>
      <c r="J14" s="7"/>
      <c r="K14" s="7"/>
    </row>
    <row r="15" spans="2:13" ht="16.5" thickBot="1">
      <c r="B15" s="44"/>
      <c r="C15" s="32" t="s">
        <v>4</v>
      </c>
      <c r="D15" s="33"/>
      <c r="E15" s="32" t="s">
        <v>2</v>
      </c>
      <c r="F15" s="33"/>
      <c r="G15" s="32" t="s">
        <v>3</v>
      </c>
      <c r="H15" s="33"/>
      <c r="I15" s="49"/>
      <c r="J15" s="7"/>
      <c r="K15" s="7"/>
    </row>
    <row r="16" spans="2:13">
      <c r="B16" s="15" t="s">
        <v>5</v>
      </c>
      <c r="C16" s="14">
        <f>+C8+E8</f>
        <v>153583018251.28577</v>
      </c>
      <c r="D16" s="6">
        <f>+D8+F8</f>
        <v>0.30233063975825253</v>
      </c>
      <c r="E16" s="13">
        <f>+G8</f>
        <v>139804170976.32419</v>
      </c>
      <c r="F16" s="6">
        <f>+H8</f>
        <v>0.27520675744885198</v>
      </c>
      <c r="G16" s="13">
        <f>+I8</f>
        <v>214609679280.63226</v>
      </c>
      <c r="H16" s="19">
        <f>+J8</f>
        <v>0.42246260279289538</v>
      </c>
      <c r="I16" s="20">
        <f>+C16+E16+G16</f>
        <v>507996868508.24225</v>
      </c>
      <c r="J16" s="7"/>
      <c r="K16" s="7"/>
    </row>
    <row r="17" spans="2:11" ht="31.5">
      <c r="B17" s="16" t="s">
        <v>6</v>
      </c>
      <c r="C17" s="14">
        <f>+C9+E9</f>
        <v>16592316550.4305</v>
      </c>
      <c r="D17" s="6">
        <f t="shared" ref="D17:D19" si="6">+D9+F9</f>
        <v>0.45486000125253689</v>
      </c>
      <c r="E17" s="13">
        <f>+G9</f>
        <v>7838034948.5779009</v>
      </c>
      <c r="F17" s="6">
        <f t="shared" ref="F17:F18" si="7">+H9</f>
        <v>0.21487105647312821</v>
      </c>
      <c r="G17" s="13">
        <f>+I9</f>
        <v>12047502136.705101</v>
      </c>
      <c r="H17" s="19">
        <f t="shared" ref="H17:H19" si="8">+J9</f>
        <v>0.33026894227433495</v>
      </c>
      <c r="I17" s="21">
        <f t="shared" ref="I17:I19" si="9">+C17+E17+G17</f>
        <v>36477853635.713501</v>
      </c>
      <c r="J17" s="7"/>
      <c r="K17" s="31"/>
    </row>
    <row r="18" spans="2:11" ht="32.25" thickBot="1">
      <c r="B18" s="18" t="s">
        <v>7</v>
      </c>
      <c r="C18" s="22">
        <f>+C10+E10</f>
        <v>7785511213.8176012</v>
      </c>
      <c r="D18" s="23">
        <f t="shared" si="6"/>
        <v>0.21939076815172429</v>
      </c>
      <c r="E18" s="24">
        <f>+G10</f>
        <v>12579552812.848</v>
      </c>
      <c r="F18" s="23">
        <f t="shared" si="7"/>
        <v>0.35448381985729988</v>
      </c>
      <c r="G18" s="24">
        <f>+I10</f>
        <v>15121895061.9382</v>
      </c>
      <c r="H18" s="25">
        <f t="shared" si="8"/>
        <v>0.42612541199097592</v>
      </c>
      <c r="I18" s="26">
        <f t="shared" si="9"/>
        <v>35486959088.603798</v>
      </c>
      <c r="J18" s="7"/>
      <c r="K18" s="7"/>
    </row>
    <row r="19" spans="2:11" ht="16.5" thickBot="1">
      <c r="B19" s="9" t="s">
        <v>10</v>
      </c>
      <c r="C19" s="10">
        <f>SUM(C16:C18)</f>
        <v>177960846015.53387</v>
      </c>
      <c r="D19" s="12">
        <f t="shared" si="6"/>
        <v>0.30684931741925398</v>
      </c>
      <c r="E19" s="27">
        <f t="shared" ref="E19:G19" si="10">SUM(E16:E18)</f>
        <v>160221758737.75009</v>
      </c>
      <c r="F19" s="12">
        <f>+H11</f>
        <v>0.27626266341810707</v>
      </c>
      <c r="G19" s="27">
        <f t="shared" si="10"/>
        <v>241779076479.27557</v>
      </c>
      <c r="H19" s="28">
        <f t="shared" si="8"/>
        <v>0.4168880191626389</v>
      </c>
      <c r="I19" s="29">
        <f t="shared" si="9"/>
        <v>579961681232.55957</v>
      </c>
      <c r="J19" s="7"/>
      <c r="K19" s="7"/>
    </row>
    <row r="20" spans="2:11">
      <c r="B20" s="2"/>
      <c r="C20" s="2"/>
      <c r="D20" s="2"/>
      <c r="I20" s="2"/>
      <c r="J20" s="2"/>
      <c r="K20" s="2"/>
    </row>
  </sheetData>
  <mergeCells count="16">
    <mergeCell ref="B2:K2"/>
    <mergeCell ref="B3:K3"/>
    <mergeCell ref="B4:K4"/>
    <mergeCell ref="B6:B7"/>
    <mergeCell ref="C6:J6"/>
    <mergeCell ref="K6:K7"/>
    <mergeCell ref="C7:D7"/>
    <mergeCell ref="E7:F7"/>
    <mergeCell ref="G7:H7"/>
    <mergeCell ref="I7:J7"/>
    <mergeCell ref="B14:B15"/>
    <mergeCell ref="C14:H14"/>
    <mergeCell ref="I14:I15"/>
    <mergeCell ref="C15:D15"/>
    <mergeCell ref="E15:F15"/>
    <mergeCell ref="G15:H15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2" min="2" max="55" man="1"/>
  </colBreaks>
</worksheet>
</file>

<file path=xl/worksheets/sheet6.xml><?xml version="1.0" encoding="utf-8"?>
<worksheet xmlns="http://schemas.openxmlformats.org/spreadsheetml/2006/main" xmlns:r="http://schemas.openxmlformats.org/officeDocument/2006/relationships">
  <dimension ref="B2:M20"/>
  <sheetViews>
    <sheetView showGridLines="0" zoomScale="90" zoomScaleNormal="90" workbookViewId="0">
      <selection activeCell="M23" sqref="M23"/>
    </sheetView>
  </sheetViews>
  <sheetFormatPr baseColWidth="10" defaultRowHeight="15.7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31.140625" style="1" bestFit="1" customWidth="1"/>
    <col min="13" max="13" width="19.7109375" style="1" bestFit="1" customWidth="1"/>
    <col min="14" max="14" width="19.140625" style="1" bestFit="1" customWidth="1"/>
    <col min="15" max="15" width="21.28515625" style="1" bestFit="1" customWidth="1"/>
    <col min="16" max="16" width="21.85546875" style="1" bestFit="1" customWidth="1"/>
    <col min="17" max="16384" width="11.42578125" style="1"/>
  </cols>
  <sheetData>
    <row r="2" spans="2:13">
      <c r="B2" s="34" t="s">
        <v>11</v>
      </c>
      <c r="C2" s="34"/>
      <c r="D2" s="34"/>
      <c r="E2" s="34"/>
      <c r="F2" s="34"/>
      <c r="G2" s="34"/>
      <c r="H2" s="34"/>
      <c r="I2" s="34"/>
      <c r="J2" s="34"/>
      <c r="K2" s="34"/>
      <c r="L2" s="30"/>
      <c r="M2" s="30"/>
    </row>
    <row r="3" spans="2:13">
      <c r="B3" s="34" t="s">
        <v>12</v>
      </c>
      <c r="C3" s="34"/>
      <c r="D3" s="34"/>
      <c r="E3" s="34"/>
      <c r="F3" s="34"/>
      <c r="G3" s="34"/>
      <c r="H3" s="34"/>
      <c r="I3" s="34"/>
      <c r="J3" s="34"/>
      <c r="K3" s="34"/>
      <c r="L3" s="30"/>
      <c r="M3" s="30"/>
    </row>
    <row r="4" spans="2:13">
      <c r="B4" s="34" t="s">
        <v>19</v>
      </c>
      <c r="C4" s="34"/>
      <c r="D4" s="34"/>
      <c r="E4" s="34"/>
      <c r="F4" s="34"/>
      <c r="G4" s="34"/>
      <c r="H4" s="34"/>
      <c r="I4" s="34"/>
      <c r="J4" s="34"/>
      <c r="K4" s="34"/>
      <c r="L4" s="30"/>
      <c r="M4" s="30"/>
    </row>
    <row r="5" spans="2:13" ht="16.5" thickBot="1">
      <c r="B5" s="2"/>
      <c r="C5" s="2"/>
      <c r="D5" s="2"/>
      <c r="I5" s="2"/>
      <c r="J5" s="2"/>
      <c r="K5" s="2"/>
    </row>
    <row r="6" spans="2:13" ht="16.5" thickBot="1">
      <c r="B6" s="35" t="s">
        <v>8</v>
      </c>
      <c r="C6" s="37" t="s">
        <v>0</v>
      </c>
      <c r="D6" s="37"/>
      <c r="E6" s="37"/>
      <c r="F6" s="37"/>
      <c r="G6" s="37"/>
      <c r="H6" s="37"/>
      <c r="I6" s="37"/>
      <c r="J6" s="37"/>
      <c r="K6" s="38" t="s">
        <v>9</v>
      </c>
    </row>
    <row r="7" spans="2:13" ht="17.25" thickTop="1" thickBot="1">
      <c r="B7" s="36"/>
      <c r="C7" s="40" t="s">
        <v>13</v>
      </c>
      <c r="D7" s="40"/>
      <c r="E7" s="41" t="s">
        <v>1</v>
      </c>
      <c r="F7" s="41"/>
      <c r="G7" s="42" t="s">
        <v>2</v>
      </c>
      <c r="H7" s="42"/>
      <c r="I7" s="42" t="s">
        <v>3</v>
      </c>
      <c r="J7" s="42"/>
      <c r="K7" s="39"/>
    </row>
    <row r="8" spans="2:13">
      <c r="B8" s="15" t="s">
        <v>5</v>
      </c>
      <c r="C8" s="17">
        <v>46228687605.677277</v>
      </c>
      <c r="D8" s="6">
        <f>+C8/K8</f>
        <v>8.9745611554140556E-2</v>
      </c>
      <c r="E8" s="13">
        <v>100930392155.26001</v>
      </c>
      <c r="F8" s="6">
        <f>+E8/K8</f>
        <v>0.19594023186720605</v>
      </c>
      <c r="G8" s="13">
        <v>140140373580.19138</v>
      </c>
      <c r="H8" s="6">
        <f>+G8/K8</f>
        <v>0.27206014667038564</v>
      </c>
      <c r="I8" s="13">
        <v>227808603812.05081</v>
      </c>
      <c r="J8" s="6">
        <f>+I8/K8</f>
        <v>0.44225400990826785</v>
      </c>
      <c r="K8" s="20">
        <f>+C8+E8+G8+I8</f>
        <v>515108057153.17944</v>
      </c>
    </row>
    <row r="9" spans="2:13" ht="41.25" customHeight="1">
      <c r="B9" s="16" t="s">
        <v>6</v>
      </c>
      <c r="C9" s="14">
        <v>6594497293.2649984</v>
      </c>
      <c r="D9" s="6">
        <f t="shared" ref="D9:D11" si="0">+C9/K9</f>
        <v>0.17911768039082293</v>
      </c>
      <c r="E9" s="13">
        <v>10191477328.1045</v>
      </c>
      <c r="F9" s="6">
        <f t="shared" ref="F9:F11" si="1">+E9/K9</f>
        <v>0.27681773114534564</v>
      </c>
      <c r="G9" s="13">
        <v>7872305303.863802</v>
      </c>
      <c r="H9" s="6">
        <f t="shared" ref="H9:H11" si="2">+G9/K9</f>
        <v>0.21382510336255184</v>
      </c>
      <c r="I9" s="13">
        <v>12158282676.941101</v>
      </c>
      <c r="J9" s="6">
        <f t="shared" ref="J9:J11" si="3">+I9/K9</f>
        <v>0.3302394851012796</v>
      </c>
      <c r="K9" s="21">
        <f t="shared" ref="K9:K11" si="4">+C9+E9+G9+I9</f>
        <v>36816562602.1744</v>
      </c>
    </row>
    <row r="10" spans="2:13" ht="34.5" customHeight="1" thickBot="1">
      <c r="B10" s="18" t="s">
        <v>7</v>
      </c>
      <c r="C10" s="22">
        <v>1865798488.8185003</v>
      </c>
      <c r="D10" s="6">
        <f t="shared" si="0"/>
        <v>5.1766480263826117E-2</v>
      </c>
      <c r="E10" s="24">
        <v>5785395293.1786995</v>
      </c>
      <c r="F10" s="6">
        <f t="shared" si="1"/>
        <v>0.16051548602787039</v>
      </c>
      <c r="G10" s="24">
        <v>12611290563.8335</v>
      </c>
      <c r="H10" s="6">
        <f t="shared" si="2"/>
        <v>0.34989958882830358</v>
      </c>
      <c r="I10" s="24">
        <v>15780114635.392698</v>
      </c>
      <c r="J10" s="6">
        <f t="shared" si="3"/>
        <v>0.43781844487999994</v>
      </c>
      <c r="K10" s="26">
        <f t="shared" si="4"/>
        <v>36042598981.223396</v>
      </c>
    </row>
    <row r="11" spans="2:13" ht="16.5" thickBot="1">
      <c r="B11" s="9" t="s">
        <v>10</v>
      </c>
      <c r="C11" s="11">
        <f>SUM(C8:C10)</f>
        <v>54688983387.760773</v>
      </c>
      <c r="D11" s="12">
        <f t="shared" si="0"/>
        <v>9.3013660702507092E-2</v>
      </c>
      <c r="E11" s="11">
        <f t="shared" ref="E11:G11" si="5">SUM(E8:E10)</f>
        <v>116907264776.5432</v>
      </c>
      <c r="F11" s="12">
        <f t="shared" si="1"/>
        <v>0.19883296389848618</v>
      </c>
      <c r="G11" s="11">
        <f t="shared" si="5"/>
        <v>160623969447.88867</v>
      </c>
      <c r="H11" s="12">
        <f t="shared" si="2"/>
        <v>0.27318524626770369</v>
      </c>
      <c r="I11" s="10">
        <f>SUM(I8:I10)</f>
        <v>255747001124.38461</v>
      </c>
      <c r="J11" s="12">
        <f t="shared" si="3"/>
        <v>0.43496812913130301</v>
      </c>
      <c r="K11" s="29">
        <f t="shared" si="4"/>
        <v>587967218736.57727</v>
      </c>
    </row>
    <row r="12" spans="2:13">
      <c r="B12" s="4"/>
      <c r="C12" s="5"/>
      <c r="D12" s="5"/>
      <c r="E12" s="5"/>
      <c r="F12" s="5"/>
      <c r="G12" s="5"/>
      <c r="H12" s="5"/>
      <c r="I12" s="5"/>
      <c r="J12" s="5"/>
      <c r="K12" s="5"/>
    </row>
    <row r="13" spans="2:13" ht="16.5" thickBot="1">
      <c r="B13" s="8"/>
      <c r="C13" s="3"/>
      <c r="D13" s="3"/>
      <c r="E13" s="3"/>
      <c r="F13" s="3"/>
      <c r="G13" s="3"/>
      <c r="H13" s="3"/>
      <c r="I13" s="7"/>
      <c r="J13" s="7"/>
      <c r="K13" s="7"/>
    </row>
    <row r="14" spans="2:13" ht="16.5" thickBot="1">
      <c r="B14" s="43" t="s">
        <v>8</v>
      </c>
      <c r="C14" s="45" t="s">
        <v>0</v>
      </c>
      <c r="D14" s="46"/>
      <c r="E14" s="46"/>
      <c r="F14" s="46"/>
      <c r="G14" s="46"/>
      <c r="H14" s="47"/>
      <c r="I14" s="48" t="s">
        <v>9</v>
      </c>
      <c r="J14" s="7"/>
      <c r="K14" s="7"/>
    </row>
    <row r="15" spans="2:13" ht="16.5" thickBot="1">
      <c r="B15" s="44"/>
      <c r="C15" s="32" t="s">
        <v>4</v>
      </c>
      <c r="D15" s="33"/>
      <c r="E15" s="32" t="s">
        <v>2</v>
      </c>
      <c r="F15" s="33"/>
      <c r="G15" s="32" t="s">
        <v>3</v>
      </c>
      <c r="H15" s="33"/>
      <c r="I15" s="49"/>
      <c r="J15" s="7"/>
      <c r="K15" s="7"/>
    </row>
    <row r="16" spans="2:13">
      <c r="B16" s="15" t="s">
        <v>5</v>
      </c>
      <c r="C16" s="14">
        <f>+C8+E8</f>
        <v>147159079760.93729</v>
      </c>
      <c r="D16" s="6">
        <f>+D8+F8</f>
        <v>0.28568584342134662</v>
      </c>
      <c r="E16" s="13">
        <f>+G8</f>
        <v>140140373580.19138</v>
      </c>
      <c r="F16" s="6">
        <f>+H8</f>
        <v>0.27206014667038564</v>
      </c>
      <c r="G16" s="13">
        <f>+I8</f>
        <v>227808603812.05081</v>
      </c>
      <c r="H16" s="19">
        <f>+J8</f>
        <v>0.44225400990826785</v>
      </c>
      <c r="I16" s="20">
        <f>+C16+E16+G16</f>
        <v>515108057153.17944</v>
      </c>
      <c r="J16" s="7"/>
      <c r="K16" s="7"/>
    </row>
    <row r="17" spans="2:11" ht="31.5">
      <c r="B17" s="16" t="s">
        <v>6</v>
      </c>
      <c r="C17" s="14">
        <f>+C9+E9</f>
        <v>16785974621.369499</v>
      </c>
      <c r="D17" s="6">
        <f t="shared" ref="D17:D19" si="6">+D9+F9</f>
        <v>0.45593541153616857</v>
      </c>
      <c r="E17" s="13">
        <f>+G9</f>
        <v>7872305303.863802</v>
      </c>
      <c r="F17" s="6">
        <f t="shared" ref="F17:F18" si="7">+H9</f>
        <v>0.21382510336255184</v>
      </c>
      <c r="G17" s="13">
        <f>+I9</f>
        <v>12158282676.941101</v>
      </c>
      <c r="H17" s="19">
        <f t="shared" ref="H17:H19" si="8">+J9</f>
        <v>0.3302394851012796</v>
      </c>
      <c r="I17" s="21">
        <f t="shared" ref="I17:I19" si="9">+C17+E17+G17</f>
        <v>36816562602.1744</v>
      </c>
      <c r="J17" s="7"/>
      <c r="K17" s="31"/>
    </row>
    <row r="18" spans="2:11" ht="32.25" thickBot="1">
      <c r="B18" s="18" t="s">
        <v>7</v>
      </c>
      <c r="C18" s="22">
        <f>+C10+E10</f>
        <v>7651193781.9972</v>
      </c>
      <c r="D18" s="23">
        <f t="shared" si="6"/>
        <v>0.21228196629169649</v>
      </c>
      <c r="E18" s="24">
        <f>+G10</f>
        <v>12611290563.8335</v>
      </c>
      <c r="F18" s="23">
        <f t="shared" si="7"/>
        <v>0.34989958882830358</v>
      </c>
      <c r="G18" s="24">
        <f>+I10</f>
        <v>15780114635.392698</v>
      </c>
      <c r="H18" s="25">
        <f t="shared" si="8"/>
        <v>0.43781844487999994</v>
      </c>
      <c r="I18" s="26">
        <f t="shared" si="9"/>
        <v>36042598981.223396</v>
      </c>
      <c r="J18" s="7"/>
      <c r="K18" s="7"/>
    </row>
    <row r="19" spans="2:11" ht="16.5" thickBot="1">
      <c r="B19" s="9" t="s">
        <v>10</v>
      </c>
      <c r="C19" s="10">
        <f>SUM(C16:C18)</f>
        <v>171596248164.30399</v>
      </c>
      <c r="D19" s="12">
        <f t="shared" si="6"/>
        <v>0.29184662460099325</v>
      </c>
      <c r="E19" s="27">
        <f t="shared" ref="E19:G19" si="10">SUM(E16:E18)</f>
        <v>160623969447.88867</v>
      </c>
      <c r="F19" s="12">
        <f>+H11</f>
        <v>0.27318524626770369</v>
      </c>
      <c r="G19" s="27">
        <f t="shared" si="10"/>
        <v>255747001124.38461</v>
      </c>
      <c r="H19" s="28">
        <f t="shared" si="8"/>
        <v>0.43496812913130301</v>
      </c>
      <c r="I19" s="29">
        <f t="shared" si="9"/>
        <v>587967218736.57727</v>
      </c>
      <c r="J19" s="7"/>
      <c r="K19" s="7"/>
    </row>
    <row r="20" spans="2:11">
      <c r="B20" s="2"/>
      <c r="C20" s="2"/>
      <c r="D20" s="2"/>
      <c r="I20" s="2"/>
      <c r="J20" s="2"/>
      <c r="K20" s="2"/>
    </row>
  </sheetData>
  <mergeCells count="16">
    <mergeCell ref="B14:B15"/>
    <mergeCell ref="C14:H14"/>
    <mergeCell ref="I14:I15"/>
    <mergeCell ref="C15:D15"/>
    <mergeCell ref="E15:F15"/>
    <mergeCell ref="G15:H15"/>
    <mergeCell ref="B2:K2"/>
    <mergeCell ref="B3:K3"/>
    <mergeCell ref="B4:K4"/>
    <mergeCell ref="B6:B7"/>
    <mergeCell ref="C6:J6"/>
    <mergeCell ref="K6:K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2" min="2" max="55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dimension ref="B2:M20"/>
  <sheetViews>
    <sheetView showGridLines="0" zoomScale="90" zoomScaleNormal="90" workbookViewId="0">
      <selection activeCell="K18" sqref="K18"/>
    </sheetView>
  </sheetViews>
  <sheetFormatPr baseColWidth="10" defaultRowHeight="15.7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31.140625" style="1" bestFit="1" customWidth="1"/>
    <col min="13" max="13" width="19.7109375" style="1" bestFit="1" customWidth="1"/>
    <col min="14" max="14" width="19.140625" style="1" bestFit="1" customWidth="1"/>
    <col min="15" max="15" width="21.28515625" style="1" bestFit="1" customWidth="1"/>
    <col min="16" max="16" width="21.85546875" style="1" bestFit="1" customWidth="1"/>
    <col min="17" max="16384" width="11.42578125" style="1"/>
  </cols>
  <sheetData>
    <row r="2" spans="2:13">
      <c r="B2" s="34" t="s">
        <v>11</v>
      </c>
      <c r="C2" s="34"/>
      <c r="D2" s="34"/>
      <c r="E2" s="34"/>
      <c r="F2" s="34"/>
      <c r="G2" s="34"/>
      <c r="H2" s="34"/>
      <c r="I2" s="34"/>
      <c r="J2" s="34"/>
      <c r="K2" s="34"/>
      <c r="L2" s="30"/>
      <c r="M2" s="30"/>
    </row>
    <row r="3" spans="2:13">
      <c r="B3" s="34" t="s">
        <v>12</v>
      </c>
      <c r="C3" s="34"/>
      <c r="D3" s="34"/>
      <c r="E3" s="34"/>
      <c r="F3" s="34"/>
      <c r="G3" s="34"/>
      <c r="H3" s="34"/>
      <c r="I3" s="34"/>
      <c r="J3" s="34"/>
      <c r="K3" s="34"/>
      <c r="L3" s="30"/>
      <c r="M3" s="30"/>
    </row>
    <row r="4" spans="2:13">
      <c r="B4" s="34" t="s">
        <v>20</v>
      </c>
      <c r="C4" s="34"/>
      <c r="D4" s="34"/>
      <c r="E4" s="34"/>
      <c r="F4" s="34"/>
      <c r="G4" s="34"/>
      <c r="H4" s="34"/>
      <c r="I4" s="34"/>
      <c r="J4" s="34"/>
      <c r="K4" s="34"/>
      <c r="L4" s="30"/>
      <c r="M4" s="30"/>
    </row>
    <row r="5" spans="2:13" ht="16.5" thickBot="1">
      <c r="B5" s="2"/>
      <c r="C5" s="2"/>
      <c r="D5" s="2"/>
      <c r="I5" s="2"/>
      <c r="J5" s="2"/>
      <c r="K5" s="2"/>
    </row>
    <row r="6" spans="2:13" ht="16.5" thickBot="1">
      <c r="B6" s="35" t="s">
        <v>8</v>
      </c>
      <c r="C6" s="37" t="s">
        <v>0</v>
      </c>
      <c r="D6" s="37"/>
      <c r="E6" s="37"/>
      <c r="F6" s="37"/>
      <c r="G6" s="37"/>
      <c r="H6" s="37"/>
      <c r="I6" s="37"/>
      <c r="J6" s="37"/>
      <c r="K6" s="38" t="s">
        <v>9</v>
      </c>
    </row>
    <row r="7" spans="2:13" ht="17.25" thickTop="1" thickBot="1">
      <c r="B7" s="36"/>
      <c r="C7" s="40" t="s">
        <v>13</v>
      </c>
      <c r="D7" s="40"/>
      <c r="E7" s="41" t="s">
        <v>1</v>
      </c>
      <c r="F7" s="41"/>
      <c r="G7" s="42" t="s">
        <v>2</v>
      </c>
      <c r="H7" s="42"/>
      <c r="I7" s="42" t="s">
        <v>3</v>
      </c>
      <c r="J7" s="42"/>
      <c r="K7" s="39"/>
    </row>
    <row r="8" spans="2:13">
      <c r="B8" s="15" t="s">
        <v>5</v>
      </c>
      <c r="C8" s="17">
        <v>42323376500.627159</v>
      </c>
      <c r="D8" s="6">
        <f>+C8/K8</f>
        <v>8.0927977079562008E-2</v>
      </c>
      <c r="E8" s="13">
        <v>101688345563.9491</v>
      </c>
      <c r="F8" s="6">
        <f>+E8/K8</f>
        <v>0.19444176668976088</v>
      </c>
      <c r="G8" s="13">
        <v>132871055346.57828</v>
      </c>
      <c r="H8" s="6">
        <f>+G8/K8</f>
        <v>0.25406729355503482</v>
      </c>
      <c r="I8" s="13">
        <v>246093058979.98801</v>
      </c>
      <c r="J8" s="6">
        <f>+I8/K8</f>
        <v>0.47056296267564224</v>
      </c>
      <c r="K8" s="20">
        <f>+C8+E8+G8+I8</f>
        <v>522975836391.14258</v>
      </c>
    </row>
    <row r="9" spans="2:13" ht="41.25" customHeight="1">
      <c r="B9" s="16" t="s">
        <v>6</v>
      </c>
      <c r="C9" s="14">
        <v>6628590455.6742001</v>
      </c>
      <c r="D9" s="6">
        <f t="shared" ref="D9:D11" si="0">+C9/K9</f>
        <v>0.17864748605626687</v>
      </c>
      <c r="E9" s="13">
        <v>10954334633.302101</v>
      </c>
      <c r="F9" s="6">
        <f t="shared" ref="F9:F11" si="1">+E9/K9</f>
        <v>0.29523084232535735</v>
      </c>
      <c r="G9" s="13">
        <v>6845642852.8166008</v>
      </c>
      <c r="H9" s="6">
        <f t="shared" ref="H9:H11" si="2">+G9/K9</f>
        <v>0.18449727649833342</v>
      </c>
      <c r="I9" s="13">
        <v>12675735074.183802</v>
      </c>
      <c r="J9" s="6">
        <f t="shared" ref="J9:J11" si="3">+I9/K9</f>
        <v>0.34162439512004222</v>
      </c>
      <c r="K9" s="21">
        <f t="shared" ref="K9:K11" si="4">+C9+E9+G9+I9</f>
        <v>37104303015.976707</v>
      </c>
    </row>
    <row r="10" spans="2:13" ht="34.5" customHeight="1" thickBot="1">
      <c r="B10" s="18" t="s">
        <v>7</v>
      </c>
      <c r="C10" s="22">
        <v>1456233213.7114</v>
      </c>
      <c r="D10" s="6">
        <f t="shared" si="0"/>
        <v>3.9809170132345133E-2</v>
      </c>
      <c r="E10" s="24">
        <v>6822131549.2273006</v>
      </c>
      <c r="F10" s="6">
        <f t="shared" si="1"/>
        <v>0.18649718530747092</v>
      </c>
      <c r="G10" s="24">
        <v>11355851895.859001</v>
      </c>
      <c r="H10" s="6">
        <f t="shared" si="2"/>
        <v>0.31043588064291794</v>
      </c>
      <c r="I10" s="24">
        <v>16946129248.192301</v>
      </c>
      <c r="J10" s="6">
        <f t="shared" si="3"/>
        <v>0.46325776391726592</v>
      </c>
      <c r="K10" s="26">
        <f t="shared" si="4"/>
        <v>36580345906.990005</v>
      </c>
    </row>
    <row r="11" spans="2:13" ht="16.5" thickBot="1">
      <c r="B11" s="9" t="s">
        <v>10</v>
      </c>
      <c r="C11" s="11">
        <f>SUM(C8:C10)</f>
        <v>50408200170.012764</v>
      </c>
      <c r="D11" s="12">
        <f t="shared" si="0"/>
        <v>8.4483892281681086E-2</v>
      </c>
      <c r="E11" s="11">
        <f t="shared" ref="E11:G11" si="5">SUM(E8:E10)</f>
        <v>119464811746.47849</v>
      </c>
      <c r="F11" s="12">
        <f t="shared" si="1"/>
        <v>0.20022242914844071</v>
      </c>
      <c r="G11" s="11">
        <f t="shared" si="5"/>
        <v>151072550095.25388</v>
      </c>
      <c r="H11" s="12">
        <f t="shared" si="2"/>
        <v>0.25319684110758972</v>
      </c>
      <c r="I11" s="10">
        <f>SUM(I8:I10)</f>
        <v>275714923302.36414</v>
      </c>
      <c r="J11" s="12">
        <f t="shared" si="3"/>
        <v>0.46209683746228852</v>
      </c>
      <c r="K11" s="29">
        <f t="shared" si="4"/>
        <v>596660485314.10925</v>
      </c>
    </row>
    <row r="12" spans="2:13">
      <c r="B12" s="4"/>
      <c r="C12" s="5"/>
      <c r="D12" s="5"/>
      <c r="E12" s="5"/>
      <c r="F12" s="5"/>
      <c r="G12" s="5"/>
      <c r="H12" s="5"/>
      <c r="I12" s="5"/>
      <c r="J12" s="5"/>
      <c r="K12" s="5"/>
    </row>
    <row r="13" spans="2:13" ht="16.5" thickBot="1">
      <c r="B13" s="8"/>
      <c r="C13" s="3"/>
      <c r="D13" s="3"/>
      <c r="E13" s="3"/>
      <c r="F13" s="3"/>
      <c r="G13" s="3"/>
      <c r="H13" s="3"/>
      <c r="I13" s="7"/>
      <c r="J13" s="7"/>
      <c r="K13" s="7"/>
    </row>
    <row r="14" spans="2:13" ht="16.5" thickBot="1">
      <c r="B14" s="43" t="s">
        <v>8</v>
      </c>
      <c r="C14" s="45" t="s">
        <v>0</v>
      </c>
      <c r="D14" s="46"/>
      <c r="E14" s="46"/>
      <c r="F14" s="46"/>
      <c r="G14" s="46"/>
      <c r="H14" s="47"/>
      <c r="I14" s="48" t="s">
        <v>9</v>
      </c>
      <c r="J14" s="7"/>
      <c r="K14" s="7"/>
    </row>
    <row r="15" spans="2:13" ht="16.5" thickBot="1">
      <c r="B15" s="44"/>
      <c r="C15" s="32" t="s">
        <v>4</v>
      </c>
      <c r="D15" s="33"/>
      <c r="E15" s="32" t="s">
        <v>2</v>
      </c>
      <c r="F15" s="33"/>
      <c r="G15" s="32" t="s">
        <v>3</v>
      </c>
      <c r="H15" s="33"/>
      <c r="I15" s="49"/>
      <c r="J15" s="7"/>
      <c r="K15" s="7"/>
    </row>
    <row r="16" spans="2:13">
      <c r="B16" s="15" t="s">
        <v>5</v>
      </c>
      <c r="C16" s="14">
        <f>+C8+E8</f>
        <v>144011722064.57626</v>
      </c>
      <c r="D16" s="6">
        <f>+D8+F8</f>
        <v>0.27536974376932288</v>
      </c>
      <c r="E16" s="13">
        <f>+G8</f>
        <v>132871055346.57828</v>
      </c>
      <c r="F16" s="6">
        <f>+H8</f>
        <v>0.25406729355503482</v>
      </c>
      <c r="G16" s="13">
        <f>+I8</f>
        <v>246093058979.98801</v>
      </c>
      <c r="H16" s="19">
        <f>+J8</f>
        <v>0.47056296267564224</v>
      </c>
      <c r="I16" s="20">
        <f>+C16+E16+G16</f>
        <v>522975836391.14258</v>
      </c>
      <c r="J16" s="7"/>
      <c r="K16" s="7"/>
    </row>
    <row r="17" spans="2:11" ht="31.5">
      <c r="B17" s="16" t="s">
        <v>6</v>
      </c>
      <c r="C17" s="14">
        <f>+C9+E9</f>
        <v>17582925088.976303</v>
      </c>
      <c r="D17" s="6">
        <f t="shared" ref="D17:D19" si="6">+D9+F9</f>
        <v>0.47387832838162425</v>
      </c>
      <c r="E17" s="13">
        <f>+G9</f>
        <v>6845642852.8166008</v>
      </c>
      <c r="F17" s="6">
        <f t="shared" ref="F17:F18" si="7">+H9</f>
        <v>0.18449727649833342</v>
      </c>
      <c r="G17" s="13">
        <f>+I9</f>
        <v>12675735074.183802</v>
      </c>
      <c r="H17" s="19">
        <f t="shared" ref="H17:H19" si="8">+J9</f>
        <v>0.34162439512004222</v>
      </c>
      <c r="I17" s="21">
        <f t="shared" ref="I17:I19" si="9">+C17+E17+G17</f>
        <v>37104303015.976707</v>
      </c>
      <c r="J17" s="7"/>
      <c r="K17" s="31"/>
    </row>
    <row r="18" spans="2:11" ht="32.25" thickBot="1">
      <c r="B18" s="18" t="s">
        <v>7</v>
      </c>
      <c r="C18" s="22">
        <f>+C10+E10</f>
        <v>8278364762.9387007</v>
      </c>
      <c r="D18" s="23">
        <f t="shared" si="6"/>
        <v>0.22630635543981606</v>
      </c>
      <c r="E18" s="24">
        <f>+G10</f>
        <v>11355851895.859001</v>
      </c>
      <c r="F18" s="23">
        <f t="shared" si="7"/>
        <v>0.31043588064291794</v>
      </c>
      <c r="G18" s="24">
        <f>+I10</f>
        <v>16946129248.192301</v>
      </c>
      <c r="H18" s="25">
        <f t="shared" si="8"/>
        <v>0.46325776391726592</v>
      </c>
      <c r="I18" s="26">
        <f t="shared" si="9"/>
        <v>36580345906.990005</v>
      </c>
      <c r="J18" s="7"/>
      <c r="K18" s="7"/>
    </row>
    <row r="19" spans="2:11" ht="16.5" thickBot="1">
      <c r="B19" s="9" t="s">
        <v>10</v>
      </c>
      <c r="C19" s="10">
        <f>SUM(C16:C18)</f>
        <v>169873011916.49124</v>
      </c>
      <c r="D19" s="12">
        <f t="shared" si="6"/>
        <v>0.28470632143012181</v>
      </c>
      <c r="E19" s="27">
        <f t="shared" ref="E19:G19" si="10">SUM(E16:E18)</f>
        <v>151072550095.25388</v>
      </c>
      <c r="F19" s="12">
        <f>+H11</f>
        <v>0.25319684110758972</v>
      </c>
      <c r="G19" s="27">
        <f t="shared" si="10"/>
        <v>275714923302.36414</v>
      </c>
      <c r="H19" s="28">
        <f t="shared" si="8"/>
        <v>0.46209683746228852</v>
      </c>
      <c r="I19" s="29">
        <f t="shared" si="9"/>
        <v>596660485314.10925</v>
      </c>
      <c r="J19" s="7"/>
      <c r="K19" s="7"/>
    </row>
    <row r="20" spans="2:11">
      <c r="B20" s="2"/>
      <c r="C20" s="2"/>
      <c r="D20" s="2"/>
      <c r="I20" s="2"/>
      <c r="J20" s="2"/>
      <c r="K20" s="2"/>
    </row>
  </sheetData>
  <mergeCells count="16">
    <mergeCell ref="B14:B15"/>
    <mergeCell ref="C14:H14"/>
    <mergeCell ref="I14:I15"/>
    <mergeCell ref="C15:D15"/>
    <mergeCell ref="E15:F15"/>
    <mergeCell ref="G15:H15"/>
    <mergeCell ref="B2:K2"/>
    <mergeCell ref="B3:K3"/>
    <mergeCell ref="B4:K4"/>
    <mergeCell ref="B6:B7"/>
    <mergeCell ref="C6:J6"/>
    <mergeCell ref="K6:K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2" min="2" max="55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dimension ref="B2:M20"/>
  <sheetViews>
    <sheetView showGridLines="0" zoomScale="90" zoomScaleNormal="90" workbookViewId="0">
      <selection activeCell="K18" sqref="K18"/>
    </sheetView>
  </sheetViews>
  <sheetFormatPr baseColWidth="10" defaultRowHeight="15.7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31.140625" style="1" bestFit="1" customWidth="1"/>
    <col min="13" max="13" width="19.7109375" style="1" bestFit="1" customWidth="1"/>
    <col min="14" max="14" width="19.140625" style="1" bestFit="1" customWidth="1"/>
    <col min="15" max="15" width="21.28515625" style="1" bestFit="1" customWidth="1"/>
    <col min="16" max="16" width="21.85546875" style="1" bestFit="1" customWidth="1"/>
    <col min="17" max="16384" width="11.42578125" style="1"/>
  </cols>
  <sheetData>
    <row r="2" spans="2:13">
      <c r="B2" s="34" t="s">
        <v>11</v>
      </c>
      <c r="C2" s="34"/>
      <c r="D2" s="34"/>
      <c r="E2" s="34"/>
      <c r="F2" s="34"/>
      <c r="G2" s="34"/>
      <c r="H2" s="34"/>
      <c r="I2" s="34"/>
      <c r="J2" s="34"/>
      <c r="K2" s="34"/>
      <c r="L2" s="30"/>
      <c r="M2" s="30"/>
    </row>
    <row r="3" spans="2:13">
      <c r="B3" s="34" t="s">
        <v>12</v>
      </c>
      <c r="C3" s="34"/>
      <c r="D3" s="34"/>
      <c r="E3" s="34"/>
      <c r="F3" s="34"/>
      <c r="G3" s="34"/>
      <c r="H3" s="34"/>
      <c r="I3" s="34"/>
      <c r="J3" s="34"/>
      <c r="K3" s="34"/>
      <c r="L3" s="30"/>
      <c r="M3" s="30"/>
    </row>
    <row r="4" spans="2:13">
      <c r="B4" s="34" t="s">
        <v>21</v>
      </c>
      <c r="C4" s="34"/>
      <c r="D4" s="34"/>
      <c r="E4" s="34"/>
      <c r="F4" s="34"/>
      <c r="G4" s="34"/>
      <c r="H4" s="34"/>
      <c r="I4" s="34"/>
      <c r="J4" s="34"/>
      <c r="K4" s="34"/>
      <c r="L4" s="30"/>
      <c r="M4" s="30"/>
    </row>
    <row r="5" spans="2:13" ht="16.5" thickBot="1">
      <c r="B5" s="2"/>
      <c r="C5" s="2"/>
      <c r="D5" s="2"/>
      <c r="I5" s="2"/>
      <c r="J5" s="2"/>
      <c r="K5" s="2"/>
    </row>
    <row r="6" spans="2:13" ht="16.5" thickBot="1">
      <c r="B6" s="35" t="s">
        <v>8</v>
      </c>
      <c r="C6" s="37" t="s">
        <v>0</v>
      </c>
      <c r="D6" s="37"/>
      <c r="E6" s="37"/>
      <c r="F6" s="37"/>
      <c r="G6" s="37"/>
      <c r="H6" s="37"/>
      <c r="I6" s="37"/>
      <c r="J6" s="37"/>
      <c r="K6" s="38" t="s">
        <v>9</v>
      </c>
    </row>
    <row r="7" spans="2:13" ht="17.25" thickTop="1" thickBot="1">
      <c r="B7" s="36"/>
      <c r="C7" s="40" t="s">
        <v>13</v>
      </c>
      <c r="D7" s="40"/>
      <c r="E7" s="41" t="s">
        <v>1</v>
      </c>
      <c r="F7" s="41"/>
      <c r="G7" s="42" t="s">
        <v>2</v>
      </c>
      <c r="H7" s="42"/>
      <c r="I7" s="42" t="s">
        <v>3</v>
      </c>
      <c r="J7" s="42"/>
      <c r="K7" s="39"/>
    </row>
    <row r="8" spans="2:13">
      <c r="B8" s="15" t="s">
        <v>5</v>
      </c>
      <c r="C8" s="17">
        <v>41992740396.242882</v>
      </c>
      <c r="D8" s="6">
        <f>+C8/K8</f>
        <v>7.8873778552348062E-2</v>
      </c>
      <c r="E8" s="13">
        <v>95834324563.767899</v>
      </c>
      <c r="F8" s="6">
        <f>+E8/K8</f>
        <v>0.18000290578875325</v>
      </c>
      <c r="G8" s="13">
        <v>133007578483.51495</v>
      </c>
      <c r="H8" s="6">
        <f>+G8/K8</f>
        <v>0.24982437897840631</v>
      </c>
      <c r="I8" s="13">
        <v>261569676052.49725</v>
      </c>
      <c r="J8" s="6">
        <f>+I8/K8</f>
        <v>0.49129893668049246</v>
      </c>
      <c r="K8" s="20">
        <f>+C8+E8+G8+I8</f>
        <v>532404319496.02295</v>
      </c>
    </row>
    <row r="9" spans="2:13" ht="41.25" customHeight="1">
      <c r="B9" s="16" t="s">
        <v>6</v>
      </c>
      <c r="C9" s="14">
        <v>6738071158.8802996</v>
      </c>
      <c r="D9" s="6">
        <f t="shared" ref="D9:D11" si="0">+C9/K9</f>
        <v>0.17953947006178222</v>
      </c>
      <c r="E9" s="13">
        <v>10880796787.818802</v>
      </c>
      <c r="F9" s="6">
        <f t="shared" ref="F9:F11" si="1">+E9/K9</f>
        <v>0.28992458569694873</v>
      </c>
      <c r="G9" s="13">
        <v>6883692745.5728006</v>
      </c>
      <c r="H9" s="6">
        <f t="shared" ref="H9:H11" si="2">+G9/K9</f>
        <v>0.18341963426424401</v>
      </c>
      <c r="I9" s="13">
        <v>13027187816.8533</v>
      </c>
      <c r="J9" s="6">
        <f t="shared" ref="J9:J11" si="3">+I9/K9</f>
        <v>0.34711630997702514</v>
      </c>
      <c r="K9" s="21">
        <f t="shared" ref="K9:K11" si="4">+C9+E9+G9+I9</f>
        <v>37529748509.125198</v>
      </c>
    </row>
    <row r="10" spans="2:13" ht="34.5" customHeight="1" thickBot="1">
      <c r="B10" s="18" t="s">
        <v>7</v>
      </c>
      <c r="C10" s="22">
        <v>1404456121.0123</v>
      </c>
      <c r="D10" s="6">
        <f t="shared" si="0"/>
        <v>3.7690531025545503E-2</v>
      </c>
      <c r="E10" s="24">
        <v>5622997162.3629999</v>
      </c>
      <c r="F10" s="6">
        <f t="shared" si="1"/>
        <v>0.15090094011042507</v>
      </c>
      <c r="G10" s="24">
        <v>11463675791.523499</v>
      </c>
      <c r="H10" s="6">
        <f t="shared" si="2"/>
        <v>0.30764366477735428</v>
      </c>
      <c r="I10" s="24">
        <v>18771708109.867905</v>
      </c>
      <c r="J10" s="6">
        <f t="shared" si="3"/>
        <v>0.5037648640866752</v>
      </c>
      <c r="K10" s="26">
        <f t="shared" si="4"/>
        <v>37262837184.766701</v>
      </c>
    </row>
    <row r="11" spans="2:13" ht="16.5" thickBot="1">
      <c r="B11" s="9" t="s">
        <v>10</v>
      </c>
      <c r="C11" s="11">
        <f>SUM(C8:C10)</f>
        <v>50135267676.135483</v>
      </c>
      <c r="D11" s="12">
        <f t="shared" si="0"/>
        <v>8.2568384732551486E-2</v>
      </c>
      <c r="E11" s="11">
        <f t="shared" ref="E11:G11" si="5">SUM(E8:E10)</f>
        <v>112338118513.94971</v>
      </c>
      <c r="F11" s="12">
        <f t="shared" si="1"/>
        <v>0.18501101957825913</v>
      </c>
      <c r="G11" s="11">
        <f t="shared" si="5"/>
        <v>151354947020.61127</v>
      </c>
      <c r="H11" s="12">
        <f t="shared" si="2"/>
        <v>0.24926831103210498</v>
      </c>
      <c r="I11" s="10">
        <f>SUM(I8:I10)</f>
        <v>293368571979.21844</v>
      </c>
      <c r="J11" s="12">
        <f t="shared" si="3"/>
        <v>0.48315228465708437</v>
      </c>
      <c r="K11" s="29">
        <f t="shared" si="4"/>
        <v>607196905189.91492</v>
      </c>
    </row>
    <row r="12" spans="2:13">
      <c r="B12" s="4"/>
      <c r="C12" s="5"/>
      <c r="D12" s="5"/>
      <c r="E12" s="5"/>
      <c r="F12" s="5"/>
      <c r="G12" s="5"/>
      <c r="H12" s="5"/>
      <c r="I12" s="5"/>
      <c r="J12" s="5"/>
      <c r="K12" s="5"/>
    </row>
    <row r="13" spans="2:13" ht="16.5" thickBot="1">
      <c r="B13" s="8"/>
      <c r="C13" s="3"/>
      <c r="D13" s="3"/>
      <c r="E13" s="3"/>
      <c r="F13" s="3"/>
      <c r="G13" s="3"/>
      <c r="H13" s="3"/>
      <c r="I13" s="7"/>
      <c r="J13" s="7"/>
      <c r="K13" s="7"/>
    </row>
    <row r="14" spans="2:13" ht="16.5" thickBot="1">
      <c r="B14" s="43" t="s">
        <v>8</v>
      </c>
      <c r="C14" s="45" t="s">
        <v>0</v>
      </c>
      <c r="D14" s="46"/>
      <c r="E14" s="46"/>
      <c r="F14" s="46"/>
      <c r="G14" s="46"/>
      <c r="H14" s="47"/>
      <c r="I14" s="48" t="s">
        <v>9</v>
      </c>
      <c r="J14" s="7"/>
      <c r="K14" s="7"/>
    </row>
    <row r="15" spans="2:13" ht="16.5" thickBot="1">
      <c r="B15" s="44"/>
      <c r="C15" s="32" t="s">
        <v>4</v>
      </c>
      <c r="D15" s="33"/>
      <c r="E15" s="32" t="s">
        <v>2</v>
      </c>
      <c r="F15" s="33"/>
      <c r="G15" s="32" t="s">
        <v>3</v>
      </c>
      <c r="H15" s="33"/>
      <c r="I15" s="49"/>
      <c r="J15" s="7"/>
      <c r="K15" s="7"/>
    </row>
    <row r="16" spans="2:13">
      <c r="B16" s="15" t="s">
        <v>5</v>
      </c>
      <c r="C16" s="14">
        <f>+C8+E8</f>
        <v>137827064960.01077</v>
      </c>
      <c r="D16" s="6">
        <f>+D8+F8</f>
        <v>0.25887668434110134</v>
      </c>
      <c r="E16" s="13">
        <f>+G8</f>
        <v>133007578483.51495</v>
      </c>
      <c r="F16" s="6">
        <f>+H8</f>
        <v>0.24982437897840631</v>
      </c>
      <c r="G16" s="13">
        <f>+I8</f>
        <v>261569676052.49725</v>
      </c>
      <c r="H16" s="19">
        <f>+J8</f>
        <v>0.49129893668049246</v>
      </c>
      <c r="I16" s="20">
        <f>+C16+E16+G16</f>
        <v>532404319496.02295</v>
      </c>
      <c r="J16" s="7"/>
      <c r="K16" s="7"/>
    </row>
    <row r="17" spans="2:11" ht="31.5">
      <c r="B17" s="16" t="s">
        <v>6</v>
      </c>
      <c r="C17" s="14">
        <f>+C9+E9</f>
        <v>17618867946.6991</v>
      </c>
      <c r="D17" s="6">
        <f t="shared" ref="D17:D19" si="6">+D9+F9</f>
        <v>0.46946405575873096</v>
      </c>
      <c r="E17" s="13">
        <f>+G9</f>
        <v>6883692745.5728006</v>
      </c>
      <c r="F17" s="6">
        <f t="shared" ref="F17:F18" si="7">+H9</f>
        <v>0.18341963426424401</v>
      </c>
      <c r="G17" s="13">
        <f>+I9</f>
        <v>13027187816.8533</v>
      </c>
      <c r="H17" s="19">
        <f t="shared" ref="H17:H19" si="8">+J9</f>
        <v>0.34711630997702514</v>
      </c>
      <c r="I17" s="21">
        <f t="shared" ref="I17:I19" si="9">+C17+E17+G17</f>
        <v>37529748509.125198</v>
      </c>
      <c r="J17" s="7"/>
      <c r="K17" s="31"/>
    </row>
    <row r="18" spans="2:11" ht="32.25" thickBot="1">
      <c r="B18" s="18" t="s">
        <v>7</v>
      </c>
      <c r="C18" s="22">
        <f>+C10+E10</f>
        <v>7027453283.3752995</v>
      </c>
      <c r="D18" s="23">
        <f t="shared" si="6"/>
        <v>0.18859147113597058</v>
      </c>
      <c r="E18" s="24">
        <f>+G10</f>
        <v>11463675791.523499</v>
      </c>
      <c r="F18" s="23">
        <f t="shared" si="7"/>
        <v>0.30764366477735428</v>
      </c>
      <c r="G18" s="24">
        <f>+I10</f>
        <v>18771708109.867905</v>
      </c>
      <c r="H18" s="25">
        <f t="shared" si="8"/>
        <v>0.5037648640866752</v>
      </c>
      <c r="I18" s="26">
        <f t="shared" si="9"/>
        <v>37262837184.766701</v>
      </c>
      <c r="J18" s="7"/>
      <c r="K18" s="7"/>
    </row>
    <row r="19" spans="2:11" ht="16.5" thickBot="1">
      <c r="B19" s="9" t="s">
        <v>10</v>
      </c>
      <c r="C19" s="10">
        <f>SUM(C16:C18)</f>
        <v>162473386190.08517</v>
      </c>
      <c r="D19" s="12">
        <f t="shared" si="6"/>
        <v>0.26757940431081062</v>
      </c>
      <c r="E19" s="27">
        <f t="shared" ref="E19:G19" si="10">SUM(E16:E18)</f>
        <v>151354947020.61127</v>
      </c>
      <c r="F19" s="12">
        <f>+H11</f>
        <v>0.24926831103210498</v>
      </c>
      <c r="G19" s="27">
        <f t="shared" si="10"/>
        <v>293368571979.21844</v>
      </c>
      <c r="H19" s="28">
        <f t="shared" si="8"/>
        <v>0.48315228465708437</v>
      </c>
      <c r="I19" s="29">
        <f t="shared" si="9"/>
        <v>607196905189.91479</v>
      </c>
      <c r="J19" s="7"/>
      <c r="K19" s="7"/>
    </row>
    <row r="20" spans="2:11">
      <c r="B20" s="2"/>
      <c r="C20" s="2"/>
      <c r="D20" s="2"/>
      <c r="I20" s="2"/>
      <c r="J20" s="2"/>
      <c r="K20" s="2"/>
    </row>
  </sheetData>
  <mergeCells count="16">
    <mergeCell ref="B2:K2"/>
    <mergeCell ref="B3:K3"/>
    <mergeCell ref="B4:K4"/>
    <mergeCell ref="B6:B7"/>
    <mergeCell ref="C6:J6"/>
    <mergeCell ref="K6:K7"/>
    <mergeCell ref="C7:D7"/>
    <mergeCell ref="E7:F7"/>
    <mergeCell ref="G7:H7"/>
    <mergeCell ref="I7:J7"/>
    <mergeCell ref="B14:B15"/>
    <mergeCell ref="C14:H14"/>
    <mergeCell ref="I14:I15"/>
    <mergeCell ref="C15:D15"/>
    <mergeCell ref="E15:F15"/>
    <mergeCell ref="G15:H15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2" min="2" max="5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dimension ref="B2:M20"/>
  <sheetViews>
    <sheetView showGridLines="0" zoomScale="90" zoomScaleNormal="90" workbookViewId="0">
      <selection activeCell="K17" sqref="K17"/>
    </sheetView>
  </sheetViews>
  <sheetFormatPr baseColWidth="10" defaultRowHeight="15.7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31.140625" style="1" bestFit="1" customWidth="1"/>
    <col min="13" max="13" width="19.7109375" style="1" bestFit="1" customWidth="1"/>
    <col min="14" max="14" width="19.140625" style="1" bestFit="1" customWidth="1"/>
    <col min="15" max="15" width="21.28515625" style="1" bestFit="1" customWidth="1"/>
    <col min="16" max="16" width="21.85546875" style="1" bestFit="1" customWidth="1"/>
    <col min="17" max="16384" width="11.42578125" style="1"/>
  </cols>
  <sheetData>
    <row r="2" spans="2:13">
      <c r="B2" s="34" t="s">
        <v>11</v>
      </c>
      <c r="C2" s="34"/>
      <c r="D2" s="34"/>
      <c r="E2" s="34"/>
      <c r="F2" s="34"/>
      <c r="G2" s="34"/>
      <c r="H2" s="34"/>
      <c r="I2" s="34"/>
      <c r="J2" s="34"/>
      <c r="K2" s="34"/>
      <c r="L2" s="30"/>
      <c r="M2" s="30"/>
    </row>
    <row r="3" spans="2:13">
      <c r="B3" s="34" t="s">
        <v>12</v>
      </c>
      <c r="C3" s="34"/>
      <c r="D3" s="34"/>
      <c r="E3" s="34"/>
      <c r="F3" s="34"/>
      <c r="G3" s="34"/>
      <c r="H3" s="34"/>
      <c r="I3" s="34"/>
      <c r="J3" s="34"/>
      <c r="K3" s="34"/>
      <c r="L3" s="30"/>
      <c r="M3" s="30"/>
    </row>
    <row r="4" spans="2:13">
      <c r="B4" s="34" t="s">
        <v>22</v>
      </c>
      <c r="C4" s="34"/>
      <c r="D4" s="34"/>
      <c r="E4" s="34"/>
      <c r="F4" s="34"/>
      <c r="G4" s="34"/>
      <c r="H4" s="34"/>
      <c r="I4" s="34"/>
      <c r="J4" s="34"/>
      <c r="K4" s="34"/>
      <c r="L4" s="30"/>
      <c r="M4" s="30"/>
    </row>
    <row r="5" spans="2:13" ht="16.5" thickBot="1">
      <c r="B5" s="2"/>
      <c r="C5" s="2"/>
      <c r="D5" s="2"/>
      <c r="I5" s="2"/>
      <c r="J5" s="2"/>
      <c r="K5" s="2"/>
    </row>
    <row r="6" spans="2:13" ht="16.5" thickBot="1">
      <c r="B6" s="35" t="s">
        <v>8</v>
      </c>
      <c r="C6" s="37" t="s">
        <v>0</v>
      </c>
      <c r="D6" s="37"/>
      <c r="E6" s="37"/>
      <c r="F6" s="37"/>
      <c r="G6" s="37"/>
      <c r="H6" s="37"/>
      <c r="I6" s="37"/>
      <c r="J6" s="37"/>
      <c r="K6" s="38" t="s">
        <v>9</v>
      </c>
    </row>
    <row r="7" spans="2:13" ht="17.25" thickTop="1" thickBot="1">
      <c r="B7" s="36"/>
      <c r="C7" s="40" t="s">
        <v>13</v>
      </c>
      <c r="D7" s="40"/>
      <c r="E7" s="41" t="s">
        <v>1</v>
      </c>
      <c r="F7" s="41"/>
      <c r="G7" s="42" t="s">
        <v>2</v>
      </c>
      <c r="H7" s="42"/>
      <c r="I7" s="42" t="s">
        <v>3</v>
      </c>
      <c r="J7" s="42"/>
      <c r="K7" s="39"/>
    </row>
    <row r="8" spans="2:13">
      <c r="B8" s="15" t="s">
        <v>5</v>
      </c>
      <c r="C8" s="17">
        <v>44351387258.254585</v>
      </c>
      <c r="D8" s="6">
        <f>+C8/K8</f>
        <v>8.2268321621976087E-2</v>
      </c>
      <c r="E8" s="13">
        <v>95995581724.957947</v>
      </c>
      <c r="F8" s="6">
        <f>+E8/K8</f>
        <v>0.17806422481559886</v>
      </c>
      <c r="G8" s="13">
        <v>134390842076.86732</v>
      </c>
      <c r="H8" s="6">
        <f>+G8/K8</f>
        <v>0.24928440128939097</v>
      </c>
      <c r="I8" s="13">
        <v>264368692923.91702</v>
      </c>
      <c r="J8" s="6">
        <f>+I8/K8</f>
        <v>0.49038305227303419</v>
      </c>
      <c r="K8" s="20">
        <f>+C8+E8+G8+I8</f>
        <v>539106503983.99683</v>
      </c>
    </row>
    <row r="9" spans="2:13" ht="41.25" customHeight="1">
      <c r="B9" s="16" t="s">
        <v>6</v>
      </c>
      <c r="C9" s="14">
        <v>7056987115.3311005</v>
      </c>
      <c r="D9" s="6">
        <f t="shared" ref="D9:D11" si="0">+C9/K9</f>
        <v>0.18714447063385162</v>
      </c>
      <c r="E9" s="13">
        <v>10743366655.779402</v>
      </c>
      <c r="F9" s="6">
        <f t="shared" ref="F9:F11" si="1">+E9/K9</f>
        <v>0.28490368945882327</v>
      </c>
      <c r="G9" s="13">
        <v>6825265331.8135004</v>
      </c>
      <c r="H9" s="6">
        <f t="shared" ref="H9:H11" si="2">+G9/K9</f>
        <v>0.18099943312676547</v>
      </c>
      <c r="I9" s="13">
        <v>13083147239.086197</v>
      </c>
      <c r="J9" s="6">
        <f t="shared" ref="J9:J11" si="3">+I9/K9</f>
        <v>0.34695240678055961</v>
      </c>
      <c r="K9" s="21">
        <f t="shared" ref="K9:K11" si="4">+C9+E9+G9+I9</f>
        <v>37708766342.010201</v>
      </c>
    </row>
    <row r="10" spans="2:13" ht="34.5" customHeight="1" thickBot="1">
      <c r="B10" s="18" t="s">
        <v>7</v>
      </c>
      <c r="C10" s="22">
        <v>1676672971.9094005</v>
      </c>
      <c r="D10" s="6">
        <f t="shared" si="0"/>
        <v>4.4396092649174226E-2</v>
      </c>
      <c r="E10" s="24">
        <v>5632485040.5135002</v>
      </c>
      <c r="F10" s="6">
        <f t="shared" si="1"/>
        <v>0.14914078767486524</v>
      </c>
      <c r="G10" s="24">
        <v>11511205609.277599</v>
      </c>
      <c r="H10" s="6">
        <f t="shared" si="2"/>
        <v>0.30480156792364471</v>
      </c>
      <c r="I10" s="24">
        <v>18945864707.417706</v>
      </c>
      <c r="J10" s="6">
        <f t="shared" si="3"/>
        <v>0.50166155175231564</v>
      </c>
      <c r="K10" s="26">
        <f t="shared" si="4"/>
        <v>37766228329.11821</v>
      </c>
    </row>
    <row r="11" spans="2:13" ht="16.5" thickBot="1">
      <c r="B11" s="9" t="s">
        <v>10</v>
      </c>
      <c r="C11" s="11">
        <f>SUM(C8:C10)</f>
        <v>53085047345.495087</v>
      </c>
      <c r="D11" s="12">
        <f t="shared" si="0"/>
        <v>8.6375928109876224E-2</v>
      </c>
      <c r="E11" s="11">
        <f t="shared" ref="E11:G11" si="5">SUM(E8:E10)</f>
        <v>112371433421.25085</v>
      </c>
      <c r="F11" s="12">
        <f t="shared" si="1"/>
        <v>0.18284220020802891</v>
      </c>
      <c r="G11" s="11">
        <f t="shared" si="5"/>
        <v>152727313017.9584</v>
      </c>
      <c r="H11" s="12">
        <f t="shared" si="2"/>
        <v>0.24850620032032875</v>
      </c>
      <c r="I11" s="10">
        <f>SUM(I8:I10)</f>
        <v>296397704870.42096</v>
      </c>
      <c r="J11" s="12">
        <f t="shared" si="3"/>
        <v>0.48227567136176624</v>
      </c>
      <c r="K11" s="29">
        <f t="shared" si="4"/>
        <v>614581498655.12524</v>
      </c>
    </row>
    <row r="12" spans="2:13">
      <c r="B12" s="4"/>
      <c r="C12" s="5"/>
      <c r="D12" s="5"/>
      <c r="E12" s="5"/>
      <c r="F12" s="5"/>
      <c r="G12" s="5"/>
      <c r="H12" s="5"/>
      <c r="I12" s="5"/>
      <c r="J12" s="5"/>
      <c r="K12" s="5"/>
    </row>
    <row r="13" spans="2:13" ht="16.5" thickBot="1">
      <c r="B13" s="8"/>
      <c r="C13" s="3"/>
      <c r="D13" s="3"/>
      <c r="E13" s="3"/>
      <c r="F13" s="3"/>
      <c r="G13" s="3"/>
      <c r="H13" s="3"/>
      <c r="I13" s="7"/>
      <c r="J13" s="7"/>
      <c r="K13" s="7"/>
    </row>
    <row r="14" spans="2:13" ht="16.5" thickBot="1">
      <c r="B14" s="43" t="s">
        <v>8</v>
      </c>
      <c r="C14" s="45" t="s">
        <v>0</v>
      </c>
      <c r="D14" s="46"/>
      <c r="E14" s="46"/>
      <c r="F14" s="46"/>
      <c r="G14" s="46"/>
      <c r="H14" s="47"/>
      <c r="I14" s="48" t="s">
        <v>9</v>
      </c>
      <c r="J14" s="7"/>
      <c r="K14" s="7"/>
    </row>
    <row r="15" spans="2:13" ht="16.5" thickBot="1">
      <c r="B15" s="44"/>
      <c r="C15" s="32" t="s">
        <v>4</v>
      </c>
      <c r="D15" s="33"/>
      <c r="E15" s="32" t="s">
        <v>2</v>
      </c>
      <c r="F15" s="33"/>
      <c r="G15" s="32" t="s">
        <v>3</v>
      </c>
      <c r="H15" s="33"/>
      <c r="I15" s="49"/>
      <c r="J15" s="7"/>
      <c r="K15" s="7"/>
    </row>
    <row r="16" spans="2:13">
      <c r="B16" s="15" t="s">
        <v>5</v>
      </c>
      <c r="C16" s="14">
        <f>+C8+E8</f>
        <v>140346968983.21252</v>
      </c>
      <c r="D16" s="6">
        <f>+D8+F8</f>
        <v>0.26033254643757497</v>
      </c>
      <c r="E16" s="13">
        <f>+G8</f>
        <v>134390842076.86732</v>
      </c>
      <c r="F16" s="6">
        <f>+H8</f>
        <v>0.24928440128939097</v>
      </c>
      <c r="G16" s="13">
        <f>+I8</f>
        <v>264368692923.91702</v>
      </c>
      <c r="H16" s="19">
        <f>+J8</f>
        <v>0.49038305227303419</v>
      </c>
      <c r="I16" s="20">
        <f>+C16+E16+G16</f>
        <v>539106503983.99683</v>
      </c>
      <c r="J16" s="7"/>
      <c r="K16" s="7"/>
    </row>
    <row r="17" spans="2:11" ht="31.5">
      <c r="B17" s="16" t="s">
        <v>6</v>
      </c>
      <c r="C17" s="14">
        <f>+C9+E9</f>
        <v>17800353771.110504</v>
      </c>
      <c r="D17" s="6">
        <f t="shared" ref="D17:D19" si="6">+D9+F9</f>
        <v>0.47204816009267492</v>
      </c>
      <c r="E17" s="13">
        <f>+G9</f>
        <v>6825265331.8135004</v>
      </c>
      <c r="F17" s="6">
        <f t="shared" ref="F17:F18" si="7">+H9</f>
        <v>0.18099943312676547</v>
      </c>
      <c r="G17" s="13">
        <f>+I9</f>
        <v>13083147239.086197</v>
      </c>
      <c r="H17" s="19">
        <f t="shared" ref="H17:H19" si="8">+J9</f>
        <v>0.34695240678055961</v>
      </c>
      <c r="I17" s="21">
        <f t="shared" ref="I17:I19" si="9">+C17+E17+G17</f>
        <v>37708766342.010201</v>
      </c>
      <c r="J17" s="7"/>
      <c r="K17" s="31"/>
    </row>
    <row r="18" spans="2:11" ht="32.25" thickBot="1">
      <c r="B18" s="18" t="s">
        <v>7</v>
      </c>
      <c r="C18" s="22">
        <f>+C10+E10</f>
        <v>7309158012.4229012</v>
      </c>
      <c r="D18" s="23">
        <f t="shared" si="6"/>
        <v>0.19353688032403948</v>
      </c>
      <c r="E18" s="24">
        <f>+G10</f>
        <v>11511205609.277599</v>
      </c>
      <c r="F18" s="23">
        <f t="shared" si="7"/>
        <v>0.30480156792364471</v>
      </c>
      <c r="G18" s="24">
        <f>+I10</f>
        <v>18945864707.417706</v>
      </c>
      <c r="H18" s="25">
        <f t="shared" si="8"/>
        <v>0.50166155175231564</v>
      </c>
      <c r="I18" s="26">
        <f t="shared" si="9"/>
        <v>37766228329.11821</v>
      </c>
      <c r="J18" s="7"/>
      <c r="K18" s="7"/>
    </row>
    <row r="19" spans="2:11" ht="16.5" thickBot="1">
      <c r="B19" s="9" t="s">
        <v>10</v>
      </c>
      <c r="C19" s="10">
        <f>SUM(C16:C18)</f>
        <v>165456480766.74594</v>
      </c>
      <c r="D19" s="12">
        <f t="shared" si="6"/>
        <v>0.26921812831790515</v>
      </c>
      <c r="E19" s="27">
        <f t="shared" ref="E19:G19" si="10">SUM(E16:E18)</f>
        <v>152727313017.9584</v>
      </c>
      <c r="F19" s="12">
        <f>+H11</f>
        <v>0.24850620032032875</v>
      </c>
      <c r="G19" s="27">
        <f t="shared" si="10"/>
        <v>296397704870.42096</v>
      </c>
      <c r="H19" s="28">
        <f t="shared" si="8"/>
        <v>0.48227567136176624</v>
      </c>
      <c r="I19" s="29">
        <f t="shared" si="9"/>
        <v>614581498655.12524</v>
      </c>
      <c r="J19" s="7"/>
      <c r="K19" s="7"/>
    </row>
    <row r="20" spans="2:11">
      <c r="B20" s="2"/>
      <c r="C20" s="2"/>
      <c r="D20" s="2"/>
      <c r="I20" s="2"/>
      <c r="J20" s="2"/>
      <c r="K20" s="2"/>
    </row>
  </sheetData>
  <mergeCells count="16">
    <mergeCell ref="B2:K2"/>
    <mergeCell ref="B3:K3"/>
    <mergeCell ref="B4:K4"/>
    <mergeCell ref="B6:B7"/>
    <mergeCell ref="C6:J6"/>
    <mergeCell ref="K6:K7"/>
    <mergeCell ref="C7:D7"/>
    <mergeCell ref="E7:F7"/>
    <mergeCell ref="G7:H7"/>
    <mergeCell ref="I7:J7"/>
    <mergeCell ref="B14:B15"/>
    <mergeCell ref="C14:H14"/>
    <mergeCell ref="I14:I15"/>
    <mergeCell ref="C15:D15"/>
    <mergeCell ref="E15:F15"/>
    <mergeCell ref="G15:H15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2" min="2" max="5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B2:M20"/>
  <sheetViews>
    <sheetView showGridLines="0" zoomScale="90" zoomScaleNormal="90" workbookViewId="0">
      <selection activeCell="K25" sqref="K25"/>
    </sheetView>
  </sheetViews>
  <sheetFormatPr baseColWidth="10" defaultRowHeight="15.7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31.140625" style="1" bestFit="1" customWidth="1"/>
    <col min="13" max="13" width="19.7109375" style="1" bestFit="1" customWidth="1"/>
    <col min="14" max="14" width="19.140625" style="1" bestFit="1" customWidth="1"/>
    <col min="15" max="15" width="21.28515625" style="1" bestFit="1" customWidth="1"/>
    <col min="16" max="16" width="21.85546875" style="1" bestFit="1" customWidth="1"/>
    <col min="17" max="16384" width="11.42578125" style="1"/>
  </cols>
  <sheetData>
    <row r="2" spans="2:13">
      <c r="B2" s="34" t="s">
        <v>11</v>
      </c>
      <c r="C2" s="34"/>
      <c r="D2" s="34"/>
      <c r="E2" s="34"/>
      <c r="F2" s="34"/>
      <c r="G2" s="34"/>
      <c r="H2" s="34"/>
      <c r="I2" s="34"/>
      <c r="J2" s="34"/>
      <c r="K2" s="34"/>
      <c r="L2" s="30"/>
      <c r="M2" s="30"/>
    </row>
    <row r="3" spans="2:13">
      <c r="B3" s="34" t="s">
        <v>12</v>
      </c>
      <c r="C3" s="34"/>
      <c r="D3" s="34"/>
      <c r="E3" s="34"/>
      <c r="F3" s="34"/>
      <c r="G3" s="34"/>
      <c r="H3" s="34"/>
      <c r="I3" s="34"/>
      <c r="J3" s="34"/>
      <c r="K3" s="34"/>
      <c r="L3" s="30"/>
      <c r="M3" s="30"/>
    </row>
    <row r="4" spans="2:13">
      <c r="B4" s="34" t="s">
        <v>23</v>
      </c>
      <c r="C4" s="34"/>
      <c r="D4" s="34"/>
      <c r="E4" s="34"/>
      <c r="F4" s="34"/>
      <c r="G4" s="34"/>
      <c r="H4" s="34"/>
      <c r="I4" s="34"/>
      <c r="J4" s="34"/>
      <c r="K4" s="34"/>
      <c r="L4" s="30"/>
      <c r="M4" s="30"/>
    </row>
    <row r="5" spans="2:13" ht="16.5" thickBot="1">
      <c r="B5" s="2"/>
      <c r="C5" s="2"/>
      <c r="D5" s="2"/>
      <c r="I5" s="2"/>
      <c r="J5" s="2"/>
      <c r="K5" s="2"/>
    </row>
    <row r="6" spans="2:13" ht="16.5" thickBot="1">
      <c r="B6" s="35" t="s">
        <v>8</v>
      </c>
      <c r="C6" s="37" t="s">
        <v>0</v>
      </c>
      <c r="D6" s="37"/>
      <c r="E6" s="37"/>
      <c r="F6" s="37"/>
      <c r="G6" s="37"/>
      <c r="H6" s="37"/>
      <c r="I6" s="37"/>
      <c r="J6" s="37"/>
      <c r="K6" s="38" t="s">
        <v>9</v>
      </c>
    </row>
    <row r="7" spans="2:13" ht="17.25" thickTop="1" thickBot="1">
      <c r="B7" s="36"/>
      <c r="C7" s="40" t="s">
        <v>13</v>
      </c>
      <c r="D7" s="40"/>
      <c r="E7" s="41" t="s">
        <v>1</v>
      </c>
      <c r="F7" s="41"/>
      <c r="G7" s="42" t="s">
        <v>2</v>
      </c>
      <c r="H7" s="42"/>
      <c r="I7" s="42" t="s">
        <v>3</v>
      </c>
      <c r="J7" s="42"/>
      <c r="K7" s="39"/>
    </row>
    <row r="8" spans="2:13">
      <c r="B8" s="15" t="s">
        <v>5</v>
      </c>
      <c r="C8" s="17">
        <v>39858955740.527054</v>
      </c>
      <c r="D8" s="6">
        <f>+C8/K8</f>
        <v>7.321424462595065E-2</v>
      </c>
      <c r="E8" s="13">
        <v>115016344022.6507</v>
      </c>
      <c r="F8" s="6">
        <f>+E8/K8</f>
        <v>0.21126581444016265</v>
      </c>
      <c r="G8" s="13">
        <v>123590140480.93839</v>
      </c>
      <c r="H8" s="6">
        <f>+G8/K8</f>
        <v>0.22701444657584949</v>
      </c>
      <c r="I8" s="13">
        <v>265949870521.77725</v>
      </c>
      <c r="J8" s="6">
        <f>+I8/K8</f>
        <v>0.48850549435803736</v>
      </c>
      <c r="K8" s="20">
        <f>+C8+E8+G8+I8</f>
        <v>544415310765.89331</v>
      </c>
    </row>
    <row r="9" spans="2:13" ht="41.25" customHeight="1">
      <c r="B9" s="16" t="s">
        <v>6</v>
      </c>
      <c r="C9" s="14">
        <v>6202837852.2282</v>
      </c>
      <c r="D9" s="6">
        <f t="shared" ref="D9:D11" si="0">+C9/K9</f>
        <v>0.16351837907659381</v>
      </c>
      <c r="E9" s="13">
        <v>11336027765.495602</v>
      </c>
      <c r="F9" s="6">
        <f t="shared" ref="F9:F11" si="1">+E9/K9</f>
        <v>0.2988388427266771</v>
      </c>
      <c r="G9" s="13">
        <v>6459532051.0838995</v>
      </c>
      <c r="H9" s="6">
        <f t="shared" ref="H9:H11" si="2">+G9/K9</f>
        <v>0.1702853170999972</v>
      </c>
      <c r="I9" s="13">
        <v>13935184398.580101</v>
      </c>
      <c r="J9" s="6">
        <f t="shared" ref="J9:J11" si="3">+I9/K9</f>
        <v>0.3673574610967319</v>
      </c>
      <c r="K9" s="21">
        <f t="shared" ref="K9:K11" si="4">+C9+E9+G9+I9</f>
        <v>37933582067.387802</v>
      </c>
    </row>
    <row r="10" spans="2:13" ht="34.5" customHeight="1" thickBot="1">
      <c r="B10" s="18" t="s">
        <v>7</v>
      </c>
      <c r="C10" s="22">
        <v>1933304718.6947999</v>
      </c>
      <c r="D10" s="6">
        <f t="shared" si="0"/>
        <v>5.0556340588842792E-2</v>
      </c>
      <c r="E10" s="24">
        <v>7121803795.0082998</v>
      </c>
      <c r="F10" s="6">
        <f t="shared" si="1"/>
        <v>0.18623672449857204</v>
      </c>
      <c r="G10" s="24">
        <v>10381218881.381102</v>
      </c>
      <c r="H10" s="6">
        <f t="shared" si="2"/>
        <v>0.27147114079810075</v>
      </c>
      <c r="I10" s="24">
        <v>18804271037.814602</v>
      </c>
      <c r="J10" s="6">
        <f t="shared" si="3"/>
        <v>0.49173579411448443</v>
      </c>
      <c r="K10" s="26">
        <f t="shared" si="4"/>
        <v>38240598432.898804</v>
      </c>
    </row>
    <row r="11" spans="2:13" ht="16.5" thickBot="1">
      <c r="B11" s="9" t="s">
        <v>10</v>
      </c>
      <c r="C11" s="11">
        <f>SUM(C8:C10)</f>
        <v>47995098311.450058</v>
      </c>
      <c r="D11" s="12">
        <f t="shared" si="0"/>
        <v>7.7337916588832892E-2</v>
      </c>
      <c r="E11" s="11">
        <f t="shared" ref="E11:G11" si="5">SUM(E8:E10)</f>
        <v>133474175583.1546</v>
      </c>
      <c r="F11" s="12">
        <f t="shared" si="1"/>
        <v>0.21507643532736775</v>
      </c>
      <c r="G11" s="11">
        <f t="shared" si="5"/>
        <v>140430891413.40338</v>
      </c>
      <c r="H11" s="12">
        <f t="shared" si="2"/>
        <v>0.22628628649009869</v>
      </c>
      <c r="I11" s="10">
        <f>SUM(I8:I10)</f>
        <v>298689325958.17194</v>
      </c>
      <c r="J11" s="12">
        <f t="shared" si="3"/>
        <v>0.48129936159370074</v>
      </c>
      <c r="K11" s="29">
        <f t="shared" si="4"/>
        <v>620589491266.17993</v>
      </c>
    </row>
    <row r="12" spans="2:13">
      <c r="B12" s="4"/>
      <c r="C12" s="5"/>
      <c r="D12" s="5"/>
      <c r="E12" s="5"/>
      <c r="F12" s="5"/>
      <c r="G12" s="5"/>
      <c r="H12" s="5"/>
      <c r="I12" s="5"/>
      <c r="J12" s="5"/>
      <c r="K12" s="5"/>
    </row>
    <row r="13" spans="2:13" ht="16.5" thickBot="1">
      <c r="B13" s="8"/>
      <c r="C13" s="3"/>
      <c r="D13" s="3"/>
      <c r="E13" s="3"/>
      <c r="F13" s="3"/>
      <c r="G13" s="3"/>
      <c r="H13" s="3"/>
      <c r="I13" s="7"/>
      <c r="J13" s="7"/>
      <c r="K13" s="7"/>
    </row>
    <row r="14" spans="2:13" ht="16.5" thickBot="1">
      <c r="B14" s="43" t="s">
        <v>8</v>
      </c>
      <c r="C14" s="45" t="s">
        <v>0</v>
      </c>
      <c r="D14" s="46"/>
      <c r="E14" s="46"/>
      <c r="F14" s="46"/>
      <c r="G14" s="46"/>
      <c r="H14" s="47"/>
      <c r="I14" s="48" t="s">
        <v>9</v>
      </c>
      <c r="J14" s="7"/>
      <c r="K14" s="7"/>
    </row>
    <row r="15" spans="2:13" ht="16.5" thickBot="1">
      <c r="B15" s="44"/>
      <c r="C15" s="32" t="s">
        <v>4</v>
      </c>
      <c r="D15" s="33"/>
      <c r="E15" s="32" t="s">
        <v>2</v>
      </c>
      <c r="F15" s="33"/>
      <c r="G15" s="32" t="s">
        <v>3</v>
      </c>
      <c r="H15" s="33"/>
      <c r="I15" s="49"/>
      <c r="J15" s="7"/>
      <c r="K15" s="7"/>
    </row>
    <row r="16" spans="2:13">
      <c r="B16" s="15" t="s">
        <v>5</v>
      </c>
      <c r="C16" s="14">
        <f>+C8+E8</f>
        <v>154875299763.17773</v>
      </c>
      <c r="D16" s="6">
        <f>+D8+F8</f>
        <v>0.28448005906611329</v>
      </c>
      <c r="E16" s="13">
        <f>+G8</f>
        <v>123590140480.93839</v>
      </c>
      <c r="F16" s="6">
        <f>+H8</f>
        <v>0.22701444657584949</v>
      </c>
      <c r="G16" s="13">
        <f>+I8</f>
        <v>265949870521.77725</v>
      </c>
      <c r="H16" s="19">
        <f>+J8</f>
        <v>0.48850549435803736</v>
      </c>
      <c r="I16" s="20">
        <f>+C16+E16+G16</f>
        <v>544415310765.89331</v>
      </c>
      <c r="J16" s="7"/>
      <c r="K16" s="7"/>
    </row>
    <row r="17" spans="2:11" ht="31.5">
      <c r="B17" s="16" t="s">
        <v>6</v>
      </c>
      <c r="C17" s="14">
        <f>+C9+E9</f>
        <v>17538865617.723801</v>
      </c>
      <c r="D17" s="6">
        <f t="shared" ref="D17:D19" si="6">+D9+F9</f>
        <v>0.46235722180327088</v>
      </c>
      <c r="E17" s="13">
        <f>+G9</f>
        <v>6459532051.0838995</v>
      </c>
      <c r="F17" s="6">
        <f t="shared" ref="F17:F18" si="7">+H9</f>
        <v>0.1702853170999972</v>
      </c>
      <c r="G17" s="13">
        <f>+I9</f>
        <v>13935184398.580101</v>
      </c>
      <c r="H17" s="19">
        <f t="shared" ref="H17:H19" si="8">+J9</f>
        <v>0.3673574610967319</v>
      </c>
      <c r="I17" s="21">
        <f t="shared" ref="I17:I19" si="9">+C17+E17+G17</f>
        <v>37933582067.387802</v>
      </c>
      <c r="J17" s="7"/>
      <c r="K17" s="31"/>
    </row>
    <row r="18" spans="2:11" ht="32.25" thickBot="1">
      <c r="B18" s="18" t="s">
        <v>7</v>
      </c>
      <c r="C18" s="22">
        <f>+C10+E10</f>
        <v>9055108513.7031002</v>
      </c>
      <c r="D18" s="23">
        <f t="shared" si="6"/>
        <v>0.23679306508741482</v>
      </c>
      <c r="E18" s="24">
        <f>+G10</f>
        <v>10381218881.381102</v>
      </c>
      <c r="F18" s="23">
        <f t="shared" si="7"/>
        <v>0.27147114079810075</v>
      </c>
      <c r="G18" s="24">
        <f>+I10</f>
        <v>18804271037.814602</v>
      </c>
      <c r="H18" s="25">
        <f t="shared" si="8"/>
        <v>0.49173579411448443</v>
      </c>
      <c r="I18" s="26">
        <f t="shared" si="9"/>
        <v>38240598432.898804</v>
      </c>
      <c r="J18" s="7"/>
      <c r="K18" s="7"/>
    </row>
    <row r="19" spans="2:11" ht="16.5" thickBot="1">
      <c r="B19" s="9" t="s">
        <v>10</v>
      </c>
      <c r="C19" s="10">
        <f>SUM(C16:C18)</f>
        <v>181469273894.60464</v>
      </c>
      <c r="D19" s="12">
        <f t="shared" si="6"/>
        <v>0.29241435191620063</v>
      </c>
      <c r="E19" s="27">
        <f t="shared" ref="E19:G19" si="10">SUM(E16:E18)</f>
        <v>140430891413.40338</v>
      </c>
      <c r="F19" s="12">
        <f>+H11</f>
        <v>0.22628628649009869</v>
      </c>
      <c r="G19" s="27">
        <f t="shared" si="10"/>
        <v>298689325958.17194</v>
      </c>
      <c r="H19" s="28">
        <f t="shared" si="8"/>
        <v>0.48129936159370074</v>
      </c>
      <c r="I19" s="29">
        <f t="shared" si="9"/>
        <v>620589491266.17993</v>
      </c>
      <c r="J19" s="7"/>
      <c r="K19" s="7"/>
    </row>
    <row r="20" spans="2:11">
      <c r="B20" s="2"/>
      <c r="C20" s="2"/>
      <c r="D20" s="2"/>
      <c r="I20" s="2"/>
      <c r="J20" s="2"/>
      <c r="K20" s="2"/>
    </row>
  </sheetData>
  <mergeCells count="16">
    <mergeCell ref="B2:K2"/>
    <mergeCell ref="B3:K3"/>
    <mergeCell ref="B4:K4"/>
    <mergeCell ref="B6:B7"/>
    <mergeCell ref="C6:J6"/>
    <mergeCell ref="K6:K7"/>
    <mergeCell ref="C7:D7"/>
    <mergeCell ref="E7:F7"/>
    <mergeCell ref="G7:H7"/>
    <mergeCell ref="I7:J7"/>
    <mergeCell ref="B14:B15"/>
    <mergeCell ref="C14:H14"/>
    <mergeCell ref="I14:I15"/>
    <mergeCell ref="C15:D15"/>
    <mergeCell ref="E15:F15"/>
    <mergeCell ref="G15:H15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2" min="2" max="5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B2:M20"/>
  <sheetViews>
    <sheetView showGridLines="0" zoomScale="90" zoomScaleNormal="90" workbookViewId="0">
      <selection activeCell="H28" sqref="H28"/>
    </sheetView>
  </sheetViews>
  <sheetFormatPr baseColWidth="10" defaultRowHeight="15.7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31.140625" style="1" bestFit="1" customWidth="1"/>
    <col min="13" max="13" width="19.7109375" style="1" bestFit="1" customWidth="1"/>
    <col min="14" max="14" width="19.140625" style="1" bestFit="1" customWidth="1"/>
    <col min="15" max="15" width="21.28515625" style="1" bestFit="1" customWidth="1"/>
    <col min="16" max="16" width="21.85546875" style="1" bestFit="1" customWidth="1"/>
    <col min="17" max="16384" width="11.42578125" style="1"/>
  </cols>
  <sheetData>
    <row r="2" spans="2:13">
      <c r="B2" s="34" t="s">
        <v>11</v>
      </c>
      <c r="C2" s="34"/>
      <c r="D2" s="34"/>
      <c r="E2" s="34"/>
      <c r="F2" s="34"/>
      <c r="G2" s="34"/>
      <c r="H2" s="34"/>
      <c r="I2" s="34"/>
      <c r="J2" s="34"/>
      <c r="K2" s="34"/>
      <c r="L2" s="30"/>
      <c r="M2" s="30"/>
    </row>
    <row r="3" spans="2:13">
      <c r="B3" s="34" t="s">
        <v>12</v>
      </c>
      <c r="C3" s="34"/>
      <c r="D3" s="34"/>
      <c r="E3" s="34"/>
      <c r="F3" s="34"/>
      <c r="G3" s="34"/>
      <c r="H3" s="34"/>
      <c r="I3" s="34"/>
      <c r="J3" s="34"/>
      <c r="K3" s="34"/>
      <c r="L3" s="30"/>
      <c r="M3" s="30"/>
    </row>
    <row r="4" spans="2:13">
      <c r="B4" s="34" t="s">
        <v>24</v>
      </c>
      <c r="C4" s="34"/>
      <c r="D4" s="34"/>
      <c r="E4" s="34"/>
      <c r="F4" s="34"/>
      <c r="G4" s="34"/>
      <c r="H4" s="34"/>
      <c r="I4" s="34"/>
      <c r="J4" s="34"/>
      <c r="K4" s="34"/>
      <c r="L4" s="30"/>
      <c r="M4" s="30"/>
    </row>
    <row r="5" spans="2:13" ht="16.5" thickBot="1">
      <c r="B5" s="2"/>
      <c r="C5" s="2"/>
      <c r="D5" s="2"/>
      <c r="I5" s="2"/>
      <c r="J5" s="2"/>
      <c r="K5" s="2"/>
    </row>
    <row r="6" spans="2:13" ht="16.5" thickBot="1">
      <c r="B6" s="35" t="s">
        <v>8</v>
      </c>
      <c r="C6" s="37" t="s">
        <v>0</v>
      </c>
      <c r="D6" s="37"/>
      <c r="E6" s="37"/>
      <c r="F6" s="37"/>
      <c r="G6" s="37"/>
      <c r="H6" s="37"/>
      <c r="I6" s="37"/>
      <c r="J6" s="37"/>
      <c r="K6" s="38" t="s">
        <v>9</v>
      </c>
    </row>
    <row r="7" spans="2:13" ht="17.25" thickTop="1" thickBot="1">
      <c r="B7" s="36"/>
      <c r="C7" s="40" t="s">
        <v>13</v>
      </c>
      <c r="D7" s="40"/>
      <c r="E7" s="41" t="s">
        <v>1</v>
      </c>
      <c r="F7" s="41"/>
      <c r="G7" s="42" t="s">
        <v>2</v>
      </c>
      <c r="H7" s="42"/>
      <c r="I7" s="42" t="s">
        <v>3</v>
      </c>
      <c r="J7" s="42"/>
      <c r="K7" s="39"/>
    </row>
    <row r="8" spans="2:13">
      <c r="B8" s="15" t="s">
        <v>5</v>
      </c>
      <c r="C8" s="17">
        <v>38234391617.132881</v>
      </c>
      <c r="D8" s="6">
        <f>+C8/K8</f>
        <v>6.9409150103523762E-2</v>
      </c>
      <c r="E8" s="13">
        <v>114509212063.94891</v>
      </c>
      <c r="F8" s="6">
        <f>+E8/K8</f>
        <v>0.20787533820261864</v>
      </c>
      <c r="G8" s="13">
        <v>123998034542.85654</v>
      </c>
      <c r="H8" s="6">
        <f>+G8/K8</f>
        <v>0.22510095827627674</v>
      </c>
      <c r="I8" s="13">
        <v>274113566891.03973</v>
      </c>
      <c r="J8" s="6">
        <f>+I8/K8</f>
        <v>0.49761455341758093</v>
      </c>
      <c r="K8" s="20">
        <f>+C8+E8+G8+I8</f>
        <v>550855205114.97803</v>
      </c>
    </row>
    <row r="9" spans="2:13" ht="41.25" customHeight="1">
      <c r="B9" s="16" t="s">
        <v>6</v>
      </c>
      <c r="C9" s="14">
        <v>5851854042.8024969</v>
      </c>
      <c r="D9" s="6">
        <f t="shared" ref="D9:D11" si="0">+C9/K9</f>
        <v>0.15352545515529242</v>
      </c>
      <c r="E9" s="13">
        <v>11374363530.0373</v>
      </c>
      <c r="F9" s="6">
        <f t="shared" ref="F9:F11" si="1">+E9/K9</f>
        <v>0.29841043971329823</v>
      </c>
      <c r="G9" s="13">
        <v>6468284413.1873016</v>
      </c>
      <c r="H9" s="6">
        <f t="shared" ref="H9:H11" si="2">+G9/K9</f>
        <v>0.16969772337877495</v>
      </c>
      <c r="I9" s="13">
        <v>14422004731.919397</v>
      </c>
      <c r="J9" s="6">
        <f t="shared" ref="J9:J11" si="3">+I9/K9</f>
        <v>0.37836638175263443</v>
      </c>
      <c r="K9" s="21">
        <f t="shared" ref="K9:K11" si="4">+C9+E9+G9+I9</f>
        <v>38116506717.946495</v>
      </c>
    </row>
    <row r="10" spans="2:13" ht="34.5" customHeight="1" thickBot="1">
      <c r="B10" s="18" t="s">
        <v>7</v>
      </c>
      <c r="C10" s="22">
        <v>1945807162.8332996</v>
      </c>
      <c r="D10" s="6">
        <f t="shared" si="0"/>
        <v>5.0298985393104081E-2</v>
      </c>
      <c r="E10" s="24">
        <v>7115813453.3697004</v>
      </c>
      <c r="F10" s="6">
        <f t="shared" si="1"/>
        <v>0.18394330321506761</v>
      </c>
      <c r="G10" s="24">
        <v>10392017650.176003</v>
      </c>
      <c r="H10" s="6">
        <f t="shared" si="2"/>
        <v>0.26863296321201985</v>
      </c>
      <c r="I10" s="24">
        <v>19231181071.9464</v>
      </c>
      <c r="J10" s="6">
        <f t="shared" si="3"/>
        <v>0.49712474817980845</v>
      </c>
      <c r="K10" s="26">
        <f t="shared" si="4"/>
        <v>38684819338.325401</v>
      </c>
    </row>
    <row r="11" spans="2:13" ht="16.5" thickBot="1">
      <c r="B11" s="9" t="s">
        <v>10</v>
      </c>
      <c r="C11" s="11">
        <f>SUM(C8:C10)</f>
        <v>46032052822.768677</v>
      </c>
      <c r="D11" s="12">
        <f t="shared" si="0"/>
        <v>7.3339558399670782E-2</v>
      </c>
      <c r="E11" s="11">
        <f t="shared" ref="E11:G11" si="5">SUM(E8:E10)</f>
        <v>132999389047.35591</v>
      </c>
      <c r="F11" s="12">
        <f t="shared" si="1"/>
        <v>0.2118983591219388</v>
      </c>
      <c r="G11" s="11">
        <f t="shared" si="5"/>
        <v>140858336606.21985</v>
      </c>
      <c r="H11" s="12">
        <f t="shared" si="2"/>
        <v>0.22441945492603824</v>
      </c>
      <c r="I11" s="10">
        <f>SUM(I8:I10)</f>
        <v>307766752694.90552</v>
      </c>
      <c r="J11" s="12">
        <f t="shared" si="3"/>
        <v>0.49034262755235208</v>
      </c>
      <c r="K11" s="29">
        <f t="shared" si="4"/>
        <v>627656531171.25</v>
      </c>
    </row>
    <row r="12" spans="2:13">
      <c r="B12" s="4"/>
      <c r="C12" s="5"/>
      <c r="D12" s="5"/>
      <c r="E12" s="5"/>
      <c r="F12" s="5"/>
      <c r="G12" s="5"/>
      <c r="H12" s="5"/>
      <c r="I12" s="5"/>
      <c r="J12" s="5"/>
      <c r="K12" s="5"/>
    </row>
    <row r="13" spans="2:13" ht="16.5" thickBot="1">
      <c r="B13" s="8"/>
      <c r="C13" s="3"/>
      <c r="D13" s="3"/>
      <c r="E13" s="3"/>
      <c r="F13" s="3"/>
      <c r="G13" s="3"/>
      <c r="H13" s="3"/>
      <c r="I13" s="7"/>
      <c r="J13" s="7"/>
      <c r="K13" s="7"/>
    </row>
    <row r="14" spans="2:13" ht="16.5" thickBot="1">
      <c r="B14" s="43" t="s">
        <v>8</v>
      </c>
      <c r="C14" s="45" t="s">
        <v>0</v>
      </c>
      <c r="D14" s="46"/>
      <c r="E14" s="46"/>
      <c r="F14" s="46"/>
      <c r="G14" s="46"/>
      <c r="H14" s="47"/>
      <c r="I14" s="48" t="s">
        <v>9</v>
      </c>
      <c r="J14" s="7"/>
      <c r="K14" s="7"/>
    </row>
    <row r="15" spans="2:13" ht="16.5" thickBot="1">
      <c r="B15" s="44"/>
      <c r="C15" s="32" t="s">
        <v>4</v>
      </c>
      <c r="D15" s="33"/>
      <c r="E15" s="32" t="s">
        <v>2</v>
      </c>
      <c r="F15" s="33"/>
      <c r="G15" s="32" t="s">
        <v>3</v>
      </c>
      <c r="H15" s="33"/>
      <c r="I15" s="49"/>
      <c r="J15" s="7"/>
      <c r="K15" s="7"/>
    </row>
    <row r="16" spans="2:13">
      <c r="B16" s="15" t="s">
        <v>5</v>
      </c>
      <c r="C16" s="14">
        <f>+C8+E8</f>
        <v>152743603681.08179</v>
      </c>
      <c r="D16" s="6">
        <f>+D8+F8</f>
        <v>0.27728448830614238</v>
      </c>
      <c r="E16" s="13">
        <f>+G8</f>
        <v>123998034542.85654</v>
      </c>
      <c r="F16" s="6">
        <f>+H8</f>
        <v>0.22510095827627674</v>
      </c>
      <c r="G16" s="13">
        <f>+I8</f>
        <v>274113566891.03973</v>
      </c>
      <c r="H16" s="19">
        <f>+J8</f>
        <v>0.49761455341758093</v>
      </c>
      <c r="I16" s="20">
        <f>+C16+E16+G16</f>
        <v>550855205114.97803</v>
      </c>
      <c r="J16" s="7"/>
      <c r="K16" s="7"/>
    </row>
    <row r="17" spans="2:11" ht="31.5">
      <c r="B17" s="16" t="s">
        <v>6</v>
      </c>
      <c r="C17" s="14">
        <f>+C9+E9</f>
        <v>17226217572.839798</v>
      </c>
      <c r="D17" s="6">
        <f t="shared" ref="D17:D19" si="6">+D9+F9</f>
        <v>0.45193589486859065</v>
      </c>
      <c r="E17" s="13">
        <f>+G9</f>
        <v>6468284413.1873016</v>
      </c>
      <c r="F17" s="6">
        <f t="shared" ref="F17:F18" si="7">+H9</f>
        <v>0.16969772337877495</v>
      </c>
      <c r="G17" s="13">
        <f>+I9</f>
        <v>14422004731.919397</v>
      </c>
      <c r="H17" s="19">
        <f t="shared" ref="H17:H19" si="8">+J9</f>
        <v>0.37836638175263443</v>
      </c>
      <c r="I17" s="21">
        <f t="shared" ref="I17:I19" si="9">+C17+E17+G17</f>
        <v>38116506717.946495</v>
      </c>
      <c r="J17" s="7"/>
      <c r="K17" s="31"/>
    </row>
    <row r="18" spans="2:11" ht="32.25" thickBot="1">
      <c r="B18" s="18" t="s">
        <v>7</v>
      </c>
      <c r="C18" s="22">
        <f>+C10+E10</f>
        <v>9061620616.2029991</v>
      </c>
      <c r="D18" s="23">
        <f t="shared" si="6"/>
        <v>0.2342422886081717</v>
      </c>
      <c r="E18" s="24">
        <f>+G10</f>
        <v>10392017650.176003</v>
      </c>
      <c r="F18" s="23">
        <f t="shared" si="7"/>
        <v>0.26863296321201985</v>
      </c>
      <c r="G18" s="24">
        <f>+I10</f>
        <v>19231181071.9464</v>
      </c>
      <c r="H18" s="25">
        <f t="shared" si="8"/>
        <v>0.49712474817980845</v>
      </c>
      <c r="I18" s="26">
        <f t="shared" si="9"/>
        <v>38684819338.325401</v>
      </c>
      <c r="J18" s="7"/>
      <c r="K18" s="7"/>
    </row>
    <row r="19" spans="2:11" ht="16.5" thickBot="1">
      <c r="B19" s="9" t="s">
        <v>10</v>
      </c>
      <c r="C19" s="10">
        <f>SUM(C16:C18)</f>
        <v>179031441870.12457</v>
      </c>
      <c r="D19" s="12">
        <f t="shared" si="6"/>
        <v>0.2852379175216096</v>
      </c>
      <c r="E19" s="27">
        <f t="shared" ref="E19:G19" si="10">SUM(E16:E18)</f>
        <v>140858336606.21985</v>
      </c>
      <c r="F19" s="12">
        <f>+H11</f>
        <v>0.22441945492603824</v>
      </c>
      <c r="G19" s="27">
        <f t="shared" si="10"/>
        <v>307766752694.90552</v>
      </c>
      <c r="H19" s="28">
        <f t="shared" si="8"/>
        <v>0.49034262755235208</v>
      </c>
      <c r="I19" s="29">
        <f t="shared" si="9"/>
        <v>627656531171.25</v>
      </c>
      <c r="J19" s="7"/>
      <c r="K19" s="7"/>
    </row>
    <row r="20" spans="2:11">
      <c r="B20" s="2"/>
      <c r="C20" s="2"/>
      <c r="D20" s="2"/>
      <c r="I20" s="2"/>
      <c r="J20" s="2"/>
      <c r="K20" s="2"/>
    </row>
  </sheetData>
  <mergeCells count="16">
    <mergeCell ref="B14:B15"/>
    <mergeCell ref="C14:H14"/>
    <mergeCell ref="I14:I15"/>
    <mergeCell ref="C15:D15"/>
    <mergeCell ref="E15:F15"/>
    <mergeCell ref="G15:H15"/>
    <mergeCell ref="B2:K2"/>
    <mergeCell ref="B3:K3"/>
    <mergeCell ref="B4:K4"/>
    <mergeCell ref="B6:B7"/>
    <mergeCell ref="C6:J6"/>
    <mergeCell ref="K6:K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2" min="2" max="5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dimension ref="B2:M24"/>
  <sheetViews>
    <sheetView showGridLines="0" tabSelected="1" zoomScale="90" zoomScaleNormal="90" workbookViewId="0">
      <selection activeCell="L18" sqref="L18"/>
    </sheetView>
  </sheetViews>
  <sheetFormatPr baseColWidth="10" defaultRowHeight="15.7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31.140625" style="1" bestFit="1" customWidth="1"/>
    <col min="13" max="13" width="19.7109375" style="1" bestFit="1" customWidth="1"/>
    <col min="14" max="14" width="19.140625" style="1" bestFit="1" customWidth="1"/>
    <col min="15" max="15" width="21.28515625" style="1" bestFit="1" customWidth="1"/>
    <col min="16" max="16" width="21.85546875" style="1" bestFit="1" customWidth="1"/>
    <col min="17" max="16384" width="11.42578125" style="1"/>
  </cols>
  <sheetData>
    <row r="2" spans="2:13">
      <c r="B2" s="34" t="s">
        <v>11</v>
      </c>
      <c r="C2" s="34"/>
      <c r="D2" s="34"/>
      <c r="E2" s="34"/>
      <c r="F2" s="34"/>
      <c r="G2" s="34"/>
      <c r="H2" s="34"/>
      <c r="I2" s="34"/>
      <c r="J2" s="34"/>
      <c r="K2" s="34"/>
      <c r="L2" s="30"/>
      <c r="M2" s="30"/>
    </row>
    <row r="3" spans="2:13">
      <c r="B3" s="34" t="s">
        <v>12</v>
      </c>
      <c r="C3" s="34"/>
      <c r="D3" s="34"/>
      <c r="E3" s="34"/>
      <c r="F3" s="34"/>
      <c r="G3" s="34"/>
      <c r="H3" s="34"/>
      <c r="I3" s="34"/>
      <c r="J3" s="34"/>
      <c r="K3" s="34"/>
      <c r="L3" s="30"/>
      <c r="M3" s="30"/>
    </row>
    <row r="4" spans="2:13">
      <c r="B4" s="34" t="s">
        <v>25</v>
      </c>
      <c r="C4" s="34"/>
      <c r="D4" s="34"/>
      <c r="E4" s="34"/>
      <c r="F4" s="34"/>
      <c r="G4" s="34"/>
      <c r="H4" s="34"/>
      <c r="I4" s="34"/>
      <c r="J4" s="34"/>
      <c r="K4" s="34"/>
      <c r="L4" s="30"/>
      <c r="M4" s="30"/>
    </row>
    <row r="5" spans="2:13" ht="16.5" thickBot="1">
      <c r="B5" s="2"/>
      <c r="C5" s="2"/>
      <c r="D5" s="2"/>
      <c r="I5" s="2"/>
      <c r="J5" s="2"/>
      <c r="K5" s="2"/>
    </row>
    <row r="6" spans="2:13" ht="16.5" thickBot="1">
      <c r="B6" s="35" t="s">
        <v>8</v>
      </c>
      <c r="C6" s="37" t="s">
        <v>0</v>
      </c>
      <c r="D6" s="37"/>
      <c r="E6" s="37"/>
      <c r="F6" s="37"/>
      <c r="G6" s="37"/>
      <c r="H6" s="37"/>
      <c r="I6" s="37"/>
      <c r="J6" s="37"/>
      <c r="K6" s="38" t="s">
        <v>9</v>
      </c>
    </row>
    <row r="7" spans="2:13" ht="17.25" thickTop="1" thickBot="1">
      <c r="B7" s="36"/>
      <c r="C7" s="40" t="s">
        <v>13</v>
      </c>
      <c r="D7" s="40"/>
      <c r="E7" s="41" t="s">
        <v>1</v>
      </c>
      <c r="F7" s="41"/>
      <c r="G7" s="42" t="s">
        <v>2</v>
      </c>
      <c r="H7" s="42"/>
      <c r="I7" s="42" t="s">
        <v>3</v>
      </c>
      <c r="J7" s="42"/>
      <c r="K7" s="39"/>
    </row>
    <row r="8" spans="2:13">
      <c r="B8" s="15" t="s">
        <v>5</v>
      </c>
      <c r="C8" s="17">
        <v>34677936820.81205</v>
      </c>
      <c r="D8" s="6">
        <f>+C8/K8</f>
        <v>6.2230930047734216E-2</v>
      </c>
      <c r="E8" s="13">
        <v>114371712339.0181</v>
      </c>
      <c r="F8" s="6">
        <f>+E8/K8</f>
        <v>0.2052445641961449</v>
      </c>
      <c r="G8" s="13">
        <v>132949477424.49182</v>
      </c>
      <c r="H8" s="6">
        <f>+G8/K8</f>
        <v>0.23858309888035109</v>
      </c>
      <c r="I8" s="13">
        <v>275246873020.89606</v>
      </c>
      <c r="J8" s="6">
        <f>+I8/K8</f>
        <v>0.49394140687576982</v>
      </c>
      <c r="K8" s="20">
        <f>+C8+E8+G8+I8</f>
        <v>557245999605.21802</v>
      </c>
    </row>
    <row r="9" spans="2:13" ht="41.25" customHeight="1">
      <c r="B9" s="16" t="s">
        <v>6</v>
      </c>
      <c r="C9" s="14">
        <v>5773259560.2559986</v>
      </c>
      <c r="D9" s="6">
        <f t="shared" ref="D9:D11" si="0">+C9/K9</f>
        <v>0.15115224950469672</v>
      </c>
      <c r="E9" s="13">
        <v>11361250898.7869</v>
      </c>
      <c r="F9" s="6">
        <f t="shared" ref="F9:F11" si="1">+E9/K9</f>
        <v>0.29745391015517575</v>
      </c>
      <c r="G9" s="13">
        <v>6853194653.1918001</v>
      </c>
      <c r="H9" s="6">
        <f t="shared" ref="H9:H11" si="2">+G9/K9</f>
        <v>0.17942650547961289</v>
      </c>
      <c r="I9" s="13">
        <v>14207290854.905096</v>
      </c>
      <c r="J9" s="6">
        <f t="shared" ref="J9:J11" si="3">+I9/K9</f>
        <v>0.3719673348605147</v>
      </c>
      <c r="K9" s="21">
        <f t="shared" ref="K9:K11" si="4">+C9+E9+G9+I9</f>
        <v>38194995967.139793</v>
      </c>
    </row>
    <row r="10" spans="2:13" ht="34.5" customHeight="1" thickBot="1">
      <c r="B10" s="18" t="s">
        <v>7</v>
      </c>
      <c r="C10" s="22">
        <v>1733659537.9004002</v>
      </c>
      <c r="D10" s="6">
        <f t="shared" si="0"/>
        <v>4.4276694391540576E-2</v>
      </c>
      <c r="E10" s="24">
        <v>7154096285.2011003</v>
      </c>
      <c r="F10" s="6">
        <f t="shared" si="1"/>
        <v>0.18271161548312195</v>
      </c>
      <c r="G10" s="24">
        <v>11020943277.303402</v>
      </c>
      <c r="H10" s="6">
        <f t="shared" si="2"/>
        <v>0.28146872366107017</v>
      </c>
      <c r="I10" s="24">
        <v>19246426676.817303</v>
      </c>
      <c r="J10" s="6">
        <f t="shared" si="3"/>
        <v>0.49154296646426732</v>
      </c>
      <c r="K10" s="26">
        <f t="shared" si="4"/>
        <v>39155125777.222206</v>
      </c>
    </row>
    <row r="11" spans="2:13" ht="16.5" thickBot="1">
      <c r="B11" s="9" t="s">
        <v>10</v>
      </c>
      <c r="C11" s="11">
        <f>SUM(C8:C10)</f>
        <v>42184855918.968445</v>
      </c>
      <c r="D11" s="12">
        <f t="shared" si="0"/>
        <v>6.6475124098229504E-2</v>
      </c>
      <c r="E11" s="11">
        <f t="shared" ref="E11:G11" si="5">SUM(E8:E10)</f>
        <v>132887059523.00609</v>
      </c>
      <c r="F11" s="12">
        <f t="shared" si="1"/>
        <v>0.2094041470666389</v>
      </c>
      <c r="G11" s="11">
        <f t="shared" si="5"/>
        <v>150823615354.98703</v>
      </c>
      <c r="H11" s="12">
        <f t="shared" si="2"/>
        <v>0.23766866874987216</v>
      </c>
      <c r="I11" s="10">
        <f>SUM(I8:I10)</f>
        <v>308700590552.61847</v>
      </c>
      <c r="J11" s="12">
        <f t="shared" si="3"/>
        <v>0.48645206008525937</v>
      </c>
      <c r="K11" s="29">
        <f t="shared" si="4"/>
        <v>634596121349.58008</v>
      </c>
    </row>
    <row r="12" spans="2:13">
      <c r="B12" s="4"/>
      <c r="C12" s="5"/>
      <c r="D12" s="5"/>
      <c r="E12" s="5"/>
      <c r="F12" s="5"/>
      <c r="G12" s="5"/>
      <c r="H12" s="5"/>
      <c r="I12" s="5"/>
      <c r="J12" s="5"/>
      <c r="K12" s="5"/>
    </row>
    <row r="13" spans="2:13" ht="16.5" thickBot="1">
      <c r="B13" s="8"/>
      <c r="C13" s="3"/>
      <c r="D13" s="3"/>
      <c r="E13" s="3"/>
      <c r="F13" s="3"/>
      <c r="G13" s="3"/>
      <c r="H13" s="3"/>
      <c r="I13" s="7"/>
      <c r="J13" s="7"/>
      <c r="K13" s="7"/>
    </row>
    <row r="14" spans="2:13" ht="16.5" thickBot="1">
      <c r="B14" s="43" t="s">
        <v>8</v>
      </c>
      <c r="C14" s="45" t="s">
        <v>0</v>
      </c>
      <c r="D14" s="46"/>
      <c r="E14" s="46"/>
      <c r="F14" s="46"/>
      <c r="G14" s="46"/>
      <c r="H14" s="47"/>
      <c r="I14" s="48" t="s">
        <v>9</v>
      </c>
      <c r="J14" s="7"/>
      <c r="K14" s="7"/>
    </row>
    <row r="15" spans="2:13" ht="16.5" thickBot="1">
      <c r="B15" s="44"/>
      <c r="C15" s="32" t="s">
        <v>4</v>
      </c>
      <c r="D15" s="33"/>
      <c r="E15" s="32" t="s">
        <v>2</v>
      </c>
      <c r="F15" s="33"/>
      <c r="G15" s="32" t="s">
        <v>3</v>
      </c>
      <c r="H15" s="33"/>
      <c r="I15" s="49"/>
      <c r="J15" s="7"/>
      <c r="K15" s="7"/>
    </row>
    <row r="16" spans="2:13">
      <c r="B16" s="15" t="s">
        <v>5</v>
      </c>
      <c r="C16" s="14">
        <f>+C8+E8</f>
        <v>149049649159.83014</v>
      </c>
      <c r="D16" s="6">
        <f>+D8+F8</f>
        <v>0.26747549424387912</v>
      </c>
      <c r="E16" s="13">
        <f>+G8</f>
        <v>132949477424.49182</v>
      </c>
      <c r="F16" s="6">
        <f>+H8</f>
        <v>0.23858309888035109</v>
      </c>
      <c r="G16" s="13">
        <f>+I8</f>
        <v>275246873020.89606</v>
      </c>
      <c r="H16" s="19">
        <f>+J8</f>
        <v>0.49394140687576982</v>
      </c>
      <c r="I16" s="20">
        <f>+C16+E16+G16</f>
        <v>557245999605.21802</v>
      </c>
      <c r="J16" s="7"/>
      <c r="K16" s="7"/>
    </row>
    <row r="17" spans="2:12" ht="31.5">
      <c r="B17" s="16" t="s">
        <v>6</v>
      </c>
      <c r="C17" s="14">
        <f>+C9+E9</f>
        <v>17134510459.042898</v>
      </c>
      <c r="D17" s="6">
        <f t="shared" ref="D17:D19" si="6">+D9+F9</f>
        <v>0.44860615965987249</v>
      </c>
      <c r="E17" s="13">
        <f>+G9</f>
        <v>6853194653.1918001</v>
      </c>
      <c r="F17" s="6">
        <f t="shared" ref="F17:F18" si="7">+H9</f>
        <v>0.17942650547961289</v>
      </c>
      <c r="G17" s="13">
        <f>+I9</f>
        <v>14207290854.905096</v>
      </c>
      <c r="H17" s="19">
        <f t="shared" ref="H17:H19" si="8">+J9</f>
        <v>0.3719673348605147</v>
      </c>
      <c r="I17" s="21">
        <f t="shared" ref="I17:I19" si="9">+C17+E17+G17</f>
        <v>38194995967.139793</v>
      </c>
      <c r="J17" s="7"/>
      <c r="K17" s="31"/>
    </row>
    <row r="18" spans="2:12" ht="32.25" thickBot="1">
      <c r="B18" s="18" t="s">
        <v>7</v>
      </c>
      <c r="C18" s="22">
        <f>+C10+E10</f>
        <v>8887755823.1015015</v>
      </c>
      <c r="D18" s="23">
        <f t="shared" si="6"/>
        <v>0.22698830987466254</v>
      </c>
      <c r="E18" s="24">
        <f>+G10</f>
        <v>11020943277.303402</v>
      </c>
      <c r="F18" s="23">
        <f t="shared" si="7"/>
        <v>0.28146872366107017</v>
      </c>
      <c r="G18" s="24">
        <f>+I10</f>
        <v>19246426676.817303</v>
      </c>
      <c r="H18" s="25">
        <f t="shared" si="8"/>
        <v>0.49154296646426732</v>
      </c>
      <c r="I18" s="26">
        <f t="shared" si="9"/>
        <v>39155125777.222206</v>
      </c>
      <c r="J18" s="7"/>
      <c r="K18" s="7"/>
    </row>
    <row r="19" spans="2:12" ht="16.5" thickBot="1">
      <c r="B19" s="9" t="s">
        <v>10</v>
      </c>
      <c r="C19" s="10">
        <f>SUM(C16:C18)</f>
        <v>175071915441.97455</v>
      </c>
      <c r="D19" s="12">
        <f t="shared" si="6"/>
        <v>0.27587927116486843</v>
      </c>
      <c r="E19" s="27">
        <f t="shared" ref="E19:G19" si="10">SUM(E16:E18)</f>
        <v>150823615354.98703</v>
      </c>
      <c r="F19" s="12">
        <f>+H11</f>
        <v>0.23766866874987216</v>
      </c>
      <c r="G19" s="27">
        <f t="shared" si="10"/>
        <v>308700590552.61847</v>
      </c>
      <c r="H19" s="28">
        <f t="shared" si="8"/>
        <v>0.48645206008525937</v>
      </c>
      <c r="I19" s="29">
        <f t="shared" si="9"/>
        <v>634596121349.58008</v>
      </c>
      <c r="J19" s="7"/>
      <c r="K19" s="7"/>
    </row>
    <row r="20" spans="2:12">
      <c r="B20" s="2"/>
      <c r="C20" s="2"/>
      <c r="D20" s="2"/>
      <c r="I20" s="2"/>
      <c r="J20" s="2"/>
      <c r="K20" s="2"/>
    </row>
    <row r="24" spans="2:12">
      <c r="L24" s="50"/>
    </row>
  </sheetData>
  <mergeCells count="16">
    <mergeCell ref="B14:B15"/>
    <mergeCell ref="C14:H14"/>
    <mergeCell ref="I14:I15"/>
    <mergeCell ref="C15:D15"/>
    <mergeCell ref="E15:F15"/>
    <mergeCell ref="G15:H15"/>
    <mergeCell ref="B2:K2"/>
    <mergeCell ref="B3:K3"/>
    <mergeCell ref="B4:K4"/>
    <mergeCell ref="B6:B7"/>
    <mergeCell ref="C6:J6"/>
    <mergeCell ref="K6:K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2" min="2" max="5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nurena</dc:creator>
  <cp:lastModifiedBy>nurena</cp:lastModifiedBy>
  <cp:lastPrinted>2017-10-16T15:12:37Z</cp:lastPrinted>
  <dcterms:created xsi:type="dcterms:W3CDTF">2017-07-07T13:58:58Z</dcterms:created>
  <dcterms:modified xsi:type="dcterms:W3CDTF">2020-01-14T13:21:58Z</dcterms:modified>
</cp:coreProperties>
</file>