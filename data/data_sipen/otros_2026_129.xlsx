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6/"/>
    </mc:Choice>
  </mc:AlternateContent>
  <xr:revisionPtr revIDLastSave="144" documentId="13_ncr:1_{843E1262-C446-41C1-AACD-63EA99B9869A}" xr6:coauthVersionLast="47" xr6:coauthVersionMax="47" xr10:uidLastSave="{E3608483-8746-4814-BFA9-0DBD2A378E7B}"/>
  <bookViews>
    <workbookView xWindow="-120" yWindow="-120" windowWidth="29040" windowHeight="15720" xr2:uid="{00000000-000D-0000-FFFF-FFFF00000000}"/>
  </bookViews>
  <sheets>
    <sheet name="2026" sheetId="1" r:id="rId1"/>
  </sheets>
  <definedNames>
    <definedName name="_xlnm.Print_Area" localSheetId="0">'2026'!$B$2:$N$19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Q14" i="1"/>
  <c r="Q18" i="1"/>
  <c r="Q16" i="1"/>
  <c r="Q17" i="1"/>
  <c r="Q19" i="1"/>
  <c r="Q15" i="1"/>
  <c r="Q13" i="1" l="1"/>
  <c r="Q12" i="1" l="1"/>
  <c r="Q11" i="1" l="1"/>
  <c r="Q10" i="1"/>
  <c r="Q9" i="1" l="1"/>
</calcChain>
</file>

<file path=xl/sharedStrings.xml><?xml version="1.0" encoding="utf-8"?>
<sst xmlns="http://schemas.openxmlformats.org/spreadsheetml/2006/main" count="45" uniqueCount="34">
  <si>
    <t>Patrimonio de los Fondos de Pensiones</t>
  </si>
  <si>
    <t>RD$</t>
  </si>
  <si>
    <t>DETALLE</t>
  </si>
  <si>
    <t>ATLÁNTICO</t>
  </si>
  <si>
    <t>CRECER</t>
  </si>
  <si>
    <t>JMMB BDI</t>
  </si>
  <si>
    <t>POPULAR</t>
  </si>
  <si>
    <t xml:space="preserve">RESERVAS </t>
  </si>
  <si>
    <t>ROMANA</t>
  </si>
  <si>
    <t>SIEMBRA</t>
  </si>
  <si>
    <t>FONDO COMPLEMENTARIO- AFP ROMANA</t>
  </si>
  <si>
    <t>FONDO COMPLEMENTARIO- AFP SIEMBRA</t>
  </si>
  <si>
    <t>RESERVAS - REPARTO INDIVIDUALIZADO</t>
  </si>
  <si>
    <t>BANCO CENTRAL - REPARTO INDIVIDUALIZADO</t>
  </si>
  <si>
    <t>FONDO DE SOLIDARIDAD SOCIAL</t>
  </si>
  <si>
    <t>INABIMA</t>
  </si>
  <si>
    <t>TOTAL MENSUAL</t>
  </si>
  <si>
    <t>TIPP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</si>
  <si>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</si>
  <si>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</si>
  <si>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</si>
  <si>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</si>
  <si>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</si>
  <si>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</si>
  <si>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</si>
  <si>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</si>
  <si>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</si>
  <si>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</si>
  <si>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</si>
  <si>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</si>
  <si>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 - Diciembre de 2026</t>
  </si>
  <si>
    <t>FONDO COMPLEMENTARIO- AFP ATLÁNTICO*</t>
  </si>
  <si>
    <t>*Inicio de operaciones fondo complementario Prospera febrero 2026.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</si>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</sst>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3"/>
    <xf numFmtId="0" fontId="4" fillId="0" borderId="0" xfId="2" applyFont="1" applyAlignment="1">
      <alignment horizontal="right"/>
    </xf>
    <xf numFmtId="0" fontId="3" fillId="0" borderId="0" xfId="2"/>
    <xf numFmtId="0" fontId="4" fillId="3" borderId="3" xfId="2" applyFont="1" applyFill="1" applyBorder="1" applyAlignment="1">
      <alignment horizontal="center" vertical="center" wrapText="1"/>
    </xf>
    <xf numFmtId="164" fontId="4" fillId="3" borderId="3" xfId="1" applyFont="1" applyFill="1" applyBorder="1" applyAlignment="1">
      <alignment horizontal="center"/>
    </xf>
    <xf numFmtId="4" fontId="0" fillId="0" borderId="0" xfId="0" applyNumberFormat="1"/>
    <xf numFmtId="4" fontId="3" fillId="0" borderId="0" xfId="3" applyNumberFormat="1"/>
    <xf numFmtId="4" fontId="2" fillId="0" borderId="0" xfId="0" applyNumberFormat="1" applyFont="1"/>
    <xf numFmtId="0" fontId="4" fillId="0" borderId="0" xfId="2" applyFont="1" applyAlignment="1">
      <alignment horizontal="center"/>
    </xf>
    <xf numFmtId="4" fontId="0" fillId="0" borderId="1" xfId="0" applyNumberFormat="1" applyBorder="1" applyAlignment="1">
      <alignment horizontal="center"/>
    </xf>
    <xf numFmtId="4" fontId="3" fillId="0" borderId="3" xfId="1" applyNumberFormat="1" applyFon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164" fontId="3" fillId="0" borderId="0" xfId="1" applyFont="1" applyFill="1"/>
    <xf numFmtId="164" fontId="3" fillId="0" borderId="0" xfId="3" applyNumberFormat="1"/>
    <xf numFmtId="10" fontId="3" fillId="0" borderId="0" xfId="4" applyNumberFormat="1" applyFont="1" applyFill="1"/>
    <xf numFmtId="4" fontId="3" fillId="0" borderId="0" xfId="2" applyNumberFormat="1"/>
    <xf numFmtId="164" fontId="3" fillId="0" borderId="0" xfId="1" applyFont="1"/>
    <xf numFmtId="0" fontId="5" fillId="2" borderId="1" xfId="2" applyFont="1" applyFill="1" applyBorder="1" applyAlignment="1">
      <alignment horizontal="center" vertical="center" wrapText="1"/>
    </xf>
    <xf numFmtId="4" fontId="7" fillId="0" borderId="0" xfId="2" applyNumberFormat="1" applyFont="1" applyAlignment="1">
      <alignment horizontal="justify" vertical="justify" wrapText="1"/>
    </xf>
    <xf numFmtId="0" fontId="7" fillId="0" borderId="0" xfId="2" applyFont="1" applyAlignment="1">
      <alignment horizontal="justify" vertical="justify" wrapText="1"/>
    </xf>
    <xf numFmtId="0" fontId="6" fillId="0" borderId="0" xfId="2" applyFont="1" applyAlignment="1">
      <alignment horizontal="left" vertical="center" wrapText="1"/>
    </xf>
    <xf numFmtId="0" fontId="4" fillId="0" borderId="0" xfId="2" applyFont="1" applyAlignment="1">
      <alignment horizont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7" fillId="0" borderId="0" xfId="3" applyFont="1"/>
  </cellXfs>
  <cellStyles count="5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5"/>
  <sheetViews>
    <sheetView showGridLines="0" tabSelected="1" topLeftCell="E1" zoomScaleNormal="100" workbookViewId="0">
      <selection activeCell="J9" sqref="J9"/>
    </sheetView>
  </sheetViews>
  <sheetFormatPr baseColWidth="10" defaultColWidth="11.42578125" defaultRowHeight="15" x14ac:dyDescent="0.25"/>
  <cols>
    <col min="1" max="1" width="5.28515625" style="1" customWidth="1"/>
    <col min="2" max="2" width="12.28515625" style="1" customWidth="1"/>
    <col min="3" max="3" width="19" style="1" customWidth="1"/>
    <col min="4" max="4" width="20.42578125" style="1" customWidth="1"/>
    <col min="5" max="5" width="17.85546875" style="1" customWidth="1"/>
    <col min="6" max="7" width="20.42578125" style="1" customWidth="1"/>
    <col min="8" max="8" width="18.85546875" style="1" bestFit="1" customWidth="1"/>
    <col min="9" max="10" width="20.42578125" style="1" customWidth="1"/>
    <col min="11" max="12" width="18.42578125" style="1" customWidth="1"/>
    <col min="13" max="13" width="20.140625" style="1" customWidth="1"/>
    <col min="14" max="14" width="18.7109375" style="1" customWidth="1"/>
    <col min="15" max="15" width="18.42578125" style="1" customWidth="1"/>
    <col min="16" max="16" width="20.5703125" style="1" customWidth="1"/>
    <col min="17" max="17" width="21.7109375" style="1" bestFit="1" customWidth="1"/>
    <col min="18" max="18" width="20.5703125" style="1" bestFit="1" customWidth="1"/>
    <col min="19" max="16384" width="11.42578125" style="1"/>
  </cols>
  <sheetData>
    <row r="1" spans="2:21" x14ac:dyDescent="0.25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9"/>
      <c r="P1" s="9"/>
    </row>
    <row r="2" spans="2:21" x14ac:dyDescent="0.2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2:21" x14ac:dyDescent="0.25"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2:21" x14ac:dyDescent="0.25">
      <c r="B4" s="22" t="s">
        <v>30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2:21" x14ac:dyDescent="0.25">
      <c r="B5" s="2"/>
      <c r="C5" s="3"/>
      <c r="D5" s="3"/>
      <c r="E5" s="3"/>
      <c r="F5" s="3"/>
      <c r="G5" s="3"/>
      <c r="H5" s="3"/>
      <c r="I5" s="3"/>
      <c r="J5" s="3"/>
      <c r="K5" s="3"/>
      <c r="L5" s="16"/>
      <c r="M5" s="3"/>
      <c r="N5" s="3"/>
      <c r="O5" s="3"/>
      <c r="P5" s="3"/>
    </row>
    <row r="6" spans="2:21" ht="15" customHeight="1" x14ac:dyDescent="0.25">
      <c r="B6" s="18" t="s">
        <v>2</v>
      </c>
      <c r="C6" s="18" t="s">
        <v>3</v>
      </c>
      <c r="D6" s="18" t="s">
        <v>4</v>
      </c>
      <c r="E6" s="23" t="s">
        <v>5</v>
      </c>
      <c r="F6" s="18" t="s">
        <v>6</v>
      </c>
      <c r="G6" s="18" t="s">
        <v>7</v>
      </c>
      <c r="H6" s="18" t="s">
        <v>8</v>
      </c>
      <c r="I6" s="18" t="s">
        <v>9</v>
      </c>
      <c r="J6" s="18" t="s">
        <v>31</v>
      </c>
      <c r="K6" s="18" t="s">
        <v>10</v>
      </c>
      <c r="L6" s="18" t="s">
        <v>11</v>
      </c>
      <c r="M6" s="18" t="s">
        <v>12</v>
      </c>
      <c r="N6" s="18" t="s">
        <v>13</v>
      </c>
      <c r="O6" s="18" t="s">
        <v>14</v>
      </c>
      <c r="P6" s="18" t="s">
        <v>15</v>
      </c>
      <c r="Q6" s="18" t="s">
        <v>16</v>
      </c>
    </row>
    <row r="7" spans="2:21" ht="38.25" customHeight="1" x14ac:dyDescent="0.25">
      <c r="B7" s="18"/>
      <c r="C7" s="18"/>
      <c r="D7" s="18" t="s">
        <v>17</v>
      </c>
      <c r="E7" s="24"/>
      <c r="F7" s="18" t="s">
        <v>17</v>
      </c>
      <c r="G7" s="18" t="s">
        <v>17</v>
      </c>
      <c r="H7" s="18" t="s">
        <v>17</v>
      </c>
      <c r="I7" s="18" t="s">
        <v>17</v>
      </c>
      <c r="J7" s="18" t="s">
        <v>17</v>
      </c>
      <c r="K7" s="18" t="s">
        <v>17</v>
      </c>
      <c r="L7" s="18" t="s">
        <v>17</v>
      </c>
      <c r="M7" s="18" t="s">
        <v>17</v>
      </c>
      <c r="N7" s="18" t="s">
        <v>17</v>
      </c>
      <c r="O7" s="18" t="s">
        <v>17</v>
      </c>
      <c r="P7" s="18" t="s">
        <v>17</v>
      </c>
      <c r="Q7" s="18"/>
      <c r="T7" s="13"/>
    </row>
    <row r="8" spans="2:21" x14ac:dyDescent="0.25">
      <c r="B8" s="4" t="s">
        <v>18</v>
      </c>
      <c r="C8" s="10">
        <v>23824655894.099998</v>
      </c>
      <c r="D8" s="10">
        <v>301545594955.04999</v>
      </c>
      <c r="E8" s="10">
        <v>13666935231.440001</v>
      </c>
      <c r="F8" s="10">
        <v>431284246154.26001</v>
      </c>
      <c r="G8" s="11">
        <v>223192273508.06</v>
      </c>
      <c r="H8" s="10">
        <v>10990153869.889999</v>
      </c>
      <c r="I8" s="10">
        <v>278820041264.98999</v>
      </c>
      <c r="J8" s="10" t="s">
        <v>33</v>
      </c>
      <c r="K8" s="10">
        <v>73233056.25</v>
      </c>
      <c r="L8" s="10">
        <v>1903490640.3399999</v>
      </c>
      <c r="M8" s="10">
        <v>22773422627.75</v>
      </c>
      <c r="N8" s="10">
        <v>29304973808.380001</v>
      </c>
      <c r="O8" s="12">
        <v>94568343170.669998</v>
      </c>
      <c r="P8" s="12">
        <v>174723396940.57999</v>
      </c>
      <c r="Q8" s="5">
        <f>SUM(C8:P8)</f>
        <v>1606670761121.76</v>
      </c>
      <c r="R8" s="14"/>
      <c r="U8" s="15"/>
    </row>
    <row r="9" spans="2:21" x14ac:dyDescent="0.25">
      <c r="B9" s="4" t="s">
        <v>19</v>
      </c>
      <c r="C9" s="10">
        <v>23457689598.240002</v>
      </c>
      <c r="D9" s="10">
        <v>302887027786.40002</v>
      </c>
      <c r="E9" s="10">
        <v>13818593570.870001</v>
      </c>
      <c r="F9" s="10">
        <v>433935551926.14001</v>
      </c>
      <c r="G9" s="10">
        <v>224339877374.44</v>
      </c>
      <c r="H9" s="10">
        <v>11087456299.200001</v>
      </c>
      <c r="I9" s="10">
        <v>280928387375.66998</v>
      </c>
      <c r="J9" s="10">
        <v>556255.96</v>
      </c>
      <c r="K9" s="10">
        <v>62370918.149999999</v>
      </c>
      <c r="L9" s="10">
        <v>1902438659.26</v>
      </c>
      <c r="M9" s="10">
        <v>22753993760.040001</v>
      </c>
      <c r="N9" s="10">
        <v>29317240896.650002</v>
      </c>
      <c r="O9" s="12">
        <v>95225590359.089996</v>
      </c>
      <c r="P9" s="12">
        <v>181769515422.97</v>
      </c>
      <c r="Q9" s="5">
        <f t="shared" ref="Q9:Q15" si="0">SUM(C9:P9)</f>
        <v>1621486290203.0798</v>
      </c>
      <c r="R9" s="14"/>
      <c r="U9" s="15"/>
    </row>
    <row r="10" spans="2:21" x14ac:dyDescent="0.25">
      <c r="B10" s="4" t="s">
        <v>20</v>
      </c>
      <c r="C10" s="10">
        <v>23920068632.080002</v>
      </c>
      <c r="D10" s="10">
        <v>304553076414.39001</v>
      </c>
      <c r="E10" s="10">
        <v>13941989359.690001</v>
      </c>
      <c r="F10" s="10">
        <v>435797234155.08002</v>
      </c>
      <c r="G10" s="10">
        <v>225612155805.82999</v>
      </c>
      <c r="H10" s="10">
        <v>11162199339.51</v>
      </c>
      <c r="I10" s="10">
        <v>282560267741.59998</v>
      </c>
      <c r="J10" s="10">
        <v>891354.7</v>
      </c>
      <c r="K10" s="10">
        <v>62029835.990000002</v>
      </c>
      <c r="L10" s="10">
        <v>1941900856.4200001</v>
      </c>
      <c r="M10" s="10">
        <v>22711298599.200001</v>
      </c>
      <c r="N10" s="10">
        <v>29301116994.91</v>
      </c>
      <c r="O10" s="10">
        <v>95634277412.399994</v>
      </c>
      <c r="P10" s="10">
        <v>184113749984.258</v>
      </c>
      <c r="Q10" s="5">
        <f t="shared" si="0"/>
        <v>1631312256486.0576</v>
      </c>
      <c r="R10" s="14"/>
      <c r="U10" s="15"/>
    </row>
    <row r="11" spans="2:21" hidden="1" x14ac:dyDescent="0.25">
      <c r="B11" s="4" t="s">
        <v>21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5">
        <f t="shared" si="0"/>
        <v>0</v>
      </c>
      <c r="R11" s="14"/>
      <c r="U11" s="15"/>
    </row>
    <row r="12" spans="2:21" hidden="1" x14ac:dyDescent="0.25">
      <c r="B12" s="4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5">
        <f t="shared" si="0"/>
        <v>0</v>
      </c>
      <c r="R12" s="14"/>
      <c r="U12" s="15"/>
    </row>
    <row r="13" spans="2:21" ht="15" hidden="1" customHeight="1" x14ac:dyDescent="0.25">
      <c r="B13" s="4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5">
        <f t="shared" si="0"/>
        <v>0</v>
      </c>
      <c r="R13" s="14"/>
      <c r="U13" s="15"/>
    </row>
    <row r="14" spans="2:21" ht="15" hidden="1" customHeight="1" x14ac:dyDescent="0.25">
      <c r="B14" s="4" t="s">
        <v>24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5">
        <f t="shared" si="0"/>
        <v>0</v>
      </c>
      <c r="R14" s="14"/>
      <c r="U14" s="15"/>
    </row>
    <row r="15" spans="2:21" hidden="1" x14ac:dyDescent="0.25">
      <c r="B15" s="4" t="s">
        <v>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5">
        <f t="shared" si="0"/>
        <v>0</v>
      </c>
      <c r="R15" s="14"/>
      <c r="U15" s="15"/>
    </row>
    <row r="16" spans="2:21" ht="15" hidden="1" customHeight="1" x14ac:dyDescent="0.25">
      <c r="B16" s="4" t="s">
        <v>26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5">
        <f t="shared" ref="Q16:Q19" si="1">SUM(C16:P16)</f>
        <v>0</v>
      </c>
    </row>
    <row r="17" spans="2:17" ht="15" hidden="1" customHeight="1" x14ac:dyDescent="0.25">
      <c r="B17" s="4" t="s">
        <v>27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5">
        <f t="shared" si="1"/>
        <v>0</v>
      </c>
    </row>
    <row r="18" spans="2:17" ht="15" hidden="1" customHeight="1" x14ac:dyDescent="0.25">
      <c r="B18" s="4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5">
        <f>SUM(C18:P18)</f>
        <v>0</v>
      </c>
    </row>
    <row r="19" spans="2:17" ht="15" hidden="1" customHeight="1" x14ac:dyDescent="0.25">
      <c r="B19" s="4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5">
        <f t="shared" si="1"/>
        <v>0</v>
      </c>
    </row>
    <row r="20" spans="2:17" x14ac:dyDescent="0.25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2:17" x14ac:dyDescent="0.25">
      <c r="B21" s="25" t="s">
        <v>32</v>
      </c>
      <c r="C21" s="25"/>
      <c r="L21" s="7"/>
      <c r="O21" s="17"/>
    </row>
    <row r="22" spans="2:17" x14ac:dyDescent="0.25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2:17" ht="15" customHeight="1" x14ac:dyDescent="0.25"/>
    <row r="24" spans="2:17" x14ac:dyDescent="0.25">
      <c r="E24" s="6"/>
      <c r="G24" s="6"/>
      <c r="H24" s="7"/>
    </row>
    <row r="25" spans="2:17" x14ac:dyDescent="0.25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2:17" x14ac:dyDescent="0.25">
      <c r="E26" s="6"/>
      <c r="G26" s="6"/>
      <c r="L26" s="7"/>
    </row>
    <row r="27" spans="2:17" x14ac:dyDescent="0.25">
      <c r="E27" s="6"/>
      <c r="G27" s="6"/>
    </row>
    <row r="28" spans="2:17" x14ac:dyDescent="0.25">
      <c r="E28" s="6"/>
      <c r="G28" s="6"/>
      <c r="H28" s="6"/>
    </row>
    <row r="29" spans="2:17" x14ac:dyDescent="0.25">
      <c r="E29" s="7"/>
      <c r="G29" s="7"/>
      <c r="H29" s="6"/>
    </row>
    <row r="30" spans="2:17" x14ac:dyDescent="0.25">
      <c r="G30" s="7"/>
      <c r="H30" s="6"/>
    </row>
    <row r="31" spans="2:17" x14ac:dyDescent="0.25">
      <c r="F31" s="6"/>
      <c r="H31" s="7"/>
    </row>
    <row r="32" spans="2:17" x14ac:dyDescent="0.25">
      <c r="F32" s="8"/>
      <c r="G32" s="6"/>
    </row>
    <row r="33" spans="7:7" x14ac:dyDescent="0.25">
      <c r="G33" s="6"/>
    </row>
    <row r="34" spans="7:7" x14ac:dyDescent="0.25">
      <c r="G34" s="6"/>
    </row>
    <row r="35" spans="7:7" x14ac:dyDescent="0.25">
      <c r="G35" s="7"/>
    </row>
  </sheetData>
  <mergeCells count="22">
    <mergeCell ref="Q6:Q7"/>
    <mergeCell ref="B25:Q25"/>
    <mergeCell ref="B22:Q22"/>
    <mergeCell ref="B1:N1"/>
    <mergeCell ref="B2:Q2"/>
    <mergeCell ref="B3:Q3"/>
    <mergeCell ref="B4:Q4"/>
    <mergeCell ref="B6:B7"/>
    <mergeCell ref="C6:C7"/>
    <mergeCell ref="D6:D7"/>
    <mergeCell ref="E6:E7"/>
    <mergeCell ref="F6:F7"/>
    <mergeCell ref="G6:G7"/>
    <mergeCell ref="K6:K7"/>
    <mergeCell ref="P6:P7"/>
    <mergeCell ref="L6:L7"/>
    <mergeCell ref="M6:M7"/>
    <mergeCell ref="O6:O7"/>
    <mergeCell ref="H6:H7"/>
    <mergeCell ref="I6:I7"/>
    <mergeCell ref="N6:N7"/>
    <mergeCell ref="J6:J7"/>
  </mergeCells>
  <printOptions horizontalCentered="1"/>
  <pageMargins left="0" right="0" top="0.74803149606299213" bottom="0.74803149606299213" header="0.31496062992125984" footer="0.31496062992125984"/>
  <pageSetup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Props1.xml><?xml version="1.0" encoding="utf-8"?>
<ds:datastoreItem xmlns:ds="http://schemas.openxmlformats.org/officeDocument/2006/customXml" ds:itemID="{6E8991B7-8474-4BB5-98B8-A0EB4AF758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FC1FB0-4B72-4A46-A6B9-3E7389F78F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B6CA63-AB17-420B-9F25-04ECAA3D7A06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2026</vt:lpstr>
      <vt:lpstr>'2026'!Área_de_impresión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2022-02-03T14:00:46Z</dcterms:created>
  <dcterms:modified xsi:type="dcterms:W3CDTF">2026-04-15T18:44:16Z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