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05" yWindow="-105" windowWidth="19425" windowHeight="10425" firstSheet="4" activeTab="11"/>
  </bookViews>
  <sheets>
    <sheet name="Enero 2021" sheetId="23" r:id="rId1"/>
    <sheet name="Febrero 2021" sheetId="24" r:id="rId2"/>
    <sheet name="Marzo 2021" sheetId="25" r:id="rId3"/>
    <sheet name="Abril 2021" sheetId="26" r:id="rId4"/>
    <sheet name="Mayo 2021" sheetId="27" r:id="rId5"/>
    <sheet name="Junio 2021" sheetId="28" r:id="rId6"/>
    <sheet name="Julio 2021" sheetId="29" r:id="rId7"/>
    <sheet name="Agosto 2021" sheetId="30" r:id="rId8"/>
    <sheet name="Septiembre 2021" sheetId="31" r:id="rId9"/>
    <sheet name="Octubre 2021" sheetId="32" r:id="rId10"/>
    <sheet name="Noviembre 2021" sheetId="33" r:id="rId11"/>
    <sheet name="Diciembre 2021" sheetId="34" r:id="rId1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38" i="34" l="1"/>
  <c r="AH138" i="34"/>
  <c r="AD138" i="34"/>
  <c r="V138" i="34"/>
  <c r="J138" i="34"/>
  <c r="BB93" i="34" l="1"/>
  <c r="BB88" i="34"/>
  <c r="AX93" i="34"/>
  <c r="AX88" i="34"/>
  <c r="AT88" i="34"/>
  <c r="AL88" i="34"/>
  <c r="AH93" i="34"/>
  <c r="AH88" i="34"/>
  <c r="AD93" i="34"/>
  <c r="AD88" i="34"/>
  <c r="V93" i="34"/>
  <c r="V88" i="34"/>
  <c r="R93" i="34"/>
  <c r="R88" i="34"/>
  <c r="J93" i="34"/>
  <c r="J88" i="34"/>
  <c r="F93" i="34"/>
  <c r="F88" i="34"/>
  <c r="N93" i="34"/>
  <c r="N88" i="34"/>
  <c r="BB11" i="34"/>
  <c r="BB9" i="34"/>
  <c r="AX9" i="34"/>
  <c r="AZ9" i="34"/>
  <c r="AY9" i="34"/>
  <c r="AZ11" i="34"/>
  <c r="AY11" i="34"/>
  <c r="AT9" i="34"/>
  <c r="AP9" i="34"/>
  <c r="AL9" i="34"/>
  <c r="AH11" i="34"/>
  <c r="AH9" i="34"/>
  <c r="AF9" i="34"/>
  <c r="AE9" i="34"/>
  <c r="AF11" i="34"/>
  <c r="AE11" i="34"/>
  <c r="AD11" i="34"/>
  <c r="AD9" i="34"/>
  <c r="AB9" i="34"/>
  <c r="AA9" i="34"/>
  <c r="AB11" i="34"/>
  <c r="AA11" i="34"/>
  <c r="Z9" i="34"/>
  <c r="V11" i="34"/>
  <c r="V9" i="34"/>
  <c r="T9" i="34"/>
  <c r="S9" i="34"/>
  <c r="T11" i="34"/>
  <c r="S11" i="34"/>
  <c r="R11" i="34"/>
  <c r="R9" i="34"/>
  <c r="P9" i="34"/>
  <c r="O9" i="34"/>
  <c r="P11" i="34"/>
  <c r="O11" i="34"/>
  <c r="N9" i="34"/>
  <c r="J11" i="34"/>
  <c r="J9" i="34"/>
  <c r="H9" i="34"/>
  <c r="G9" i="34"/>
  <c r="H11" i="34"/>
  <c r="G11" i="34"/>
  <c r="F9" i="34"/>
  <c r="V11" i="33" l="1"/>
  <c r="R11" i="33"/>
  <c r="J11" i="33"/>
  <c r="BB134" i="33" l="1"/>
  <c r="AH134" i="33"/>
  <c r="AD134" i="33"/>
  <c r="V134" i="33"/>
  <c r="J134" i="33"/>
  <c r="AY9" i="33"/>
  <c r="AZ9" i="33" s="1"/>
  <c r="BB9" i="33" s="1"/>
  <c r="AY11" i="33"/>
  <c r="AZ11" i="33" s="1"/>
  <c r="BB11" i="33" s="1"/>
  <c r="AX9" i="33"/>
  <c r="AT9" i="33"/>
  <c r="AP9" i="33"/>
  <c r="AL9" i="33"/>
  <c r="AF9" i="33"/>
  <c r="AH9" i="33" s="1"/>
  <c r="AE9" i="33"/>
  <c r="AE11" i="33"/>
  <c r="AF11" i="33" s="1"/>
  <c r="AH11" i="33" s="1"/>
  <c r="AD9" i="33"/>
  <c r="AB9" i="33"/>
  <c r="AA9" i="33"/>
  <c r="AA11" i="33"/>
  <c r="AB11" i="33" s="1"/>
  <c r="AD11" i="33" s="1"/>
  <c r="Z9" i="33"/>
  <c r="N9" i="33" l="1"/>
  <c r="F9" i="33"/>
  <c r="S9" i="33"/>
  <c r="T9" i="33" s="1"/>
  <c r="V9" i="33" s="1"/>
  <c r="S11" i="33"/>
  <c r="T11" i="33" s="1"/>
  <c r="O9" i="33"/>
  <c r="H8" i="33"/>
  <c r="G9" i="33"/>
  <c r="P9" i="33"/>
  <c r="R9" i="33" s="1"/>
  <c r="O11" i="33"/>
  <c r="P11" i="33" s="1"/>
  <c r="H9" i="33"/>
  <c r="J9" i="33" s="1"/>
  <c r="H11" i="33"/>
  <c r="G11" i="33"/>
  <c r="BB89" i="33"/>
  <c r="BB84" i="33"/>
  <c r="AX89" i="33"/>
  <c r="AX84" i="33"/>
  <c r="AH89" i="33"/>
  <c r="AH84" i="33"/>
  <c r="AD89" i="33"/>
  <c r="AD84" i="33"/>
  <c r="V89" i="33"/>
  <c r="V84" i="33"/>
  <c r="R89" i="33"/>
  <c r="R84" i="33"/>
  <c r="N89" i="33"/>
  <c r="N84" i="33"/>
  <c r="J89" i="33"/>
  <c r="J84" i="33"/>
  <c r="F89" i="33"/>
  <c r="J18" i="32"/>
  <c r="AD88" i="32" l="1"/>
  <c r="R88" i="32" l="1"/>
  <c r="F9" i="32"/>
  <c r="F93" i="32"/>
  <c r="J88" i="32"/>
  <c r="N88" i="32"/>
  <c r="V88" i="32"/>
  <c r="J93" i="32"/>
  <c r="N93" i="32"/>
  <c r="R93" i="32"/>
  <c r="V93" i="32"/>
  <c r="J138" i="32"/>
  <c r="V138" i="32"/>
  <c r="BB138" i="32" l="1"/>
  <c r="AH138" i="32"/>
  <c r="AD138" i="32"/>
  <c r="BB93" i="32"/>
  <c r="AX93" i="32"/>
  <c r="AH93" i="32"/>
  <c r="AD93" i="32"/>
  <c r="BB88" i="32"/>
  <c r="AX88" i="32"/>
  <c r="AH88" i="32"/>
  <c r="AY11" i="32"/>
  <c r="AZ11" i="32" s="1"/>
  <c r="BB11" i="32" s="1"/>
  <c r="AE11" i="32"/>
  <c r="AF11" i="32" s="1"/>
  <c r="AH11" i="32" s="1"/>
  <c r="AA11" i="32"/>
  <c r="S11" i="32"/>
  <c r="O11" i="32"/>
  <c r="P11" i="32" s="1"/>
  <c r="R11" i="32" s="1"/>
  <c r="G11" i="32"/>
  <c r="H11" i="32" s="1"/>
  <c r="J11" i="32" s="1"/>
  <c r="AY9" i="32"/>
  <c r="AZ9" i="32" s="1"/>
  <c r="AX9" i="32"/>
  <c r="AT9" i="32"/>
  <c r="AP9" i="32"/>
  <c r="AL9" i="32"/>
  <c r="AE9" i="32"/>
  <c r="AF9" i="32" s="1"/>
  <c r="AA9" i="32"/>
  <c r="AB9" i="32" s="1"/>
  <c r="AD9" i="32" s="1"/>
  <c r="Z9" i="32"/>
  <c r="S9" i="32"/>
  <c r="T9" i="32" s="1"/>
  <c r="V9" i="32" s="1"/>
  <c r="O9" i="32"/>
  <c r="P9" i="32" s="1"/>
  <c r="N9" i="32"/>
  <c r="G9" i="32"/>
  <c r="AA8" i="32" l="1"/>
  <c r="AB12" i="32" s="1"/>
  <c r="S8" i="32"/>
  <c r="G8" i="32"/>
  <c r="H10" i="32" s="1"/>
  <c r="AY8" i="32"/>
  <c r="AZ10" i="32" s="1"/>
  <c r="AE8" i="32"/>
  <c r="AH9" i="32"/>
  <c r="AF8" i="32"/>
  <c r="AB11" i="32"/>
  <c r="AD11" i="32" s="1"/>
  <c r="BB9" i="32"/>
  <c r="AZ8" i="32"/>
  <c r="T12" i="32"/>
  <c r="T10" i="32"/>
  <c r="R9" i="32"/>
  <c r="P8" i="32"/>
  <c r="H9" i="32"/>
  <c r="T11" i="32"/>
  <c r="O8" i="32"/>
  <c r="AB10" i="32"/>
  <c r="AD14" i="31"/>
  <c r="J47" i="31"/>
  <c r="H12" i="32" l="1"/>
  <c r="AB8" i="32"/>
  <c r="AZ12" i="32"/>
  <c r="AF12" i="32"/>
  <c r="AF10" i="32"/>
  <c r="P12" i="32"/>
  <c r="P10" i="32"/>
  <c r="V11" i="32"/>
  <c r="T8" i="32"/>
  <c r="J9" i="32"/>
  <c r="H8" i="32"/>
  <c r="AV14" i="30"/>
  <c r="AX14" i="30" s="1"/>
  <c r="AN14" i="30"/>
  <c r="AP14" i="30" s="1"/>
  <c r="N14" i="30" l="1"/>
  <c r="BB136" i="31"/>
  <c r="AH136" i="31"/>
  <c r="AD136" i="31"/>
  <c r="V136" i="31"/>
  <c r="J136" i="31"/>
  <c r="BB91" i="31"/>
  <c r="AX91" i="31"/>
  <c r="AH91" i="31"/>
  <c r="AD91" i="31"/>
  <c r="V91" i="31"/>
  <c r="R91" i="31"/>
  <c r="N91" i="31"/>
  <c r="J91" i="31"/>
  <c r="F91" i="31"/>
  <c r="BB86" i="31"/>
  <c r="AX86" i="31"/>
  <c r="AH86" i="31"/>
  <c r="AD86" i="31"/>
  <c r="V86" i="31"/>
  <c r="R86" i="31"/>
  <c r="N86" i="31"/>
  <c r="J86" i="31"/>
  <c r="AY11" i="31"/>
  <c r="AZ11" i="31" s="1"/>
  <c r="BB11" i="31" s="1"/>
  <c r="AE11" i="31"/>
  <c r="AF11" i="31" s="1"/>
  <c r="AH11" i="31" s="1"/>
  <c r="AA11" i="31"/>
  <c r="AB11" i="31" s="1"/>
  <c r="AD11" i="31" s="1"/>
  <c r="S11" i="31"/>
  <c r="T11" i="31" s="1"/>
  <c r="V11" i="31" s="1"/>
  <c r="O11" i="31"/>
  <c r="G11" i="31"/>
  <c r="H11" i="31" s="1"/>
  <c r="J11" i="31" s="1"/>
  <c r="AY9" i="31"/>
  <c r="AZ9" i="31" s="1"/>
  <c r="AX9" i="31"/>
  <c r="AT9" i="31"/>
  <c r="AP9" i="31"/>
  <c r="AL9" i="31"/>
  <c r="AE9" i="31"/>
  <c r="AF9" i="31" s="1"/>
  <c r="AA9" i="31"/>
  <c r="AB9" i="31" s="1"/>
  <c r="Z9" i="31"/>
  <c r="S9" i="31"/>
  <c r="T9" i="31" s="1"/>
  <c r="O9" i="31"/>
  <c r="P9" i="31" s="1"/>
  <c r="R9" i="31" s="1"/>
  <c r="N9" i="31"/>
  <c r="G9" i="31"/>
  <c r="H9" i="31" s="1"/>
  <c r="J9" i="31" s="1"/>
  <c r="F9" i="31"/>
  <c r="AY8" i="31" l="1"/>
  <c r="AA8" i="31"/>
  <c r="AB12" i="31" s="1"/>
  <c r="S8" i="31"/>
  <c r="O8" i="31"/>
  <c r="P10" i="31" s="1"/>
  <c r="G8" i="31"/>
  <c r="H12" i="31" s="1"/>
  <c r="AH9" i="31"/>
  <c r="AF8" i="31"/>
  <c r="T8" i="31"/>
  <c r="V9" i="31"/>
  <c r="BB9" i="31"/>
  <c r="AZ8" i="31"/>
  <c r="AB8" i="31"/>
  <c r="AD9" i="31"/>
  <c r="H8" i="31"/>
  <c r="P11" i="31"/>
  <c r="AE8" i="31"/>
  <c r="H10" i="31"/>
  <c r="X8" i="30"/>
  <c r="L8" i="30"/>
  <c r="D8" i="30"/>
  <c r="AV8" i="29"/>
  <c r="AR8" i="29"/>
  <c r="AN8" i="29"/>
  <c r="AJ8" i="29"/>
  <c r="X8" i="29"/>
  <c r="P12" i="28"/>
  <c r="P10" i="28"/>
  <c r="H12" i="28"/>
  <c r="H10" i="28"/>
  <c r="AZ10" i="31" l="1"/>
  <c r="AZ12" i="31"/>
  <c r="T12" i="31"/>
  <c r="T10" i="31"/>
  <c r="AB10" i="31"/>
  <c r="P12" i="31"/>
  <c r="AF12" i="31"/>
  <c r="AF10" i="31"/>
  <c r="R11" i="31"/>
  <c r="P8" i="31"/>
  <c r="T8" i="28"/>
  <c r="T10" i="28"/>
  <c r="T12" i="28"/>
  <c r="G9" i="28"/>
  <c r="H9" i="28" s="1"/>
  <c r="F89" i="30" l="1"/>
  <c r="BB130" i="30"/>
  <c r="AH130" i="30"/>
  <c r="AD130" i="30"/>
  <c r="V130" i="30"/>
  <c r="J130" i="30"/>
  <c r="BB89" i="30"/>
  <c r="AX89" i="30"/>
  <c r="AH89" i="30"/>
  <c r="AD89" i="30"/>
  <c r="V89" i="30"/>
  <c r="R89" i="30"/>
  <c r="N89" i="30"/>
  <c r="J89" i="30"/>
  <c r="BB84" i="30"/>
  <c r="AX84" i="30"/>
  <c r="AH84" i="30"/>
  <c r="AD84" i="30"/>
  <c r="V84" i="30"/>
  <c r="R84" i="30"/>
  <c r="N84" i="30"/>
  <c r="J84" i="30"/>
  <c r="AY11" i="30"/>
  <c r="AZ11" i="30" s="1"/>
  <c r="BB11" i="30" s="1"/>
  <c r="AE11" i="30"/>
  <c r="AF11" i="30" s="1"/>
  <c r="AH11" i="30" s="1"/>
  <c r="AA11" i="30"/>
  <c r="AB11" i="30" s="1"/>
  <c r="AD11" i="30" s="1"/>
  <c r="S11" i="30"/>
  <c r="T11" i="30" s="1"/>
  <c r="V11" i="30" s="1"/>
  <c r="O11" i="30"/>
  <c r="P11" i="30" s="1"/>
  <c r="R11" i="30" s="1"/>
  <c r="G11" i="30"/>
  <c r="H11" i="30" s="1"/>
  <c r="J11" i="30" s="1"/>
  <c r="AY9" i="30"/>
  <c r="AZ9" i="30" s="1"/>
  <c r="AX9" i="30"/>
  <c r="AT9" i="30"/>
  <c r="AP9" i="30"/>
  <c r="AL9" i="30"/>
  <c r="AE9" i="30"/>
  <c r="AF9" i="30" s="1"/>
  <c r="AA9" i="30"/>
  <c r="AB9" i="30" s="1"/>
  <c r="Z9" i="30"/>
  <c r="S9" i="30"/>
  <c r="T9" i="30" s="1"/>
  <c r="O9" i="30"/>
  <c r="P9" i="30" s="1"/>
  <c r="N9" i="30"/>
  <c r="G9" i="30"/>
  <c r="F9" i="30"/>
  <c r="R9" i="30" l="1"/>
  <c r="P8" i="30"/>
  <c r="AD9" i="30"/>
  <c r="AB8" i="30"/>
  <c r="V9" i="30"/>
  <c r="T8" i="30"/>
  <c r="BB9" i="30"/>
  <c r="AZ8" i="30"/>
  <c r="AH9" i="30"/>
  <c r="AF8" i="30"/>
  <c r="AE8" i="30"/>
  <c r="AA8" i="30"/>
  <c r="O8" i="30"/>
  <c r="G8" i="30"/>
  <c r="S8" i="30"/>
  <c r="H9" i="30"/>
  <c r="AY8" i="30"/>
  <c r="AF12" i="29"/>
  <c r="J88" i="29"/>
  <c r="J93" i="29"/>
  <c r="J134" i="29"/>
  <c r="G11" i="29"/>
  <c r="H11" i="29" s="1"/>
  <c r="G9" i="29"/>
  <c r="H9" i="29" s="1"/>
  <c r="J9" i="30" l="1"/>
  <c r="H8" i="30"/>
  <c r="AB10" i="30"/>
  <c r="AB12" i="30"/>
  <c r="AF10" i="30"/>
  <c r="AF12" i="30"/>
  <c r="G8" i="29"/>
  <c r="H12" i="30"/>
  <c r="H10" i="30"/>
  <c r="T12" i="30"/>
  <c r="T10" i="30"/>
  <c r="P10" i="30"/>
  <c r="P12" i="30"/>
  <c r="AZ12" i="30"/>
  <c r="AZ10" i="30"/>
  <c r="BB134" i="29"/>
  <c r="AH134" i="29"/>
  <c r="AD134" i="29"/>
  <c r="V134" i="29"/>
  <c r="BB93" i="29"/>
  <c r="AX93" i="29"/>
  <c r="AH93" i="29"/>
  <c r="AD93" i="29"/>
  <c r="V93" i="29"/>
  <c r="R93" i="29"/>
  <c r="N93" i="29"/>
  <c r="F93" i="29"/>
  <c r="BB88" i="29"/>
  <c r="AX88" i="29"/>
  <c r="AH88" i="29"/>
  <c r="AD88" i="29"/>
  <c r="V88" i="29"/>
  <c r="R88" i="29"/>
  <c r="N88" i="29"/>
  <c r="AY11" i="29"/>
  <c r="AZ11" i="29" s="1"/>
  <c r="BB11" i="29" s="1"/>
  <c r="AE11" i="29"/>
  <c r="AF11" i="29" s="1"/>
  <c r="AH11" i="29" s="1"/>
  <c r="AA11" i="29"/>
  <c r="AB11" i="29" s="1"/>
  <c r="AD11" i="29" s="1"/>
  <c r="S11" i="29"/>
  <c r="T11" i="29" s="1"/>
  <c r="V11" i="29" s="1"/>
  <c r="O11" i="29"/>
  <c r="P11" i="29" s="1"/>
  <c r="R11" i="29" s="1"/>
  <c r="J11" i="29"/>
  <c r="AY9" i="29"/>
  <c r="AX9" i="29"/>
  <c r="AT9" i="29"/>
  <c r="AP9" i="29"/>
  <c r="AL9" i="29"/>
  <c r="AE9" i="29"/>
  <c r="AF9" i="29" s="1"/>
  <c r="AA9" i="29"/>
  <c r="AB9" i="29" s="1"/>
  <c r="Z9" i="29"/>
  <c r="S9" i="29"/>
  <c r="O9" i="29"/>
  <c r="N9" i="29"/>
  <c r="J9" i="29"/>
  <c r="F9" i="29"/>
  <c r="H12" i="29" l="1"/>
  <c r="H10" i="29"/>
  <c r="AD9" i="29"/>
  <c r="AB8" i="29"/>
  <c r="AH9" i="29"/>
  <c r="AF8" i="29"/>
  <c r="P9" i="29"/>
  <c r="O8" i="29"/>
  <c r="T9" i="29"/>
  <c r="S8" i="29"/>
  <c r="AZ9" i="29"/>
  <c r="AY8" i="29"/>
  <c r="AE8" i="29"/>
  <c r="AF10" i="29"/>
  <c r="AA8" i="29"/>
  <c r="AZ84" i="28"/>
  <c r="AZ86" i="28"/>
  <c r="AZ12" i="28"/>
  <c r="AY11" i="28"/>
  <c r="AZ11" i="28" s="1"/>
  <c r="BB11" i="28" s="1"/>
  <c r="AZ10" i="28"/>
  <c r="AZ9" i="28"/>
  <c r="BB9" i="28" s="1"/>
  <c r="AY9" i="28"/>
  <c r="BB88" i="28"/>
  <c r="AX93" i="28"/>
  <c r="AX88" i="28"/>
  <c r="AX9" i="28"/>
  <c r="AT9" i="28"/>
  <c r="AP9" i="28"/>
  <c r="AE8" i="28"/>
  <c r="AF8" i="28" s="1"/>
  <c r="AE11" i="28"/>
  <c r="AF11" i="28" s="1"/>
  <c r="AH11" i="28" s="1"/>
  <c r="AE9" i="28"/>
  <c r="AF9" i="28" s="1"/>
  <c r="AH9" i="28" s="1"/>
  <c r="AH88" i="28"/>
  <c r="AD88" i="28"/>
  <c r="AH93" i="28"/>
  <c r="AD93" i="28"/>
  <c r="V93" i="28"/>
  <c r="V88" i="28"/>
  <c r="S9" i="28"/>
  <c r="T9" i="28" s="1"/>
  <c r="V9" i="28" s="1"/>
  <c r="R9" i="28"/>
  <c r="O9" i="28"/>
  <c r="P9" i="28" s="1"/>
  <c r="R88" i="28"/>
  <c r="R93" i="28"/>
  <c r="N93" i="28"/>
  <c r="J88" i="28"/>
  <c r="N88" i="28"/>
  <c r="J93" i="28"/>
  <c r="J9" i="28"/>
  <c r="J11" i="28"/>
  <c r="G11" i="28"/>
  <c r="H11" i="28" s="1"/>
  <c r="H8" i="28" s="1"/>
  <c r="AZ134" i="28"/>
  <c r="BB134" i="28" s="1"/>
  <c r="J132" i="27"/>
  <c r="V132" i="27"/>
  <c r="AD132" i="27"/>
  <c r="AH132" i="27"/>
  <c r="BB132" i="27"/>
  <c r="AF134" i="28"/>
  <c r="AH134" i="28" s="1"/>
  <c r="AB134" i="28"/>
  <c r="AD134" i="28" s="1"/>
  <c r="T134" i="28"/>
  <c r="V134" i="28" s="1"/>
  <c r="H134" i="28"/>
  <c r="J134" i="28" s="1"/>
  <c r="BB93" i="28"/>
  <c r="F93" i="28"/>
  <c r="AA11" i="28"/>
  <c r="AB11" i="28" s="1"/>
  <c r="AD11" i="28" s="1"/>
  <c r="S11" i="28"/>
  <c r="T11" i="28" s="1"/>
  <c r="V11" i="28" s="1"/>
  <c r="O11" i="28"/>
  <c r="AL9" i="28"/>
  <c r="AA9" i="28"/>
  <c r="AB9" i="28" s="1"/>
  <c r="AD9" i="28" s="1"/>
  <c r="Z9" i="28"/>
  <c r="N9" i="28"/>
  <c r="F9" i="28"/>
  <c r="AF10" i="28" l="1"/>
  <c r="AZ10" i="29"/>
  <c r="AZ12" i="29"/>
  <c r="P12" i="29"/>
  <c r="P10" i="29"/>
  <c r="P11" i="28"/>
  <c r="R11" i="28" s="1"/>
  <c r="BB9" i="29"/>
  <c r="AZ8" i="29"/>
  <c r="R9" i="29"/>
  <c r="P8" i="29"/>
  <c r="T12" i="29"/>
  <c r="T10" i="29"/>
  <c r="V9" i="29"/>
  <c r="T8" i="29"/>
  <c r="AB12" i="29"/>
  <c r="AB10" i="29"/>
  <c r="AA8" i="28"/>
  <c r="AB8" i="28" s="1"/>
  <c r="BB91" i="27"/>
  <c r="AX91" i="27"/>
  <c r="AH91" i="27"/>
  <c r="AD91" i="27"/>
  <c r="V91" i="27"/>
  <c r="R91" i="27"/>
  <c r="N91" i="27"/>
  <c r="J91" i="27"/>
  <c r="F91" i="27"/>
  <c r="BB86" i="27"/>
  <c r="AH86" i="27"/>
  <c r="V86" i="27"/>
  <c r="AZ9" i="27"/>
  <c r="BB9" i="27" s="1"/>
  <c r="AY9" i="27"/>
  <c r="P8" i="28" l="1"/>
  <c r="AY11" i="27"/>
  <c r="AZ11" i="27" s="1"/>
  <c r="BB11" i="27" s="1"/>
  <c r="AX9" i="27"/>
  <c r="AT9" i="27"/>
  <c r="AP9" i="27"/>
  <c r="AL9" i="27"/>
  <c r="AE9" i="27"/>
  <c r="AF9" i="27" s="1"/>
  <c r="AH9" i="27" s="1"/>
  <c r="AH11" i="27"/>
  <c r="AF11" i="27"/>
  <c r="AE11" i="27"/>
  <c r="AB9" i="27"/>
  <c r="AD9" i="27" s="1"/>
  <c r="AA9" i="27"/>
  <c r="AA11" i="27"/>
  <c r="AB11" i="27" s="1"/>
  <c r="AD11" i="27" s="1"/>
  <c r="Z9" i="27"/>
  <c r="T9" i="27"/>
  <c r="V9" i="27" s="1"/>
  <c r="S9" i="27"/>
  <c r="S11" i="27"/>
  <c r="T11" i="27" s="1"/>
  <c r="V11" i="27" s="1"/>
  <c r="O9" i="27"/>
  <c r="P9" i="27" s="1"/>
  <c r="R9" i="27" s="1"/>
  <c r="O11" i="27"/>
  <c r="P11" i="27" s="1"/>
  <c r="R11" i="27" s="1"/>
  <c r="N9" i="27"/>
  <c r="H9" i="27"/>
  <c r="J9" i="27" s="1"/>
  <c r="G9" i="27"/>
  <c r="G11" i="27"/>
  <c r="H11" i="27" s="1"/>
  <c r="J11" i="27" s="1"/>
  <c r="F9" i="27"/>
  <c r="AT9" i="26"/>
  <c r="AL9" i="26"/>
  <c r="AP9" i="26"/>
  <c r="AX9" i="26"/>
  <c r="BB131" i="26"/>
  <c r="AH131" i="26"/>
  <c r="AD131" i="26"/>
  <c r="V131" i="26"/>
  <c r="J131" i="26"/>
  <c r="AY9" i="26" l="1"/>
  <c r="AZ9" i="26" s="1"/>
  <c r="BB9" i="26" s="1"/>
  <c r="AY11" i="26"/>
  <c r="AZ11" i="26" s="1"/>
  <c r="BB11" i="26" s="1"/>
  <c r="AE9" i="26"/>
  <c r="AF9" i="26" s="1"/>
  <c r="AH9" i="26" s="1"/>
  <c r="AE11" i="26"/>
  <c r="AF11" i="26" s="1"/>
  <c r="AH11" i="26" s="1"/>
  <c r="BB94" i="26"/>
  <c r="AH94" i="26"/>
  <c r="AD94" i="26"/>
  <c r="V94" i="26"/>
  <c r="R94" i="26"/>
  <c r="N94" i="26"/>
  <c r="J94" i="26"/>
  <c r="F94" i="26"/>
  <c r="BB89" i="26"/>
  <c r="AX89" i="26"/>
  <c r="AH89" i="26"/>
  <c r="AD89" i="26"/>
  <c r="V89" i="26"/>
  <c r="R89" i="26"/>
  <c r="N89" i="26"/>
  <c r="J89" i="26"/>
  <c r="AA9" i="26"/>
  <c r="AB9" i="26" s="1"/>
  <c r="AD9" i="26" s="1"/>
  <c r="AA11" i="26"/>
  <c r="AB11" i="26" s="1"/>
  <c r="AD11" i="26" s="1"/>
  <c r="Z9" i="26"/>
  <c r="S9" i="26"/>
  <c r="T9" i="26" s="1"/>
  <c r="V9" i="26" s="1"/>
  <c r="S11" i="26"/>
  <c r="T11" i="26" s="1"/>
  <c r="V11" i="26" s="1"/>
  <c r="O9" i="26"/>
  <c r="P9" i="26" s="1"/>
  <c r="R9" i="26" s="1"/>
  <c r="O11" i="26"/>
  <c r="P11" i="26" s="1"/>
  <c r="R11" i="26" s="1"/>
  <c r="N9" i="26"/>
  <c r="F9" i="26"/>
  <c r="G9" i="26"/>
  <c r="H9" i="26" s="1"/>
  <c r="J9" i="26" s="1"/>
  <c r="G11" i="26"/>
  <c r="H11" i="26" s="1"/>
  <c r="J11" i="26" s="1"/>
  <c r="BB134" i="24" l="1"/>
  <c r="AH134" i="24"/>
  <c r="AD134" i="24"/>
  <c r="V134" i="24"/>
  <c r="J134" i="24"/>
  <c r="BB92" i="24"/>
  <c r="AX92" i="24"/>
  <c r="AH92" i="24"/>
  <c r="AD92" i="24"/>
  <c r="V92" i="24"/>
  <c r="R92" i="24"/>
  <c r="N92" i="24"/>
  <c r="J92" i="24"/>
  <c r="BB97" i="24"/>
  <c r="AX97" i="24"/>
  <c r="AH97" i="24"/>
  <c r="AD97" i="24"/>
  <c r="V97" i="24"/>
  <c r="R97" i="24"/>
  <c r="N97" i="24"/>
  <c r="J97" i="24"/>
  <c r="AE103" i="24"/>
  <c r="AY103" i="24"/>
  <c r="AY9" i="24"/>
  <c r="AZ9" i="24" s="1"/>
  <c r="BB9" i="24" s="1"/>
  <c r="AY11" i="24"/>
  <c r="AZ11" i="24" s="1"/>
  <c r="BB11" i="24" s="1"/>
  <c r="AX9" i="24"/>
  <c r="AT9" i="24"/>
  <c r="AP9" i="24"/>
  <c r="AL9" i="24"/>
  <c r="AE9" i="24"/>
  <c r="AF9" i="24" s="1"/>
  <c r="AH9" i="24" s="1"/>
  <c r="AE11" i="24"/>
  <c r="AF11" i="24" s="1"/>
  <c r="AH11" i="24" s="1"/>
  <c r="AA9" i="24"/>
  <c r="AB9" i="24" s="1"/>
  <c r="AD9" i="24" s="1"/>
  <c r="AA11" i="24"/>
  <c r="AB11" i="24" s="1"/>
  <c r="AD11" i="24" s="1"/>
  <c r="Z9" i="24"/>
  <c r="S9" i="24"/>
  <c r="T9" i="24" s="1"/>
  <c r="V9" i="24" s="1"/>
  <c r="S11" i="24"/>
  <c r="T11" i="24" s="1"/>
  <c r="V11" i="24" s="1"/>
  <c r="O9" i="24"/>
  <c r="P9" i="24" s="1"/>
  <c r="R9" i="24" s="1"/>
  <c r="O11" i="24"/>
  <c r="P11" i="24" s="1"/>
  <c r="R11" i="24" s="1"/>
  <c r="N9" i="24"/>
  <c r="F9" i="24"/>
  <c r="H11" i="24"/>
  <c r="J11" i="24" s="1"/>
  <c r="G9" i="24"/>
  <c r="H9" i="24" s="1"/>
  <c r="J9" i="24" s="1"/>
  <c r="BB92" i="23"/>
  <c r="AH92" i="23"/>
  <c r="V92" i="23"/>
  <c r="J132" i="23"/>
  <c r="BB97" i="23" l="1"/>
  <c r="AX97" i="23"/>
  <c r="AH97" i="23"/>
  <c r="AD97" i="23"/>
  <c r="V97" i="23"/>
  <c r="R97" i="23"/>
  <c r="N97" i="23"/>
  <c r="J97" i="23"/>
  <c r="AY9" i="23"/>
  <c r="AZ9" i="23" s="1"/>
  <c r="BB9" i="23" s="1"/>
  <c r="AY11" i="23"/>
  <c r="AZ11" i="23" s="1"/>
  <c r="BB11" i="23" s="1"/>
  <c r="AX9" i="23"/>
  <c r="AT9" i="23"/>
  <c r="AP9" i="23"/>
  <c r="AL9" i="23"/>
  <c r="AE9" i="23"/>
  <c r="AF9" i="23" s="1"/>
  <c r="AH9" i="23" s="1"/>
  <c r="AE11" i="23"/>
  <c r="AF11" i="23" s="1"/>
  <c r="AH11" i="23" s="1"/>
  <c r="AA9" i="23"/>
  <c r="AB9" i="23" s="1"/>
  <c r="AD9" i="23" s="1"/>
  <c r="AA11" i="23"/>
  <c r="AB11" i="23" s="1"/>
  <c r="AD11" i="23" s="1"/>
  <c r="N9" i="23"/>
  <c r="S9" i="23"/>
  <c r="T9" i="23" s="1"/>
  <c r="V9" i="23" s="1"/>
  <c r="S11" i="23"/>
  <c r="T11" i="23" s="1"/>
  <c r="V11" i="23" s="1"/>
  <c r="O9" i="23"/>
  <c r="P9" i="23" s="1"/>
  <c r="R9" i="23" s="1"/>
  <c r="O11" i="23"/>
  <c r="P11" i="23" s="1"/>
  <c r="R11" i="23" s="1"/>
  <c r="H8" i="23"/>
  <c r="G11" i="23"/>
  <c r="H11" i="23" s="1"/>
  <c r="J11" i="23" s="1"/>
  <c r="G9" i="23"/>
  <c r="H9" i="23" s="1"/>
  <c r="J9" i="23" s="1"/>
</calcChain>
</file>

<file path=xl/sharedStrings.xml><?xml version="1.0" encoding="utf-8"?>
<sst xmlns="http://schemas.openxmlformats.org/spreadsheetml/2006/main" count="58412" uniqueCount="145">
  <si>
    <t>Composición de Cartera de los Fondos de Pensiones</t>
  </si>
  <si>
    <t>por Emisor Y Tipo de Instrumento</t>
  </si>
  <si>
    <t>Al 31 de Enero 2021</t>
  </si>
  <si>
    <t xml:space="preserve">En millones de pesos y porcentajes </t>
  </si>
  <si>
    <t>SUB-SECTOR ECONÓMICO / EMISOR</t>
  </si>
  <si>
    <t>CLASIFICACIÓN DE RIESGO</t>
  </si>
  <si>
    <t>ATLÁNTICO</t>
  </si>
  <si>
    <t xml:space="preserve">CRECER </t>
  </si>
  <si>
    <t>JMMB BDI</t>
  </si>
  <si>
    <t>POPULAR</t>
  </si>
  <si>
    <t>RESERVAS</t>
  </si>
  <si>
    <t>ROMANA</t>
  </si>
  <si>
    <t>SIEMBRA</t>
  </si>
  <si>
    <t>TOTAL FONDOS CCI</t>
  </si>
  <si>
    <t>FONDO BANCO DE RESERVAS-REPARTO INDIVIDUALIZADO</t>
  </si>
  <si>
    <t>FONDO BANCO CENTRAL-REPARTO INDIVIDUALIZADO</t>
  </si>
  <si>
    <t>TOTAL REPARTO INDIVIDUALIZADO</t>
  </si>
  <si>
    <t xml:space="preserve">FONDO DE SOLIDARIDAD SOCIAL </t>
  </si>
  <si>
    <t>TOTAL GENERAL</t>
  </si>
  <si>
    <t>CLASIFICACION DE RIESGO</t>
  </si>
  <si>
    <t>VALOR MERCADO</t>
  </si>
  <si>
    <t>PARTICIPACIÓN</t>
  </si>
  <si>
    <t>LIMITE PERMITIDO</t>
  </si>
  <si>
    <t>MARGEN DISPONIBLE</t>
  </si>
  <si>
    <t>Sector Gobierno Central</t>
  </si>
  <si>
    <t/>
  </si>
  <si>
    <t>-</t>
  </si>
  <si>
    <t xml:space="preserve">  Ministerio de Hacienda</t>
  </si>
  <si>
    <r>
      <t xml:space="preserve">    Bonos de Hacienda</t>
    </r>
    <r>
      <rPr>
        <vertAlign val="superscript"/>
        <sz val="11"/>
        <rFont val="Calibri"/>
        <family val="2"/>
      </rPr>
      <t>2</t>
    </r>
  </si>
  <si>
    <t>AAA</t>
  </si>
  <si>
    <r>
      <t xml:space="preserve">    Bonos para financiar desarrollo de proyectos de infraestructura </t>
    </r>
    <r>
      <rPr>
        <vertAlign val="superscript"/>
        <sz val="11"/>
        <rFont val="Calibri"/>
        <family val="2"/>
      </rPr>
      <t>1</t>
    </r>
  </si>
  <si>
    <t>Sector Descentralizado y Autónomo</t>
  </si>
  <si>
    <t xml:space="preserve">  Banco Central de la República Dominicana</t>
  </si>
  <si>
    <t xml:space="preserve">    Certificados Inv. Especial BC</t>
  </si>
  <si>
    <t xml:space="preserve">    Letras BC</t>
  </si>
  <si>
    <t>C-1</t>
  </si>
  <si>
    <t xml:space="preserve">    Notas BC</t>
  </si>
  <si>
    <t>Bancos Comerciales y de Servicios Múltiples</t>
  </si>
  <si>
    <t xml:space="preserve">  Banco de Reservas de la República Dominicana</t>
  </si>
  <si>
    <t xml:space="preserve">    Bonos EIF</t>
  </si>
  <si>
    <t xml:space="preserve">AA </t>
  </si>
  <si>
    <t xml:space="preserve">    Certificados de Depósito</t>
  </si>
  <si>
    <t xml:space="preserve">  Banco Múltiple ADEMI</t>
  </si>
  <si>
    <t xml:space="preserve">  Banco Múltiple BDI</t>
  </si>
  <si>
    <t>C-2</t>
  </si>
  <si>
    <t xml:space="preserve">  Banco Múltiple BHD León</t>
  </si>
  <si>
    <t xml:space="preserve">  Banco Múltiple Caribe Internacional</t>
  </si>
  <si>
    <t>BBB</t>
  </si>
  <si>
    <t xml:space="preserve">  Banco Múltiple Lafise</t>
  </si>
  <si>
    <t xml:space="preserve">  Banco Múltiple Promerica de la República Dominicana</t>
  </si>
  <si>
    <t xml:space="preserve">  Banco Múltiple Santa Cruz</t>
  </si>
  <si>
    <t xml:space="preserve">  Banco Múltiple Vimenca</t>
  </si>
  <si>
    <t xml:space="preserve">  Banco Popular Dominicano</t>
  </si>
  <si>
    <t xml:space="preserve">  Banesco Banco Múltiple</t>
  </si>
  <si>
    <t xml:space="preserve">  Citibank, N. A.</t>
  </si>
  <si>
    <t>Asociaciones de Ahorros y Préstamos</t>
  </si>
  <si>
    <t xml:space="preserve">  Asociación Cibao de Ahorros y Préstamos</t>
  </si>
  <si>
    <t xml:space="preserve">A  </t>
  </si>
  <si>
    <t xml:space="preserve">  Asociación La Nacional de Ahorros y Préstamos</t>
  </si>
  <si>
    <t xml:space="preserve">  Asociación La Vega Real de Ahorros y Préstamos</t>
  </si>
  <si>
    <t xml:space="preserve">  Asociación Popular de Ahorros y Préstamos</t>
  </si>
  <si>
    <t>Bancos de Ahorro y Crédito</t>
  </si>
  <si>
    <t xml:space="preserve">  Banco de Ahorro y Crédito Confisa</t>
  </si>
  <si>
    <t xml:space="preserve">  Banco de Ahorro y Crédito del Caribe S.A.</t>
  </si>
  <si>
    <t xml:space="preserve">  Banco de Ahorro y Crédito Fondesa</t>
  </si>
  <si>
    <t xml:space="preserve">  Motor Crédito Banco de Ahorro y Crédito</t>
  </si>
  <si>
    <t>Empresas Privadas</t>
  </si>
  <si>
    <t xml:space="preserve">  Acero Estrella</t>
  </si>
  <si>
    <t xml:space="preserve">    Bonos Empresas</t>
  </si>
  <si>
    <t xml:space="preserve">  Alpha Sociedad de Valores</t>
  </si>
  <si>
    <t xml:space="preserve">  Consorcio Energético Punta Cana-Macao</t>
  </si>
  <si>
    <t xml:space="preserve">  Consorcio Minero Dominicano S.A.</t>
  </si>
  <si>
    <t xml:space="preserve">  Dominican Power Partners</t>
  </si>
  <si>
    <t xml:space="preserve">  Empresa Generadora de Electricidad Haina, S.A.</t>
  </si>
  <si>
    <t xml:space="preserve">  Gulfstream Petroleum Dominicana</t>
  </si>
  <si>
    <t xml:space="preserve">  Parallax Valores Puesto de Bolsa</t>
  </si>
  <si>
    <t xml:space="preserve">  UC United Capital Puesto de Bolsa S A</t>
  </si>
  <si>
    <t>Organismos Multilaterales</t>
  </si>
  <si>
    <t xml:space="preserve">  Corporación Financiera Internacional</t>
  </si>
  <si>
    <t xml:space="preserve">    Bonos Organismos Multilaterales</t>
  </si>
  <si>
    <t xml:space="preserve">  Corporación Interamericana de Inversiones</t>
  </si>
  <si>
    <t>Fideicomiso de Oferta Publica</t>
  </si>
  <si>
    <t xml:space="preserve">  RD Vial</t>
  </si>
  <si>
    <t xml:space="preserve">    Valores representativos de deuda emitidos por Fideicomisos de oferta pública</t>
  </si>
  <si>
    <t xml:space="preserve">  Valores Accionarios Rica 03-FU</t>
  </si>
  <si>
    <t xml:space="preserve">    Valores representativos de capital emitidos por Fideicomisos de oferta pública</t>
  </si>
  <si>
    <t>Fondos de Inversión</t>
  </si>
  <si>
    <t xml:space="preserve">  Advanced Asset Management S.A., Sociedad Administradora de Fondos de Inversion </t>
  </si>
  <si>
    <t xml:space="preserve">    Cuotas de fondos cerrados de inversión</t>
  </si>
  <si>
    <t xml:space="preserve">  Fondo Cerrado de Desarrollo de Sociedades GAM Energía</t>
  </si>
  <si>
    <t xml:space="preserve">  Fondo Cerrado de Desarrollo de Sociedades GAM II</t>
  </si>
  <si>
    <t xml:space="preserve">  Fondo Cerrado de Desarrollo de Sociedades Pioneer</t>
  </si>
  <si>
    <t xml:space="preserve">  Fondo Cerrado de Desarrollo de Sociedades Popular</t>
  </si>
  <si>
    <t xml:space="preserve">  Fondo Cerrado de Inversión Inmobiliaria Pioneer</t>
  </si>
  <si>
    <t xml:space="preserve">  Fondo de Inversión Cerrado de Desarrollo de Sociedades Pioneer II</t>
  </si>
  <si>
    <t xml:space="preserve">  Fondo de Inversión Cerrado Inmobiliario Excel I</t>
  </si>
  <si>
    <t xml:space="preserve">  Fondo de Inversión Cerrado Inmobiliario Excel II</t>
  </si>
  <si>
    <t xml:space="preserve">  Fondo de Inversión Cerrado Inmobiliario Universal I</t>
  </si>
  <si>
    <t xml:space="preserve">  Fondo de Inversión Cerrado Libre para el Desarrollo de Infraestructuras Dominicanas I Universal</t>
  </si>
  <si>
    <t xml:space="preserve">  Fondo de Inversión Cerrado Pioneer Inmobiliario II</t>
  </si>
  <si>
    <t xml:space="preserve">  Fondo de Inversión Cerrado Renta Fija Capitalizable Popular</t>
  </si>
  <si>
    <t xml:space="preserve">  Fondo de Inversión Cerrado Renta Fija Pago Recurrente Popular</t>
  </si>
  <si>
    <t xml:space="preserve">  Fondo de Inversión Cerrado Renta Inmobiliaria Dólares Popular</t>
  </si>
  <si>
    <t xml:space="preserve">  Fondo Nacional Pioneer United Renta Fija</t>
  </si>
  <si>
    <t>AA</t>
  </si>
  <si>
    <t xml:space="preserve">  JMMB Sociedad Administradora de Fondos de Inversión, S. A.</t>
  </si>
  <si>
    <t>Patrimonio Separado de Titularización de Cartera Hipotecaria</t>
  </si>
  <si>
    <t>TIDOM</t>
  </si>
  <si>
    <t xml:space="preserve">    Valores Titularizados de Renta Fija-Créditos Hipotecarios</t>
  </si>
  <si>
    <t>SUB TOTAL</t>
  </si>
  <si>
    <t xml:space="preserve"> Saldo Cuenta Corriente</t>
  </si>
  <si>
    <t>TOTAL</t>
  </si>
  <si>
    <t>(*) No incluye Fondos Complementarios.</t>
  </si>
  <si>
    <t>1. Límite establecido en la Res. Núm. 179 de la Comisión Clasificadora de Riesgos y Límites de Inversión (CCRyLI).</t>
  </si>
  <si>
    <t>2. Resolución Núm. 195 de la Comisión Clasificadora de Riesgos y Límites de Inversión (CCRyLI).</t>
  </si>
  <si>
    <t>Al 28 de Febrero 2021</t>
  </si>
  <si>
    <t xml:space="preserve">A- </t>
  </si>
  <si>
    <t xml:space="preserve">  Fondo de Inversión Cerrado Inmobiliario GAM I</t>
  </si>
  <si>
    <t>Al 31 de Marzo 2021</t>
  </si>
  <si>
    <t>Fideicomiso de Oferta Pública</t>
  </si>
  <si>
    <t>AA-</t>
  </si>
  <si>
    <t xml:space="preserve">  JMMB Fondo Cerrado Inmobiliario</t>
  </si>
  <si>
    <t>Al 30 de Abril 2021</t>
  </si>
  <si>
    <t>Al 31 de Mayo 2021</t>
  </si>
  <si>
    <t xml:space="preserve">  Fondo Cerrado de Desarrollo de Sociedades Advanced</t>
  </si>
  <si>
    <t xml:space="preserve">  Fondo Cerrado de Desarrollo de Sociedades con Impacto Social Pioneer</t>
  </si>
  <si>
    <t xml:space="preserve">  JMMB Fondo de Inversion Cerrado Inmobiliario II</t>
  </si>
  <si>
    <t>Al 30 de Junio de 2021</t>
  </si>
  <si>
    <t xml:space="preserve">  ScotiaBank</t>
  </si>
  <si>
    <t>Al 31 de Julio de 2021</t>
  </si>
  <si>
    <t>Al 31 de Agosto de 2021</t>
  </si>
  <si>
    <t>Al 30 de Septiembre de 2021</t>
  </si>
  <si>
    <t xml:space="preserve">  Fondo de Inversion Cerrado de Desarrollo  Advanced Oportunidades II</t>
  </si>
  <si>
    <t xml:space="preserve">  JMMB Fondo de Inversión Cerrado de Desarrollo de Sociedades de Energía Sostenible</t>
  </si>
  <si>
    <t xml:space="preserve">  Ingeniería Estrella </t>
  </si>
  <si>
    <t>Al 31 de Octubre de 2021</t>
  </si>
  <si>
    <t>Al 30 de Noviembre de 2021</t>
  </si>
  <si>
    <t xml:space="preserve">    Bonos de Hacienda</t>
  </si>
  <si>
    <t xml:space="preserve">  IngenierÃ­a Estrella </t>
  </si>
  <si>
    <t xml:space="preserve">  TIDOM</t>
  </si>
  <si>
    <t xml:space="preserve">  JMMB Fondo de Inversión Cerrado Inmobiliario II</t>
  </si>
  <si>
    <t>Al 31 de Diciembre de 2021</t>
  </si>
  <si>
    <t xml:space="preserve">  Empresa Generadora de Electricidad ITABO, S. A. </t>
  </si>
  <si>
    <t xml:space="preserve">  Fondo de Inversión Cerrado de Desarrollo  Advanced Oportunidades II</t>
  </si>
  <si>
    <t xml:space="preserve">  JMMB Fondo de Inversió³n Cerrado de Desarrollo de Sociedades de Energía Sostenible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</si>
</sst>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0.00%"/>
  </numFmts>
  <fonts count="1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8"/>
      <name val="Calibri"/>
      <family val="2"/>
    </font>
    <font>
      <sz val="10"/>
      <name val="Arial"/>
      <family val="2"/>
    </font>
    <font>
      <vertAlign val="superscript"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7" fillId="0" borderId="0"/>
    <xf numFmtId="43" fontId="11" fillId="0" borderId="0" applyFont="0" applyFill="0" applyBorder="0" applyAlignment="0" applyProtection="0"/>
  </cellStyleXfs>
  <cellXfs count="58">
    <xf numFmtId="0" fontId="0" fillId="0" borderId="0" xfId="0"/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2" fillId="0" borderId="1" xfId="0" applyFont="1" applyBorder="1"/>
    <xf numFmtId="0" fontId="1" fillId="0" borderId="0" xfId="0" applyFont="1" applyAlignme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Fill="1" applyAlignment="1"/>
    <xf numFmtId="0" fontId="1" fillId="3" borderId="1" xfId="0" applyFont="1" applyFill="1" applyBorder="1"/>
    <xf numFmtId="0" fontId="2" fillId="0" borderId="0" xfId="0" applyFont="1" applyAlignment="1">
      <alignment horizontal="center"/>
    </xf>
    <xf numFmtId="4" fontId="4" fillId="2" borderId="2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0" fontId="1" fillId="0" borderId="0" xfId="2" applyNumberFormat="1" applyFont="1" applyAlignment="1"/>
    <xf numFmtId="0" fontId="6" fillId="0" borderId="0" xfId="1" applyFont="1"/>
    <xf numFmtId="4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/>
    <xf numFmtId="0" fontId="0" fillId="0" borderId="0" xfId="0" applyFill="1"/>
    <xf numFmtId="4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0" borderId="0" xfId="0" applyFont="1" applyFill="1"/>
    <xf numFmtId="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4" fontId="1" fillId="0" borderId="0" xfId="0" applyNumberFormat="1" applyFont="1"/>
    <xf numFmtId="4" fontId="1" fillId="0" borderId="0" xfId="0" applyNumberFormat="1" applyFont="1" applyAlignment="1"/>
    <xf numFmtId="0" fontId="2" fillId="0" borderId="1" xfId="0" applyFont="1" applyFill="1" applyBorder="1"/>
    <xf numFmtId="0" fontId="0" fillId="0" borderId="1" xfId="0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10" fontId="2" fillId="0" borderId="0" xfId="2" applyNumberFormat="1" applyFont="1"/>
    <xf numFmtId="4" fontId="0" fillId="0" borderId="1" xfId="0" applyNumberFormat="1" applyBorder="1"/>
    <xf numFmtId="4" fontId="2" fillId="0" borderId="0" xfId="0" applyNumberFormat="1" applyFont="1"/>
    <xf numFmtId="0" fontId="10" fillId="3" borderId="1" xfId="0" applyFont="1" applyFill="1" applyBorder="1" applyAlignment="1">
      <alignment horizontal="center"/>
    </xf>
    <xf numFmtId="0" fontId="2" fillId="0" borderId="0" xfId="0" applyFont="1" applyFill="1"/>
    <xf numFmtId="4" fontId="10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0" fontId="10" fillId="3" borderId="1" xfId="2" applyNumberFormat="1" applyFont="1" applyFill="1" applyBorder="1" applyAlignment="1">
      <alignment horizontal="center"/>
    </xf>
    <xf numFmtId="43" fontId="10" fillId="3" borderId="1" xfId="4" applyFont="1" applyFill="1" applyBorder="1" applyAlignment="1">
      <alignment horizontal="center"/>
    </xf>
    <xf numFmtId="10" fontId="1" fillId="0" borderId="1" xfId="2" applyNumberFormat="1" applyFont="1" applyBorder="1" applyAlignment="1">
      <alignment horizontal="center"/>
    </xf>
    <xf numFmtId="0" fontId="10" fillId="3" borderId="1" xfId="0" applyFont="1" applyFill="1" applyBorder="1"/>
    <xf numFmtId="0" fontId="12" fillId="0" borderId="0" xfId="0" applyFont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4" fontId="10" fillId="0" borderId="0" xfId="0" applyNumberFormat="1" applyFont="1" applyFill="1" applyBorder="1"/>
    <xf numFmtId="164" fontId="10" fillId="0" borderId="0" xfId="0" applyNumberFormat="1" applyFont="1" applyFill="1" applyBorder="1"/>
    <xf numFmtId="0" fontId="2" fillId="0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</cellXfs>
  <cellStyles count="5">
    <cellStyle name="Millares" xfId="4" builtinId="3"/>
    <cellStyle name="Normal" xfId="0" builtinId="0"/>
    <cellStyle name="Normal 13 2" xfId="3"/>
    <cellStyle name="Normal 2" xfId="1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1"/>
  <sheetViews>
    <sheetView zoomScaleNormal="100" workbookViewId="0">
      <pane xSplit="2" ySplit="7" topLeftCell="AU125" activePane="bottomRight" state="frozen"/>
      <selection pane="topRight" activeCell="C1" sqref="C1"/>
      <selection pane="bottomLeft" activeCell="A8" sqref="A8"/>
      <selection pane="bottomRight" activeCell="A133" sqref="A133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" style="13" bestFit="1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27" t="s">
        <v>25</v>
      </c>
      <c r="C8" s="29">
        <v>2373589544.8699999</v>
      </c>
      <c r="D8" s="30">
        <v>0.36224758856957001</v>
      </c>
      <c r="E8" s="30" t="s">
        <v>26</v>
      </c>
      <c r="F8" s="30" t="s">
        <v>26</v>
      </c>
      <c r="G8" s="29">
        <v>80118683256.059998</v>
      </c>
      <c r="H8" s="30">
        <f>G8/G135</f>
        <v>0.52064260750929536</v>
      </c>
      <c r="I8" s="30" t="s">
        <v>26</v>
      </c>
      <c r="J8" s="30" t="s">
        <v>26</v>
      </c>
      <c r="K8" s="29">
        <v>799179717.80999994</v>
      </c>
      <c r="L8" s="30">
        <v>0.26155579596105</v>
      </c>
      <c r="M8" s="30" t="s">
        <v>26</v>
      </c>
      <c r="N8" s="30" t="s">
        <v>26</v>
      </c>
      <c r="O8" s="29">
        <v>101469455633.28</v>
      </c>
      <c r="P8" s="30">
        <v>0.44316599745777002</v>
      </c>
      <c r="Q8" s="30" t="s">
        <v>26</v>
      </c>
      <c r="R8" s="30" t="s">
        <v>26</v>
      </c>
      <c r="S8" s="29">
        <v>60901556491.230003</v>
      </c>
      <c r="T8" s="30">
        <v>0.53327478857257005</v>
      </c>
      <c r="U8" s="30" t="s">
        <v>26</v>
      </c>
      <c r="V8" s="30" t="s">
        <v>26</v>
      </c>
      <c r="W8" s="29">
        <v>2075673450.1700001</v>
      </c>
      <c r="X8" s="30">
        <v>0.32686334651194998</v>
      </c>
      <c r="Y8" s="30" t="s">
        <v>26</v>
      </c>
      <c r="Z8" s="30" t="s">
        <v>26</v>
      </c>
      <c r="AA8" s="29">
        <v>68584884073.449997</v>
      </c>
      <c r="AB8" s="30">
        <v>0.48779453572656001</v>
      </c>
      <c r="AC8" s="30" t="s">
        <v>26</v>
      </c>
      <c r="AD8" s="30" t="s">
        <v>26</v>
      </c>
      <c r="AE8" s="29">
        <v>316323022166.87</v>
      </c>
      <c r="AF8" s="30">
        <v>0.48396058480831999</v>
      </c>
      <c r="AG8" s="30" t="s">
        <v>26</v>
      </c>
      <c r="AH8" s="30" t="s">
        <v>26</v>
      </c>
      <c r="AI8" s="29">
        <v>7200176810.8800001</v>
      </c>
      <c r="AJ8" s="30">
        <v>0.41952954780035001</v>
      </c>
      <c r="AK8" s="30" t="s">
        <v>26</v>
      </c>
      <c r="AL8" s="30" t="s">
        <v>26</v>
      </c>
      <c r="AM8" s="29">
        <v>7931082905.2799997</v>
      </c>
      <c r="AN8" s="30">
        <v>0.33151448160480002</v>
      </c>
      <c r="AO8" s="30" t="s">
        <v>26</v>
      </c>
      <c r="AP8" s="30" t="s">
        <v>26</v>
      </c>
      <c r="AQ8" s="29">
        <v>15131259716.16</v>
      </c>
      <c r="AR8" s="30">
        <v>0.36827999832540997</v>
      </c>
      <c r="AS8" s="30" t="s">
        <v>26</v>
      </c>
      <c r="AT8" s="30" t="s">
        <v>26</v>
      </c>
      <c r="AU8" s="29">
        <v>22344537761.209999</v>
      </c>
      <c r="AV8" s="30">
        <v>0.48357523089170001</v>
      </c>
      <c r="AW8" s="30" t="s">
        <v>26</v>
      </c>
      <c r="AX8" s="30" t="s">
        <v>26</v>
      </c>
      <c r="AY8" s="29">
        <v>353798819644.23999</v>
      </c>
      <c r="AZ8" s="30">
        <v>0.47752159034765002</v>
      </c>
      <c r="BA8" s="30" t="s">
        <v>26</v>
      </c>
      <c r="BB8" s="30" t="s">
        <v>26</v>
      </c>
    </row>
    <row r="9" spans="1:54" s="7" customFormat="1">
      <c r="A9" s="5" t="s">
        <v>27</v>
      </c>
      <c r="B9" s="20" t="s">
        <v>25</v>
      </c>
      <c r="C9" s="9">
        <v>2373589544.8699999</v>
      </c>
      <c r="D9" s="10">
        <v>0.36224758856957001</v>
      </c>
      <c r="E9" s="10">
        <v>0.5</v>
      </c>
      <c r="F9" s="10">
        <v>0.13780000000000001</v>
      </c>
      <c r="G9" s="9">
        <f>G10</f>
        <v>75057208617.679993</v>
      </c>
      <c r="H9" s="10">
        <f>G9/G135</f>
        <v>0.4877511613887176</v>
      </c>
      <c r="I9" s="10">
        <v>0.6</v>
      </c>
      <c r="J9" s="10">
        <f>I9-H9</f>
        <v>0.11224883861128238</v>
      </c>
      <c r="K9" s="9">
        <v>799179717.80999994</v>
      </c>
      <c r="L9" s="10">
        <v>0.26155579596105</v>
      </c>
      <c r="M9" s="10">
        <v>0.6</v>
      </c>
      <c r="N9" s="10">
        <f>M9-L9</f>
        <v>0.33844420403894998</v>
      </c>
      <c r="O9" s="9">
        <f>O10</f>
        <v>100004350061.28</v>
      </c>
      <c r="P9" s="10">
        <f>O9/O135</f>
        <v>0.43676754650288024</v>
      </c>
      <c r="Q9" s="10">
        <v>0.6</v>
      </c>
      <c r="R9" s="10">
        <f>Q9-P9</f>
        <v>0.16323245349711973</v>
      </c>
      <c r="S9" s="9">
        <f>S10</f>
        <v>59332489141.230003</v>
      </c>
      <c r="T9" s="10">
        <f>S9/S135</f>
        <v>0.51953634147941119</v>
      </c>
      <c r="U9" s="10">
        <v>0.6</v>
      </c>
      <c r="V9" s="10">
        <f>U9-T9</f>
        <v>8.0463658520588788E-2</v>
      </c>
      <c r="W9" s="9">
        <v>2075673450.1700001</v>
      </c>
      <c r="X9" s="10">
        <v>0.32686334651194998</v>
      </c>
      <c r="Y9" s="10">
        <v>0.6</v>
      </c>
      <c r="Z9" s="10">
        <v>0.1731</v>
      </c>
      <c r="AA9" s="9">
        <f>AA10</f>
        <v>66840710773.449997</v>
      </c>
      <c r="AB9" s="10">
        <f>AA9/AA135</f>
        <v>0.47539016333097811</v>
      </c>
      <c r="AC9" s="10">
        <v>0.6</v>
      </c>
      <c r="AD9" s="10">
        <f>AC9-AB9</f>
        <v>0.12460983666902187</v>
      </c>
      <c r="AE9" s="9">
        <f>AE10</f>
        <v>306483201306.48999</v>
      </c>
      <c r="AF9" s="10">
        <f>AE9/AE135</f>
        <v>0.46891722748671316</v>
      </c>
      <c r="AG9" s="10">
        <v>0.6</v>
      </c>
      <c r="AH9" s="10">
        <f>AG9-AF9</f>
        <v>0.13108277251328682</v>
      </c>
      <c r="AI9" s="9">
        <v>7200176810.8800001</v>
      </c>
      <c r="AJ9" s="10">
        <v>0.41952954780035001</v>
      </c>
      <c r="AK9" s="10">
        <v>0.6</v>
      </c>
      <c r="AL9" s="10">
        <f>AK9-AJ9</f>
        <v>0.18047045219964997</v>
      </c>
      <c r="AM9" s="9">
        <v>7931082905.2799997</v>
      </c>
      <c r="AN9" s="10">
        <v>0.33151448160480002</v>
      </c>
      <c r="AO9" s="10">
        <v>0.6</v>
      </c>
      <c r="AP9" s="10">
        <f>AO9-AN9</f>
        <v>0.26848551839519996</v>
      </c>
      <c r="AQ9" s="9">
        <v>15131259716.16</v>
      </c>
      <c r="AR9" s="10">
        <v>0.36827999832540997</v>
      </c>
      <c r="AS9" s="10">
        <v>0.6</v>
      </c>
      <c r="AT9" s="10">
        <f>AS9-AR9</f>
        <v>0.23172000167459</v>
      </c>
      <c r="AU9" s="9">
        <v>22344537761.209999</v>
      </c>
      <c r="AV9" s="10">
        <v>0.48357523089170001</v>
      </c>
      <c r="AW9" s="10">
        <v>0.6</v>
      </c>
      <c r="AX9" s="10">
        <f>AW9-AV9</f>
        <v>0.11642476910829996</v>
      </c>
      <c r="AY9" s="9">
        <f>AY10</f>
        <v>343958998783.85999</v>
      </c>
      <c r="AZ9" s="10">
        <f>AY9/AY135</f>
        <v>0.46426040488861881</v>
      </c>
      <c r="BA9" s="10">
        <v>0.6</v>
      </c>
      <c r="BB9" s="10">
        <f>BA9-AZ9</f>
        <v>0.13573959511138117</v>
      </c>
    </row>
    <row r="10" spans="1:54" customFormat="1" ht="17.25">
      <c r="A10" s="3" t="s">
        <v>28</v>
      </c>
      <c r="B10" s="23" t="s">
        <v>29</v>
      </c>
      <c r="C10" s="2">
        <v>2373589544.8699999</v>
      </c>
      <c r="D10" s="1">
        <v>1</v>
      </c>
      <c r="E10" s="1" t="s">
        <v>26</v>
      </c>
      <c r="F10" s="1" t="s">
        <v>26</v>
      </c>
      <c r="G10" s="2">
        <v>75057208617.679993</v>
      </c>
      <c r="H10" s="1">
        <v>1</v>
      </c>
      <c r="I10" s="1" t="s">
        <v>26</v>
      </c>
      <c r="J10" s="1" t="s">
        <v>26</v>
      </c>
      <c r="K10" s="2">
        <v>799179717.80999994</v>
      </c>
      <c r="L10" s="1">
        <v>1</v>
      </c>
      <c r="M10" s="1" t="s">
        <v>26</v>
      </c>
      <c r="N10" s="1" t="s">
        <v>26</v>
      </c>
      <c r="O10" s="2">
        <v>100004350061.28</v>
      </c>
      <c r="P10" s="1">
        <v>1</v>
      </c>
      <c r="Q10" s="1" t="s">
        <v>26</v>
      </c>
      <c r="R10" s="1" t="s">
        <v>26</v>
      </c>
      <c r="S10" s="2">
        <v>59332489141.230003</v>
      </c>
      <c r="T10" s="1">
        <v>1</v>
      </c>
      <c r="U10" s="1" t="s">
        <v>26</v>
      </c>
      <c r="V10" s="1" t="s">
        <v>26</v>
      </c>
      <c r="W10" s="2">
        <v>2075673450.1700001</v>
      </c>
      <c r="X10" s="1">
        <v>1</v>
      </c>
      <c r="Y10" s="1" t="s">
        <v>26</v>
      </c>
      <c r="Z10" s="1" t="s">
        <v>26</v>
      </c>
      <c r="AA10" s="2">
        <v>66840710773.449997</v>
      </c>
      <c r="AB10" s="1">
        <v>1</v>
      </c>
      <c r="AC10" s="1" t="s">
        <v>26</v>
      </c>
      <c r="AD10" s="1" t="s">
        <v>26</v>
      </c>
      <c r="AE10" s="2">
        <v>306483201306.48999</v>
      </c>
      <c r="AF10" s="1">
        <v>1</v>
      </c>
      <c r="AG10" s="1" t="s">
        <v>26</v>
      </c>
      <c r="AH10" s="1" t="s">
        <v>26</v>
      </c>
      <c r="AI10" s="2">
        <v>7200176810.8800001</v>
      </c>
      <c r="AJ10" s="1">
        <v>1</v>
      </c>
      <c r="AK10" s="1" t="s">
        <v>26</v>
      </c>
      <c r="AL10" s="1" t="s">
        <v>26</v>
      </c>
      <c r="AM10" s="2">
        <v>7931082905.2799997</v>
      </c>
      <c r="AN10" s="1">
        <v>1</v>
      </c>
      <c r="AO10" s="1" t="s">
        <v>26</v>
      </c>
      <c r="AP10" s="1" t="s">
        <v>26</v>
      </c>
      <c r="AQ10" s="2">
        <v>15131259716.16</v>
      </c>
      <c r="AR10" s="1">
        <v>1</v>
      </c>
      <c r="AS10" s="1" t="s">
        <v>26</v>
      </c>
      <c r="AT10" s="1" t="s">
        <v>26</v>
      </c>
      <c r="AU10" s="2">
        <v>22344537761.209999</v>
      </c>
      <c r="AV10" s="1">
        <v>1</v>
      </c>
      <c r="AW10" s="1" t="s">
        <v>26</v>
      </c>
      <c r="AX10" s="1" t="s">
        <v>26</v>
      </c>
      <c r="AY10" s="2">
        <v>343958998783.85999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G12</f>
        <v>5061474638.3800001</v>
      </c>
      <c r="H11" s="10">
        <f>G11/G135</f>
        <v>3.289144612057774E-2</v>
      </c>
      <c r="I11" s="10">
        <v>0.1</v>
      </c>
      <c r="J11" s="10">
        <f>I11-H11</f>
        <v>6.7108553879422272E-2</v>
      </c>
      <c r="K11" s="9" t="s">
        <v>26</v>
      </c>
      <c r="L11" s="10" t="s">
        <v>26</v>
      </c>
      <c r="M11" s="10" t="s">
        <v>26</v>
      </c>
      <c r="N11" s="10" t="s">
        <v>26</v>
      </c>
      <c r="O11" s="9">
        <f>O12</f>
        <v>1465105572</v>
      </c>
      <c r="P11" s="10">
        <f>O11/O135</f>
        <v>6.3988273075923077E-3</v>
      </c>
      <c r="Q11" s="10">
        <v>0.1</v>
      </c>
      <c r="R11" s="10">
        <f>Q11-P11</f>
        <v>9.3601172692407697E-2</v>
      </c>
      <c r="S11" s="9">
        <f>S12</f>
        <v>1569067350</v>
      </c>
      <c r="T11" s="10">
        <f>S11/S135</f>
        <v>1.3739310828733173E-2</v>
      </c>
      <c r="U11" s="10">
        <v>0.1</v>
      </c>
      <c r="V11" s="10">
        <f>U11-T11</f>
        <v>8.6260689171266836E-2</v>
      </c>
      <c r="W11" s="9" t="s">
        <v>26</v>
      </c>
      <c r="X11" s="10" t="s">
        <v>26</v>
      </c>
      <c r="Y11" s="10" t="s">
        <v>26</v>
      </c>
      <c r="Z11" s="10" t="s">
        <v>26</v>
      </c>
      <c r="AA11" s="9">
        <f>AA12</f>
        <v>1744173300</v>
      </c>
      <c r="AB11" s="10">
        <f>AA11/AA135</f>
        <v>1.2405057043377304E-2</v>
      </c>
      <c r="AC11" s="10">
        <v>0.1</v>
      </c>
      <c r="AD11" s="10">
        <f>AC11-AB11</f>
        <v>8.7594942956622707E-2</v>
      </c>
      <c r="AE11" s="9">
        <f>AE12</f>
        <v>9839820860.3799992</v>
      </c>
      <c r="AF11" s="10">
        <f>AE11/AE135</f>
        <v>1.5054859441386315E-2</v>
      </c>
      <c r="AG11" s="10">
        <v>0.1</v>
      </c>
      <c r="AH11" s="10">
        <f>AG11-AF11</f>
        <v>8.4945140558613685E-2</v>
      </c>
      <c r="AI11" s="9" t="s">
        <v>26</v>
      </c>
      <c r="AJ11" s="10" t="s">
        <v>26</v>
      </c>
      <c r="AK11" s="10" t="s">
        <v>26</v>
      </c>
      <c r="AL11" s="10" t="s">
        <v>26</v>
      </c>
      <c r="AM11" s="9" t="s">
        <v>26</v>
      </c>
      <c r="AN11" s="10" t="s">
        <v>26</v>
      </c>
      <c r="AO11" s="10" t="s">
        <v>26</v>
      </c>
      <c r="AP11" s="10" t="s">
        <v>26</v>
      </c>
      <c r="AQ11" s="9" t="s">
        <v>26</v>
      </c>
      <c r="AR11" s="10" t="s">
        <v>26</v>
      </c>
      <c r="AS11" s="10" t="s">
        <v>26</v>
      </c>
      <c r="AT11" s="10" t="s">
        <v>26</v>
      </c>
      <c r="AU11" s="9" t="s">
        <v>26</v>
      </c>
      <c r="AV11" s="10" t="s">
        <v>26</v>
      </c>
      <c r="AW11" s="10" t="s">
        <v>26</v>
      </c>
      <c r="AX11" s="10" t="s">
        <v>26</v>
      </c>
      <c r="AY11" s="9">
        <f>AY12</f>
        <v>9839820860.3799992</v>
      </c>
      <c r="AZ11" s="10">
        <f>AY11/AY135</f>
        <v>1.3281348163076049E-2</v>
      </c>
      <c r="BA11" s="10">
        <v>0.1</v>
      </c>
      <c r="BB11" s="10">
        <f>BA11-AZ11</f>
        <v>8.6718651836923955E-2</v>
      </c>
    </row>
    <row r="12" spans="1:54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5061474638.3800001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1465105572</v>
      </c>
      <c r="P12" s="1">
        <v>1</v>
      </c>
      <c r="Q12" s="1" t="s">
        <v>26</v>
      </c>
      <c r="R12" s="1" t="s">
        <v>26</v>
      </c>
      <c r="S12" s="2">
        <v>1569067350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1744173300</v>
      </c>
      <c r="AB12" s="1">
        <v>1</v>
      </c>
      <c r="AC12" s="1" t="s">
        <v>26</v>
      </c>
      <c r="AD12" s="1" t="s">
        <v>26</v>
      </c>
      <c r="AE12" s="2">
        <v>9839820860.3799992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9839820860.3799992</v>
      </c>
      <c r="AZ12" s="1">
        <v>1</v>
      </c>
      <c r="BA12" s="1" t="s">
        <v>26</v>
      </c>
      <c r="BB12" s="1" t="s">
        <v>26</v>
      </c>
    </row>
    <row r="13" spans="1:54" s="25" customFormat="1">
      <c r="A13" s="12" t="s">
        <v>31</v>
      </c>
      <c r="B13" s="27" t="s">
        <v>25</v>
      </c>
      <c r="C13" s="29">
        <v>2578972827.77</v>
      </c>
      <c r="D13" s="30">
        <v>0.39359235039826002</v>
      </c>
      <c r="E13" s="30" t="s">
        <v>26</v>
      </c>
      <c r="F13" s="30" t="s">
        <v>26</v>
      </c>
      <c r="G13" s="29">
        <v>52603767377.720001</v>
      </c>
      <c r="H13" s="30">
        <v>0.34183775252332999</v>
      </c>
      <c r="I13" s="30" t="s">
        <v>26</v>
      </c>
      <c r="J13" s="30" t="s">
        <v>26</v>
      </c>
      <c r="K13" s="29">
        <v>959052296.57000005</v>
      </c>
      <c r="L13" s="30">
        <v>0.31387894513268</v>
      </c>
      <c r="M13" s="30" t="s">
        <v>26</v>
      </c>
      <c r="N13" s="30" t="s">
        <v>26</v>
      </c>
      <c r="O13" s="29">
        <v>69745810673.529999</v>
      </c>
      <c r="P13" s="30">
        <v>0.30461355649076999</v>
      </c>
      <c r="Q13" s="30" t="s">
        <v>26</v>
      </c>
      <c r="R13" s="30" t="s">
        <v>26</v>
      </c>
      <c r="S13" s="29">
        <v>32307684049.84</v>
      </c>
      <c r="T13" s="30">
        <v>0.28289709448442002</v>
      </c>
      <c r="U13" s="30" t="s">
        <v>26</v>
      </c>
      <c r="V13" s="30" t="s">
        <v>26</v>
      </c>
      <c r="W13" s="29">
        <v>2926205677.8600001</v>
      </c>
      <c r="X13" s="30">
        <v>0.46079954453782002</v>
      </c>
      <c r="Y13" s="30" t="s">
        <v>26</v>
      </c>
      <c r="Z13" s="30" t="s">
        <v>26</v>
      </c>
      <c r="AA13" s="29">
        <v>42949212409.220001</v>
      </c>
      <c r="AB13" s="30">
        <v>0.30546659675825999</v>
      </c>
      <c r="AC13" s="30" t="s">
        <v>26</v>
      </c>
      <c r="AD13" s="30" t="s">
        <v>26</v>
      </c>
      <c r="AE13" s="29">
        <v>204070705312.51001</v>
      </c>
      <c r="AF13" s="30">
        <v>0.31221938007784</v>
      </c>
      <c r="AG13" s="30" t="s">
        <v>26</v>
      </c>
      <c r="AH13" s="30" t="s">
        <v>26</v>
      </c>
      <c r="AI13" s="29">
        <v>6170999725.3800001</v>
      </c>
      <c r="AJ13" s="30">
        <v>0.35956293744797002</v>
      </c>
      <c r="AK13" s="30" t="s">
        <v>26</v>
      </c>
      <c r="AL13" s="30" t="s">
        <v>26</v>
      </c>
      <c r="AM13" s="29">
        <v>11815358065.18</v>
      </c>
      <c r="AN13" s="30">
        <v>0.49387484038851998</v>
      </c>
      <c r="AO13" s="30" t="s">
        <v>26</v>
      </c>
      <c r="AP13" s="30" t="s">
        <v>26</v>
      </c>
      <c r="AQ13" s="29">
        <v>17986357790.560001</v>
      </c>
      <c r="AR13" s="30">
        <v>0.43777028094449999</v>
      </c>
      <c r="AS13" s="30" t="s">
        <v>26</v>
      </c>
      <c r="AT13" s="30" t="s">
        <v>26</v>
      </c>
      <c r="AU13" s="29">
        <v>15046359967.68</v>
      </c>
      <c r="AV13" s="30">
        <v>0.32562978358324002</v>
      </c>
      <c r="AW13" s="30" t="s">
        <v>26</v>
      </c>
      <c r="AX13" s="30" t="s">
        <v>26</v>
      </c>
      <c r="AY13" s="29">
        <v>237103423070.75</v>
      </c>
      <c r="AZ13" s="30">
        <v>0.32001803673474</v>
      </c>
      <c r="BA13" s="30" t="s">
        <v>26</v>
      </c>
      <c r="BB13" s="30" t="s">
        <v>26</v>
      </c>
    </row>
    <row r="14" spans="1:54" s="7" customFormat="1">
      <c r="A14" s="5" t="s">
        <v>32</v>
      </c>
      <c r="B14" s="20" t="s">
        <v>25</v>
      </c>
      <c r="C14" s="9">
        <v>2578972827.77</v>
      </c>
      <c r="D14" s="10">
        <v>0.39359235039826002</v>
      </c>
      <c r="E14" s="10">
        <v>0.5</v>
      </c>
      <c r="F14" s="10">
        <v>0.10639999999999999</v>
      </c>
      <c r="G14" s="9">
        <v>52603767377.720001</v>
      </c>
      <c r="H14" s="10">
        <v>0.34183775252332999</v>
      </c>
      <c r="I14" s="10">
        <v>0.5</v>
      </c>
      <c r="J14" s="10">
        <v>0.15820000000000001</v>
      </c>
      <c r="K14" s="9">
        <v>959052296.57000005</v>
      </c>
      <c r="L14" s="10">
        <v>0.31387894513268</v>
      </c>
      <c r="M14" s="10">
        <v>0.5</v>
      </c>
      <c r="N14" s="10">
        <v>0.18609999999999999</v>
      </c>
      <c r="O14" s="9">
        <v>69745810673.529999</v>
      </c>
      <c r="P14" s="10">
        <v>0.30461355649076999</v>
      </c>
      <c r="Q14" s="10">
        <v>0.5</v>
      </c>
      <c r="R14" s="10">
        <v>0.19539999999999999</v>
      </c>
      <c r="S14" s="9">
        <v>32307684049.84</v>
      </c>
      <c r="T14" s="10">
        <v>0.28289709448442002</v>
      </c>
      <c r="U14" s="10">
        <v>0.5</v>
      </c>
      <c r="V14" s="10">
        <v>0.21709999999999999</v>
      </c>
      <c r="W14" s="9">
        <v>2926205677.8600001</v>
      </c>
      <c r="X14" s="10">
        <v>0.46079954453782002</v>
      </c>
      <c r="Y14" s="10">
        <v>0.5</v>
      </c>
      <c r="Z14" s="10">
        <v>3.9199999999999999E-2</v>
      </c>
      <c r="AA14" s="9">
        <v>42949212409.220001</v>
      </c>
      <c r="AB14" s="10">
        <v>0.30546659675825999</v>
      </c>
      <c r="AC14" s="10">
        <v>0.5</v>
      </c>
      <c r="AD14" s="10">
        <v>0.19450000000000001</v>
      </c>
      <c r="AE14" s="9">
        <v>204070705312.51001</v>
      </c>
      <c r="AF14" s="10">
        <v>0.31221938007784</v>
      </c>
      <c r="AG14" s="10">
        <v>0.5</v>
      </c>
      <c r="AH14" s="10">
        <v>0.18779999999999999</v>
      </c>
      <c r="AI14" s="9">
        <v>6170999725.3800001</v>
      </c>
      <c r="AJ14" s="10">
        <v>0.35956293744797002</v>
      </c>
      <c r="AK14" s="10">
        <v>0.5</v>
      </c>
      <c r="AL14" s="10">
        <v>0.1404</v>
      </c>
      <c r="AM14" s="9">
        <v>11815358065.18</v>
      </c>
      <c r="AN14" s="10">
        <v>0.49387484038851998</v>
      </c>
      <c r="AO14" s="10">
        <v>0.5</v>
      </c>
      <c r="AP14" s="10">
        <v>6.1000000000000004E-3</v>
      </c>
      <c r="AQ14" s="9">
        <v>17986357790.560001</v>
      </c>
      <c r="AR14" s="10">
        <v>0.43777028094449999</v>
      </c>
      <c r="AS14" s="10">
        <v>0.5</v>
      </c>
      <c r="AT14" s="10">
        <v>6.2199999999999998E-2</v>
      </c>
      <c r="AU14" s="9">
        <v>15046359967.68</v>
      </c>
      <c r="AV14" s="10">
        <v>0.32562978358324002</v>
      </c>
      <c r="AW14" s="10">
        <v>0.5</v>
      </c>
      <c r="AX14" s="10">
        <v>0.1744</v>
      </c>
      <c r="AY14" s="9">
        <v>237103423070.75</v>
      </c>
      <c r="AZ14" s="10">
        <v>0.32001803673474</v>
      </c>
      <c r="BA14" s="10">
        <v>0.5</v>
      </c>
      <c r="BB14" s="10">
        <v>0.18</v>
      </c>
    </row>
    <row r="15" spans="1:54" customFormat="1">
      <c r="A15" s="3" t="s">
        <v>33</v>
      </c>
      <c r="B15" s="23" t="s">
        <v>29</v>
      </c>
      <c r="C15" s="2">
        <v>979647322.5</v>
      </c>
      <c r="D15" s="1">
        <v>0.37985949752991</v>
      </c>
      <c r="E15" s="1" t="s">
        <v>26</v>
      </c>
      <c r="F15" s="1" t="s">
        <v>26</v>
      </c>
      <c r="G15" s="2">
        <v>17901745872.950001</v>
      </c>
      <c r="H15" s="1">
        <v>0.34031299972124002</v>
      </c>
      <c r="I15" s="1" t="s">
        <v>26</v>
      </c>
      <c r="J15" s="1" t="s">
        <v>26</v>
      </c>
      <c r="K15" s="2">
        <v>255761664.53</v>
      </c>
      <c r="L15" s="1">
        <v>0.26668166631237999</v>
      </c>
      <c r="M15" s="1" t="s">
        <v>26</v>
      </c>
      <c r="N15" s="1" t="s">
        <v>26</v>
      </c>
      <c r="O15" s="2">
        <v>21155455234.77</v>
      </c>
      <c r="P15" s="1">
        <v>0.30332223585148999</v>
      </c>
      <c r="Q15" s="1" t="s">
        <v>26</v>
      </c>
      <c r="R15" s="1" t="s">
        <v>26</v>
      </c>
      <c r="S15" s="2">
        <v>11740904159.75</v>
      </c>
      <c r="T15" s="1">
        <v>0.36340903116538997</v>
      </c>
      <c r="U15" s="1" t="s">
        <v>26</v>
      </c>
      <c r="V15" s="1" t="s">
        <v>26</v>
      </c>
      <c r="W15" s="2">
        <v>1154993768.95</v>
      </c>
      <c r="X15" s="1">
        <v>0.39470696734984001</v>
      </c>
      <c r="Y15" s="1" t="s">
        <v>26</v>
      </c>
      <c r="Z15" s="1" t="s">
        <v>26</v>
      </c>
      <c r="AA15" s="2">
        <v>17569281049.040001</v>
      </c>
      <c r="AB15" s="1">
        <v>0.40907108800133002</v>
      </c>
      <c r="AC15" s="1" t="s">
        <v>26</v>
      </c>
      <c r="AD15" s="1" t="s">
        <v>26</v>
      </c>
      <c r="AE15" s="2">
        <v>70757789072.490005</v>
      </c>
      <c r="AF15" s="1">
        <v>0.3467317318482</v>
      </c>
      <c r="AG15" s="1" t="s">
        <v>26</v>
      </c>
      <c r="AH15" s="1" t="s">
        <v>26</v>
      </c>
      <c r="AI15" s="2">
        <v>1703652015.24</v>
      </c>
      <c r="AJ15" s="1">
        <v>0.27607390877579002</v>
      </c>
      <c r="AK15" s="1" t="s">
        <v>26</v>
      </c>
      <c r="AL15" s="1" t="s">
        <v>26</v>
      </c>
      <c r="AM15" s="2">
        <v>6327158757.54</v>
      </c>
      <c r="AN15" s="1">
        <v>0.53550292108254005</v>
      </c>
      <c r="AO15" s="1" t="s">
        <v>26</v>
      </c>
      <c r="AP15" s="1" t="s">
        <v>26</v>
      </c>
      <c r="AQ15" s="2">
        <v>8030810772.7799997</v>
      </c>
      <c r="AR15" s="1">
        <v>0.44649455249883002</v>
      </c>
      <c r="AS15" s="1" t="s">
        <v>26</v>
      </c>
      <c r="AT15" s="1" t="s">
        <v>26</v>
      </c>
      <c r="AU15" s="2">
        <v>7887112304.0100002</v>
      </c>
      <c r="AV15" s="1">
        <v>0.52418739954060001</v>
      </c>
      <c r="AW15" s="1" t="s">
        <v>26</v>
      </c>
      <c r="AX15" s="1" t="s">
        <v>26</v>
      </c>
      <c r="AY15" s="2">
        <v>86675712149.279999</v>
      </c>
      <c r="AZ15" s="1">
        <v>0.36556077945537002</v>
      </c>
      <c r="BA15" s="1" t="s">
        <v>26</v>
      </c>
      <c r="BB15" s="1" t="s">
        <v>26</v>
      </c>
    </row>
    <row r="16" spans="1:54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1697160788.7</v>
      </c>
      <c r="H16" s="1">
        <v>3.226310344872E-2</v>
      </c>
      <c r="I16" s="1" t="s">
        <v>26</v>
      </c>
      <c r="J16" s="1" t="s">
        <v>26</v>
      </c>
      <c r="K16" s="2">
        <v>29515593.600000001</v>
      </c>
      <c r="L16" s="1">
        <v>3.0775791586719999E-2</v>
      </c>
      <c r="M16" s="1" t="s">
        <v>26</v>
      </c>
      <c r="N16" s="1" t="s">
        <v>26</v>
      </c>
      <c r="O16" s="2" t="s">
        <v>26</v>
      </c>
      <c r="P16" s="1" t="s">
        <v>26</v>
      </c>
      <c r="Q16" s="1" t="s">
        <v>26</v>
      </c>
      <c r="R16" s="1" t="s">
        <v>26</v>
      </c>
      <c r="S16" s="2" t="s">
        <v>26</v>
      </c>
      <c r="T16" s="1" t="s">
        <v>26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5545198348.8999996</v>
      </c>
      <c r="AB16" s="1">
        <v>0.12911059453349999</v>
      </c>
      <c r="AC16" s="1" t="s">
        <v>26</v>
      </c>
      <c r="AD16" s="1" t="s">
        <v>26</v>
      </c>
      <c r="AE16" s="2">
        <v>7271874731.1999998</v>
      </c>
      <c r="AF16" s="1">
        <v>3.5634094173699997E-2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678157817.96000004</v>
      </c>
      <c r="AN16" s="1">
        <v>5.739629846331E-2</v>
      </c>
      <c r="AO16" s="1" t="s">
        <v>26</v>
      </c>
      <c r="AP16" s="1" t="s">
        <v>26</v>
      </c>
      <c r="AQ16" s="2">
        <v>678157817.96000004</v>
      </c>
      <c r="AR16" s="1">
        <v>3.7704010220229997E-2</v>
      </c>
      <c r="AS16" s="1" t="s">
        <v>26</v>
      </c>
      <c r="AT16" s="1" t="s">
        <v>26</v>
      </c>
      <c r="AU16" s="2" t="s">
        <v>26</v>
      </c>
      <c r="AV16" s="1" t="s">
        <v>26</v>
      </c>
      <c r="AW16" s="1" t="s">
        <v>26</v>
      </c>
      <c r="AX16" s="1" t="s">
        <v>26</v>
      </c>
      <c r="AY16" s="2">
        <v>7950032549.1599998</v>
      </c>
      <c r="AZ16" s="1">
        <v>3.3529809254540001E-2</v>
      </c>
      <c r="BA16" s="1" t="s">
        <v>26</v>
      </c>
      <c r="BB16" s="1" t="s">
        <v>26</v>
      </c>
    </row>
    <row r="17" spans="1:55" customFormat="1">
      <c r="A17" s="3" t="s">
        <v>36</v>
      </c>
      <c r="B17" s="23" t="s">
        <v>29</v>
      </c>
      <c r="C17" s="2">
        <v>1599325505.27</v>
      </c>
      <c r="D17" s="1">
        <v>0.62014050247009</v>
      </c>
      <c r="E17" s="1" t="s">
        <v>26</v>
      </c>
      <c r="F17" s="1" t="s">
        <v>26</v>
      </c>
      <c r="G17" s="2">
        <v>33004860716.07</v>
      </c>
      <c r="H17" s="1">
        <v>0.62742389683003996</v>
      </c>
      <c r="I17" s="1" t="s">
        <v>26</v>
      </c>
      <c r="J17" s="1" t="s">
        <v>26</v>
      </c>
      <c r="K17" s="2">
        <v>673775038.44000006</v>
      </c>
      <c r="L17" s="1">
        <v>0.70254254210091005</v>
      </c>
      <c r="M17" s="1" t="s">
        <v>26</v>
      </c>
      <c r="N17" s="1" t="s">
        <v>26</v>
      </c>
      <c r="O17" s="2">
        <v>48590355438.760002</v>
      </c>
      <c r="P17" s="1">
        <v>0.69667776414851001</v>
      </c>
      <c r="Q17" s="1" t="s">
        <v>26</v>
      </c>
      <c r="R17" s="1" t="s">
        <v>26</v>
      </c>
      <c r="S17" s="2">
        <v>20566779890.09</v>
      </c>
      <c r="T17" s="1">
        <v>0.63659096883460997</v>
      </c>
      <c r="U17" s="1" t="s">
        <v>26</v>
      </c>
      <c r="V17" s="1" t="s">
        <v>26</v>
      </c>
      <c r="W17" s="2">
        <v>1771211908.9100001</v>
      </c>
      <c r="X17" s="1">
        <v>0.60529303265015999</v>
      </c>
      <c r="Y17" s="1" t="s">
        <v>26</v>
      </c>
      <c r="Z17" s="1" t="s">
        <v>26</v>
      </c>
      <c r="AA17" s="2">
        <v>19834733011.279999</v>
      </c>
      <c r="AB17" s="1">
        <v>0.46181831746516999</v>
      </c>
      <c r="AC17" s="1" t="s">
        <v>26</v>
      </c>
      <c r="AD17" s="1" t="s">
        <v>26</v>
      </c>
      <c r="AE17" s="2">
        <v>126041041508.82001</v>
      </c>
      <c r="AF17" s="1">
        <v>0.61763417397810005</v>
      </c>
      <c r="AG17" s="1" t="s">
        <v>26</v>
      </c>
      <c r="AH17" s="1" t="s">
        <v>26</v>
      </c>
      <c r="AI17" s="2">
        <v>4467347710.1400003</v>
      </c>
      <c r="AJ17" s="1">
        <v>0.72392609122421003</v>
      </c>
      <c r="AK17" s="1" t="s">
        <v>26</v>
      </c>
      <c r="AL17" s="1" t="s">
        <v>26</v>
      </c>
      <c r="AM17" s="2">
        <v>4810041489.6800003</v>
      </c>
      <c r="AN17" s="1">
        <v>0.40710078045414999</v>
      </c>
      <c r="AO17" s="1" t="s">
        <v>26</v>
      </c>
      <c r="AP17" s="1" t="s">
        <v>26</v>
      </c>
      <c r="AQ17" s="2">
        <v>9277389199.8199997</v>
      </c>
      <c r="AR17" s="1">
        <v>0.51580143728093997</v>
      </c>
      <c r="AS17" s="1" t="s">
        <v>26</v>
      </c>
      <c r="AT17" s="1" t="s">
        <v>26</v>
      </c>
      <c r="AU17" s="2">
        <v>7159247663.6700001</v>
      </c>
      <c r="AV17" s="1">
        <v>0.47581260045939999</v>
      </c>
      <c r="AW17" s="1" t="s">
        <v>26</v>
      </c>
      <c r="AX17" s="1" t="s">
        <v>26</v>
      </c>
      <c r="AY17" s="2">
        <v>142477678372.31</v>
      </c>
      <c r="AZ17" s="1">
        <v>0.60090941129009001</v>
      </c>
      <c r="BA17" s="1" t="s">
        <v>26</v>
      </c>
      <c r="BB17" s="1" t="s">
        <v>26</v>
      </c>
    </row>
    <row r="18" spans="1:55" s="25" customFormat="1">
      <c r="A18" s="12" t="s">
        <v>37</v>
      </c>
      <c r="B18" s="27" t="s">
        <v>25</v>
      </c>
      <c r="C18" s="29">
        <v>356346461</v>
      </c>
      <c r="D18" s="30">
        <v>5.4384148460519997E-2</v>
      </c>
      <c r="E18" s="30" t="s">
        <v>26</v>
      </c>
      <c r="F18" s="30" t="s">
        <v>26</v>
      </c>
      <c r="G18" s="29">
        <v>5831392587.3900003</v>
      </c>
      <c r="H18" s="30">
        <v>3.7894436758510001E-2</v>
      </c>
      <c r="I18" s="30" t="s">
        <v>26</v>
      </c>
      <c r="J18" s="30" t="s">
        <v>26</v>
      </c>
      <c r="K18" s="29">
        <v>229693302.41</v>
      </c>
      <c r="L18" s="30">
        <v>7.5174098140779994E-2</v>
      </c>
      <c r="M18" s="30" t="s">
        <v>26</v>
      </c>
      <c r="N18" s="30" t="s">
        <v>26</v>
      </c>
      <c r="O18" s="29">
        <v>15527175335.459999</v>
      </c>
      <c r="P18" s="30">
        <v>6.7814655181650002E-2</v>
      </c>
      <c r="Q18" s="30" t="s">
        <v>26</v>
      </c>
      <c r="R18" s="30" t="s">
        <v>26</v>
      </c>
      <c r="S18" s="29">
        <v>6097412646.2200003</v>
      </c>
      <c r="T18" s="30">
        <v>5.3391023597580002E-2</v>
      </c>
      <c r="U18" s="30" t="s">
        <v>26</v>
      </c>
      <c r="V18" s="30" t="s">
        <v>26</v>
      </c>
      <c r="W18" s="29">
        <v>1274375670.5899999</v>
      </c>
      <c r="X18" s="30">
        <v>0.20068026421417001</v>
      </c>
      <c r="Y18" s="30" t="s">
        <v>26</v>
      </c>
      <c r="Z18" s="30" t="s">
        <v>26</v>
      </c>
      <c r="AA18" s="29">
        <v>14362001779.09</v>
      </c>
      <c r="AB18" s="30">
        <v>0.10214650187981</v>
      </c>
      <c r="AC18" s="30" t="s">
        <v>26</v>
      </c>
      <c r="AD18" s="30" t="s">
        <v>26</v>
      </c>
      <c r="AE18" s="29">
        <v>43678397782.160004</v>
      </c>
      <c r="AF18" s="30">
        <v>6.6826065296610004E-2</v>
      </c>
      <c r="AG18" s="30" t="s">
        <v>26</v>
      </c>
      <c r="AH18" s="30" t="s">
        <v>26</v>
      </c>
      <c r="AI18" s="29">
        <v>2493087251.7199998</v>
      </c>
      <c r="AJ18" s="30">
        <v>0.14526362265998999</v>
      </c>
      <c r="AK18" s="30" t="s">
        <v>26</v>
      </c>
      <c r="AL18" s="30" t="s">
        <v>26</v>
      </c>
      <c r="AM18" s="29">
        <v>1737889261.5799999</v>
      </c>
      <c r="AN18" s="30">
        <v>7.2642722881599994E-2</v>
      </c>
      <c r="AO18" s="30" t="s">
        <v>26</v>
      </c>
      <c r="AP18" s="30" t="s">
        <v>26</v>
      </c>
      <c r="AQ18" s="29">
        <v>4230976513.3000002</v>
      </c>
      <c r="AR18" s="30">
        <v>0.10297781232113</v>
      </c>
      <c r="AS18" s="30" t="s">
        <v>26</v>
      </c>
      <c r="AT18" s="30" t="s">
        <v>26</v>
      </c>
      <c r="AU18" s="29">
        <v>4252797227.0100002</v>
      </c>
      <c r="AV18" s="30">
        <v>9.2038037347859994E-2</v>
      </c>
      <c r="AW18" s="30" t="s">
        <v>26</v>
      </c>
      <c r="AX18" s="30" t="s">
        <v>26</v>
      </c>
      <c r="AY18" s="29">
        <v>52162171522.470001</v>
      </c>
      <c r="AZ18" s="30">
        <v>7.0403183160540006E-2</v>
      </c>
      <c r="BA18" s="30" t="s">
        <v>26</v>
      </c>
      <c r="BB18" s="30" t="s">
        <v>26</v>
      </c>
    </row>
    <row r="19" spans="1:55" s="7" customFormat="1">
      <c r="A19" s="5" t="s">
        <v>38</v>
      </c>
      <c r="B19" s="20" t="s">
        <v>25</v>
      </c>
      <c r="C19" s="9">
        <v>65166096.159999996</v>
      </c>
      <c r="D19" s="10">
        <v>9.9453847197299994E-3</v>
      </c>
      <c r="E19" s="10">
        <v>0.15</v>
      </c>
      <c r="F19" s="10">
        <v>0.1401</v>
      </c>
      <c r="G19" s="9">
        <v>1010628718.15</v>
      </c>
      <c r="H19" s="10">
        <v>6.5674202983800004E-3</v>
      </c>
      <c r="I19" s="10">
        <v>0.15</v>
      </c>
      <c r="J19" s="10">
        <v>0.1434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5900408103.2200003</v>
      </c>
      <c r="P19" s="10">
        <v>2.5769924812860001E-2</v>
      </c>
      <c r="Q19" s="10">
        <v>0.13980000000000001</v>
      </c>
      <c r="R19" s="10">
        <v>0.114</v>
      </c>
      <c r="S19" s="9">
        <v>2685831453.3600001</v>
      </c>
      <c r="T19" s="10">
        <v>2.3518055743590002E-2</v>
      </c>
      <c r="U19" s="10">
        <v>0.05</v>
      </c>
      <c r="V19" s="10">
        <v>2.6499999999999999E-2</v>
      </c>
      <c r="W19" s="9">
        <v>359776669.70999998</v>
      </c>
      <c r="X19" s="10">
        <v>5.6655253864089997E-2</v>
      </c>
      <c r="Y19" s="10">
        <v>0.15</v>
      </c>
      <c r="Z19" s="10">
        <v>9.3299999999999994E-2</v>
      </c>
      <c r="AA19" s="9">
        <v>6777670250.1199999</v>
      </c>
      <c r="AB19" s="10">
        <v>4.820465263781E-2</v>
      </c>
      <c r="AC19" s="10">
        <v>0.1411</v>
      </c>
      <c r="AD19" s="10">
        <v>9.2899999999999996E-2</v>
      </c>
      <c r="AE19" s="9">
        <v>16799481290.719999</v>
      </c>
      <c r="AF19" s="10">
        <v>2.570248202056E-2</v>
      </c>
      <c r="AG19" s="10">
        <v>0.1419</v>
      </c>
      <c r="AH19" s="10">
        <v>0.1162</v>
      </c>
      <c r="AI19" s="9">
        <v>772378848.96000004</v>
      </c>
      <c r="AJ19" s="10">
        <v>4.5003860008699999E-2</v>
      </c>
      <c r="AK19" s="10">
        <v>0.05</v>
      </c>
      <c r="AL19" s="10">
        <v>5.0000000000000001E-3</v>
      </c>
      <c r="AM19" s="9">
        <v>479231250.18000001</v>
      </c>
      <c r="AN19" s="10">
        <v>2.0031577196910001E-2</v>
      </c>
      <c r="AO19" s="10">
        <v>0.15</v>
      </c>
      <c r="AP19" s="10">
        <v>0.13</v>
      </c>
      <c r="AQ19" s="9">
        <v>1251610099.1400001</v>
      </c>
      <c r="AR19" s="10">
        <v>3.0462960378839998E-2</v>
      </c>
      <c r="AS19" s="10">
        <v>0.1457</v>
      </c>
      <c r="AT19" s="10">
        <v>0.1152</v>
      </c>
      <c r="AU19" s="9">
        <v>1110747100.1400001</v>
      </c>
      <c r="AV19" s="10">
        <v>2.4038527498429999E-2</v>
      </c>
      <c r="AW19" s="10">
        <v>0.05</v>
      </c>
      <c r="AX19" s="10">
        <v>2.5999999999999999E-2</v>
      </c>
      <c r="AY19" s="9">
        <v>19161838490</v>
      </c>
      <c r="AZ19" s="10">
        <v>2.5862696769109999E-2</v>
      </c>
      <c r="BA19" s="10">
        <v>0.1421</v>
      </c>
      <c r="BB19" s="10">
        <v>0.1162</v>
      </c>
    </row>
    <row r="20" spans="1:55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4023255040</v>
      </c>
      <c r="P20" s="1">
        <v>0.68186046958419999</v>
      </c>
      <c r="Q20" s="1" t="s">
        <v>26</v>
      </c>
      <c r="R20" s="1" t="s">
        <v>26</v>
      </c>
      <c r="S20" s="2">
        <v>992485336.12</v>
      </c>
      <c r="T20" s="1">
        <v>0.36952629133835002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4023255040</v>
      </c>
      <c r="AB20" s="1">
        <v>0.59360442327934004</v>
      </c>
      <c r="AC20" s="1" t="s">
        <v>26</v>
      </c>
      <c r="AD20" s="1" t="s">
        <v>26</v>
      </c>
      <c r="AE20" s="2">
        <v>9038995416.1200008</v>
      </c>
      <c r="AF20" s="1">
        <v>0.53805205409009005</v>
      </c>
      <c r="AG20" s="1" t="s">
        <v>26</v>
      </c>
      <c r="AH20" s="1" t="s">
        <v>26</v>
      </c>
      <c r="AI20" s="2">
        <v>359807935.80000001</v>
      </c>
      <c r="AJ20" s="1">
        <v>0.46584384888901997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359807935.80000001</v>
      </c>
      <c r="AR20" s="1">
        <v>0.28747605667870002</v>
      </c>
      <c r="AS20" s="1" t="s">
        <v>26</v>
      </c>
      <c r="AT20" s="1" t="s">
        <v>26</v>
      </c>
      <c r="AU20" s="2">
        <v>642227013.89999998</v>
      </c>
      <c r="AV20" s="1">
        <v>0.57819373448650002</v>
      </c>
      <c r="AW20" s="1" t="s">
        <v>26</v>
      </c>
      <c r="AX20" s="1" t="s">
        <v>26</v>
      </c>
      <c r="AY20" s="2">
        <v>10041030365.82</v>
      </c>
      <c r="AZ20" s="1">
        <v>0.52401184630900999</v>
      </c>
      <c r="BA20" s="1" t="s">
        <v>26</v>
      </c>
      <c r="BB20" s="1" t="s">
        <v>26</v>
      </c>
      <c r="BC20" s="26"/>
    </row>
    <row r="21" spans="1:55" customFormat="1">
      <c r="A21" s="3" t="s">
        <v>41</v>
      </c>
      <c r="B21" s="23" t="s">
        <v>35</v>
      </c>
      <c r="C21" s="2">
        <v>65166096.159999996</v>
      </c>
      <c r="D21" s="1">
        <v>1</v>
      </c>
      <c r="E21" s="1" t="s">
        <v>26</v>
      </c>
      <c r="F21" s="1" t="s">
        <v>26</v>
      </c>
      <c r="G21" s="2">
        <v>1010628718.15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1877153063.22</v>
      </c>
      <c r="P21" s="1">
        <v>0.31813953041580001</v>
      </c>
      <c r="Q21" s="1" t="s">
        <v>26</v>
      </c>
      <c r="R21" s="1" t="s">
        <v>26</v>
      </c>
      <c r="S21" s="2">
        <v>1693346117.24</v>
      </c>
      <c r="T21" s="1">
        <v>0.63047370866164998</v>
      </c>
      <c r="U21" s="1" t="s">
        <v>26</v>
      </c>
      <c r="V21" s="1" t="s">
        <v>26</v>
      </c>
      <c r="W21" s="2">
        <v>359776669.70999998</v>
      </c>
      <c r="X21" s="1">
        <v>1</v>
      </c>
      <c r="Y21" s="1" t="s">
        <v>26</v>
      </c>
      <c r="Z21" s="1" t="s">
        <v>26</v>
      </c>
      <c r="AA21" s="2">
        <v>2754415210.1199999</v>
      </c>
      <c r="AB21" s="1">
        <v>0.40639557672066001</v>
      </c>
      <c r="AC21" s="1" t="s">
        <v>26</v>
      </c>
      <c r="AD21" s="1" t="s">
        <v>26</v>
      </c>
      <c r="AE21" s="2">
        <v>7760485874.6000004</v>
      </c>
      <c r="AF21" s="1">
        <v>0.46194794590991001</v>
      </c>
      <c r="AG21" s="1" t="s">
        <v>26</v>
      </c>
      <c r="AH21" s="1" t="s">
        <v>26</v>
      </c>
      <c r="AI21" s="2">
        <v>412570913.16000003</v>
      </c>
      <c r="AJ21" s="1">
        <v>0.53415615111098003</v>
      </c>
      <c r="AK21" s="1" t="s">
        <v>26</v>
      </c>
      <c r="AL21" s="1" t="s">
        <v>26</v>
      </c>
      <c r="AM21" s="2">
        <v>479231250.18000001</v>
      </c>
      <c r="AN21" s="1">
        <v>1</v>
      </c>
      <c r="AO21" s="1" t="s">
        <v>26</v>
      </c>
      <c r="AP21" s="1" t="s">
        <v>26</v>
      </c>
      <c r="AQ21" s="2">
        <v>891802163.34000003</v>
      </c>
      <c r="AR21" s="1">
        <v>0.71252394332129998</v>
      </c>
      <c r="AS21" s="1" t="s">
        <v>26</v>
      </c>
      <c r="AT21" s="1" t="s">
        <v>26</v>
      </c>
      <c r="AU21" s="2">
        <v>468520086.24000001</v>
      </c>
      <c r="AV21" s="1">
        <v>0.42180626551349998</v>
      </c>
      <c r="AW21" s="1" t="s">
        <v>26</v>
      </c>
      <c r="AX21" s="1" t="s">
        <v>26</v>
      </c>
      <c r="AY21" s="2">
        <v>9120808124.1800003</v>
      </c>
      <c r="AZ21" s="1">
        <v>0.47598815369099001</v>
      </c>
      <c r="BA21" s="1" t="s">
        <v>26</v>
      </c>
      <c r="BB21" s="1" t="s">
        <v>26</v>
      </c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 t="s">
        <v>26</v>
      </c>
      <c r="L22" s="10" t="s">
        <v>26</v>
      </c>
      <c r="M22" s="10" t="s">
        <v>26</v>
      </c>
      <c r="N22" s="10" t="s">
        <v>26</v>
      </c>
      <c r="O22" s="9" t="s">
        <v>26</v>
      </c>
      <c r="P22" s="10" t="s">
        <v>26</v>
      </c>
      <c r="Q22" s="10" t="s">
        <v>26</v>
      </c>
      <c r="R22" s="10" t="s">
        <v>26</v>
      </c>
      <c r="S22" s="9" t="s">
        <v>26</v>
      </c>
      <c r="T22" s="10" t="s">
        <v>26</v>
      </c>
      <c r="U22" s="10" t="s">
        <v>26</v>
      </c>
      <c r="V22" s="10" t="s">
        <v>26</v>
      </c>
      <c r="W22" s="9">
        <v>10025847.130000001</v>
      </c>
      <c r="X22" s="10">
        <v>1.57880419209E-3</v>
      </c>
      <c r="Y22" s="10">
        <v>0.15</v>
      </c>
      <c r="Z22" s="10">
        <v>0.1484</v>
      </c>
      <c r="AA22" s="9" t="s">
        <v>26</v>
      </c>
      <c r="AB22" s="10" t="s">
        <v>26</v>
      </c>
      <c r="AC22" s="10" t="s">
        <v>26</v>
      </c>
      <c r="AD22" s="10" t="s">
        <v>26</v>
      </c>
      <c r="AE22" s="9">
        <v>10025847.130000001</v>
      </c>
      <c r="AF22" s="10">
        <v>1.5339113820000002E-5</v>
      </c>
      <c r="AG22" s="10">
        <v>0.15</v>
      </c>
      <c r="AH22" s="10">
        <v>0.15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 t="s">
        <v>26</v>
      </c>
      <c r="AV22" s="10" t="s">
        <v>26</v>
      </c>
      <c r="AW22" s="10" t="s">
        <v>26</v>
      </c>
      <c r="AX22" s="10" t="s">
        <v>26</v>
      </c>
      <c r="AY22" s="9">
        <v>10025847.130000001</v>
      </c>
      <c r="AZ22" s="10">
        <v>1.35318667E-5</v>
      </c>
      <c r="BA22" s="10">
        <v>0.15</v>
      </c>
      <c r="BB22" s="10">
        <v>0.15</v>
      </c>
    </row>
    <row r="23" spans="1:55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10025847.130000001</v>
      </c>
      <c r="X23" s="1">
        <v>1</v>
      </c>
      <c r="Y23" s="1" t="s">
        <v>26</v>
      </c>
      <c r="Z23" s="1" t="s">
        <v>26</v>
      </c>
      <c r="AA23" s="2" t="s">
        <v>26</v>
      </c>
      <c r="AB23" s="1" t="s">
        <v>26</v>
      </c>
      <c r="AC23" s="1" t="s">
        <v>26</v>
      </c>
      <c r="AD23" s="1" t="s">
        <v>26</v>
      </c>
      <c r="AE23" s="2">
        <v>10025847.130000001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10025847.130000001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204085023.91999999</v>
      </c>
      <c r="D24" s="10">
        <v>3.1146626820110001E-2</v>
      </c>
      <c r="E24" s="10">
        <v>0.13500000000000001</v>
      </c>
      <c r="F24" s="10">
        <v>0.10390000000000001</v>
      </c>
      <c r="G24" s="9" t="s">
        <v>26</v>
      </c>
      <c r="H24" s="10" t="s">
        <v>26</v>
      </c>
      <c r="I24" s="10" t="s">
        <v>26</v>
      </c>
      <c r="J24" s="10" t="s">
        <v>26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204085023.91999999</v>
      </c>
      <c r="AF24" s="10">
        <v>3.1224128692999999E-4</v>
      </c>
      <c r="AG24" s="10">
        <v>0.13500000000000001</v>
      </c>
      <c r="AH24" s="10">
        <v>0.13469999999999999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204085023.91999999</v>
      </c>
      <c r="AZ24" s="10">
        <v>2.7545316653999999E-4</v>
      </c>
      <c r="BA24" s="10">
        <v>0.13500000000000001</v>
      </c>
      <c r="BB24" s="10">
        <v>0.13469999999999999</v>
      </c>
    </row>
    <row r="25" spans="1:55" customFormat="1">
      <c r="A25" s="3" t="s">
        <v>41</v>
      </c>
      <c r="B25" s="23" t="s">
        <v>44</v>
      </c>
      <c r="C25" s="2">
        <v>204085023.91999999</v>
      </c>
      <c r="D25" s="1">
        <v>1</v>
      </c>
      <c r="E25" s="1" t="s">
        <v>26</v>
      </c>
      <c r="F25" s="1" t="s">
        <v>26</v>
      </c>
      <c r="G25" s="2" t="s">
        <v>26</v>
      </c>
      <c r="H25" s="1" t="s">
        <v>26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204085023.91999999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204085023.91999999</v>
      </c>
      <c r="AZ25" s="1">
        <v>1</v>
      </c>
      <c r="BA25" s="1" t="s">
        <v>26</v>
      </c>
      <c r="BB25" s="1" t="s">
        <v>26</v>
      </c>
    </row>
    <row r="26" spans="1:55" s="7" customFormat="1">
      <c r="A26" s="5" t="s">
        <v>45</v>
      </c>
      <c r="B26" s="20" t="s">
        <v>25</v>
      </c>
      <c r="C26" s="9">
        <v>20994878.199999999</v>
      </c>
      <c r="D26" s="10">
        <v>3.2041529744299998E-3</v>
      </c>
      <c r="E26" s="10">
        <v>0.13500000000000001</v>
      </c>
      <c r="F26" s="10">
        <v>0.1318</v>
      </c>
      <c r="G26" s="9">
        <v>1505331815.4000001</v>
      </c>
      <c r="H26" s="10">
        <v>9.7821747420299993E-3</v>
      </c>
      <c r="I26" s="10">
        <v>0.13500000000000001</v>
      </c>
      <c r="J26" s="10">
        <v>0.12520000000000001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1664891621</v>
      </c>
      <c r="P26" s="10">
        <v>7.27138379993E-3</v>
      </c>
      <c r="Q26" s="10">
        <v>0.13500000000000001</v>
      </c>
      <c r="R26" s="10">
        <v>0.12770000000000001</v>
      </c>
      <c r="S26" s="9">
        <v>835595518</v>
      </c>
      <c r="T26" s="10">
        <v>7.31675919084E-3</v>
      </c>
      <c r="U26" s="10">
        <v>0.13500000000000001</v>
      </c>
      <c r="V26" s="10">
        <v>0.12770000000000001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2791736097.4299998</v>
      </c>
      <c r="AB26" s="10">
        <v>1.985559401192E-2</v>
      </c>
      <c r="AC26" s="10">
        <v>0.05</v>
      </c>
      <c r="AD26" s="10">
        <v>3.0099999999999998E-2</v>
      </c>
      <c r="AE26" s="9">
        <v>6818549930.0299997</v>
      </c>
      <c r="AF26" s="10">
        <v>1.0432087393060001E-2</v>
      </c>
      <c r="AG26" s="10">
        <v>0.13739999999999999</v>
      </c>
      <c r="AH26" s="10">
        <v>0.127</v>
      </c>
      <c r="AI26" s="9">
        <v>662794246.44000006</v>
      </c>
      <c r="AJ26" s="10">
        <v>3.861874198332E-2</v>
      </c>
      <c r="AK26" s="10">
        <v>0.15</v>
      </c>
      <c r="AL26" s="10">
        <v>0.1114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>
        <v>662794246.44000006</v>
      </c>
      <c r="AR26" s="10">
        <v>1.613176090741E-2</v>
      </c>
      <c r="AS26" s="10">
        <v>0.15</v>
      </c>
      <c r="AT26" s="10">
        <v>0.13389999999999999</v>
      </c>
      <c r="AU26" s="9">
        <v>1091483710.5899999</v>
      </c>
      <c r="AV26" s="10">
        <v>2.3621633752450001E-2</v>
      </c>
      <c r="AW26" s="10">
        <v>0.13650000000000001</v>
      </c>
      <c r="AX26" s="10">
        <v>0.1129</v>
      </c>
      <c r="AY26" s="9">
        <v>8572827887.0600004</v>
      </c>
      <c r="AZ26" s="10">
        <v>1.1570729406400001E-2</v>
      </c>
      <c r="BA26" s="10">
        <v>0.13830000000000001</v>
      </c>
      <c r="BB26" s="10">
        <v>0.12670000000000001</v>
      </c>
    </row>
    <row r="27" spans="1:55" customFormat="1">
      <c r="A27" s="3" t="s">
        <v>39</v>
      </c>
      <c r="B27" s="23" t="s">
        <v>40</v>
      </c>
      <c r="C27" s="2">
        <v>20994878.199999999</v>
      </c>
      <c r="D27" s="1">
        <v>1</v>
      </c>
      <c r="E27" s="1" t="s">
        <v>26</v>
      </c>
      <c r="F27" s="1" t="s">
        <v>26</v>
      </c>
      <c r="G27" s="2">
        <v>1505331815.4000001</v>
      </c>
      <c r="H27" s="1">
        <v>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1664891621</v>
      </c>
      <c r="P27" s="1">
        <v>1</v>
      </c>
      <c r="Q27" s="1" t="s">
        <v>26</v>
      </c>
      <c r="R27" s="1" t="s">
        <v>26</v>
      </c>
      <c r="S27" s="2">
        <v>835595518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1683786059.8399999</v>
      </c>
      <c r="AB27" s="1">
        <v>0.60313224498190998</v>
      </c>
      <c r="AC27" s="1" t="s">
        <v>26</v>
      </c>
      <c r="AD27" s="1" t="s">
        <v>26</v>
      </c>
      <c r="AE27" s="2">
        <v>5710599892.4399996</v>
      </c>
      <c r="AF27" s="1">
        <v>0.83750943397651001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980458274.5</v>
      </c>
      <c r="AV27" s="1">
        <v>0.89828026290012997</v>
      </c>
      <c r="AW27" s="1" t="s">
        <v>26</v>
      </c>
      <c r="AX27" s="1" t="s">
        <v>26</v>
      </c>
      <c r="AY27" s="2">
        <v>6691058166.9399996</v>
      </c>
      <c r="AZ27" s="1">
        <v>0.78049603410791002</v>
      </c>
      <c r="BA27" s="1" t="s">
        <v>26</v>
      </c>
      <c r="BB27" s="1" t="s">
        <v>26</v>
      </c>
    </row>
    <row r="28" spans="1:55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1107950037.5899999</v>
      </c>
      <c r="AB28" s="1">
        <v>0.39686775501809002</v>
      </c>
      <c r="AC28" s="1" t="s">
        <v>26</v>
      </c>
      <c r="AD28" s="1" t="s">
        <v>26</v>
      </c>
      <c r="AE28" s="2">
        <v>1107950037.5899999</v>
      </c>
      <c r="AF28" s="1">
        <v>0.16249056602348999</v>
      </c>
      <c r="AG28" s="1" t="s">
        <v>26</v>
      </c>
      <c r="AH28" s="1" t="s">
        <v>26</v>
      </c>
      <c r="AI28" s="2">
        <v>662794246.44000006</v>
      </c>
      <c r="AJ28" s="1">
        <v>1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>
        <v>662794246.44000006</v>
      </c>
      <c r="AR28" s="1">
        <v>1</v>
      </c>
      <c r="AS28" s="1" t="s">
        <v>26</v>
      </c>
      <c r="AT28" s="1" t="s">
        <v>26</v>
      </c>
      <c r="AU28" s="2">
        <v>111025436.09</v>
      </c>
      <c r="AV28" s="1">
        <v>0.10171973709987001</v>
      </c>
      <c r="AW28" s="1" t="s">
        <v>26</v>
      </c>
      <c r="AX28" s="1" t="s">
        <v>26</v>
      </c>
      <c r="AY28" s="2">
        <v>1881769720.1199999</v>
      </c>
      <c r="AZ28" s="1">
        <v>0.21950396589209001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>
        <v>32500000</v>
      </c>
      <c r="D29" s="10">
        <v>4.9600178994500003E-3</v>
      </c>
      <c r="E29" s="10">
        <v>0.09</v>
      </c>
      <c r="F29" s="10">
        <v>8.5000000000000006E-2</v>
      </c>
      <c r="G29" s="9">
        <v>39500000</v>
      </c>
      <c r="H29" s="10">
        <v>2.5668487064000001E-4</v>
      </c>
      <c r="I29" s="10">
        <v>0.09</v>
      </c>
      <c r="J29" s="10">
        <v>8.9700000000000002E-2</v>
      </c>
      <c r="K29" s="9" t="s">
        <v>26</v>
      </c>
      <c r="L29" s="10" t="s">
        <v>26</v>
      </c>
      <c r="M29" s="10" t="s">
        <v>26</v>
      </c>
      <c r="N29" s="10" t="s">
        <v>26</v>
      </c>
      <c r="O29" s="9" t="s">
        <v>26</v>
      </c>
      <c r="P29" s="10" t="s">
        <v>26</v>
      </c>
      <c r="Q29" s="10" t="s">
        <v>26</v>
      </c>
      <c r="R29" s="10" t="s">
        <v>26</v>
      </c>
      <c r="S29" s="9">
        <v>43200099.409999996</v>
      </c>
      <c r="T29" s="10">
        <v>3.7827479635E-4</v>
      </c>
      <c r="U29" s="10">
        <v>0.109</v>
      </c>
      <c r="V29" s="10">
        <v>0.1086</v>
      </c>
      <c r="W29" s="9" t="s">
        <v>26</v>
      </c>
      <c r="X29" s="10" t="s">
        <v>26</v>
      </c>
      <c r="Y29" s="10" t="s">
        <v>26</v>
      </c>
      <c r="Z29" s="10" t="s">
        <v>26</v>
      </c>
      <c r="AA29" s="9">
        <v>35000000</v>
      </c>
      <c r="AB29" s="10">
        <v>2.4892961446000003E-4</v>
      </c>
      <c r="AC29" s="10">
        <v>0.09</v>
      </c>
      <c r="AD29" s="10">
        <v>8.9800000000000005E-2</v>
      </c>
      <c r="AE29" s="9">
        <v>150200099.41</v>
      </c>
      <c r="AF29" s="10">
        <v>2.2979967581999999E-4</v>
      </c>
      <c r="AG29" s="10">
        <v>9.5500000000000002E-2</v>
      </c>
      <c r="AH29" s="10">
        <v>9.5299999999999996E-2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188213390.59999999</v>
      </c>
      <c r="AN29" s="10">
        <v>7.8672062013500008E-3</v>
      </c>
      <c r="AO29" s="10">
        <v>0.13500000000000001</v>
      </c>
      <c r="AP29" s="10">
        <v>0.12709999999999999</v>
      </c>
      <c r="AQ29" s="9">
        <v>188213390.59999999</v>
      </c>
      <c r="AR29" s="10">
        <v>4.58092904855E-3</v>
      </c>
      <c r="AS29" s="10">
        <v>0.13500000000000001</v>
      </c>
      <c r="AT29" s="10">
        <v>0.13039999999999999</v>
      </c>
      <c r="AU29" s="9" t="s">
        <v>26</v>
      </c>
      <c r="AV29" s="10" t="s">
        <v>26</v>
      </c>
      <c r="AW29" s="10" t="s">
        <v>26</v>
      </c>
      <c r="AX29" s="10" t="s">
        <v>26</v>
      </c>
      <c r="AY29" s="9">
        <v>338413490.00999999</v>
      </c>
      <c r="AZ29" s="10">
        <v>4.5675604036000001E-4</v>
      </c>
      <c r="BA29" s="10">
        <v>0.1174</v>
      </c>
      <c r="BB29" s="10">
        <v>0.1169</v>
      </c>
    </row>
    <row r="30" spans="1:55" customFormat="1">
      <c r="A30" s="3" t="s">
        <v>39</v>
      </c>
      <c r="B30" s="23" t="s">
        <v>47</v>
      </c>
      <c r="C30" s="2">
        <v>32500000</v>
      </c>
      <c r="D30" s="1">
        <v>1</v>
      </c>
      <c r="E30" s="1" t="s">
        <v>26</v>
      </c>
      <c r="F30" s="1" t="s">
        <v>26</v>
      </c>
      <c r="G30" s="2">
        <v>39500000</v>
      </c>
      <c r="H30" s="1">
        <v>1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25000000</v>
      </c>
      <c r="T30" s="1">
        <v>0.57870237201844998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>
        <v>35000000</v>
      </c>
      <c r="AB30" s="1">
        <v>1</v>
      </c>
      <c r="AC30" s="1" t="s">
        <v>26</v>
      </c>
      <c r="AD30" s="1" t="s">
        <v>26</v>
      </c>
      <c r="AE30" s="2">
        <v>132000000</v>
      </c>
      <c r="AF30" s="1">
        <v>0.87882764737511998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 t="s">
        <v>26</v>
      </c>
      <c r="AN30" s="1" t="s">
        <v>26</v>
      </c>
      <c r="AO30" s="1" t="s">
        <v>26</v>
      </c>
      <c r="AP30" s="1" t="s">
        <v>26</v>
      </c>
      <c r="AQ30" s="2" t="s">
        <v>26</v>
      </c>
      <c r="AR30" s="1" t="s">
        <v>26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132000000</v>
      </c>
      <c r="AZ30" s="1">
        <v>0.39005537278108998</v>
      </c>
      <c r="BA30" s="1" t="s">
        <v>26</v>
      </c>
      <c r="BB30" s="1" t="s">
        <v>26</v>
      </c>
    </row>
    <row r="31" spans="1:55" customFormat="1">
      <c r="A31" s="3" t="s">
        <v>41</v>
      </c>
      <c r="B31" s="23" t="s">
        <v>44</v>
      </c>
      <c r="C31" s="2" t="s">
        <v>26</v>
      </c>
      <c r="D31" s="1" t="s">
        <v>26</v>
      </c>
      <c r="E31" s="1" t="s">
        <v>26</v>
      </c>
      <c r="F31" s="1" t="s">
        <v>26</v>
      </c>
      <c r="G31" s="2" t="s">
        <v>26</v>
      </c>
      <c r="H31" s="1" t="s">
        <v>26</v>
      </c>
      <c r="I31" s="1" t="s">
        <v>26</v>
      </c>
      <c r="J31" s="1" t="s">
        <v>26</v>
      </c>
      <c r="K31" s="2" t="s">
        <v>26</v>
      </c>
      <c r="L31" s="1" t="s">
        <v>26</v>
      </c>
      <c r="M31" s="1" t="s">
        <v>26</v>
      </c>
      <c r="N31" s="1" t="s">
        <v>26</v>
      </c>
      <c r="O31" s="2" t="s">
        <v>26</v>
      </c>
      <c r="P31" s="1" t="s">
        <v>26</v>
      </c>
      <c r="Q31" s="1" t="s">
        <v>26</v>
      </c>
      <c r="R31" s="1" t="s">
        <v>26</v>
      </c>
      <c r="S31" s="2">
        <v>18200099.41</v>
      </c>
      <c r="T31" s="1">
        <v>0.42129762798155002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2">
        <v>18200099.41</v>
      </c>
      <c r="AF31" s="1">
        <v>0.12117235262488001</v>
      </c>
      <c r="AG31" s="1" t="s">
        <v>26</v>
      </c>
      <c r="AH31" s="1" t="s">
        <v>26</v>
      </c>
      <c r="AI31" s="2" t="s">
        <v>26</v>
      </c>
      <c r="AJ31" s="1" t="s">
        <v>26</v>
      </c>
      <c r="AK31" s="1" t="s">
        <v>26</v>
      </c>
      <c r="AL31" s="1" t="s">
        <v>26</v>
      </c>
      <c r="AM31" s="2">
        <v>188213390.59999999</v>
      </c>
      <c r="AN31" s="1">
        <v>1</v>
      </c>
      <c r="AO31" s="1" t="s">
        <v>26</v>
      </c>
      <c r="AP31" s="1" t="s">
        <v>26</v>
      </c>
      <c r="AQ31" s="2">
        <v>188213390.59999999</v>
      </c>
      <c r="AR31" s="1">
        <v>1</v>
      </c>
      <c r="AS31" s="1" t="s">
        <v>26</v>
      </c>
      <c r="AT31" s="1" t="s">
        <v>26</v>
      </c>
      <c r="AU31" s="2" t="s">
        <v>26</v>
      </c>
      <c r="AV31" s="1" t="s">
        <v>26</v>
      </c>
      <c r="AW31" s="1" t="s">
        <v>26</v>
      </c>
      <c r="AX31" s="1" t="s">
        <v>26</v>
      </c>
      <c r="AY31" s="2">
        <v>206413490.00999999</v>
      </c>
      <c r="AZ31" s="1">
        <v>0.60994462721890996</v>
      </c>
      <c r="BA31" s="1" t="s">
        <v>26</v>
      </c>
      <c r="BB31" s="1" t="s">
        <v>26</v>
      </c>
    </row>
    <row r="32" spans="1:55" s="7" customFormat="1">
      <c r="A32" s="5" t="s">
        <v>48</v>
      </c>
      <c r="B32" s="20" t="s">
        <v>25</v>
      </c>
      <c r="C32" s="9" t="s">
        <v>26</v>
      </c>
      <c r="D32" s="10" t="s">
        <v>26</v>
      </c>
      <c r="E32" s="10" t="s">
        <v>26</v>
      </c>
      <c r="F32" s="10" t="s">
        <v>26</v>
      </c>
      <c r="G32" s="9" t="s">
        <v>26</v>
      </c>
      <c r="H32" s="10" t="s">
        <v>26</v>
      </c>
      <c r="I32" s="10" t="s">
        <v>26</v>
      </c>
      <c r="J32" s="10" t="s">
        <v>26</v>
      </c>
      <c r="K32" s="9">
        <v>57837078.090000004</v>
      </c>
      <c r="L32" s="10">
        <v>1.8928937582829999E-2</v>
      </c>
      <c r="M32" s="10">
        <v>0.13500000000000001</v>
      </c>
      <c r="N32" s="10">
        <v>0.11609999999999999</v>
      </c>
      <c r="O32" s="9" t="s">
        <v>26</v>
      </c>
      <c r="P32" s="10" t="s">
        <v>26</v>
      </c>
      <c r="Q32" s="10" t="s">
        <v>26</v>
      </c>
      <c r="R32" s="10" t="s">
        <v>26</v>
      </c>
      <c r="S32" s="9" t="s">
        <v>26</v>
      </c>
      <c r="T32" s="10" t="s">
        <v>26</v>
      </c>
      <c r="U32" s="10" t="s">
        <v>26</v>
      </c>
      <c r="V32" s="10" t="s">
        <v>26</v>
      </c>
      <c r="W32" s="9" t="s">
        <v>26</v>
      </c>
      <c r="X32" s="10" t="s">
        <v>26</v>
      </c>
      <c r="Y32" s="10" t="s">
        <v>26</v>
      </c>
      <c r="Z32" s="10" t="s">
        <v>26</v>
      </c>
      <c r="AA32" s="9" t="s">
        <v>26</v>
      </c>
      <c r="AB32" s="10" t="s">
        <v>26</v>
      </c>
      <c r="AC32" s="10" t="s">
        <v>26</v>
      </c>
      <c r="AD32" s="10" t="s">
        <v>26</v>
      </c>
      <c r="AE32" s="9">
        <v>57837078.090000004</v>
      </c>
      <c r="AF32" s="10">
        <v>8.8488235679999995E-5</v>
      </c>
      <c r="AG32" s="10">
        <v>0.13500000000000001</v>
      </c>
      <c r="AH32" s="10">
        <v>0.13489999999999999</v>
      </c>
      <c r="AI32" s="9">
        <v>4556959.9400000004</v>
      </c>
      <c r="AJ32" s="10">
        <v>2.6551838839000003E-4</v>
      </c>
      <c r="AK32" s="10">
        <v>0.13500000000000001</v>
      </c>
      <c r="AL32" s="10">
        <v>0.13469999999999999</v>
      </c>
      <c r="AM32" s="9" t="s">
        <v>26</v>
      </c>
      <c r="AN32" s="10" t="s">
        <v>26</v>
      </c>
      <c r="AO32" s="10" t="s">
        <v>26</v>
      </c>
      <c r="AP32" s="10" t="s">
        <v>26</v>
      </c>
      <c r="AQ32" s="9">
        <v>4556959.9400000004</v>
      </c>
      <c r="AR32" s="10">
        <v>1.1091192872E-4</v>
      </c>
      <c r="AS32" s="10">
        <v>0.13500000000000001</v>
      </c>
      <c r="AT32" s="10">
        <v>0.13489999999999999</v>
      </c>
      <c r="AU32" s="9" t="s">
        <v>26</v>
      </c>
      <c r="AV32" s="10" t="s">
        <v>26</v>
      </c>
      <c r="AW32" s="10" t="s">
        <v>26</v>
      </c>
      <c r="AX32" s="10" t="s">
        <v>26</v>
      </c>
      <c r="AY32" s="9">
        <v>62394038.030000001</v>
      </c>
      <c r="AZ32" s="10">
        <v>8.4213113820000003E-5</v>
      </c>
      <c r="BA32" s="10">
        <v>0.13500000000000001</v>
      </c>
      <c r="BB32" s="10">
        <v>0.13489999999999999</v>
      </c>
    </row>
    <row r="33" spans="1:54" customFormat="1">
      <c r="A33" s="3" t="s">
        <v>41</v>
      </c>
      <c r="B33" s="23" t="s">
        <v>44</v>
      </c>
      <c r="C33" s="2" t="s">
        <v>26</v>
      </c>
      <c r="D33" s="1" t="s">
        <v>26</v>
      </c>
      <c r="E33" s="1" t="s">
        <v>26</v>
      </c>
      <c r="F33" s="1" t="s">
        <v>26</v>
      </c>
      <c r="G33" s="2" t="s">
        <v>26</v>
      </c>
      <c r="H33" s="1" t="s">
        <v>26</v>
      </c>
      <c r="I33" s="1" t="s">
        <v>26</v>
      </c>
      <c r="J33" s="1" t="s">
        <v>26</v>
      </c>
      <c r="K33" s="2">
        <v>57837078.090000004</v>
      </c>
      <c r="L33" s="1">
        <v>1</v>
      </c>
      <c r="M33" s="1" t="s">
        <v>26</v>
      </c>
      <c r="N33" s="1" t="s">
        <v>26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2" t="s">
        <v>26</v>
      </c>
      <c r="AB33" s="1" t="s">
        <v>26</v>
      </c>
      <c r="AC33" s="1" t="s">
        <v>26</v>
      </c>
      <c r="AD33" s="1" t="s">
        <v>26</v>
      </c>
      <c r="AE33" s="2">
        <v>57837078.090000004</v>
      </c>
      <c r="AF33" s="1">
        <v>1</v>
      </c>
      <c r="AG33" s="1" t="s">
        <v>26</v>
      </c>
      <c r="AH33" s="1" t="s">
        <v>26</v>
      </c>
      <c r="AI33" s="2">
        <v>4556959.9400000004</v>
      </c>
      <c r="AJ33" s="1">
        <v>1</v>
      </c>
      <c r="AK33" s="1" t="s">
        <v>26</v>
      </c>
      <c r="AL33" s="1" t="s">
        <v>26</v>
      </c>
      <c r="AM33" s="2" t="s">
        <v>26</v>
      </c>
      <c r="AN33" s="1" t="s">
        <v>26</v>
      </c>
      <c r="AO33" s="1" t="s">
        <v>26</v>
      </c>
      <c r="AP33" s="1" t="s">
        <v>26</v>
      </c>
      <c r="AQ33" s="2">
        <v>4556959.9400000004</v>
      </c>
      <c r="AR33" s="1">
        <v>1</v>
      </c>
      <c r="AS33" s="1" t="s">
        <v>26</v>
      </c>
      <c r="AT33" s="1" t="s">
        <v>26</v>
      </c>
      <c r="AU33" s="2" t="s">
        <v>26</v>
      </c>
      <c r="AV33" s="1" t="s">
        <v>26</v>
      </c>
      <c r="AW33" s="1" t="s">
        <v>26</v>
      </c>
      <c r="AX33" s="1" t="s">
        <v>26</v>
      </c>
      <c r="AY33" s="2">
        <v>62394038.030000001</v>
      </c>
      <c r="AZ33" s="1">
        <v>1</v>
      </c>
      <c r="BA33" s="1" t="s">
        <v>26</v>
      </c>
      <c r="BB33" s="1" t="s">
        <v>26</v>
      </c>
    </row>
    <row r="34" spans="1:54" s="7" customFormat="1">
      <c r="A34" s="5" t="s">
        <v>49</v>
      </c>
      <c r="B34" s="20" t="s">
        <v>25</v>
      </c>
      <c r="C34" s="9" t="s">
        <v>26</v>
      </c>
      <c r="D34" s="10" t="s">
        <v>26</v>
      </c>
      <c r="E34" s="10" t="s">
        <v>26</v>
      </c>
      <c r="F34" s="10" t="s">
        <v>26</v>
      </c>
      <c r="G34" s="9" t="s">
        <v>26</v>
      </c>
      <c r="H34" s="10" t="s">
        <v>26</v>
      </c>
      <c r="I34" s="10" t="s">
        <v>26</v>
      </c>
      <c r="J34" s="10" t="s">
        <v>26</v>
      </c>
      <c r="K34" s="9">
        <v>96297216.370000005</v>
      </c>
      <c r="L34" s="10">
        <v>3.1516184051199998E-2</v>
      </c>
      <c r="M34" s="10">
        <v>0.13500000000000001</v>
      </c>
      <c r="N34" s="10">
        <v>0.10349999999999999</v>
      </c>
      <c r="O34" s="9" t="s">
        <v>26</v>
      </c>
      <c r="P34" s="10" t="s">
        <v>26</v>
      </c>
      <c r="Q34" s="10" t="s">
        <v>26</v>
      </c>
      <c r="R34" s="10" t="s">
        <v>26</v>
      </c>
      <c r="S34" s="9" t="s">
        <v>26</v>
      </c>
      <c r="T34" s="10" t="s">
        <v>26</v>
      </c>
      <c r="U34" s="10" t="s">
        <v>26</v>
      </c>
      <c r="V34" s="10" t="s">
        <v>26</v>
      </c>
      <c r="W34" s="9" t="s">
        <v>26</v>
      </c>
      <c r="X34" s="10" t="s">
        <v>26</v>
      </c>
      <c r="Y34" s="10" t="s">
        <v>26</v>
      </c>
      <c r="Z34" s="10" t="s">
        <v>26</v>
      </c>
      <c r="AA34" s="9" t="s">
        <v>26</v>
      </c>
      <c r="AB34" s="10" t="s">
        <v>26</v>
      </c>
      <c r="AC34" s="10" t="s">
        <v>26</v>
      </c>
      <c r="AD34" s="10" t="s">
        <v>26</v>
      </c>
      <c r="AE34" s="9">
        <v>96297216.370000005</v>
      </c>
      <c r="AF34" s="10">
        <v>1.4733058894E-4</v>
      </c>
      <c r="AG34" s="10">
        <v>0.13500000000000001</v>
      </c>
      <c r="AH34" s="10">
        <v>0.13489999999999999</v>
      </c>
      <c r="AI34" s="9">
        <v>48756377.100000001</v>
      </c>
      <c r="AJ34" s="10">
        <v>2.8408664640299998E-3</v>
      </c>
      <c r="AK34" s="10">
        <v>0.13500000000000001</v>
      </c>
      <c r="AL34" s="10">
        <v>0.13220000000000001</v>
      </c>
      <c r="AM34" s="9" t="s">
        <v>26</v>
      </c>
      <c r="AN34" s="10" t="s">
        <v>26</v>
      </c>
      <c r="AO34" s="10" t="s">
        <v>26</v>
      </c>
      <c r="AP34" s="10" t="s">
        <v>26</v>
      </c>
      <c r="AQ34" s="9">
        <v>48756377.100000001</v>
      </c>
      <c r="AR34" s="10">
        <v>1.1866823261E-3</v>
      </c>
      <c r="AS34" s="10">
        <v>0.13500000000000001</v>
      </c>
      <c r="AT34" s="10">
        <v>0.1338</v>
      </c>
      <c r="AU34" s="9" t="s">
        <v>26</v>
      </c>
      <c r="AV34" s="10" t="s">
        <v>26</v>
      </c>
      <c r="AW34" s="10" t="s">
        <v>26</v>
      </c>
      <c r="AX34" s="10" t="s">
        <v>26</v>
      </c>
      <c r="AY34" s="9">
        <v>145053593.47</v>
      </c>
      <c r="AZ34" s="10">
        <v>1.9577855774000001E-4</v>
      </c>
      <c r="BA34" s="10">
        <v>0.13500000000000001</v>
      </c>
      <c r="BB34" s="10">
        <v>0.1348</v>
      </c>
    </row>
    <row r="35" spans="1:54" customFormat="1">
      <c r="A35" s="3" t="s">
        <v>41</v>
      </c>
      <c r="B35" s="23" t="s">
        <v>44</v>
      </c>
      <c r="C35" s="2" t="s">
        <v>26</v>
      </c>
      <c r="D35" s="1" t="s">
        <v>26</v>
      </c>
      <c r="E35" s="1" t="s">
        <v>26</v>
      </c>
      <c r="F35" s="1" t="s">
        <v>26</v>
      </c>
      <c r="G35" s="2" t="s">
        <v>26</v>
      </c>
      <c r="H35" s="1" t="s">
        <v>26</v>
      </c>
      <c r="I35" s="1" t="s">
        <v>26</v>
      </c>
      <c r="J35" s="1" t="s">
        <v>26</v>
      </c>
      <c r="K35" s="2">
        <v>96297216.370000005</v>
      </c>
      <c r="L35" s="1">
        <v>1</v>
      </c>
      <c r="M35" s="1" t="s">
        <v>26</v>
      </c>
      <c r="N35" s="1" t="s">
        <v>26</v>
      </c>
      <c r="O35" s="2" t="s">
        <v>26</v>
      </c>
      <c r="P35" s="1" t="s">
        <v>26</v>
      </c>
      <c r="Q35" s="1" t="s">
        <v>26</v>
      </c>
      <c r="R35" s="1" t="s">
        <v>26</v>
      </c>
      <c r="S35" s="2" t="s">
        <v>26</v>
      </c>
      <c r="T35" s="1" t="s">
        <v>26</v>
      </c>
      <c r="U35" s="1" t="s">
        <v>26</v>
      </c>
      <c r="V35" s="1" t="s">
        <v>26</v>
      </c>
      <c r="W35" s="2" t="s">
        <v>26</v>
      </c>
      <c r="X35" s="1" t="s">
        <v>26</v>
      </c>
      <c r="Y35" s="1" t="s">
        <v>26</v>
      </c>
      <c r="Z35" s="1" t="s">
        <v>26</v>
      </c>
      <c r="AA35" s="2" t="s">
        <v>26</v>
      </c>
      <c r="AB35" s="1" t="s">
        <v>26</v>
      </c>
      <c r="AC35" s="1" t="s">
        <v>26</v>
      </c>
      <c r="AD35" s="1" t="s">
        <v>26</v>
      </c>
      <c r="AE35" s="2">
        <v>96297216.370000005</v>
      </c>
      <c r="AF35" s="1">
        <v>1</v>
      </c>
      <c r="AG35" s="1" t="s">
        <v>26</v>
      </c>
      <c r="AH35" s="1" t="s">
        <v>26</v>
      </c>
      <c r="AI35" s="2">
        <v>48756377.100000001</v>
      </c>
      <c r="AJ35" s="1">
        <v>1</v>
      </c>
      <c r="AK35" s="1" t="s">
        <v>26</v>
      </c>
      <c r="AL35" s="1" t="s">
        <v>26</v>
      </c>
      <c r="AM35" s="2" t="s">
        <v>26</v>
      </c>
      <c r="AN35" s="1" t="s">
        <v>26</v>
      </c>
      <c r="AO35" s="1" t="s">
        <v>26</v>
      </c>
      <c r="AP35" s="1" t="s">
        <v>26</v>
      </c>
      <c r="AQ35" s="2">
        <v>48756377.100000001</v>
      </c>
      <c r="AR35" s="1">
        <v>1</v>
      </c>
      <c r="AS35" s="1" t="s">
        <v>26</v>
      </c>
      <c r="AT35" s="1" t="s">
        <v>26</v>
      </c>
      <c r="AU35" s="2" t="s">
        <v>26</v>
      </c>
      <c r="AV35" s="1" t="s">
        <v>26</v>
      </c>
      <c r="AW35" s="1" t="s">
        <v>26</v>
      </c>
      <c r="AX35" s="1" t="s">
        <v>26</v>
      </c>
      <c r="AY35" s="2">
        <v>145053593.47</v>
      </c>
      <c r="AZ35" s="1">
        <v>1</v>
      </c>
      <c r="BA35" s="1" t="s">
        <v>26</v>
      </c>
      <c r="BB35" s="1" t="s">
        <v>26</v>
      </c>
    </row>
    <row r="36" spans="1:54" s="7" customFormat="1">
      <c r="A36" s="5" t="s">
        <v>50</v>
      </c>
      <c r="B36" s="20" t="s">
        <v>25</v>
      </c>
      <c r="C36" s="9">
        <v>8964734.1699999999</v>
      </c>
      <c r="D36" s="10">
        <v>1.3681612906799999E-3</v>
      </c>
      <c r="E36" s="10">
        <v>0.13500000000000001</v>
      </c>
      <c r="F36" s="10">
        <v>0.1336</v>
      </c>
      <c r="G36" s="9">
        <v>572296739.84000003</v>
      </c>
      <c r="H36" s="10">
        <v>3.7189851806400001E-3</v>
      </c>
      <c r="I36" s="10">
        <v>0.09</v>
      </c>
      <c r="J36" s="10">
        <v>8.6300000000000002E-2</v>
      </c>
      <c r="K36" s="9" t="s">
        <v>26</v>
      </c>
      <c r="L36" s="10" t="s">
        <v>26</v>
      </c>
      <c r="M36" s="10" t="s">
        <v>26</v>
      </c>
      <c r="N36" s="10" t="s">
        <v>26</v>
      </c>
      <c r="O36" s="9">
        <v>1824843138.6099999</v>
      </c>
      <c r="P36" s="10">
        <v>7.9699691368099995E-3</v>
      </c>
      <c r="Q36" s="10">
        <v>0.1211</v>
      </c>
      <c r="R36" s="10">
        <v>0.11310000000000001</v>
      </c>
      <c r="S36" s="9">
        <v>313828628.76999998</v>
      </c>
      <c r="T36" s="10">
        <v>2.7479904504499999E-3</v>
      </c>
      <c r="U36" s="10">
        <v>9.1200000000000003E-2</v>
      </c>
      <c r="V36" s="10">
        <v>8.8499999999999995E-2</v>
      </c>
      <c r="W36" s="9" t="s">
        <v>26</v>
      </c>
      <c r="X36" s="10" t="s">
        <v>26</v>
      </c>
      <c r="Y36" s="10" t="s">
        <v>26</v>
      </c>
      <c r="Z36" s="10" t="s">
        <v>26</v>
      </c>
      <c r="AA36" s="9">
        <v>713551069.85000002</v>
      </c>
      <c r="AB36" s="10">
        <v>5.0749712205100002E-3</v>
      </c>
      <c r="AC36" s="10">
        <v>9.9500000000000005E-2</v>
      </c>
      <c r="AD36" s="10">
        <v>9.4399999999999998E-2</v>
      </c>
      <c r="AE36" s="9">
        <v>3433484311.2399998</v>
      </c>
      <c r="AF36" s="10">
        <v>5.2530829524000001E-3</v>
      </c>
      <c r="AG36" s="10">
        <v>0.1087</v>
      </c>
      <c r="AH36" s="10">
        <v>0.10340000000000001</v>
      </c>
      <c r="AI36" s="9">
        <v>616263964.25999999</v>
      </c>
      <c r="AJ36" s="10">
        <v>3.5907582416719999E-2</v>
      </c>
      <c r="AK36" s="10">
        <v>0.13120000000000001</v>
      </c>
      <c r="AL36" s="10">
        <v>9.5299999999999996E-2</v>
      </c>
      <c r="AM36" s="9">
        <v>731818279.85000002</v>
      </c>
      <c r="AN36" s="10">
        <v>3.058956268278E-2</v>
      </c>
      <c r="AO36" s="10">
        <v>0.13500000000000001</v>
      </c>
      <c r="AP36" s="10">
        <v>0.10440000000000001</v>
      </c>
      <c r="AQ36" s="9">
        <v>1348082244.1099999</v>
      </c>
      <c r="AR36" s="10">
        <v>3.2810997624550003E-2</v>
      </c>
      <c r="AS36" s="10">
        <v>0.1333</v>
      </c>
      <c r="AT36" s="10">
        <v>0.10050000000000001</v>
      </c>
      <c r="AU36" s="9">
        <v>375128778.68000001</v>
      </c>
      <c r="AV36" s="10">
        <v>8.1184487995600001E-3</v>
      </c>
      <c r="AW36" s="10">
        <v>0.13500000000000001</v>
      </c>
      <c r="AX36" s="10">
        <v>0.12690000000000001</v>
      </c>
      <c r="AY36" s="9">
        <v>5156695334.0299997</v>
      </c>
      <c r="AZ36" s="10">
        <v>6.9599818318199997E-3</v>
      </c>
      <c r="BA36" s="10">
        <v>0.1171</v>
      </c>
      <c r="BB36" s="10">
        <v>0.1101</v>
      </c>
    </row>
    <row r="37" spans="1:54" customFormat="1">
      <c r="A37" s="3" t="s">
        <v>39</v>
      </c>
      <c r="B37" s="23" t="s">
        <v>47</v>
      </c>
      <c r="C37" s="2" t="s">
        <v>26</v>
      </c>
      <c r="D37" s="1" t="s">
        <v>26</v>
      </c>
      <c r="E37" s="1" t="s">
        <v>26</v>
      </c>
      <c r="F37" s="1" t="s">
        <v>26</v>
      </c>
      <c r="G37" s="2">
        <v>572296739.84000003</v>
      </c>
      <c r="H37" s="1">
        <v>1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563244483.10000002</v>
      </c>
      <c r="P37" s="1">
        <v>0.30865364325452999</v>
      </c>
      <c r="Q37" s="1" t="s">
        <v>26</v>
      </c>
      <c r="R37" s="1" t="s">
        <v>26</v>
      </c>
      <c r="S37" s="2">
        <v>305697180</v>
      </c>
      <c r="T37" s="1">
        <v>0.97408952522314995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563244483.10000002</v>
      </c>
      <c r="AB37" s="1">
        <v>0.78935412880595002</v>
      </c>
      <c r="AC37" s="1" t="s">
        <v>26</v>
      </c>
      <c r="AD37" s="1" t="s">
        <v>26</v>
      </c>
      <c r="AE37" s="2">
        <v>2004482886.04</v>
      </c>
      <c r="AF37" s="1">
        <v>0.58380429451157001</v>
      </c>
      <c r="AG37" s="1" t="s">
        <v>26</v>
      </c>
      <c r="AH37" s="1" t="s">
        <v>26</v>
      </c>
      <c r="AI37" s="2">
        <v>51944601</v>
      </c>
      <c r="AJ37" s="1">
        <v>8.4289531779409996E-2</v>
      </c>
      <c r="AK37" s="1" t="s">
        <v>26</v>
      </c>
      <c r="AL37" s="1" t="s">
        <v>26</v>
      </c>
      <c r="AM37" s="2" t="s">
        <v>26</v>
      </c>
      <c r="AN37" s="1" t="s">
        <v>26</v>
      </c>
      <c r="AO37" s="1" t="s">
        <v>26</v>
      </c>
      <c r="AP37" s="1" t="s">
        <v>26</v>
      </c>
      <c r="AQ37" s="2">
        <v>51944601</v>
      </c>
      <c r="AR37" s="1">
        <v>3.8532219548880003E-2</v>
      </c>
      <c r="AS37" s="1" t="s">
        <v>26</v>
      </c>
      <c r="AT37" s="1" t="s">
        <v>26</v>
      </c>
      <c r="AU37" s="2" t="s">
        <v>26</v>
      </c>
      <c r="AV37" s="1" t="s">
        <v>26</v>
      </c>
      <c r="AW37" s="1" t="s">
        <v>26</v>
      </c>
      <c r="AX37" s="1" t="s">
        <v>26</v>
      </c>
      <c r="AY37" s="2">
        <v>2056427487.04</v>
      </c>
      <c r="AZ37" s="1">
        <v>0.39878785808214001</v>
      </c>
      <c r="BA37" s="1" t="s">
        <v>26</v>
      </c>
      <c r="BB37" s="1" t="s">
        <v>26</v>
      </c>
    </row>
    <row r="38" spans="1:54" customFormat="1">
      <c r="A38" s="3" t="s">
        <v>41</v>
      </c>
      <c r="B38" s="23" t="s">
        <v>44</v>
      </c>
      <c r="C38" s="2">
        <v>8964734.1699999999</v>
      </c>
      <c r="D38" s="1">
        <v>1</v>
      </c>
      <c r="E38" s="1" t="s">
        <v>26</v>
      </c>
      <c r="F38" s="1" t="s">
        <v>26</v>
      </c>
      <c r="G38" s="2" t="s">
        <v>26</v>
      </c>
      <c r="H38" s="1" t="s">
        <v>26</v>
      </c>
      <c r="I38" s="1" t="s">
        <v>26</v>
      </c>
      <c r="J38" s="1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2">
        <v>1261598655.51</v>
      </c>
      <c r="P38" s="1">
        <v>0.69134635674546996</v>
      </c>
      <c r="Q38" s="1" t="s">
        <v>26</v>
      </c>
      <c r="R38" s="1" t="s">
        <v>26</v>
      </c>
      <c r="S38" s="2">
        <v>8131448.7699999996</v>
      </c>
      <c r="T38" s="1">
        <v>2.591047477685E-2</v>
      </c>
      <c r="U38" s="1" t="s">
        <v>26</v>
      </c>
      <c r="V38" s="1" t="s">
        <v>26</v>
      </c>
      <c r="W38" s="2" t="s">
        <v>26</v>
      </c>
      <c r="X38" s="1" t="s">
        <v>26</v>
      </c>
      <c r="Y38" s="1" t="s">
        <v>26</v>
      </c>
      <c r="Z38" s="1" t="s">
        <v>26</v>
      </c>
      <c r="AA38" s="2">
        <v>150306586.75</v>
      </c>
      <c r="AB38" s="1">
        <v>0.21064587119405001</v>
      </c>
      <c r="AC38" s="1" t="s">
        <v>26</v>
      </c>
      <c r="AD38" s="1" t="s">
        <v>26</v>
      </c>
      <c r="AE38" s="2">
        <v>1429001425.2</v>
      </c>
      <c r="AF38" s="1">
        <v>0.41619570548842999</v>
      </c>
      <c r="AG38" s="1" t="s">
        <v>26</v>
      </c>
      <c r="AH38" s="1" t="s">
        <v>26</v>
      </c>
      <c r="AI38" s="2">
        <v>564319363.25999999</v>
      </c>
      <c r="AJ38" s="1">
        <v>0.91571046822058999</v>
      </c>
      <c r="AK38" s="1" t="s">
        <v>26</v>
      </c>
      <c r="AL38" s="1" t="s">
        <v>26</v>
      </c>
      <c r="AM38" s="2">
        <v>731818279.85000002</v>
      </c>
      <c r="AN38" s="1">
        <v>1</v>
      </c>
      <c r="AO38" s="1" t="s">
        <v>26</v>
      </c>
      <c r="AP38" s="1" t="s">
        <v>26</v>
      </c>
      <c r="AQ38" s="2">
        <v>1296137643.1099999</v>
      </c>
      <c r="AR38" s="1">
        <v>0.96146778045112002</v>
      </c>
      <c r="AS38" s="1" t="s">
        <v>26</v>
      </c>
      <c r="AT38" s="1" t="s">
        <v>26</v>
      </c>
      <c r="AU38" s="2">
        <v>375128778.68000001</v>
      </c>
      <c r="AV38" s="1">
        <v>1</v>
      </c>
      <c r="AW38" s="1" t="s">
        <v>26</v>
      </c>
      <c r="AX38" s="1" t="s">
        <v>26</v>
      </c>
      <c r="AY38" s="2">
        <v>3100267846.9899998</v>
      </c>
      <c r="AZ38" s="1">
        <v>0.60121214191785999</v>
      </c>
      <c r="BA38" s="1" t="s">
        <v>26</v>
      </c>
      <c r="BB38" s="1" t="s">
        <v>26</v>
      </c>
    </row>
    <row r="39" spans="1:54" s="7" customFormat="1">
      <c r="A39" s="5" t="s">
        <v>51</v>
      </c>
      <c r="B39" s="20" t="s">
        <v>25</v>
      </c>
      <c r="C39" s="9" t="s">
        <v>26</v>
      </c>
      <c r="D39" s="10" t="s">
        <v>26</v>
      </c>
      <c r="E39" s="10" t="s">
        <v>26</v>
      </c>
      <c r="F39" s="10" t="s">
        <v>26</v>
      </c>
      <c r="G39" s="9" t="s">
        <v>26</v>
      </c>
      <c r="H39" s="10" t="s">
        <v>26</v>
      </c>
      <c r="I39" s="10" t="s">
        <v>26</v>
      </c>
      <c r="J39" s="10" t="s">
        <v>26</v>
      </c>
      <c r="K39" s="9" t="s">
        <v>26</v>
      </c>
      <c r="L39" s="10" t="s">
        <v>26</v>
      </c>
      <c r="M39" s="10" t="s">
        <v>26</v>
      </c>
      <c r="N39" s="10" t="s">
        <v>26</v>
      </c>
      <c r="O39" s="9">
        <v>100928459.91</v>
      </c>
      <c r="P39" s="10">
        <v>4.4080320850000001E-4</v>
      </c>
      <c r="Q39" s="10">
        <v>0.13500000000000001</v>
      </c>
      <c r="R39" s="10">
        <v>0.1346</v>
      </c>
      <c r="S39" s="9" t="s">
        <v>26</v>
      </c>
      <c r="T39" s="10" t="s">
        <v>26</v>
      </c>
      <c r="U39" s="10" t="s">
        <v>26</v>
      </c>
      <c r="V39" s="10" t="s">
        <v>26</v>
      </c>
      <c r="W39" s="9" t="s">
        <v>26</v>
      </c>
      <c r="X39" s="10" t="s">
        <v>26</v>
      </c>
      <c r="Y39" s="10" t="s">
        <v>26</v>
      </c>
      <c r="Z39" s="10" t="s">
        <v>26</v>
      </c>
      <c r="AA39" s="9" t="s">
        <v>26</v>
      </c>
      <c r="AB39" s="10" t="s">
        <v>26</v>
      </c>
      <c r="AC39" s="10" t="s">
        <v>26</v>
      </c>
      <c r="AD39" s="10" t="s">
        <v>26</v>
      </c>
      <c r="AE39" s="9">
        <v>100928459.91</v>
      </c>
      <c r="AF39" s="10">
        <v>1.5441619185999999E-4</v>
      </c>
      <c r="AG39" s="10">
        <v>0.13500000000000001</v>
      </c>
      <c r="AH39" s="10">
        <v>0.1348</v>
      </c>
      <c r="AI39" s="9">
        <v>62372561.789999999</v>
      </c>
      <c r="AJ39" s="10">
        <v>3.6342347320399999E-3</v>
      </c>
      <c r="AK39" s="10">
        <v>0.13500000000000001</v>
      </c>
      <c r="AL39" s="10">
        <v>0.13139999999999999</v>
      </c>
      <c r="AM39" s="9" t="s">
        <v>26</v>
      </c>
      <c r="AN39" s="10" t="s">
        <v>26</v>
      </c>
      <c r="AO39" s="10" t="s">
        <v>26</v>
      </c>
      <c r="AP39" s="10" t="s">
        <v>26</v>
      </c>
      <c r="AQ39" s="9">
        <v>62372561.789999999</v>
      </c>
      <c r="AR39" s="10">
        <v>1.5180868865200001E-3</v>
      </c>
      <c r="AS39" s="10">
        <v>0.13500000000000001</v>
      </c>
      <c r="AT39" s="10">
        <v>0.13350000000000001</v>
      </c>
      <c r="AU39" s="9">
        <v>23896765.129999999</v>
      </c>
      <c r="AV39" s="10">
        <v>5.1716817052999998E-4</v>
      </c>
      <c r="AW39" s="10">
        <v>0.13500000000000001</v>
      </c>
      <c r="AX39" s="10">
        <v>0.13450000000000001</v>
      </c>
      <c r="AY39" s="9">
        <v>187197786.83000001</v>
      </c>
      <c r="AZ39" s="10">
        <v>2.5266049493000002E-4</v>
      </c>
      <c r="BA39" s="10">
        <v>0.13500000000000001</v>
      </c>
      <c r="BB39" s="10">
        <v>0.13469999999999999</v>
      </c>
    </row>
    <row r="40" spans="1:54" customFormat="1">
      <c r="A40" s="3" t="s">
        <v>41</v>
      </c>
      <c r="B40" s="23" t="s">
        <v>44</v>
      </c>
      <c r="C40" s="2" t="s">
        <v>26</v>
      </c>
      <c r="D40" s="1" t="s">
        <v>26</v>
      </c>
      <c r="E40" s="1" t="s">
        <v>26</v>
      </c>
      <c r="F40" s="1" t="s">
        <v>26</v>
      </c>
      <c r="G40" s="2" t="s">
        <v>26</v>
      </c>
      <c r="H40" s="1" t="s">
        <v>26</v>
      </c>
      <c r="I40" s="1" t="s">
        <v>26</v>
      </c>
      <c r="J40" s="1" t="s">
        <v>26</v>
      </c>
      <c r="K40" s="2" t="s">
        <v>26</v>
      </c>
      <c r="L40" s="1" t="s">
        <v>26</v>
      </c>
      <c r="M40" s="1" t="s">
        <v>26</v>
      </c>
      <c r="N40" s="1" t="s">
        <v>26</v>
      </c>
      <c r="O40" s="2">
        <v>100928459.91</v>
      </c>
      <c r="P40" s="1">
        <v>1</v>
      </c>
      <c r="Q40" s="1" t="s">
        <v>26</v>
      </c>
      <c r="R40" s="1" t="s">
        <v>26</v>
      </c>
      <c r="S40" s="2" t="s">
        <v>26</v>
      </c>
      <c r="T40" s="1" t="s">
        <v>26</v>
      </c>
      <c r="U40" s="1" t="s">
        <v>26</v>
      </c>
      <c r="V40" s="1" t="s">
        <v>26</v>
      </c>
      <c r="W40" s="2" t="s">
        <v>26</v>
      </c>
      <c r="X40" s="1" t="s">
        <v>26</v>
      </c>
      <c r="Y40" s="1" t="s">
        <v>26</v>
      </c>
      <c r="Z40" s="1" t="s">
        <v>26</v>
      </c>
      <c r="AA40" s="2" t="s">
        <v>26</v>
      </c>
      <c r="AB40" s="1" t="s">
        <v>26</v>
      </c>
      <c r="AC40" s="1" t="s">
        <v>26</v>
      </c>
      <c r="AD40" s="1" t="s">
        <v>26</v>
      </c>
      <c r="AE40" s="2">
        <v>100928459.91</v>
      </c>
      <c r="AF40" s="1">
        <v>1</v>
      </c>
      <c r="AG40" s="1" t="s">
        <v>26</v>
      </c>
      <c r="AH40" s="1" t="s">
        <v>26</v>
      </c>
      <c r="AI40" s="2">
        <v>62372561.789999999</v>
      </c>
      <c r="AJ40" s="1">
        <v>1</v>
      </c>
      <c r="AK40" s="1" t="s">
        <v>26</v>
      </c>
      <c r="AL40" s="1" t="s">
        <v>26</v>
      </c>
      <c r="AM40" s="2" t="s">
        <v>26</v>
      </c>
      <c r="AN40" s="1" t="s">
        <v>26</v>
      </c>
      <c r="AO40" s="1" t="s">
        <v>26</v>
      </c>
      <c r="AP40" s="1" t="s">
        <v>26</v>
      </c>
      <c r="AQ40" s="2">
        <v>62372561.789999999</v>
      </c>
      <c r="AR40" s="1">
        <v>1</v>
      </c>
      <c r="AS40" s="1" t="s">
        <v>26</v>
      </c>
      <c r="AT40" s="1" t="s">
        <v>26</v>
      </c>
      <c r="AU40" s="2">
        <v>23896765.129999999</v>
      </c>
      <c r="AV40" s="1">
        <v>1</v>
      </c>
      <c r="AW40" s="1" t="s">
        <v>26</v>
      </c>
      <c r="AX40" s="1" t="s">
        <v>26</v>
      </c>
      <c r="AY40" s="2">
        <v>187197786.83000001</v>
      </c>
      <c r="AZ40" s="1">
        <v>1</v>
      </c>
      <c r="BA40" s="1" t="s">
        <v>26</v>
      </c>
      <c r="BB40" s="1" t="s">
        <v>26</v>
      </c>
    </row>
    <row r="41" spans="1:54" s="7" customFormat="1">
      <c r="A41" s="5" t="s">
        <v>52</v>
      </c>
      <c r="B41" s="20" t="s">
        <v>25</v>
      </c>
      <c r="C41" s="9">
        <v>24635728.550000001</v>
      </c>
      <c r="D41" s="10">
        <v>3.75980475613E-3</v>
      </c>
      <c r="E41" s="10">
        <v>0.13500000000000001</v>
      </c>
      <c r="F41" s="10">
        <v>0.13120000000000001</v>
      </c>
      <c r="G41" s="9">
        <v>2703635314</v>
      </c>
      <c r="H41" s="10">
        <v>1.756917166682E-2</v>
      </c>
      <c r="I41" s="10">
        <v>0.13500000000000001</v>
      </c>
      <c r="J41" s="10">
        <v>0.1174</v>
      </c>
      <c r="K41" s="9" t="s">
        <v>26</v>
      </c>
      <c r="L41" s="10" t="s">
        <v>26</v>
      </c>
      <c r="M41" s="10" t="s">
        <v>26</v>
      </c>
      <c r="N41" s="10" t="s">
        <v>26</v>
      </c>
      <c r="O41" s="9">
        <v>4739426009.9700003</v>
      </c>
      <c r="P41" s="10">
        <v>2.0699356687950001E-2</v>
      </c>
      <c r="Q41" s="10">
        <v>0.05</v>
      </c>
      <c r="R41" s="10">
        <v>2.93E-2</v>
      </c>
      <c r="S41" s="9">
        <v>2218956946.6799998</v>
      </c>
      <c r="T41" s="10">
        <v>1.9429943416350001E-2</v>
      </c>
      <c r="U41" s="10">
        <v>0.13539999999999999</v>
      </c>
      <c r="V41" s="10">
        <v>0.11600000000000001</v>
      </c>
      <c r="W41" s="9">
        <v>904573153.75</v>
      </c>
      <c r="X41" s="10">
        <v>0.14244620615799999</v>
      </c>
      <c r="Y41" s="10">
        <v>0.15</v>
      </c>
      <c r="Z41" s="10">
        <v>7.6E-3</v>
      </c>
      <c r="AA41" s="9">
        <v>3953866944</v>
      </c>
      <c r="AB41" s="10">
        <v>2.8120987828860002E-2</v>
      </c>
      <c r="AC41" s="10">
        <v>0.13500000000000001</v>
      </c>
      <c r="AD41" s="10">
        <v>0.1069</v>
      </c>
      <c r="AE41" s="9">
        <v>14545094096.950001</v>
      </c>
      <c r="AF41" s="10">
        <v>2.225336681798E-2</v>
      </c>
      <c r="AG41" s="10">
        <v>0.13600000000000001</v>
      </c>
      <c r="AH41" s="10">
        <v>0.1137</v>
      </c>
      <c r="AI41" s="9">
        <v>290839038.49000001</v>
      </c>
      <c r="AJ41" s="10">
        <v>1.694619083743E-2</v>
      </c>
      <c r="AK41" s="10">
        <v>0.1376</v>
      </c>
      <c r="AL41" s="10">
        <v>0.1207</v>
      </c>
      <c r="AM41" s="9" t="s">
        <v>26</v>
      </c>
      <c r="AN41" s="10" t="s">
        <v>26</v>
      </c>
      <c r="AO41" s="10" t="s">
        <v>26</v>
      </c>
      <c r="AP41" s="10" t="s">
        <v>26</v>
      </c>
      <c r="AQ41" s="9">
        <v>290839038.49000001</v>
      </c>
      <c r="AR41" s="10">
        <v>7.0787365108599997E-3</v>
      </c>
      <c r="AS41" s="10">
        <v>0.1376</v>
      </c>
      <c r="AT41" s="10">
        <v>0.1305</v>
      </c>
      <c r="AU41" s="9">
        <v>1633424695.24</v>
      </c>
      <c r="AV41" s="10">
        <v>3.5350193080120003E-2</v>
      </c>
      <c r="AW41" s="10">
        <v>0.13980000000000001</v>
      </c>
      <c r="AX41" s="10">
        <v>0.10440000000000001</v>
      </c>
      <c r="AY41" s="9">
        <v>16469357830.68</v>
      </c>
      <c r="AZ41" s="10">
        <v>2.222866077173E-2</v>
      </c>
      <c r="BA41" s="10">
        <v>0.13639999999999999</v>
      </c>
      <c r="BB41" s="10">
        <v>0.1142</v>
      </c>
    </row>
    <row r="42" spans="1:54" customFormat="1">
      <c r="A42" s="3" t="s">
        <v>39</v>
      </c>
      <c r="B42" s="23" t="s">
        <v>40</v>
      </c>
      <c r="C42" s="2">
        <v>24635728.550000001</v>
      </c>
      <c r="D42" s="1">
        <v>1</v>
      </c>
      <c r="E42" s="1" t="s">
        <v>26</v>
      </c>
      <c r="F42" s="1" t="s">
        <v>26</v>
      </c>
      <c r="G42" s="2">
        <v>2703635314</v>
      </c>
      <c r="H42" s="1">
        <v>1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4697245025.9099998</v>
      </c>
      <c r="P42" s="1">
        <v>0.99109998046782999</v>
      </c>
      <c r="Q42" s="1" t="s">
        <v>26</v>
      </c>
      <c r="R42" s="1" t="s">
        <v>26</v>
      </c>
      <c r="S42" s="2">
        <v>2163475389.6799998</v>
      </c>
      <c r="T42" s="1">
        <v>0.97499655994542</v>
      </c>
      <c r="U42" s="1" t="s">
        <v>26</v>
      </c>
      <c r="V42" s="1" t="s">
        <v>26</v>
      </c>
      <c r="W42" s="2" t="s">
        <v>26</v>
      </c>
      <c r="X42" s="1" t="s">
        <v>26</v>
      </c>
      <c r="Y42" s="1" t="s">
        <v>26</v>
      </c>
      <c r="Z42" s="1" t="s">
        <v>26</v>
      </c>
      <c r="AA42" s="2">
        <v>3953866944</v>
      </c>
      <c r="AB42" s="1">
        <v>1</v>
      </c>
      <c r="AC42" s="1" t="s">
        <v>26</v>
      </c>
      <c r="AD42" s="1" t="s">
        <v>26</v>
      </c>
      <c r="AE42" s="2">
        <v>13542858402.139999</v>
      </c>
      <c r="AF42" s="1">
        <v>0.93109458844820003</v>
      </c>
      <c r="AG42" s="1" t="s">
        <v>26</v>
      </c>
      <c r="AH42" s="1" t="s">
        <v>26</v>
      </c>
      <c r="AI42" s="2">
        <v>240014536</v>
      </c>
      <c r="AJ42" s="1">
        <v>0.82524869166851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>
        <v>240014536</v>
      </c>
      <c r="AR42" s="1">
        <v>0.82524869166851</v>
      </c>
      <c r="AS42" s="1" t="s">
        <v>26</v>
      </c>
      <c r="AT42" s="1" t="s">
        <v>26</v>
      </c>
      <c r="AU42" s="2">
        <v>1109709674.3199999</v>
      </c>
      <c r="AV42" s="1">
        <v>0.67937608483196998</v>
      </c>
      <c r="AW42" s="1" t="s">
        <v>26</v>
      </c>
      <c r="AX42" s="1" t="s">
        <v>26</v>
      </c>
      <c r="AY42" s="2">
        <v>14892582612.459999</v>
      </c>
      <c r="AZ42" s="1">
        <v>0.90426006682041005</v>
      </c>
      <c r="BA42" s="1" t="s">
        <v>26</v>
      </c>
      <c r="BB42" s="1" t="s">
        <v>26</v>
      </c>
    </row>
    <row r="43" spans="1:54" customFormat="1">
      <c r="A43" s="3" t="s">
        <v>41</v>
      </c>
      <c r="B43" s="23" t="s">
        <v>35</v>
      </c>
      <c r="C43" s="2" t="s">
        <v>26</v>
      </c>
      <c r="D43" s="1" t="s">
        <v>26</v>
      </c>
      <c r="E43" s="1" t="s">
        <v>26</v>
      </c>
      <c r="F43" s="1" t="s">
        <v>26</v>
      </c>
      <c r="G43" s="2" t="s">
        <v>26</v>
      </c>
      <c r="H43" s="1" t="s">
        <v>26</v>
      </c>
      <c r="I43" s="1" t="s">
        <v>26</v>
      </c>
      <c r="J43" s="1" t="s">
        <v>26</v>
      </c>
      <c r="K43" s="2" t="s">
        <v>26</v>
      </c>
      <c r="L43" s="1" t="s">
        <v>26</v>
      </c>
      <c r="M43" s="1" t="s">
        <v>26</v>
      </c>
      <c r="N43" s="1" t="s">
        <v>26</v>
      </c>
      <c r="O43" s="2">
        <v>42180984.060000002</v>
      </c>
      <c r="P43" s="1">
        <v>8.9000195321699994E-3</v>
      </c>
      <c r="Q43" s="1" t="s">
        <v>26</v>
      </c>
      <c r="R43" s="1" t="s">
        <v>26</v>
      </c>
      <c r="S43" s="2">
        <v>55481557</v>
      </c>
      <c r="T43" s="1">
        <v>2.5003440054579999E-2</v>
      </c>
      <c r="U43" s="1" t="s">
        <v>26</v>
      </c>
      <c r="V43" s="1" t="s">
        <v>26</v>
      </c>
      <c r="W43" s="2">
        <v>904573153.75</v>
      </c>
      <c r="X43" s="1">
        <v>1</v>
      </c>
      <c r="Y43" s="1" t="s">
        <v>26</v>
      </c>
      <c r="Z43" s="1" t="s">
        <v>26</v>
      </c>
      <c r="AA43" s="2" t="s">
        <v>26</v>
      </c>
      <c r="AB43" s="1" t="s">
        <v>26</v>
      </c>
      <c r="AC43" s="1" t="s">
        <v>26</v>
      </c>
      <c r="AD43" s="1" t="s">
        <v>26</v>
      </c>
      <c r="AE43" s="2">
        <v>1002235694.8099999</v>
      </c>
      <c r="AF43" s="1">
        <v>6.8905411551799994E-2</v>
      </c>
      <c r="AG43" s="1" t="s">
        <v>26</v>
      </c>
      <c r="AH43" s="1" t="s">
        <v>26</v>
      </c>
      <c r="AI43" s="2">
        <v>50824502.490000002</v>
      </c>
      <c r="AJ43" s="1">
        <v>0.17475130833149</v>
      </c>
      <c r="AK43" s="1" t="s">
        <v>26</v>
      </c>
      <c r="AL43" s="1" t="s">
        <v>26</v>
      </c>
      <c r="AM43" s="2" t="s">
        <v>26</v>
      </c>
      <c r="AN43" s="1" t="s">
        <v>26</v>
      </c>
      <c r="AO43" s="1" t="s">
        <v>26</v>
      </c>
      <c r="AP43" s="1" t="s">
        <v>26</v>
      </c>
      <c r="AQ43" s="2">
        <v>50824502.490000002</v>
      </c>
      <c r="AR43" s="1">
        <v>0.17475130833149</v>
      </c>
      <c r="AS43" s="1" t="s">
        <v>26</v>
      </c>
      <c r="AT43" s="1" t="s">
        <v>26</v>
      </c>
      <c r="AU43" s="2">
        <v>523715020.92000002</v>
      </c>
      <c r="AV43" s="1">
        <v>0.32062391516803002</v>
      </c>
      <c r="AW43" s="1" t="s">
        <v>26</v>
      </c>
      <c r="AX43" s="1" t="s">
        <v>26</v>
      </c>
      <c r="AY43" s="2">
        <v>1576775218.22</v>
      </c>
      <c r="AZ43" s="1">
        <v>9.5739933179589995E-2</v>
      </c>
      <c r="BA43" s="1" t="s">
        <v>26</v>
      </c>
      <c r="BB43" s="1" t="s">
        <v>26</v>
      </c>
    </row>
    <row r="44" spans="1:54" s="7" customFormat="1">
      <c r="A44" s="5" t="s">
        <v>53</v>
      </c>
      <c r="B44" s="20" t="s">
        <v>25</v>
      </c>
      <c r="C44" s="9" t="s">
        <v>26</v>
      </c>
      <c r="D44" s="10" t="s">
        <v>26</v>
      </c>
      <c r="E44" s="10" t="s">
        <v>26</v>
      </c>
      <c r="F44" s="10" t="s">
        <v>26</v>
      </c>
      <c r="G44" s="9" t="s">
        <v>26</v>
      </c>
      <c r="H44" s="10" t="s">
        <v>26</v>
      </c>
      <c r="I44" s="10" t="s">
        <v>26</v>
      </c>
      <c r="J44" s="10" t="s">
        <v>26</v>
      </c>
      <c r="K44" s="9">
        <v>75559007.950000003</v>
      </c>
      <c r="L44" s="10">
        <v>2.472897650674E-2</v>
      </c>
      <c r="M44" s="10">
        <v>0.15</v>
      </c>
      <c r="N44" s="10">
        <v>0.12529999999999999</v>
      </c>
      <c r="O44" s="9" t="s">
        <v>26</v>
      </c>
      <c r="P44" s="10" t="s">
        <v>26</v>
      </c>
      <c r="Q44" s="10" t="s">
        <v>26</v>
      </c>
      <c r="R44" s="10" t="s">
        <v>26</v>
      </c>
      <c r="S44" s="9" t="s">
        <v>26</v>
      </c>
      <c r="T44" s="10" t="s">
        <v>26</v>
      </c>
      <c r="U44" s="10" t="s">
        <v>26</v>
      </c>
      <c r="V44" s="10" t="s">
        <v>26</v>
      </c>
      <c r="W44" s="9" t="s">
        <v>26</v>
      </c>
      <c r="X44" s="10" t="s">
        <v>26</v>
      </c>
      <c r="Y44" s="10" t="s">
        <v>26</v>
      </c>
      <c r="Z44" s="10" t="s">
        <v>26</v>
      </c>
      <c r="AA44" s="9">
        <v>90177417.689999998</v>
      </c>
      <c r="AB44" s="10">
        <v>6.4136656625E-4</v>
      </c>
      <c r="AC44" s="10">
        <v>0.15</v>
      </c>
      <c r="AD44" s="10">
        <v>0.14940000000000001</v>
      </c>
      <c r="AE44" s="9">
        <v>165736425.63999999</v>
      </c>
      <c r="AF44" s="10">
        <v>2.5356958506E-4</v>
      </c>
      <c r="AG44" s="10">
        <v>0.15</v>
      </c>
      <c r="AH44" s="10">
        <v>0.1497</v>
      </c>
      <c r="AI44" s="9" t="s">
        <v>26</v>
      </c>
      <c r="AJ44" s="10" t="s">
        <v>26</v>
      </c>
      <c r="AK44" s="10" t="s">
        <v>26</v>
      </c>
      <c r="AL44" s="10" t="s">
        <v>26</v>
      </c>
      <c r="AM44" s="9">
        <v>338626340.94999999</v>
      </c>
      <c r="AN44" s="10">
        <v>1.4154376800549999E-2</v>
      </c>
      <c r="AO44" s="10">
        <v>0.15</v>
      </c>
      <c r="AP44" s="10">
        <v>0.1358</v>
      </c>
      <c r="AQ44" s="9">
        <v>338626340.94999999</v>
      </c>
      <c r="AR44" s="10">
        <v>8.2418325121200002E-3</v>
      </c>
      <c r="AS44" s="10">
        <v>0.15</v>
      </c>
      <c r="AT44" s="10">
        <v>0.14180000000000001</v>
      </c>
      <c r="AU44" s="9" t="s">
        <v>26</v>
      </c>
      <c r="AV44" s="10" t="s">
        <v>26</v>
      </c>
      <c r="AW44" s="10" t="s">
        <v>26</v>
      </c>
      <c r="AX44" s="10" t="s">
        <v>26</v>
      </c>
      <c r="AY44" s="9">
        <v>504362766.58999997</v>
      </c>
      <c r="AZ44" s="10">
        <v>6.8073746164000004E-4</v>
      </c>
      <c r="BA44" s="10">
        <v>0.15</v>
      </c>
      <c r="BB44" s="10">
        <v>0.14929999999999999</v>
      </c>
    </row>
    <row r="45" spans="1:54" customFormat="1">
      <c r="A45" s="3" t="s">
        <v>41</v>
      </c>
      <c r="B45" s="23" t="s">
        <v>35</v>
      </c>
      <c r="C45" s="2" t="s">
        <v>26</v>
      </c>
      <c r="D45" s="1" t="s">
        <v>26</v>
      </c>
      <c r="E45" s="1" t="s">
        <v>26</v>
      </c>
      <c r="F45" s="1" t="s">
        <v>26</v>
      </c>
      <c r="G45" s="2" t="s">
        <v>26</v>
      </c>
      <c r="H45" s="1" t="s">
        <v>26</v>
      </c>
      <c r="I45" s="1" t="s">
        <v>26</v>
      </c>
      <c r="J45" s="1" t="s">
        <v>26</v>
      </c>
      <c r="K45" s="2">
        <v>75559007.950000003</v>
      </c>
      <c r="L45" s="1">
        <v>1</v>
      </c>
      <c r="M45" s="1" t="s">
        <v>26</v>
      </c>
      <c r="N45" s="1" t="s">
        <v>26</v>
      </c>
      <c r="O45" s="2" t="s">
        <v>26</v>
      </c>
      <c r="P45" s="1" t="s">
        <v>26</v>
      </c>
      <c r="Q45" s="1" t="s">
        <v>26</v>
      </c>
      <c r="R45" s="1" t="s">
        <v>26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>
        <v>90177417.689999998</v>
      </c>
      <c r="AB45" s="1">
        <v>1</v>
      </c>
      <c r="AC45" s="1" t="s">
        <v>26</v>
      </c>
      <c r="AD45" s="1" t="s">
        <v>26</v>
      </c>
      <c r="AE45" s="2">
        <v>165736425.63999999</v>
      </c>
      <c r="AF45" s="1">
        <v>1</v>
      </c>
      <c r="AG45" s="1" t="s">
        <v>26</v>
      </c>
      <c r="AH45" s="1" t="s">
        <v>26</v>
      </c>
      <c r="AI45" s="2" t="s">
        <v>26</v>
      </c>
      <c r="AJ45" s="1" t="s">
        <v>26</v>
      </c>
      <c r="AK45" s="1" t="s">
        <v>26</v>
      </c>
      <c r="AL45" s="1" t="s">
        <v>26</v>
      </c>
      <c r="AM45" s="2">
        <v>338626340.94999999</v>
      </c>
      <c r="AN45" s="1">
        <v>1</v>
      </c>
      <c r="AO45" s="1" t="s">
        <v>26</v>
      </c>
      <c r="AP45" s="1" t="s">
        <v>26</v>
      </c>
      <c r="AQ45" s="2">
        <v>338626340.94999999</v>
      </c>
      <c r="AR45" s="1">
        <v>1</v>
      </c>
      <c r="AS45" s="1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2">
        <v>504362766.58999997</v>
      </c>
      <c r="AZ45" s="1">
        <v>1</v>
      </c>
      <c r="BA45" s="1" t="s">
        <v>26</v>
      </c>
      <c r="BB45" s="1" t="s">
        <v>26</v>
      </c>
    </row>
    <row r="46" spans="1:54" s="7" customFormat="1">
      <c r="A46" s="5" t="s">
        <v>54</v>
      </c>
      <c r="B46" s="20" t="s">
        <v>25</v>
      </c>
      <c r="C46" s="9" t="s">
        <v>26</v>
      </c>
      <c r="D46" s="10" t="s">
        <v>26</v>
      </c>
      <c r="E46" s="10" t="s">
        <v>26</v>
      </c>
      <c r="F46" s="10" t="s">
        <v>26</v>
      </c>
      <c r="G46" s="9" t="s">
        <v>26</v>
      </c>
      <c r="H46" s="10" t="s">
        <v>26</v>
      </c>
      <c r="I46" s="10" t="s">
        <v>26</v>
      </c>
      <c r="J46" s="10" t="s">
        <v>26</v>
      </c>
      <c r="K46" s="9" t="s">
        <v>26</v>
      </c>
      <c r="L46" s="10" t="s">
        <v>26</v>
      </c>
      <c r="M46" s="10" t="s">
        <v>26</v>
      </c>
      <c r="N46" s="10" t="s">
        <v>26</v>
      </c>
      <c r="O46" s="9">
        <v>1296678002.75</v>
      </c>
      <c r="P46" s="10">
        <v>5.6632175356E-3</v>
      </c>
      <c r="Q46" s="10">
        <v>0.15</v>
      </c>
      <c r="R46" s="10">
        <v>0.14430000000000001</v>
      </c>
      <c r="S46" s="9" t="s">
        <v>26</v>
      </c>
      <c r="T46" s="10" t="s">
        <v>26</v>
      </c>
      <c r="U46" s="10" t="s">
        <v>26</v>
      </c>
      <c r="V46" s="10" t="s">
        <v>26</v>
      </c>
      <c r="W46" s="9" t="s">
        <v>26</v>
      </c>
      <c r="X46" s="10" t="s">
        <v>26</v>
      </c>
      <c r="Y46" s="10" t="s">
        <v>26</v>
      </c>
      <c r="Z46" s="10" t="s">
        <v>26</v>
      </c>
      <c r="AA46" s="9" t="s">
        <v>26</v>
      </c>
      <c r="AB46" s="10" t="s">
        <v>26</v>
      </c>
      <c r="AC46" s="10" t="s">
        <v>26</v>
      </c>
      <c r="AD46" s="10" t="s">
        <v>26</v>
      </c>
      <c r="AE46" s="9">
        <v>1296678002.75</v>
      </c>
      <c r="AF46" s="10">
        <v>1.9838614344899999E-3</v>
      </c>
      <c r="AG46" s="10">
        <v>0.15</v>
      </c>
      <c r="AH46" s="10">
        <v>0.14799999999999999</v>
      </c>
      <c r="AI46" s="9">
        <v>35125254.740000002</v>
      </c>
      <c r="AJ46" s="10">
        <v>2.04662782936E-3</v>
      </c>
      <c r="AK46" s="10">
        <v>0.15</v>
      </c>
      <c r="AL46" s="10">
        <v>0.14799999999999999</v>
      </c>
      <c r="AM46" s="9" t="s">
        <v>26</v>
      </c>
      <c r="AN46" s="10" t="s">
        <v>26</v>
      </c>
      <c r="AO46" s="10" t="s">
        <v>26</v>
      </c>
      <c r="AP46" s="10" t="s">
        <v>26</v>
      </c>
      <c r="AQ46" s="9">
        <v>35125254.740000002</v>
      </c>
      <c r="AR46" s="10">
        <v>8.5491419745999998E-4</v>
      </c>
      <c r="AS46" s="10">
        <v>0.15</v>
      </c>
      <c r="AT46" s="10">
        <v>0.14910000000000001</v>
      </c>
      <c r="AU46" s="9">
        <v>18116177.23</v>
      </c>
      <c r="AV46" s="10">
        <v>3.9206604676999998E-4</v>
      </c>
      <c r="AW46" s="10">
        <v>0.15</v>
      </c>
      <c r="AX46" s="10">
        <v>0.14960000000000001</v>
      </c>
      <c r="AY46" s="9">
        <v>1349919434.72</v>
      </c>
      <c r="AZ46" s="10">
        <v>1.8219836797599999E-3</v>
      </c>
      <c r="BA46" s="10">
        <v>0.15</v>
      </c>
      <c r="BB46" s="10">
        <v>0.1482</v>
      </c>
    </row>
    <row r="47" spans="1:54" customFormat="1">
      <c r="A47" s="3" t="s">
        <v>41</v>
      </c>
      <c r="B47" s="23" t="s">
        <v>35</v>
      </c>
      <c r="C47" s="2" t="s">
        <v>26</v>
      </c>
      <c r="D47" s="1" t="s">
        <v>26</v>
      </c>
      <c r="E47" s="1" t="s">
        <v>26</v>
      </c>
      <c r="F47" s="1" t="s">
        <v>26</v>
      </c>
      <c r="G47" s="2" t="s">
        <v>26</v>
      </c>
      <c r="H47" s="1" t="s">
        <v>26</v>
      </c>
      <c r="I47" s="1" t="s">
        <v>26</v>
      </c>
      <c r="J47" s="1" t="s">
        <v>26</v>
      </c>
      <c r="K47" s="2" t="s">
        <v>26</v>
      </c>
      <c r="L47" s="1" t="s">
        <v>26</v>
      </c>
      <c r="M47" s="1" t="s">
        <v>26</v>
      </c>
      <c r="N47" s="1" t="s">
        <v>26</v>
      </c>
      <c r="O47" s="2">
        <v>1296678002.75</v>
      </c>
      <c r="P47" s="1">
        <v>1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2">
        <v>1296678002.75</v>
      </c>
      <c r="AF47" s="1">
        <v>1</v>
      </c>
      <c r="AG47" s="1" t="s">
        <v>26</v>
      </c>
      <c r="AH47" s="1" t="s">
        <v>26</v>
      </c>
      <c r="AI47" s="2">
        <v>35125254.740000002</v>
      </c>
      <c r="AJ47" s="1">
        <v>1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>
        <v>35125254.740000002</v>
      </c>
      <c r="AR47" s="1">
        <v>1</v>
      </c>
      <c r="AS47" s="1" t="s">
        <v>26</v>
      </c>
      <c r="AT47" s="1" t="s">
        <v>26</v>
      </c>
      <c r="AU47" s="2">
        <v>18116177.23</v>
      </c>
      <c r="AV47" s="1">
        <v>1</v>
      </c>
      <c r="AW47" s="1" t="s">
        <v>26</v>
      </c>
      <c r="AX47" s="1" t="s">
        <v>26</v>
      </c>
      <c r="AY47" s="2">
        <v>1349919434.72</v>
      </c>
      <c r="AZ47" s="1">
        <v>1</v>
      </c>
      <c r="BA47" s="1" t="s">
        <v>26</v>
      </c>
      <c r="BB47" s="1" t="s">
        <v>26</v>
      </c>
    </row>
    <row r="48" spans="1:54" s="25" customFormat="1">
      <c r="A48" s="12" t="s">
        <v>55</v>
      </c>
      <c r="B48" s="27" t="s">
        <v>25</v>
      </c>
      <c r="C48" s="29">
        <v>74143370.129999995</v>
      </c>
      <c r="D48" s="30">
        <v>1.131545978371E-2</v>
      </c>
      <c r="E48" s="30" t="s">
        <v>26</v>
      </c>
      <c r="F48" s="30" t="s">
        <v>26</v>
      </c>
      <c r="G48" s="29">
        <v>310775997</v>
      </c>
      <c r="H48" s="30">
        <v>2.0195315592100001E-3</v>
      </c>
      <c r="I48" s="30" t="s">
        <v>26</v>
      </c>
      <c r="J48" s="30" t="s">
        <v>26</v>
      </c>
      <c r="K48" s="29">
        <v>98347794.480000004</v>
      </c>
      <c r="L48" s="30">
        <v>3.2187297916819999E-2</v>
      </c>
      <c r="M48" s="30" t="s">
        <v>26</v>
      </c>
      <c r="N48" s="30" t="s">
        <v>26</v>
      </c>
      <c r="O48" s="29">
        <v>3470476012.2600002</v>
      </c>
      <c r="P48" s="30">
        <v>1.515724070882E-2</v>
      </c>
      <c r="Q48" s="30" t="s">
        <v>26</v>
      </c>
      <c r="R48" s="30" t="s">
        <v>26</v>
      </c>
      <c r="S48" s="29">
        <v>1206366105.8599999</v>
      </c>
      <c r="T48" s="30">
        <v>1.056335284528E-2</v>
      </c>
      <c r="U48" s="30" t="s">
        <v>26</v>
      </c>
      <c r="V48" s="30" t="s">
        <v>26</v>
      </c>
      <c r="W48" s="29">
        <v>69699345.769999996</v>
      </c>
      <c r="X48" s="30">
        <v>1.097579265477E-2</v>
      </c>
      <c r="Y48" s="30" t="s">
        <v>26</v>
      </c>
      <c r="Z48" s="30" t="s">
        <v>26</v>
      </c>
      <c r="AA48" s="29">
        <v>2520214406.4499998</v>
      </c>
      <c r="AB48" s="30">
        <v>1.7924457158940001E-2</v>
      </c>
      <c r="AC48" s="30" t="s">
        <v>26</v>
      </c>
      <c r="AD48" s="30" t="s">
        <v>26</v>
      </c>
      <c r="AE48" s="29">
        <v>7750023031.9499998</v>
      </c>
      <c r="AF48" s="30">
        <v>1.185720107606E-2</v>
      </c>
      <c r="AG48" s="30" t="s">
        <v>26</v>
      </c>
      <c r="AH48" s="30" t="s">
        <v>26</v>
      </c>
      <c r="AI48" s="29">
        <v>204597766</v>
      </c>
      <c r="AJ48" s="30">
        <v>1.1921208396049999E-2</v>
      </c>
      <c r="AK48" s="30" t="s">
        <v>26</v>
      </c>
      <c r="AL48" s="30" t="s">
        <v>26</v>
      </c>
      <c r="AM48" s="29">
        <v>221681679.46000001</v>
      </c>
      <c r="AN48" s="30">
        <v>9.2661604884399992E-3</v>
      </c>
      <c r="AO48" s="30" t="s">
        <v>26</v>
      </c>
      <c r="AP48" s="30" t="s">
        <v>26</v>
      </c>
      <c r="AQ48" s="29">
        <v>426279445.45999998</v>
      </c>
      <c r="AR48" s="30">
        <v>1.0375222975819999E-2</v>
      </c>
      <c r="AS48" s="30" t="s">
        <v>26</v>
      </c>
      <c r="AT48" s="30" t="s">
        <v>26</v>
      </c>
      <c r="AU48" s="29">
        <v>511075363</v>
      </c>
      <c r="AV48" s="30">
        <v>1.1060572803380001E-2</v>
      </c>
      <c r="AW48" s="30" t="s">
        <v>26</v>
      </c>
      <c r="AX48" s="30" t="s">
        <v>26</v>
      </c>
      <c r="AY48" s="29">
        <v>8687377840.4099998</v>
      </c>
      <c r="AZ48" s="30">
        <v>1.172533725939E-2</v>
      </c>
      <c r="BA48" s="30" t="s">
        <v>26</v>
      </c>
      <c r="BB48" s="30" t="s">
        <v>26</v>
      </c>
    </row>
    <row r="49" spans="1:54" s="7" customFormat="1">
      <c r="A49" s="5" t="s">
        <v>56</v>
      </c>
      <c r="B49" s="20" t="s">
        <v>25</v>
      </c>
      <c r="C49" s="9">
        <v>35731274.950000003</v>
      </c>
      <c r="D49" s="10">
        <v>5.4531619483800002E-3</v>
      </c>
      <c r="E49" s="10">
        <v>0.12</v>
      </c>
      <c r="F49" s="10">
        <v>0.1145</v>
      </c>
      <c r="G49" s="9" t="s">
        <v>26</v>
      </c>
      <c r="H49" s="10" t="s">
        <v>26</v>
      </c>
      <c r="I49" s="10" t="s">
        <v>26</v>
      </c>
      <c r="J49" s="10" t="s">
        <v>26</v>
      </c>
      <c r="K49" s="9">
        <v>30626807.100000001</v>
      </c>
      <c r="L49" s="10">
        <v>1.002355131176E-2</v>
      </c>
      <c r="M49" s="10">
        <v>0.12</v>
      </c>
      <c r="N49" s="10">
        <v>0.11</v>
      </c>
      <c r="O49" s="9">
        <v>819777536.71000004</v>
      </c>
      <c r="P49" s="10">
        <v>3.58036344516E-3</v>
      </c>
      <c r="Q49" s="10">
        <v>0.12</v>
      </c>
      <c r="R49" s="10">
        <v>0.1164</v>
      </c>
      <c r="S49" s="9">
        <v>306268071</v>
      </c>
      <c r="T49" s="10">
        <v>2.6817876293899999E-3</v>
      </c>
      <c r="U49" s="10">
        <v>0.12</v>
      </c>
      <c r="V49" s="10">
        <v>0.1173</v>
      </c>
      <c r="W49" s="9" t="s">
        <v>26</v>
      </c>
      <c r="X49" s="10" t="s">
        <v>26</v>
      </c>
      <c r="Y49" s="10" t="s">
        <v>26</v>
      </c>
      <c r="Z49" s="10" t="s">
        <v>26</v>
      </c>
      <c r="AA49" s="9">
        <v>898386341.60000002</v>
      </c>
      <c r="AB49" s="10">
        <v>6.3895704472499999E-3</v>
      </c>
      <c r="AC49" s="10">
        <v>0.12</v>
      </c>
      <c r="AD49" s="10">
        <v>0.11360000000000001</v>
      </c>
      <c r="AE49" s="9">
        <v>2090790031.3599999</v>
      </c>
      <c r="AF49" s="10">
        <v>3.1988185980199998E-3</v>
      </c>
      <c r="AG49" s="10">
        <v>0.12</v>
      </c>
      <c r="AH49" s="10">
        <v>0.1168</v>
      </c>
      <c r="AI49" s="9" t="s">
        <v>26</v>
      </c>
      <c r="AJ49" s="10" t="s">
        <v>26</v>
      </c>
      <c r="AK49" s="10" t="s">
        <v>26</v>
      </c>
      <c r="AL49" s="10" t="s">
        <v>26</v>
      </c>
      <c r="AM49" s="9" t="s">
        <v>26</v>
      </c>
      <c r="AN49" s="10" t="s">
        <v>26</v>
      </c>
      <c r="AO49" s="10" t="s">
        <v>26</v>
      </c>
      <c r="AP49" s="10" t="s">
        <v>26</v>
      </c>
      <c r="AQ49" s="9" t="s">
        <v>26</v>
      </c>
      <c r="AR49" s="10" t="s">
        <v>26</v>
      </c>
      <c r="AS49" s="10" t="s">
        <v>26</v>
      </c>
      <c r="AT49" s="10" t="s">
        <v>26</v>
      </c>
      <c r="AU49" s="9">
        <v>204178714</v>
      </c>
      <c r="AV49" s="10">
        <v>4.4187877064600003E-3</v>
      </c>
      <c r="AW49" s="10">
        <v>0.12</v>
      </c>
      <c r="AX49" s="10">
        <v>0.11559999999999999</v>
      </c>
      <c r="AY49" s="9">
        <v>2294968745.3600001</v>
      </c>
      <c r="AZ49" s="10">
        <v>3.09751492722E-3</v>
      </c>
      <c r="BA49" s="10">
        <v>0.12</v>
      </c>
      <c r="BB49" s="10">
        <v>0.1169</v>
      </c>
    </row>
    <row r="50" spans="1:54" customFormat="1">
      <c r="A50" s="3" t="s">
        <v>39</v>
      </c>
      <c r="B50" s="23" t="s">
        <v>57</v>
      </c>
      <c r="C50" s="2">
        <v>35731274.950000003</v>
      </c>
      <c r="D50" s="1">
        <v>1</v>
      </c>
      <c r="E50" s="1" t="s">
        <v>26</v>
      </c>
      <c r="F50" s="1" t="s">
        <v>26</v>
      </c>
      <c r="G50" s="2" t="s">
        <v>26</v>
      </c>
      <c r="H50" s="1" t="s">
        <v>26</v>
      </c>
      <c r="I50" s="1" t="s">
        <v>26</v>
      </c>
      <c r="J50" s="1" t="s">
        <v>26</v>
      </c>
      <c r="K50" s="2">
        <v>30626807.100000001</v>
      </c>
      <c r="L50" s="1">
        <v>1</v>
      </c>
      <c r="M50" s="1" t="s">
        <v>26</v>
      </c>
      <c r="N50" s="1" t="s">
        <v>26</v>
      </c>
      <c r="O50" s="2">
        <v>819777536.71000004</v>
      </c>
      <c r="P50" s="1">
        <v>1</v>
      </c>
      <c r="Q50" s="1" t="s">
        <v>26</v>
      </c>
      <c r="R50" s="1" t="s">
        <v>26</v>
      </c>
      <c r="S50" s="2">
        <v>306268071</v>
      </c>
      <c r="T50" s="1">
        <v>1</v>
      </c>
      <c r="U50" s="1" t="s">
        <v>26</v>
      </c>
      <c r="V50" s="1" t="s">
        <v>26</v>
      </c>
      <c r="W50" s="2" t="s">
        <v>26</v>
      </c>
      <c r="X50" s="1" t="s">
        <v>26</v>
      </c>
      <c r="Y50" s="1" t="s">
        <v>26</v>
      </c>
      <c r="Z50" s="1" t="s">
        <v>26</v>
      </c>
      <c r="AA50" s="2">
        <v>898386341.60000002</v>
      </c>
      <c r="AB50" s="1">
        <v>1</v>
      </c>
      <c r="AC50" s="1" t="s">
        <v>26</v>
      </c>
      <c r="AD50" s="1" t="s">
        <v>26</v>
      </c>
      <c r="AE50" s="2">
        <v>2090790031.3599999</v>
      </c>
      <c r="AF50" s="1">
        <v>1</v>
      </c>
      <c r="AG50" s="1" t="s">
        <v>26</v>
      </c>
      <c r="AH50" s="1" t="s">
        <v>26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2">
        <v>204178714</v>
      </c>
      <c r="AV50" s="1">
        <v>1</v>
      </c>
      <c r="AW50" s="1" t="s">
        <v>26</v>
      </c>
      <c r="AX50" s="1" t="s">
        <v>26</v>
      </c>
      <c r="AY50" s="2">
        <v>2294968745.3600001</v>
      </c>
      <c r="AZ50" s="1">
        <v>1</v>
      </c>
      <c r="BA50" s="1" t="s">
        <v>26</v>
      </c>
      <c r="BB50" s="1" t="s">
        <v>26</v>
      </c>
    </row>
    <row r="51" spans="1:54" s="7" customFormat="1">
      <c r="A51" s="5" t="s">
        <v>58</v>
      </c>
      <c r="B51" s="20" t="s">
        <v>25</v>
      </c>
      <c r="C51" s="9">
        <v>33405872.68</v>
      </c>
      <c r="D51" s="10">
        <v>5.0982685058399996E-3</v>
      </c>
      <c r="E51" s="10">
        <v>0.09</v>
      </c>
      <c r="F51" s="10">
        <v>8.4900000000000003E-2</v>
      </c>
      <c r="G51" s="9" t="s">
        <v>26</v>
      </c>
      <c r="H51" s="10" t="s">
        <v>26</v>
      </c>
      <c r="I51" s="10" t="s">
        <v>26</v>
      </c>
      <c r="J51" s="10" t="s">
        <v>26</v>
      </c>
      <c r="K51" s="9">
        <v>16571545.880000001</v>
      </c>
      <c r="L51" s="10">
        <v>5.42354088368E-3</v>
      </c>
      <c r="M51" s="10">
        <v>0.09</v>
      </c>
      <c r="N51" s="10">
        <v>8.4599999999999995E-2</v>
      </c>
      <c r="O51" s="9">
        <v>386566049.55000001</v>
      </c>
      <c r="P51" s="10">
        <v>1.6883201734300001E-3</v>
      </c>
      <c r="Q51" s="10">
        <v>0.09</v>
      </c>
      <c r="R51" s="10">
        <v>8.8300000000000003E-2</v>
      </c>
      <c r="S51" s="9">
        <v>292615619.16000003</v>
      </c>
      <c r="T51" s="10">
        <v>2.5622421072800002E-3</v>
      </c>
      <c r="U51" s="10">
        <v>0.09</v>
      </c>
      <c r="V51" s="10">
        <v>8.7400000000000005E-2</v>
      </c>
      <c r="W51" s="9" t="s">
        <v>26</v>
      </c>
      <c r="X51" s="10" t="s">
        <v>26</v>
      </c>
      <c r="Y51" s="10" t="s">
        <v>26</v>
      </c>
      <c r="Z51" s="10" t="s">
        <v>26</v>
      </c>
      <c r="AA51" s="9">
        <v>105724726.37</v>
      </c>
      <c r="AB51" s="10">
        <v>7.5194329642000002E-4</v>
      </c>
      <c r="AC51" s="10">
        <v>0.09</v>
      </c>
      <c r="AD51" s="10">
        <v>8.9200000000000002E-2</v>
      </c>
      <c r="AE51" s="9">
        <v>834883813.63999999</v>
      </c>
      <c r="AF51" s="10">
        <v>1.2773362366399999E-3</v>
      </c>
      <c r="AG51" s="10">
        <v>0.09</v>
      </c>
      <c r="AH51" s="10">
        <v>8.8700000000000001E-2</v>
      </c>
      <c r="AI51" s="9" t="s">
        <v>26</v>
      </c>
      <c r="AJ51" s="10" t="s">
        <v>26</v>
      </c>
      <c r="AK51" s="10" t="s">
        <v>26</v>
      </c>
      <c r="AL51" s="10" t="s">
        <v>26</v>
      </c>
      <c r="AM51" s="9" t="s">
        <v>26</v>
      </c>
      <c r="AN51" s="10" t="s">
        <v>26</v>
      </c>
      <c r="AO51" s="10" t="s">
        <v>26</v>
      </c>
      <c r="AP51" s="10" t="s">
        <v>26</v>
      </c>
      <c r="AQ51" s="9" t="s">
        <v>26</v>
      </c>
      <c r="AR51" s="10" t="s">
        <v>26</v>
      </c>
      <c r="AS51" s="10" t="s">
        <v>26</v>
      </c>
      <c r="AT51" s="10" t="s">
        <v>26</v>
      </c>
      <c r="AU51" s="9" t="s">
        <v>26</v>
      </c>
      <c r="AV51" s="10" t="s">
        <v>26</v>
      </c>
      <c r="AW51" s="10" t="s">
        <v>26</v>
      </c>
      <c r="AX51" s="10" t="s">
        <v>26</v>
      </c>
      <c r="AY51" s="9">
        <v>834883813.63999999</v>
      </c>
      <c r="AZ51" s="10">
        <v>1.1268410868199999E-3</v>
      </c>
      <c r="BA51" s="10">
        <v>0.09</v>
      </c>
      <c r="BB51" s="10">
        <v>8.8900000000000007E-2</v>
      </c>
    </row>
    <row r="52" spans="1:54" customFormat="1">
      <c r="A52" s="3" t="s">
        <v>39</v>
      </c>
      <c r="B52" s="23" t="s">
        <v>47</v>
      </c>
      <c r="C52" s="2">
        <v>33405872.68</v>
      </c>
      <c r="D52" s="1">
        <v>1</v>
      </c>
      <c r="E52" s="1" t="s">
        <v>26</v>
      </c>
      <c r="F52" s="1" t="s">
        <v>26</v>
      </c>
      <c r="G52" s="2" t="s">
        <v>26</v>
      </c>
      <c r="H52" s="1" t="s">
        <v>26</v>
      </c>
      <c r="I52" s="1" t="s">
        <v>26</v>
      </c>
      <c r="J52" s="1" t="s">
        <v>26</v>
      </c>
      <c r="K52" s="2">
        <v>16571545.880000001</v>
      </c>
      <c r="L52" s="1">
        <v>1</v>
      </c>
      <c r="M52" s="1" t="s">
        <v>26</v>
      </c>
      <c r="N52" s="1" t="s">
        <v>26</v>
      </c>
      <c r="O52" s="2">
        <v>386566049.55000001</v>
      </c>
      <c r="P52" s="1">
        <v>1</v>
      </c>
      <c r="Q52" s="1" t="s">
        <v>26</v>
      </c>
      <c r="R52" s="1" t="s">
        <v>26</v>
      </c>
      <c r="S52" s="2">
        <v>292615619.16000003</v>
      </c>
      <c r="T52" s="1">
        <v>1</v>
      </c>
      <c r="U52" s="1" t="s">
        <v>26</v>
      </c>
      <c r="V52" s="1" t="s">
        <v>26</v>
      </c>
      <c r="W52" s="2" t="s">
        <v>26</v>
      </c>
      <c r="X52" s="1" t="s">
        <v>26</v>
      </c>
      <c r="Y52" s="1" t="s">
        <v>26</v>
      </c>
      <c r="Z52" s="1" t="s">
        <v>26</v>
      </c>
      <c r="AA52" s="2">
        <v>105724726.37</v>
      </c>
      <c r="AB52" s="1">
        <v>1</v>
      </c>
      <c r="AC52" s="1" t="s">
        <v>26</v>
      </c>
      <c r="AD52" s="1" t="s">
        <v>26</v>
      </c>
      <c r="AE52" s="2">
        <v>834883813.63999999</v>
      </c>
      <c r="AF52" s="1">
        <v>1</v>
      </c>
      <c r="AG52" s="1" t="s">
        <v>26</v>
      </c>
      <c r="AH52" s="1" t="s">
        <v>26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2">
        <v>834883813.63999999</v>
      </c>
      <c r="AZ52" s="1">
        <v>1</v>
      </c>
      <c r="BA52" s="1" t="s">
        <v>26</v>
      </c>
      <c r="BB52" s="1" t="s">
        <v>26</v>
      </c>
    </row>
    <row r="53" spans="1:54" s="7" customFormat="1">
      <c r="A53" s="5" t="s">
        <v>59</v>
      </c>
      <c r="B53" s="20" t="s">
        <v>25</v>
      </c>
      <c r="C53" s="9">
        <v>5006222.5</v>
      </c>
      <c r="D53" s="10">
        <v>7.6402932950000004E-4</v>
      </c>
      <c r="E53" s="10">
        <v>0.12</v>
      </c>
      <c r="F53" s="10">
        <v>0.1192</v>
      </c>
      <c r="G53" s="9" t="s">
        <v>26</v>
      </c>
      <c r="H53" s="10" t="s">
        <v>26</v>
      </c>
      <c r="I53" s="10" t="s">
        <v>26</v>
      </c>
      <c r="J53" s="10" t="s">
        <v>26</v>
      </c>
      <c r="K53" s="9" t="s">
        <v>26</v>
      </c>
      <c r="L53" s="10" t="s">
        <v>26</v>
      </c>
      <c r="M53" s="10" t="s">
        <v>26</v>
      </c>
      <c r="N53" s="10" t="s">
        <v>26</v>
      </c>
      <c r="O53" s="9" t="s">
        <v>26</v>
      </c>
      <c r="P53" s="10" t="s">
        <v>26</v>
      </c>
      <c r="Q53" s="10" t="s">
        <v>26</v>
      </c>
      <c r="R53" s="10" t="s">
        <v>26</v>
      </c>
      <c r="S53" s="9">
        <v>55068447.5</v>
      </c>
      <c r="T53" s="10">
        <v>4.8219809787000001E-4</v>
      </c>
      <c r="U53" s="10">
        <v>0.12</v>
      </c>
      <c r="V53" s="10">
        <v>0.1195</v>
      </c>
      <c r="W53" s="9" t="s">
        <v>26</v>
      </c>
      <c r="X53" s="10" t="s">
        <v>26</v>
      </c>
      <c r="Y53" s="10" t="s">
        <v>26</v>
      </c>
      <c r="Z53" s="10" t="s">
        <v>26</v>
      </c>
      <c r="AA53" s="9">
        <v>50062225</v>
      </c>
      <c r="AB53" s="10">
        <v>3.5605629624000003E-4</v>
      </c>
      <c r="AC53" s="10">
        <v>0.12</v>
      </c>
      <c r="AD53" s="10">
        <v>0.1196</v>
      </c>
      <c r="AE53" s="9">
        <v>110136895</v>
      </c>
      <c r="AF53" s="10">
        <v>1.6850470051000001E-4</v>
      </c>
      <c r="AG53" s="10">
        <v>0.12</v>
      </c>
      <c r="AH53" s="10">
        <v>0.1198</v>
      </c>
      <c r="AI53" s="9" t="s">
        <v>26</v>
      </c>
      <c r="AJ53" s="10" t="s">
        <v>26</v>
      </c>
      <c r="AK53" s="10" t="s">
        <v>26</v>
      </c>
      <c r="AL53" s="10" t="s">
        <v>26</v>
      </c>
      <c r="AM53" s="9" t="s">
        <v>26</v>
      </c>
      <c r="AN53" s="10" t="s">
        <v>26</v>
      </c>
      <c r="AO53" s="10" t="s">
        <v>26</v>
      </c>
      <c r="AP53" s="10" t="s">
        <v>26</v>
      </c>
      <c r="AQ53" s="9" t="s">
        <v>26</v>
      </c>
      <c r="AR53" s="10" t="s">
        <v>26</v>
      </c>
      <c r="AS53" s="10" t="s">
        <v>26</v>
      </c>
      <c r="AT53" s="10" t="s">
        <v>26</v>
      </c>
      <c r="AU53" s="9" t="s">
        <v>26</v>
      </c>
      <c r="AV53" s="10" t="s">
        <v>26</v>
      </c>
      <c r="AW53" s="10" t="s">
        <v>26</v>
      </c>
      <c r="AX53" s="10" t="s">
        <v>26</v>
      </c>
      <c r="AY53" s="9">
        <v>110136895</v>
      </c>
      <c r="AZ53" s="10">
        <v>1.4865155657999999E-4</v>
      </c>
      <c r="BA53" s="10">
        <v>0.12</v>
      </c>
      <c r="BB53" s="10">
        <v>0.11990000000000001</v>
      </c>
    </row>
    <row r="54" spans="1:54" customFormat="1">
      <c r="A54" s="3" t="s">
        <v>39</v>
      </c>
      <c r="B54" s="23" t="s">
        <v>57</v>
      </c>
      <c r="C54" s="2">
        <v>5006222.5</v>
      </c>
      <c r="D54" s="1">
        <v>1</v>
      </c>
      <c r="E54" s="1" t="s">
        <v>26</v>
      </c>
      <c r="F54" s="1" t="s">
        <v>26</v>
      </c>
      <c r="G54" s="2" t="s">
        <v>26</v>
      </c>
      <c r="H54" s="1" t="s">
        <v>26</v>
      </c>
      <c r="I54" s="1" t="s">
        <v>26</v>
      </c>
      <c r="J54" s="1" t="s">
        <v>26</v>
      </c>
      <c r="K54" s="2" t="s">
        <v>26</v>
      </c>
      <c r="L54" s="1" t="s">
        <v>26</v>
      </c>
      <c r="M54" s="1" t="s">
        <v>26</v>
      </c>
      <c r="N54" s="1" t="s">
        <v>26</v>
      </c>
      <c r="O54" s="2" t="s">
        <v>26</v>
      </c>
      <c r="P54" s="1" t="s">
        <v>26</v>
      </c>
      <c r="Q54" s="1" t="s">
        <v>26</v>
      </c>
      <c r="R54" s="1" t="s">
        <v>26</v>
      </c>
      <c r="S54" s="2">
        <v>55068447.5</v>
      </c>
      <c r="T54" s="1">
        <v>1</v>
      </c>
      <c r="U54" s="1" t="s">
        <v>26</v>
      </c>
      <c r="V54" s="1" t="s">
        <v>26</v>
      </c>
      <c r="W54" s="2" t="s">
        <v>26</v>
      </c>
      <c r="X54" s="1" t="s">
        <v>26</v>
      </c>
      <c r="Y54" s="1" t="s">
        <v>26</v>
      </c>
      <c r="Z54" s="1" t="s">
        <v>26</v>
      </c>
      <c r="AA54" s="2">
        <v>50062225</v>
      </c>
      <c r="AB54" s="1">
        <v>1</v>
      </c>
      <c r="AC54" s="1" t="s">
        <v>26</v>
      </c>
      <c r="AD54" s="1" t="s">
        <v>26</v>
      </c>
      <c r="AE54" s="2">
        <v>110136895</v>
      </c>
      <c r="AF54" s="1">
        <v>1</v>
      </c>
      <c r="AG54" s="1" t="s">
        <v>26</v>
      </c>
      <c r="AH54" s="1" t="s">
        <v>26</v>
      </c>
      <c r="AI54" s="2" t="s">
        <v>26</v>
      </c>
      <c r="AJ54" s="1" t="s">
        <v>26</v>
      </c>
      <c r="AK54" s="1" t="s">
        <v>26</v>
      </c>
      <c r="AL54" s="1" t="s">
        <v>26</v>
      </c>
      <c r="AM54" s="2" t="s">
        <v>26</v>
      </c>
      <c r="AN54" s="1" t="s">
        <v>26</v>
      </c>
      <c r="AO54" s="1" t="s">
        <v>26</v>
      </c>
      <c r="AP54" s="1" t="s">
        <v>26</v>
      </c>
      <c r="AQ54" s="2" t="s">
        <v>26</v>
      </c>
      <c r="AR54" s="1" t="s">
        <v>26</v>
      </c>
      <c r="AS54" s="1" t="s">
        <v>26</v>
      </c>
      <c r="AT54" s="1" t="s">
        <v>26</v>
      </c>
      <c r="AU54" s="2" t="s">
        <v>26</v>
      </c>
      <c r="AV54" s="1" t="s">
        <v>26</v>
      </c>
      <c r="AW54" s="1" t="s">
        <v>26</v>
      </c>
      <c r="AX54" s="1" t="s">
        <v>26</v>
      </c>
      <c r="AY54" s="2">
        <v>110136895</v>
      </c>
      <c r="AZ54" s="1">
        <v>1</v>
      </c>
      <c r="BA54" s="1" t="s">
        <v>26</v>
      </c>
      <c r="BB54" s="1" t="s">
        <v>26</v>
      </c>
    </row>
    <row r="55" spans="1:54" s="7" customFormat="1">
      <c r="A55" s="5" t="s">
        <v>60</v>
      </c>
      <c r="B55" s="20" t="s">
        <v>25</v>
      </c>
      <c r="C55" s="9" t="s">
        <v>26</v>
      </c>
      <c r="D55" s="10" t="s">
        <v>26</v>
      </c>
      <c r="E55" s="10" t="s">
        <v>26</v>
      </c>
      <c r="F55" s="10" t="s">
        <v>26</v>
      </c>
      <c r="G55" s="9">
        <v>310775997</v>
      </c>
      <c r="H55" s="10">
        <v>2.0195315592100001E-3</v>
      </c>
      <c r="I55" s="10">
        <v>0.12</v>
      </c>
      <c r="J55" s="10">
        <v>0.11799999999999999</v>
      </c>
      <c r="K55" s="9">
        <v>51149441.5</v>
      </c>
      <c r="L55" s="10">
        <v>1.6740205721379998E-2</v>
      </c>
      <c r="M55" s="10">
        <v>0.12</v>
      </c>
      <c r="N55" s="10">
        <v>0.1033</v>
      </c>
      <c r="O55" s="9">
        <v>2264132426</v>
      </c>
      <c r="P55" s="10">
        <v>9.8885570902400004E-3</v>
      </c>
      <c r="Q55" s="10">
        <v>0.12</v>
      </c>
      <c r="R55" s="10">
        <v>0.1101</v>
      </c>
      <c r="S55" s="9">
        <v>552413968.20000005</v>
      </c>
      <c r="T55" s="10">
        <v>4.8371250107299996E-3</v>
      </c>
      <c r="U55" s="10">
        <v>0.12</v>
      </c>
      <c r="V55" s="10">
        <v>0.1152</v>
      </c>
      <c r="W55" s="9">
        <v>69699345.769999996</v>
      </c>
      <c r="X55" s="10">
        <v>1.097579265477E-2</v>
      </c>
      <c r="Y55" s="10">
        <v>0.1295</v>
      </c>
      <c r="Z55" s="10">
        <v>0.11849999999999999</v>
      </c>
      <c r="AA55" s="9">
        <v>1466041113.48</v>
      </c>
      <c r="AB55" s="10">
        <v>1.0426887119039999E-2</v>
      </c>
      <c r="AC55" s="10">
        <v>0.12</v>
      </c>
      <c r="AD55" s="10">
        <v>0.1096</v>
      </c>
      <c r="AE55" s="9">
        <v>4714212291.9499998</v>
      </c>
      <c r="AF55" s="10">
        <v>7.2125415409000004E-3</v>
      </c>
      <c r="AG55" s="10">
        <v>0.1201</v>
      </c>
      <c r="AH55" s="10">
        <v>0.1129</v>
      </c>
      <c r="AI55" s="9">
        <v>204597766</v>
      </c>
      <c r="AJ55" s="10">
        <v>1.1921208396049999E-2</v>
      </c>
      <c r="AK55" s="10">
        <v>0.12</v>
      </c>
      <c r="AL55" s="10">
        <v>0.1081</v>
      </c>
      <c r="AM55" s="9">
        <v>221681679.46000001</v>
      </c>
      <c r="AN55" s="10">
        <v>9.2661604884399992E-3</v>
      </c>
      <c r="AO55" s="10">
        <v>0.12</v>
      </c>
      <c r="AP55" s="10">
        <v>0.11070000000000001</v>
      </c>
      <c r="AQ55" s="9">
        <v>426279445.45999998</v>
      </c>
      <c r="AR55" s="10">
        <v>1.0375222975819999E-2</v>
      </c>
      <c r="AS55" s="10">
        <v>0.12</v>
      </c>
      <c r="AT55" s="10">
        <v>0.1096</v>
      </c>
      <c r="AU55" s="9">
        <v>306896649</v>
      </c>
      <c r="AV55" s="10">
        <v>6.6417850969199997E-3</v>
      </c>
      <c r="AW55" s="10">
        <v>0.12</v>
      </c>
      <c r="AX55" s="10">
        <v>0.1134</v>
      </c>
      <c r="AY55" s="9">
        <v>5447388386.4099998</v>
      </c>
      <c r="AZ55" s="10">
        <v>7.3523296887599999E-3</v>
      </c>
      <c r="BA55" s="10">
        <v>0.1201</v>
      </c>
      <c r="BB55" s="10">
        <v>0.11269999999999999</v>
      </c>
    </row>
    <row r="56" spans="1:54" customFormat="1">
      <c r="A56" s="3" t="s">
        <v>39</v>
      </c>
      <c r="B56" s="23" t="s">
        <v>57</v>
      </c>
      <c r="C56" s="2" t="s">
        <v>26</v>
      </c>
      <c r="D56" s="1" t="s">
        <v>26</v>
      </c>
      <c r="E56" s="1" t="s">
        <v>26</v>
      </c>
      <c r="F56" s="1" t="s">
        <v>26</v>
      </c>
      <c r="G56" s="2">
        <v>310775997</v>
      </c>
      <c r="H56" s="1">
        <v>1</v>
      </c>
      <c r="I56" s="1" t="s">
        <v>26</v>
      </c>
      <c r="J56" s="1" t="s">
        <v>26</v>
      </c>
      <c r="K56" s="2">
        <v>51149441.5</v>
      </c>
      <c r="L56" s="1">
        <v>1</v>
      </c>
      <c r="M56" s="1" t="s">
        <v>26</v>
      </c>
      <c r="N56" s="1" t="s">
        <v>26</v>
      </c>
      <c r="O56" s="2">
        <v>2264132426</v>
      </c>
      <c r="P56" s="1">
        <v>1</v>
      </c>
      <c r="Q56" s="1" t="s">
        <v>26</v>
      </c>
      <c r="R56" s="1" t="s">
        <v>26</v>
      </c>
      <c r="S56" s="2">
        <v>552413968.20000005</v>
      </c>
      <c r="T56" s="1">
        <v>1</v>
      </c>
      <c r="U56" s="1" t="s">
        <v>26</v>
      </c>
      <c r="V56" s="1" t="s">
        <v>26</v>
      </c>
      <c r="W56" s="2">
        <v>47678596.920000002</v>
      </c>
      <c r="X56" s="1">
        <v>0.68406089602812004</v>
      </c>
      <c r="Y56" s="1" t="s">
        <v>26</v>
      </c>
      <c r="Z56" s="1" t="s">
        <v>26</v>
      </c>
      <c r="AA56" s="2">
        <v>1466041113.48</v>
      </c>
      <c r="AB56" s="1">
        <v>1</v>
      </c>
      <c r="AC56" s="1" t="s">
        <v>26</v>
      </c>
      <c r="AD56" s="1" t="s">
        <v>26</v>
      </c>
      <c r="AE56" s="2">
        <v>4692191543.1000004</v>
      </c>
      <c r="AF56" s="1">
        <v>0.99532885931173998</v>
      </c>
      <c r="AG56" s="1" t="s">
        <v>26</v>
      </c>
      <c r="AH56" s="1" t="s">
        <v>26</v>
      </c>
      <c r="AI56" s="2">
        <v>204597766</v>
      </c>
      <c r="AJ56" s="1">
        <v>1</v>
      </c>
      <c r="AK56" s="1" t="s">
        <v>26</v>
      </c>
      <c r="AL56" s="1" t="s">
        <v>26</v>
      </c>
      <c r="AM56" s="2">
        <v>221681679.46000001</v>
      </c>
      <c r="AN56" s="1">
        <v>1</v>
      </c>
      <c r="AO56" s="1" t="s">
        <v>26</v>
      </c>
      <c r="AP56" s="1" t="s">
        <v>26</v>
      </c>
      <c r="AQ56" s="2">
        <v>426279445.45999998</v>
      </c>
      <c r="AR56" s="1">
        <v>1</v>
      </c>
      <c r="AS56" s="1" t="s">
        <v>26</v>
      </c>
      <c r="AT56" s="1" t="s">
        <v>26</v>
      </c>
      <c r="AU56" s="2">
        <v>306896649</v>
      </c>
      <c r="AV56" s="1">
        <v>1</v>
      </c>
      <c r="AW56" s="1" t="s">
        <v>26</v>
      </c>
      <c r="AX56" s="1" t="s">
        <v>26</v>
      </c>
      <c r="AY56" s="2">
        <v>5425367637.5600004</v>
      </c>
      <c r="AZ56" s="1">
        <v>0.99595755850547996</v>
      </c>
      <c r="BA56" s="1" t="s">
        <v>26</v>
      </c>
      <c r="BB56" s="1" t="s">
        <v>26</v>
      </c>
    </row>
    <row r="57" spans="1:54" customFormat="1">
      <c r="A57" s="3" t="s">
        <v>41</v>
      </c>
      <c r="B57" s="23" t="s">
        <v>35</v>
      </c>
      <c r="C57" s="2" t="s">
        <v>26</v>
      </c>
      <c r="D57" s="1" t="s">
        <v>26</v>
      </c>
      <c r="E57" s="1" t="s">
        <v>26</v>
      </c>
      <c r="F57" s="1" t="s">
        <v>26</v>
      </c>
      <c r="G57" s="2" t="s">
        <v>26</v>
      </c>
      <c r="H57" s="1" t="s">
        <v>26</v>
      </c>
      <c r="I57" s="1" t="s">
        <v>26</v>
      </c>
      <c r="J57" s="1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 t="s">
        <v>26</v>
      </c>
      <c r="P57" s="1" t="s">
        <v>26</v>
      </c>
      <c r="Q57" s="1" t="s">
        <v>26</v>
      </c>
      <c r="R57" s="1" t="s">
        <v>26</v>
      </c>
      <c r="S57" s="2" t="s">
        <v>26</v>
      </c>
      <c r="T57" s="1" t="s">
        <v>26</v>
      </c>
      <c r="U57" s="1" t="s">
        <v>26</v>
      </c>
      <c r="V57" s="1" t="s">
        <v>26</v>
      </c>
      <c r="W57" s="2">
        <v>22020748.850000001</v>
      </c>
      <c r="X57" s="1">
        <v>0.31593910397188002</v>
      </c>
      <c r="Y57" s="1" t="s">
        <v>26</v>
      </c>
      <c r="Z57" s="1" t="s">
        <v>26</v>
      </c>
      <c r="AA57" s="2" t="s">
        <v>26</v>
      </c>
      <c r="AB57" s="1" t="s">
        <v>26</v>
      </c>
      <c r="AC57" s="1" t="s">
        <v>26</v>
      </c>
      <c r="AD57" s="1" t="s">
        <v>26</v>
      </c>
      <c r="AE57" s="2">
        <v>22020748.850000001</v>
      </c>
      <c r="AF57" s="1">
        <v>4.67114068826E-3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22020748.850000001</v>
      </c>
      <c r="AZ57" s="1">
        <v>4.0424414945200004E-3</v>
      </c>
      <c r="BA57" s="1" t="s">
        <v>26</v>
      </c>
      <c r="BB57" s="1" t="s">
        <v>26</v>
      </c>
    </row>
    <row r="58" spans="1:54" s="25" customFormat="1">
      <c r="A58" s="12" t="s">
        <v>61</v>
      </c>
      <c r="B58" s="27" t="s">
        <v>25</v>
      </c>
      <c r="C58" s="29">
        <v>52205827.560000002</v>
      </c>
      <c r="D58" s="30">
        <v>7.9674412047200001E-3</v>
      </c>
      <c r="E58" s="30" t="s">
        <v>26</v>
      </c>
      <c r="F58" s="30" t="s">
        <v>26</v>
      </c>
      <c r="G58" s="29" t="s">
        <v>26</v>
      </c>
      <c r="H58" s="30" t="s">
        <v>26</v>
      </c>
      <c r="I58" s="30" t="s">
        <v>26</v>
      </c>
      <c r="J58" s="30" t="s">
        <v>26</v>
      </c>
      <c r="K58" s="29">
        <v>37830754.479999997</v>
      </c>
      <c r="L58" s="30">
        <v>1.2381261535189999E-2</v>
      </c>
      <c r="M58" s="30" t="s">
        <v>26</v>
      </c>
      <c r="N58" s="30" t="s">
        <v>26</v>
      </c>
      <c r="O58" s="29">
        <v>101323670.23</v>
      </c>
      <c r="P58" s="30">
        <v>4.4252928236999999E-4</v>
      </c>
      <c r="Q58" s="30" t="s">
        <v>26</v>
      </c>
      <c r="R58" s="30" t="s">
        <v>26</v>
      </c>
      <c r="S58" s="29" t="s">
        <v>26</v>
      </c>
      <c r="T58" s="30" t="s">
        <v>26</v>
      </c>
      <c r="U58" s="30" t="s">
        <v>26</v>
      </c>
      <c r="V58" s="30" t="s">
        <v>26</v>
      </c>
      <c r="W58" s="29" t="s">
        <v>26</v>
      </c>
      <c r="X58" s="30" t="s">
        <v>26</v>
      </c>
      <c r="Y58" s="30" t="s">
        <v>26</v>
      </c>
      <c r="Z58" s="30" t="s">
        <v>26</v>
      </c>
      <c r="AA58" s="29">
        <v>128253766.64</v>
      </c>
      <c r="AB58" s="30">
        <v>9.1217601951999999E-4</v>
      </c>
      <c r="AC58" s="30" t="s">
        <v>26</v>
      </c>
      <c r="AD58" s="30" t="s">
        <v>26</v>
      </c>
      <c r="AE58" s="29">
        <v>319614018.91000003</v>
      </c>
      <c r="AF58" s="30">
        <v>4.8899566793000004E-4</v>
      </c>
      <c r="AG58" s="30" t="s">
        <v>26</v>
      </c>
      <c r="AH58" s="30" t="s">
        <v>26</v>
      </c>
      <c r="AI58" s="29" t="s">
        <v>26</v>
      </c>
      <c r="AJ58" s="30" t="s">
        <v>26</v>
      </c>
      <c r="AK58" s="30" t="s">
        <v>26</v>
      </c>
      <c r="AL58" s="30" t="s">
        <v>26</v>
      </c>
      <c r="AM58" s="29" t="s">
        <v>26</v>
      </c>
      <c r="AN58" s="30" t="s">
        <v>26</v>
      </c>
      <c r="AO58" s="30" t="s">
        <v>26</v>
      </c>
      <c r="AP58" s="30" t="s">
        <v>26</v>
      </c>
      <c r="AQ58" s="29" t="s">
        <v>26</v>
      </c>
      <c r="AR58" s="30" t="s">
        <v>26</v>
      </c>
      <c r="AS58" s="30" t="s">
        <v>26</v>
      </c>
      <c r="AT58" s="30" t="s">
        <v>26</v>
      </c>
      <c r="AU58" s="29">
        <v>63206276.600000001</v>
      </c>
      <c r="AV58" s="30">
        <v>1.36789537234E-3</v>
      </c>
      <c r="AW58" s="30" t="s">
        <v>26</v>
      </c>
      <c r="AX58" s="30" t="s">
        <v>26</v>
      </c>
      <c r="AY58" s="29">
        <v>382820295.50999999</v>
      </c>
      <c r="AZ58" s="30">
        <v>5.1669182083E-4</v>
      </c>
      <c r="BA58" s="30" t="s">
        <v>26</v>
      </c>
      <c r="BB58" s="30" t="s">
        <v>26</v>
      </c>
    </row>
    <row r="59" spans="1:54" s="7" customFormat="1">
      <c r="A59" s="5" t="s">
        <v>62</v>
      </c>
      <c r="B59" s="20" t="s">
        <v>25</v>
      </c>
      <c r="C59" s="9">
        <v>30136312.399999999</v>
      </c>
      <c r="D59" s="10">
        <v>4.5992815054599996E-3</v>
      </c>
      <c r="E59" s="10">
        <v>0.09</v>
      </c>
      <c r="F59" s="10">
        <v>8.5400000000000004E-2</v>
      </c>
      <c r="G59" s="9" t="s">
        <v>26</v>
      </c>
      <c r="H59" s="10" t="s">
        <v>26</v>
      </c>
      <c r="I59" s="10" t="s">
        <v>26</v>
      </c>
      <c r="J59" s="10" t="s">
        <v>26</v>
      </c>
      <c r="K59" s="9" t="s">
        <v>26</v>
      </c>
      <c r="L59" s="10" t="s">
        <v>26</v>
      </c>
      <c r="M59" s="10" t="s">
        <v>26</v>
      </c>
      <c r="N59" s="10" t="s">
        <v>26</v>
      </c>
      <c r="O59" s="9" t="s">
        <v>26</v>
      </c>
      <c r="P59" s="10" t="s">
        <v>26</v>
      </c>
      <c r="Q59" s="10" t="s">
        <v>26</v>
      </c>
      <c r="R59" s="10" t="s">
        <v>26</v>
      </c>
      <c r="S59" s="9" t="s">
        <v>26</v>
      </c>
      <c r="T59" s="10" t="s">
        <v>26</v>
      </c>
      <c r="U59" s="10" t="s">
        <v>26</v>
      </c>
      <c r="V59" s="10" t="s">
        <v>26</v>
      </c>
      <c r="W59" s="9" t="s">
        <v>26</v>
      </c>
      <c r="X59" s="10" t="s">
        <v>26</v>
      </c>
      <c r="Y59" s="10" t="s">
        <v>26</v>
      </c>
      <c r="Z59" s="10" t="s">
        <v>26</v>
      </c>
      <c r="AA59" s="9" t="s">
        <v>26</v>
      </c>
      <c r="AB59" s="10" t="s">
        <v>26</v>
      </c>
      <c r="AC59" s="10" t="s">
        <v>26</v>
      </c>
      <c r="AD59" s="10" t="s">
        <v>26</v>
      </c>
      <c r="AE59" s="9">
        <v>30136312.399999999</v>
      </c>
      <c r="AF59" s="10">
        <v>4.610725856E-5</v>
      </c>
      <c r="AG59" s="10">
        <v>0.09</v>
      </c>
      <c r="AH59" s="10">
        <v>0.09</v>
      </c>
      <c r="AI59" s="9" t="s">
        <v>26</v>
      </c>
      <c r="AJ59" s="10" t="s">
        <v>26</v>
      </c>
      <c r="AK59" s="10" t="s">
        <v>26</v>
      </c>
      <c r="AL59" s="10" t="s">
        <v>26</v>
      </c>
      <c r="AM59" s="9" t="s">
        <v>26</v>
      </c>
      <c r="AN59" s="10" t="s">
        <v>26</v>
      </c>
      <c r="AO59" s="10" t="s">
        <v>26</v>
      </c>
      <c r="AP59" s="10" t="s">
        <v>26</v>
      </c>
      <c r="AQ59" s="9" t="s">
        <v>26</v>
      </c>
      <c r="AR59" s="10" t="s">
        <v>26</v>
      </c>
      <c r="AS59" s="10" t="s">
        <v>26</v>
      </c>
      <c r="AT59" s="10" t="s">
        <v>26</v>
      </c>
      <c r="AU59" s="9" t="s">
        <v>26</v>
      </c>
      <c r="AV59" s="10" t="s">
        <v>26</v>
      </c>
      <c r="AW59" s="10" t="s">
        <v>26</v>
      </c>
      <c r="AX59" s="10" t="s">
        <v>26</v>
      </c>
      <c r="AY59" s="9">
        <v>30136312.399999999</v>
      </c>
      <c r="AZ59" s="10">
        <v>4.0674923219999998E-5</v>
      </c>
      <c r="BA59" s="10">
        <v>0.09</v>
      </c>
      <c r="BB59" s="10">
        <v>0.09</v>
      </c>
    </row>
    <row r="60" spans="1:54" customFormat="1">
      <c r="A60" s="3" t="s">
        <v>39</v>
      </c>
      <c r="B60" s="23" t="s">
        <v>47</v>
      </c>
      <c r="C60" s="2">
        <v>30136312.399999999</v>
      </c>
      <c r="D60" s="1">
        <v>1</v>
      </c>
      <c r="E60" s="1" t="s">
        <v>26</v>
      </c>
      <c r="F60" s="1" t="s">
        <v>26</v>
      </c>
      <c r="G60" s="2" t="s">
        <v>26</v>
      </c>
      <c r="H60" s="1" t="s">
        <v>26</v>
      </c>
      <c r="I60" s="1" t="s">
        <v>26</v>
      </c>
      <c r="J60" s="1" t="s">
        <v>26</v>
      </c>
      <c r="K60" s="2" t="s">
        <v>26</v>
      </c>
      <c r="L60" s="1" t="s">
        <v>26</v>
      </c>
      <c r="M60" s="1" t="s">
        <v>26</v>
      </c>
      <c r="N60" s="1" t="s">
        <v>26</v>
      </c>
      <c r="O60" s="2" t="s">
        <v>26</v>
      </c>
      <c r="P60" s="1" t="s">
        <v>26</v>
      </c>
      <c r="Q60" s="1" t="s">
        <v>26</v>
      </c>
      <c r="R60" s="1" t="s">
        <v>26</v>
      </c>
      <c r="S60" s="2" t="s">
        <v>26</v>
      </c>
      <c r="T60" s="1" t="s">
        <v>26</v>
      </c>
      <c r="U60" s="1" t="s">
        <v>26</v>
      </c>
      <c r="V60" s="1" t="s">
        <v>26</v>
      </c>
      <c r="W60" s="2" t="s">
        <v>26</v>
      </c>
      <c r="X60" s="1" t="s">
        <v>26</v>
      </c>
      <c r="Y60" s="1" t="s">
        <v>26</v>
      </c>
      <c r="Z60" s="1" t="s">
        <v>26</v>
      </c>
      <c r="AA60" s="2" t="s">
        <v>26</v>
      </c>
      <c r="AB60" s="1" t="s">
        <v>26</v>
      </c>
      <c r="AC60" s="1" t="s">
        <v>26</v>
      </c>
      <c r="AD60" s="1" t="s">
        <v>26</v>
      </c>
      <c r="AE60" s="2">
        <v>30136312.399999999</v>
      </c>
      <c r="AF60" s="1">
        <v>1</v>
      </c>
      <c r="AG60" s="1" t="s">
        <v>26</v>
      </c>
      <c r="AH60" s="1" t="s">
        <v>26</v>
      </c>
      <c r="AI60" s="2" t="s">
        <v>26</v>
      </c>
      <c r="AJ60" s="1" t="s">
        <v>26</v>
      </c>
      <c r="AK60" s="1" t="s">
        <v>26</v>
      </c>
      <c r="AL60" s="1" t="s">
        <v>26</v>
      </c>
      <c r="AM60" s="2" t="s">
        <v>26</v>
      </c>
      <c r="AN60" s="1" t="s">
        <v>26</v>
      </c>
      <c r="AO60" s="1" t="s">
        <v>26</v>
      </c>
      <c r="AP60" s="1" t="s">
        <v>26</v>
      </c>
      <c r="AQ60" s="2" t="s">
        <v>26</v>
      </c>
      <c r="AR60" s="1" t="s">
        <v>26</v>
      </c>
      <c r="AS60" s="1" t="s">
        <v>26</v>
      </c>
      <c r="AT60" s="1" t="s">
        <v>26</v>
      </c>
      <c r="AU60" s="2" t="s">
        <v>26</v>
      </c>
      <c r="AV60" s="1" t="s">
        <v>26</v>
      </c>
      <c r="AW60" s="1" t="s">
        <v>26</v>
      </c>
      <c r="AX60" s="1" t="s">
        <v>26</v>
      </c>
      <c r="AY60" s="2">
        <v>30136312.399999999</v>
      </c>
      <c r="AZ60" s="1">
        <v>1</v>
      </c>
      <c r="BA60" s="1" t="s">
        <v>26</v>
      </c>
      <c r="BB60" s="1" t="s">
        <v>26</v>
      </c>
    </row>
    <row r="61" spans="1:54" s="7" customFormat="1">
      <c r="A61" s="5" t="s">
        <v>63</v>
      </c>
      <c r="B61" s="20" t="s">
        <v>25</v>
      </c>
      <c r="C61" s="9" t="s">
        <v>26</v>
      </c>
      <c r="D61" s="10" t="s">
        <v>26</v>
      </c>
      <c r="E61" s="10" t="s">
        <v>26</v>
      </c>
      <c r="F61" s="10" t="s">
        <v>26</v>
      </c>
      <c r="G61" s="9" t="s">
        <v>26</v>
      </c>
      <c r="H61" s="10" t="s">
        <v>26</v>
      </c>
      <c r="I61" s="10" t="s">
        <v>26</v>
      </c>
      <c r="J61" s="10" t="s">
        <v>26</v>
      </c>
      <c r="K61" s="9" t="s">
        <v>26</v>
      </c>
      <c r="L61" s="10" t="s">
        <v>26</v>
      </c>
      <c r="M61" s="10" t="s">
        <v>26</v>
      </c>
      <c r="N61" s="10" t="s">
        <v>26</v>
      </c>
      <c r="O61" s="9" t="s">
        <v>26</v>
      </c>
      <c r="P61" s="10" t="s">
        <v>26</v>
      </c>
      <c r="Q61" s="10" t="s">
        <v>26</v>
      </c>
      <c r="R61" s="10" t="s">
        <v>26</v>
      </c>
      <c r="S61" s="9" t="s">
        <v>26</v>
      </c>
      <c r="T61" s="10" t="s">
        <v>26</v>
      </c>
      <c r="U61" s="10" t="s">
        <v>26</v>
      </c>
      <c r="V61" s="10" t="s">
        <v>26</v>
      </c>
      <c r="W61" s="9" t="s">
        <v>26</v>
      </c>
      <c r="X61" s="10" t="s">
        <v>26</v>
      </c>
      <c r="Y61" s="10" t="s">
        <v>26</v>
      </c>
      <c r="Z61" s="10" t="s">
        <v>26</v>
      </c>
      <c r="AA61" s="9">
        <v>92802673.439999998</v>
      </c>
      <c r="AB61" s="10">
        <v>6.600381063E-4</v>
      </c>
      <c r="AC61" s="10">
        <v>0.13500000000000001</v>
      </c>
      <c r="AD61" s="10">
        <v>0.1343</v>
      </c>
      <c r="AE61" s="9">
        <v>92802673.439999998</v>
      </c>
      <c r="AF61" s="10">
        <v>1.4198408893E-4</v>
      </c>
      <c r="AG61" s="10">
        <v>0.13500000000000001</v>
      </c>
      <c r="AH61" s="10">
        <v>0.13489999999999999</v>
      </c>
      <c r="AI61" s="9" t="s">
        <v>26</v>
      </c>
      <c r="AJ61" s="10" t="s">
        <v>26</v>
      </c>
      <c r="AK61" s="10" t="s">
        <v>26</v>
      </c>
      <c r="AL61" s="10" t="s">
        <v>26</v>
      </c>
      <c r="AM61" s="9" t="s">
        <v>26</v>
      </c>
      <c r="AN61" s="10" t="s">
        <v>26</v>
      </c>
      <c r="AO61" s="10" t="s">
        <v>26</v>
      </c>
      <c r="AP61" s="10" t="s">
        <v>26</v>
      </c>
      <c r="AQ61" s="9" t="s">
        <v>26</v>
      </c>
      <c r="AR61" s="10" t="s">
        <v>26</v>
      </c>
      <c r="AS61" s="10" t="s">
        <v>26</v>
      </c>
      <c r="AT61" s="10" t="s">
        <v>26</v>
      </c>
      <c r="AU61" s="9" t="s">
        <v>26</v>
      </c>
      <c r="AV61" s="10" t="s">
        <v>26</v>
      </c>
      <c r="AW61" s="10" t="s">
        <v>26</v>
      </c>
      <c r="AX61" s="10" t="s">
        <v>26</v>
      </c>
      <c r="AY61" s="9">
        <v>92802673.439999998</v>
      </c>
      <c r="AZ61" s="10">
        <v>1.2525559088999999E-4</v>
      </c>
      <c r="BA61" s="10">
        <v>0.13500000000000001</v>
      </c>
      <c r="BB61" s="10">
        <v>0.13489999999999999</v>
      </c>
    </row>
    <row r="62" spans="1:54" customFormat="1">
      <c r="A62" s="3" t="s">
        <v>41</v>
      </c>
      <c r="B62" s="23" t="s">
        <v>44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92802673.439999998</v>
      </c>
      <c r="AB62" s="1">
        <v>1</v>
      </c>
      <c r="AC62" s="1" t="s">
        <v>26</v>
      </c>
      <c r="AD62" s="1" t="s">
        <v>26</v>
      </c>
      <c r="AE62" s="2">
        <v>92802673.439999998</v>
      </c>
      <c r="AF62" s="1">
        <v>1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92802673.439999998</v>
      </c>
      <c r="AZ62" s="1">
        <v>1</v>
      </c>
      <c r="BA62" s="1" t="s">
        <v>26</v>
      </c>
      <c r="BB62" s="1" t="s">
        <v>26</v>
      </c>
    </row>
    <row r="63" spans="1:54" s="7" customFormat="1">
      <c r="A63" s="5" t="s">
        <v>64</v>
      </c>
      <c r="B63" s="20" t="s">
        <v>25</v>
      </c>
      <c r="C63" s="9">
        <v>22069515.16</v>
      </c>
      <c r="D63" s="10">
        <v>3.3681596992600001E-3</v>
      </c>
      <c r="E63" s="10">
        <v>0.12</v>
      </c>
      <c r="F63" s="10">
        <v>0.1166</v>
      </c>
      <c r="G63" s="9" t="s">
        <v>26</v>
      </c>
      <c r="H63" s="10" t="s">
        <v>26</v>
      </c>
      <c r="I63" s="10" t="s">
        <v>26</v>
      </c>
      <c r="J63" s="10" t="s">
        <v>26</v>
      </c>
      <c r="K63" s="9" t="s">
        <v>26</v>
      </c>
      <c r="L63" s="10" t="s">
        <v>26</v>
      </c>
      <c r="M63" s="10" t="s">
        <v>26</v>
      </c>
      <c r="N63" s="10" t="s">
        <v>26</v>
      </c>
      <c r="O63" s="9" t="s">
        <v>26</v>
      </c>
      <c r="P63" s="10" t="s">
        <v>26</v>
      </c>
      <c r="Q63" s="10" t="s">
        <v>26</v>
      </c>
      <c r="R63" s="10" t="s">
        <v>26</v>
      </c>
      <c r="S63" s="9" t="s">
        <v>26</v>
      </c>
      <c r="T63" s="10" t="s">
        <v>26</v>
      </c>
      <c r="U63" s="10" t="s">
        <v>26</v>
      </c>
      <c r="V63" s="10" t="s">
        <v>26</v>
      </c>
      <c r="W63" s="9" t="s">
        <v>26</v>
      </c>
      <c r="X63" s="10" t="s">
        <v>26</v>
      </c>
      <c r="Y63" s="10" t="s">
        <v>26</v>
      </c>
      <c r="Z63" s="10" t="s">
        <v>26</v>
      </c>
      <c r="AA63" s="9" t="s">
        <v>26</v>
      </c>
      <c r="AB63" s="10" t="s">
        <v>26</v>
      </c>
      <c r="AC63" s="10" t="s">
        <v>26</v>
      </c>
      <c r="AD63" s="10" t="s">
        <v>26</v>
      </c>
      <c r="AE63" s="9">
        <v>22069515.16</v>
      </c>
      <c r="AF63" s="10">
        <v>3.3765406610000003E-5</v>
      </c>
      <c r="AG63" s="10">
        <v>0.12</v>
      </c>
      <c r="AH63" s="10">
        <v>0.12</v>
      </c>
      <c r="AI63" s="9" t="s">
        <v>26</v>
      </c>
      <c r="AJ63" s="10" t="s">
        <v>26</v>
      </c>
      <c r="AK63" s="10" t="s">
        <v>26</v>
      </c>
      <c r="AL63" s="10" t="s">
        <v>26</v>
      </c>
      <c r="AM63" s="9" t="s">
        <v>26</v>
      </c>
      <c r="AN63" s="10" t="s">
        <v>26</v>
      </c>
      <c r="AO63" s="10" t="s">
        <v>26</v>
      </c>
      <c r="AP63" s="10" t="s">
        <v>26</v>
      </c>
      <c r="AQ63" s="9" t="s">
        <v>26</v>
      </c>
      <c r="AR63" s="10" t="s">
        <v>26</v>
      </c>
      <c r="AS63" s="10" t="s">
        <v>26</v>
      </c>
      <c r="AT63" s="10" t="s">
        <v>26</v>
      </c>
      <c r="AU63" s="9" t="s">
        <v>26</v>
      </c>
      <c r="AV63" s="10" t="s">
        <v>26</v>
      </c>
      <c r="AW63" s="10" t="s">
        <v>26</v>
      </c>
      <c r="AX63" s="10" t="s">
        <v>26</v>
      </c>
      <c r="AY63" s="9">
        <v>22069515.16</v>
      </c>
      <c r="AZ63" s="10">
        <v>2.9787182409999999E-5</v>
      </c>
      <c r="BA63" s="10">
        <v>0.12</v>
      </c>
      <c r="BB63" s="10">
        <v>0.12</v>
      </c>
    </row>
    <row r="64" spans="1:54" customFormat="1">
      <c r="A64" s="3" t="s">
        <v>39</v>
      </c>
      <c r="B64" s="23" t="s">
        <v>57</v>
      </c>
      <c r="C64" s="2">
        <v>22069515.16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22069515.16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22069515.16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65</v>
      </c>
      <c r="B65" s="20" t="s">
        <v>25</v>
      </c>
      <c r="C65" s="9" t="s">
        <v>26</v>
      </c>
      <c r="D65" s="10" t="s">
        <v>26</v>
      </c>
      <c r="E65" s="10" t="s">
        <v>26</v>
      </c>
      <c r="F65" s="10" t="s">
        <v>26</v>
      </c>
      <c r="G65" s="9" t="s">
        <v>26</v>
      </c>
      <c r="H65" s="10" t="s">
        <v>26</v>
      </c>
      <c r="I65" s="10" t="s">
        <v>26</v>
      </c>
      <c r="J65" s="10" t="s">
        <v>26</v>
      </c>
      <c r="K65" s="9">
        <v>37830754.479999997</v>
      </c>
      <c r="L65" s="10">
        <v>1.2381261535189999E-2</v>
      </c>
      <c r="M65" s="10">
        <v>0.13500000000000001</v>
      </c>
      <c r="N65" s="10">
        <v>0.1226</v>
      </c>
      <c r="O65" s="9">
        <v>101323670.23</v>
      </c>
      <c r="P65" s="10">
        <v>4.4252928236999999E-4</v>
      </c>
      <c r="Q65" s="10">
        <v>0.13500000000000001</v>
      </c>
      <c r="R65" s="10">
        <v>0.1346</v>
      </c>
      <c r="S65" s="9" t="s">
        <v>26</v>
      </c>
      <c r="T65" s="10" t="s">
        <v>26</v>
      </c>
      <c r="U65" s="10" t="s">
        <v>26</v>
      </c>
      <c r="V65" s="10" t="s">
        <v>26</v>
      </c>
      <c r="W65" s="9" t="s">
        <v>26</v>
      </c>
      <c r="X65" s="10" t="s">
        <v>26</v>
      </c>
      <c r="Y65" s="10" t="s">
        <v>26</v>
      </c>
      <c r="Z65" s="10" t="s">
        <v>26</v>
      </c>
      <c r="AA65" s="9">
        <v>35451093.200000003</v>
      </c>
      <c r="AB65" s="10">
        <v>2.5213791321999999E-4</v>
      </c>
      <c r="AC65" s="10">
        <v>0.13500000000000001</v>
      </c>
      <c r="AD65" s="10">
        <v>0.13469999999999999</v>
      </c>
      <c r="AE65" s="9">
        <v>174605517.91</v>
      </c>
      <c r="AF65" s="10">
        <v>2.6713891382000002E-4</v>
      </c>
      <c r="AG65" s="10">
        <v>0.13500000000000001</v>
      </c>
      <c r="AH65" s="10">
        <v>0.13469999999999999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>
        <v>63206276.600000001</v>
      </c>
      <c r="AV65" s="10">
        <v>1.36789537234E-3</v>
      </c>
      <c r="AW65" s="10">
        <v>0.13500000000000001</v>
      </c>
      <c r="AX65" s="10">
        <v>0.1336</v>
      </c>
      <c r="AY65" s="9">
        <v>237811794.50999999</v>
      </c>
      <c r="AZ65" s="10">
        <v>3.2097412430999998E-4</v>
      </c>
      <c r="BA65" s="10">
        <v>0.13500000000000001</v>
      </c>
      <c r="BB65" s="10">
        <v>0.13469999999999999</v>
      </c>
    </row>
    <row r="66" spans="1:54" customFormat="1">
      <c r="A66" s="3" t="s">
        <v>41</v>
      </c>
      <c r="B66" s="23" t="s">
        <v>44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>
        <v>37830754.479999997</v>
      </c>
      <c r="L66" s="1">
        <v>1</v>
      </c>
      <c r="M66" s="1" t="s">
        <v>26</v>
      </c>
      <c r="N66" s="1" t="s">
        <v>26</v>
      </c>
      <c r="O66" s="2">
        <v>101323670.23</v>
      </c>
      <c r="P66" s="1">
        <v>1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35451093.200000003</v>
      </c>
      <c r="AB66" s="1">
        <v>1</v>
      </c>
      <c r="AC66" s="1" t="s">
        <v>26</v>
      </c>
      <c r="AD66" s="1" t="s">
        <v>26</v>
      </c>
      <c r="AE66" s="2">
        <v>174605517.91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63206276.600000001</v>
      </c>
      <c r="AV66" s="1">
        <v>1</v>
      </c>
      <c r="AW66" s="1" t="s">
        <v>26</v>
      </c>
      <c r="AX66" s="1" t="s">
        <v>26</v>
      </c>
      <c r="AY66" s="2">
        <v>237811794.50999999</v>
      </c>
      <c r="AZ66" s="1">
        <v>1</v>
      </c>
      <c r="BA66" s="1" t="s">
        <v>26</v>
      </c>
      <c r="BB66" s="1" t="s">
        <v>26</v>
      </c>
    </row>
    <row r="67" spans="1:54" s="25" customFormat="1">
      <c r="A67" s="12" t="s">
        <v>66</v>
      </c>
      <c r="B67" s="27" t="s">
        <v>25</v>
      </c>
      <c r="C67" s="29">
        <v>1116199961.4300001</v>
      </c>
      <c r="D67" s="30">
        <v>0.17034990117113999</v>
      </c>
      <c r="E67" s="30" t="s">
        <v>26</v>
      </c>
      <c r="F67" s="30" t="s">
        <v>26</v>
      </c>
      <c r="G67" s="29">
        <v>6812051576.29</v>
      </c>
      <c r="H67" s="30">
        <v>4.4267103232199997E-2</v>
      </c>
      <c r="I67" s="30" t="s">
        <v>26</v>
      </c>
      <c r="J67" s="30" t="s">
        <v>26</v>
      </c>
      <c r="K67" s="29">
        <v>737420143.28999996</v>
      </c>
      <c r="L67" s="30">
        <v>0.24134310248071</v>
      </c>
      <c r="M67" s="30" t="s">
        <v>26</v>
      </c>
      <c r="N67" s="30" t="s">
        <v>26</v>
      </c>
      <c r="O67" s="29">
        <v>10831201444.809999</v>
      </c>
      <c r="P67" s="30">
        <v>4.7305074832599998E-2</v>
      </c>
      <c r="Q67" s="30" t="s">
        <v>26</v>
      </c>
      <c r="R67" s="30" t="s">
        <v>26</v>
      </c>
      <c r="S67" s="29">
        <v>6259061985.5</v>
      </c>
      <c r="T67" s="30">
        <v>5.4806480314849998E-2</v>
      </c>
      <c r="U67" s="30" t="s">
        <v>26</v>
      </c>
      <c r="V67" s="30" t="s">
        <v>26</v>
      </c>
      <c r="W67" s="29" t="s">
        <v>26</v>
      </c>
      <c r="X67" s="30" t="s">
        <v>26</v>
      </c>
      <c r="Y67" s="30" t="s">
        <v>26</v>
      </c>
      <c r="Z67" s="30" t="s">
        <v>26</v>
      </c>
      <c r="AA67" s="29">
        <v>5235290613.1000004</v>
      </c>
      <c r="AB67" s="30">
        <v>3.723482496924E-2</v>
      </c>
      <c r="AC67" s="30" t="s">
        <v>26</v>
      </c>
      <c r="AD67" s="30" t="s">
        <v>26</v>
      </c>
      <c r="AE67" s="29">
        <v>30991225724.419998</v>
      </c>
      <c r="AF67" s="30">
        <v>4.7415239089380001E-2</v>
      </c>
      <c r="AG67" s="30" t="s">
        <v>26</v>
      </c>
      <c r="AH67" s="30" t="s">
        <v>26</v>
      </c>
      <c r="AI67" s="29">
        <v>1084992712.8199999</v>
      </c>
      <c r="AJ67" s="30">
        <v>6.3218795056289995E-2</v>
      </c>
      <c r="AK67" s="30" t="s">
        <v>26</v>
      </c>
      <c r="AL67" s="30" t="s">
        <v>26</v>
      </c>
      <c r="AM67" s="29">
        <v>2202166263.9899998</v>
      </c>
      <c r="AN67" s="30">
        <v>9.2049221541770004E-2</v>
      </c>
      <c r="AO67" s="30" t="s">
        <v>26</v>
      </c>
      <c r="AP67" s="30" t="s">
        <v>26</v>
      </c>
      <c r="AQ67" s="29">
        <v>3287158976.8099999</v>
      </c>
      <c r="AR67" s="30">
        <v>8.000622057805E-2</v>
      </c>
      <c r="AS67" s="30" t="s">
        <v>26</v>
      </c>
      <c r="AT67" s="30" t="s">
        <v>26</v>
      </c>
      <c r="AU67" s="29">
        <v>1490497422.6500001</v>
      </c>
      <c r="AV67" s="30">
        <v>3.2256994662590001E-2</v>
      </c>
      <c r="AW67" s="30" t="s">
        <v>26</v>
      </c>
      <c r="AX67" s="30" t="s">
        <v>26</v>
      </c>
      <c r="AY67" s="29">
        <v>35768882123.879997</v>
      </c>
      <c r="AZ67" s="30">
        <v>4.8277191806149998E-2</v>
      </c>
      <c r="BA67" s="30" t="s">
        <v>26</v>
      </c>
      <c r="BB67" s="30" t="s">
        <v>26</v>
      </c>
    </row>
    <row r="68" spans="1:54" s="7" customFormat="1">
      <c r="A68" s="5" t="s">
        <v>67</v>
      </c>
      <c r="B68" s="20" t="s">
        <v>25</v>
      </c>
      <c r="C68" s="9">
        <v>291733732.43000001</v>
      </c>
      <c r="D68" s="10">
        <v>4.4523216453140002E-2</v>
      </c>
      <c r="E68" s="10">
        <v>0.08</v>
      </c>
      <c r="F68" s="10">
        <v>3.5499999999999997E-2</v>
      </c>
      <c r="G68" s="9" t="s">
        <v>26</v>
      </c>
      <c r="H68" s="10" t="s">
        <v>26</v>
      </c>
      <c r="I68" s="10" t="s">
        <v>26</v>
      </c>
      <c r="J68" s="10" t="s">
        <v>26</v>
      </c>
      <c r="K68" s="9">
        <v>191403191.13999999</v>
      </c>
      <c r="L68" s="10">
        <v>6.2642498167109997E-2</v>
      </c>
      <c r="M68" s="10">
        <v>0.08</v>
      </c>
      <c r="N68" s="10">
        <v>1.7399999999999999E-2</v>
      </c>
      <c r="O68" s="9" t="s">
        <v>26</v>
      </c>
      <c r="P68" s="10" t="s">
        <v>26</v>
      </c>
      <c r="Q68" s="10" t="s">
        <v>26</v>
      </c>
      <c r="R68" s="10" t="s">
        <v>26</v>
      </c>
      <c r="S68" s="9">
        <v>493196086.58999997</v>
      </c>
      <c r="T68" s="10">
        <v>4.3185930533499997E-3</v>
      </c>
      <c r="U68" s="10">
        <v>0.08</v>
      </c>
      <c r="V68" s="10">
        <v>7.5700000000000003E-2</v>
      </c>
      <c r="W68" s="9" t="s">
        <v>26</v>
      </c>
      <c r="X68" s="10" t="s">
        <v>26</v>
      </c>
      <c r="Y68" s="10" t="s">
        <v>26</v>
      </c>
      <c r="Z68" s="10" t="s">
        <v>26</v>
      </c>
      <c r="AA68" s="9" t="s">
        <v>26</v>
      </c>
      <c r="AB68" s="10" t="s">
        <v>26</v>
      </c>
      <c r="AC68" s="10" t="s">
        <v>26</v>
      </c>
      <c r="AD68" s="10" t="s">
        <v>26</v>
      </c>
      <c r="AE68" s="9">
        <v>976333010.15999997</v>
      </c>
      <c r="AF68" s="10">
        <v>1.49374740835E-3</v>
      </c>
      <c r="AG68" s="10">
        <v>0.08</v>
      </c>
      <c r="AH68" s="10">
        <v>7.85E-2</v>
      </c>
      <c r="AI68" s="9" t="s">
        <v>26</v>
      </c>
      <c r="AJ68" s="10" t="s">
        <v>26</v>
      </c>
      <c r="AK68" s="10" t="s">
        <v>26</v>
      </c>
      <c r="AL68" s="10" t="s">
        <v>26</v>
      </c>
      <c r="AM68" s="9" t="s">
        <v>26</v>
      </c>
      <c r="AN68" s="10" t="s">
        <v>26</v>
      </c>
      <c r="AO68" s="10" t="s">
        <v>26</v>
      </c>
      <c r="AP68" s="10" t="s">
        <v>26</v>
      </c>
      <c r="AQ68" s="9" t="s">
        <v>26</v>
      </c>
      <c r="AR68" s="10" t="s">
        <v>26</v>
      </c>
      <c r="AS68" s="10" t="s">
        <v>26</v>
      </c>
      <c r="AT68" s="10" t="s">
        <v>26</v>
      </c>
      <c r="AU68" s="9" t="s">
        <v>26</v>
      </c>
      <c r="AV68" s="10" t="s">
        <v>26</v>
      </c>
      <c r="AW68" s="10" t="s">
        <v>26</v>
      </c>
      <c r="AX68" s="10" t="s">
        <v>26</v>
      </c>
      <c r="AY68" s="9">
        <v>976333010.15999997</v>
      </c>
      <c r="AZ68" s="10">
        <v>1.3177547968899999E-3</v>
      </c>
      <c r="BA68" s="10">
        <v>0.08</v>
      </c>
      <c r="BB68" s="10">
        <v>7.8700000000000006E-2</v>
      </c>
    </row>
    <row r="69" spans="1:54" customFormat="1">
      <c r="A69" s="3" t="s">
        <v>68</v>
      </c>
      <c r="B69" s="23" t="s">
        <v>57</v>
      </c>
      <c r="C69" s="2">
        <v>291733732.43000001</v>
      </c>
      <c r="D69" s="1">
        <v>1</v>
      </c>
      <c r="E69" s="1" t="s">
        <v>26</v>
      </c>
      <c r="F69" s="1" t="s">
        <v>26</v>
      </c>
      <c r="G69" s="2" t="s">
        <v>26</v>
      </c>
      <c r="H69" s="1" t="s">
        <v>26</v>
      </c>
      <c r="I69" s="1" t="s">
        <v>26</v>
      </c>
      <c r="J69" s="1" t="s">
        <v>26</v>
      </c>
      <c r="K69" s="2">
        <v>191403191.13999999</v>
      </c>
      <c r="L69" s="1">
        <v>1</v>
      </c>
      <c r="M69" s="1" t="s">
        <v>26</v>
      </c>
      <c r="N69" s="1" t="s">
        <v>26</v>
      </c>
      <c r="O69" s="2" t="s">
        <v>26</v>
      </c>
      <c r="P69" s="1" t="s">
        <v>26</v>
      </c>
      <c r="Q69" s="1" t="s">
        <v>26</v>
      </c>
      <c r="R69" s="1" t="s">
        <v>26</v>
      </c>
      <c r="S69" s="2">
        <v>493196086.58999997</v>
      </c>
      <c r="T69" s="1">
        <v>1</v>
      </c>
      <c r="U69" s="1" t="s">
        <v>26</v>
      </c>
      <c r="V69" s="1" t="s">
        <v>26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2">
        <v>976333010.15999997</v>
      </c>
      <c r="AF69" s="1">
        <v>1</v>
      </c>
      <c r="AG69" s="1" t="s">
        <v>26</v>
      </c>
      <c r="AH69" s="1" t="s">
        <v>26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2">
        <v>976333010.15999997</v>
      </c>
      <c r="AZ69" s="1">
        <v>1</v>
      </c>
      <c r="BA69" s="1" t="s">
        <v>26</v>
      </c>
      <c r="BB69" s="1" t="s">
        <v>26</v>
      </c>
    </row>
    <row r="70" spans="1:54" s="7" customFormat="1">
      <c r="A70" s="5" t="s">
        <v>69</v>
      </c>
      <c r="B70" s="20" t="s">
        <v>25</v>
      </c>
      <c r="C70" s="9" t="s">
        <v>26</v>
      </c>
      <c r="D70" s="10" t="s">
        <v>26</v>
      </c>
      <c r="E70" s="10" t="s">
        <v>26</v>
      </c>
      <c r="F70" s="10" t="s">
        <v>26</v>
      </c>
      <c r="G70" s="9">
        <v>608649637.20000005</v>
      </c>
      <c r="H70" s="10">
        <v>3.9552190732000002E-3</v>
      </c>
      <c r="I70" s="10">
        <v>0.08</v>
      </c>
      <c r="J70" s="10">
        <v>7.5999999999999998E-2</v>
      </c>
      <c r="K70" s="9">
        <v>82119344.719999999</v>
      </c>
      <c r="L70" s="10">
        <v>2.6876045642020001E-2</v>
      </c>
      <c r="M70" s="10">
        <v>0.08</v>
      </c>
      <c r="N70" s="10">
        <v>5.3100000000000001E-2</v>
      </c>
      <c r="O70" s="9">
        <v>458861648.94999999</v>
      </c>
      <c r="P70" s="10">
        <v>2.0040698856899999E-3</v>
      </c>
      <c r="Q70" s="10">
        <v>2.9000000000000001E-2</v>
      </c>
      <c r="R70" s="10">
        <v>2.7E-2</v>
      </c>
      <c r="S70" s="9">
        <v>100587129</v>
      </c>
      <c r="T70" s="10">
        <v>8.8077518935999999E-4</v>
      </c>
      <c r="U70" s="10">
        <v>0.08</v>
      </c>
      <c r="V70" s="10">
        <v>7.9100000000000004E-2</v>
      </c>
      <c r="W70" s="9" t="s">
        <v>26</v>
      </c>
      <c r="X70" s="10" t="s">
        <v>26</v>
      </c>
      <c r="Y70" s="10" t="s">
        <v>26</v>
      </c>
      <c r="Z70" s="10" t="s">
        <v>26</v>
      </c>
      <c r="AA70" s="9">
        <v>43589475.579999998</v>
      </c>
      <c r="AB70" s="10">
        <v>3.1002032431000001E-4</v>
      </c>
      <c r="AC70" s="10">
        <v>0.08</v>
      </c>
      <c r="AD70" s="10">
        <v>7.9699999999999993E-2</v>
      </c>
      <c r="AE70" s="9">
        <v>1293807235.45</v>
      </c>
      <c r="AF70" s="10">
        <v>1.9794692843E-3</v>
      </c>
      <c r="AG70" s="10">
        <v>6.1899999999999997E-2</v>
      </c>
      <c r="AH70" s="10">
        <v>5.9900000000000002E-2</v>
      </c>
      <c r="AI70" s="9" t="s">
        <v>26</v>
      </c>
      <c r="AJ70" s="10" t="s">
        <v>26</v>
      </c>
      <c r="AK70" s="10" t="s">
        <v>26</v>
      </c>
      <c r="AL70" s="10" t="s">
        <v>26</v>
      </c>
      <c r="AM70" s="9" t="s">
        <v>26</v>
      </c>
      <c r="AN70" s="10" t="s">
        <v>26</v>
      </c>
      <c r="AO70" s="10" t="s">
        <v>26</v>
      </c>
      <c r="AP70" s="10" t="s">
        <v>26</v>
      </c>
      <c r="AQ70" s="9" t="s">
        <v>26</v>
      </c>
      <c r="AR70" s="10" t="s">
        <v>26</v>
      </c>
      <c r="AS70" s="10" t="s">
        <v>26</v>
      </c>
      <c r="AT70" s="10" t="s">
        <v>26</v>
      </c>
      <c r="AU70" s="9">
        <v>100587129</v>
      </c>
      <c r="AV70" s="10">
        <v>2.17688298817E-3</v>
      </c>
      <c r="AW70" s="10">
        <v>0.08</v>
      </c>
      <c r="AX70" s="10">
        <v>7.7799999999999994E-2</v>
      </c>
      <c r="AY70" s="9">
        <v>1394394364.45</v>
      </c>
      <c r="AZ70" s="10">
        <v>1.88201140737E-3</v>
      </c>
      <c r="BA70" s="10">
        <v>6.3200000000000006E-2</v>
      </c>
      <c r="BB70" s="10">
        <v>6.13E-2</v>
      </c>
    </row>
    <row r="71" spans="1:54" customFormat="1">
      <c r="A71" s="3" t="s">
        <v>68</v>
      </c>
      <c r="B71" s="23" t="s">
        <v>57</v>
      </c>
      <c r="C71" s="2" t="s">
        <v>26</v>
      </c>
      <c r="D71" s="1" t="s">
        <v>26</v>
      </c>
      <c r="E71" s="1" t="s">
        <v>26</v>
      </c>
      <c r="F71" s="1" t="s">
        <v>26</v>
      </c>
      <c r="G71" s="2">
        <v>608649637.20000005</v>
      </c>
      <c r="H71" s="1">
        <v>1</v>
      </c>
      <c r="I71" s="1" t="s">
        <v>26</v>
      </c>
      <c r="J71" s="1" t="s">
        <v>26</v>
      </c>
      <c r="K71" s="2">
        <v>82119344.719999999</v>
      </c>
      <c r="L71" s="1">
        <v>1</v>
      </c>
      <c r="M71" s="1" t="s">
        <v>26</v>
      </c>
      <c r="N71" s="1" t="s">
        <v>26</v>
      </c>
      <c r="O71" s="2">
        <v>166438591.96000001</v>
      </c>
      <c r="P71" s="1">
        <v>0.36272064213876998</v>
      </c>
      <c r="Q71" s="1" t="s">
        <v>26</v>
      </c>
      <c r="R71" s="1" t="s">
        <v>26</v>
      </c>
      <c r="S71" s="2">
        <v>100587129</v>
      </c>
      <c r="T71" s="1">
        <v>1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>
        <v>43589475.579999998</v>
      </c>
      <c r="AB71" s="1">
        <v>1</v>
      </c>
      <c r="AC71" s="1" t="s">
        <v>26</v>
      </c>
      <c r="AD71" s="1" t="s">
        <v>26</v>
      </c>
      <c r="AE71" s="2">
        <v>1001384178.46</v>
      </c>
      <c r="AF71" s="1">
        <v>0.77398251534102003</v>
      </c>
      <c r="AG71" s="1" t="s">
        <v>26</v>
      </c>
      <c r="AH71" s="1" t="s">
        <v>26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>
        <v>100587129</v>
      </c>
      <c r="AV71" s="1">
        <v>1</v>
      </c>
      <c r="AW71" s="1" t="s">
        <v>26</v>
      </c>
      <c r="AX71" s="1" t="s">
        <v>26</v>
      </c>
      <c r="AY71" s="2">
        <v>1101971307.46</v>
      </c>
      <c r="AZ71" s="1">
        <v>0.79028669044762001</v>
      </c>
      <c r="BA71" s="1" t="s">
        <v>26</v>
      </c>
      <c r="BB71" s="1" t="s">
        <v>26</v>
      </c>
    </row>
    <row r="72" spans="1:54" customFormat="1">
      <c r="A72" s="3" t="s">
        <v>68</v>
      </c>
      <c r="B72" s="23" t="s">
        <v>57</v>
      </c>
      <c r="C72" s="2" t="s">
        <v>26</v>
      </c>
      <c r="D72" s="1" t="s">
        <v>26</v>
      </c>
      <c r="E72" s="1" t="s">
        <v>26</v>
      </c>
      <c r="F72" s="1" t="s">
        <v>26</v>
      </c>
      <c r="G72" s="2" t="s">
        <v>26</v>
      </c>
      <c r="H72" s="1" t="s">
        <v>26</v>
      </c>
      <c r="I72" s="1" t="s">
        <v>26</v>
      </c>
      <c r="J72" s="1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292423056.99000001</v>
      </c>
      <c r="P72" s="1">
        <v>0.63727935786123002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292423056.99000001</v>
      </c>
      <c r="AF72" s="1">
        <v>0.22601748465898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292423056.99000001</v>
      </c>
      <c r="AZ72" s="1">
        <v>0.20971330955237999</v>
      </c>
      <c r="BA72" s="1" t="s">
        <v>26</v>
      </c>
      <c r="BB72" s="1" t="s">
        <v>26</v>
      </c>
    </row>
    <row r="73" spans="1:54" s="7" customFormat="1">
      <c r="A73" s="5" t="s">
        <v>70</v>
      </c>
      <c r="B73" s="20" t="s">
        <v>25</v>
      </c>
      <c r="C73" s="9" t="s">
        <v>26</v>
      </c>
      <c r="D73" s="10" t="s">
        <v>26</v>
      </c>
      <c r="E73" s="10" t="s">
        <v>26</v>
      </c>
      <c r="F73" s="10" t="s">
        <v>26</v>
      </c>
      <c r="G73" s="9">
        <v>523384692.11000001</v>
      </c>
      <c r="H73" s="10">
        <v>3.4011375187499998E-3</v>
      </c>
      <c r="I73" s="10">
        <v>0.09</v>
      </c>
      <c r="J73" s="10">
        <v>8.6599999999999996E-2</v>
      </c>
      <c r="K73" s="9" t="s">
        <v>26</v>
      </c>
      <c r="L73" s="10" t="s">
        <v>26</v>
      </c>
      <c r="M73" s="10" t="s">
        <v>26</v>
      </c>
      <c r="N73" s="10" t="s">
        <v>26</v>
      </c>
      <c r="O73" s="9">
        <v>1152842708.3900001</v>
      </c>
      <c r="P73" s="10">
        <v>5.0350195099300001E-3</v>
      </c>
      <c r="Q73" s="10">
        <v>0.09</v>
      </c>
      <c r="R73" s="10">
        <v>8.5000000000000006E-2</v>
      </c>
      <c r="S73" s="9">
        <v>526739375.55000001</v>
      </c>
      <c r="T73" s="10">
        <v>4.6123095256100002E-3</v>
      </c>
      <c r="U73" s="10">
        <v>0.09</v>
      </c>
      <c r="V73" s="10">
        <v>8.5400000000000004E-2</v>
      </c>
      <c r="W73" s="9" t="s">
        <v>26</v>
      </c>
      <c r="X73" s="10" t="s">
        <v>26</v>
      </c>
      <c r="Y73" s="10" t="s">
        <v>26</v>
      </c>
      <c r="Z73" s="10" t="s">
        <v>26</v>
      </c>
      <c r="AA73" s="9">
        <v>1402382147.8499999</v>
      </c>
      <c r="AB73" s="10">
        <v>9.9741270684199999E-3</v>
      </c>
      <c r="AC73" s="10">
        <v>0.09</v>
      </c>
      <c r="AD73" s="10">
        <v>0.08</v>
      </c>
      <c r="AE73" s="9">
        <v>3605348923.9000001</v>
      </c>
      <c r="AF73" s="10">
        <v>5.5160283993799996E-3</v>
      </c>
      <c r="AG73" s="10">
        <v>0.09</v>
      </c>
      <c r="AH73" s="10">
        <v>8.4500000000000006E-2</v>
      </c>
      <c r="AI73" s="9">
        <v>98247966.950000003</v>
      </c>
      <c r="AJ73" s="10">
        <v>5.72457124727E-3</v>
      </c>
      <c r="AK73" s="10">
        <v>0.09</v>
      </c>
      <c r="AL73" s="10">
        <v>8.43E-2</v>
      </c>
      <c r="AM73" s="9">
        <v>13826465.640000001</v>
      </c>
      <c r="AN73" s="10">
        <v>5.7793792396000003E-4</v>
      </c>
      <c r="AO73" s="10">
        <v>0.09</v>
      </c>
      <c r="AP73" s="10">
        <v>8.9399999999999993E-2</v>
      </c>
      <c r="AQ73" s="9">
        <v>112074432.59</v>
      </c>
      <c r="AR73" s="10">
        <v>2.7277816005300002E-3</v>
      </c>
      <c r="AS73" s="10">
        <v>0.09</v>
      </c>
      <c r="AT73" s="10">
        <v>8.7300000000000003E-2</v>
      </c>
      <c r="AU73" s="9">
        <v>189980492.56999999</v>
      </c>
      <c r="AV73" s="10">
        <v>4.1115131376300001E-3</v>
      </c>
      <c r="AW73" s="10">
        <v>0.09</v>
      </c>
      <c r="AX73" s="10">
        <v>8.5900000000000004E-2</v>
      </c>
      <c r="AY73" s="9">
        <v>3907403849.0599999</v>
      </c>
      <c r="AZ73" s="10">
        <v>5.2738155034300002E-3</v>
      </c>
      <c r="BA73" s="10">
        <v>0.09</v>
      </c>
      <c r="BB73" s="10">
        <v>8.4699999999999998E-2</v>
      </c>
    </row>
    <row r="74" spans="1:54" customFormat="1">
      <c r="A74" s="3" t="s">
        <v>68</v>
      </c>
      <c r="B74" s="23" t="s">
        <v>40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523384692.11000001</v>
      </c>
      <c r="H74" s="1">
        <v>1</v>
      </c>
      <c r="I74" s="1" t="s">
        <v>26</v>
      </c>
      <c r="J74" s="1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1152842708.3900001</v>
      </c>
      <c r="P74" s="1">
        <v>1</v>
      </c>
      <c r="Q74" s="1" t="s">
        <v>26</v>
      </c>
      <c r="R74" s="1" t="s">
        <v>26</v>
      </c>
      <c r="S74" s="2">
        <v>526739375.55000001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1402382147.8499999</v>
      </c>
      <c r="AB74" s="1">
        <v>1</v>
      </c>
      <c r="AC74" s="1" t="s">
        <v>26</v>
      </c>
      <c r="AD74" s="1" t="s">
        <v>26</v>
      </c>
      <c r="AE74" s="2">
        <v>3605348923.9000001</v>
      </c>
      <c r="AF74" s="1">
        <v>1</v>
      </c>
      <c r="AG74" s="1" t="s">
        <v>26</v>
      </c>
      <c r="AH74" s="1" t="s">
        <v>26</v>
      </c>
      <c r="AI74" s="2">
        <v>98247966.950000003</v>
      </c>
      <c r="AJ74" s="1">
        <v>1</v>
      </c>
      <c r="AK74" s="1" t="s">
        <v>26</v>
      </c>
      <c r="AL74" s="1" t="s">
        <v>26</v>
      </c>
      <c r="AM74" s="2">
        <v>13826465.640000001</v>
      </c>
      <c r="AN74" s="1">
        <v>1</v>
      </c>
      <c r="AO74" s="1" t="s">
        <v>26</v>
      </c>
      <c r="AP74" s="1" t="s">
        <v>26</v>
      </c>
      <c r="AQ74" s="2">
        <v>112074432.59</v>
      </c>
      <c r="AR74" s="1">
        <v>1</v>
      </c>
      <c r="AS74" s="1" t="s">
        <v>26</v>
      </c>
      <c r="AT74" s="1" t="s">
        <v>26</v>
      </c>
      <c r="AU74" s="2">
        <v>189980492.56999999</v>
      </c>
      <c r="AV74" s="1">
        <v>1</v>
      </c>
      <c r="AW74" s="1" t="s">
        <v>26</v>
      </c>
      <c r="AX74" s="1" t="s">
        <v>26</v>
      </c>
      <c r="AY74" s="2">
        <v>3907403849.0599999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71</v>
      </c>
      <c r="B75" s="20" t="s">
        <v>25</v>
      </c>
      <c r="C75" s="9">
        <v>354838607.76999998</v>
      </c>
      <c r="D75" s="10">
        <v>5.4154026029430001E-2</v>
      </c>
      <c r="E75" s="10">
        <v>0.08</v>
      </c>
      <c r="F75" s="10">
        <v>2.58E-2</v>
      </c>
      <c r="G75" s="9">
        <v>473093314.51999998</v>
      </c>
      <c r="H75" s="10">
        <v>3.0743264870800001E-3</v>
      </c>
      <c r="I75" s="10">
        <v>0.08</v>
      </c>
      <c r="J75" s="10">
        <v>7.6899999999999996E-2</v>
      </c>
      <c r="K75" s="9">
        <v>166321915.31</v>
      </c>
      <c r="L75" s="10">
        <v>5.443389011909E-2</v>
      </c>
      <c r="M75" s="10">
        <v>0.08</v>
      </c>
      <c r="N75" s="10">
        <v>2.5600000000000001E-2</v>
      </c>
      <c r="O75" s="9">
        <v>1458926630.3</v>
      </c>
      <c r="P75" s="10">
        <v>6.3718354582600004E-3</v>
      </c>
      <c r="Q75" s="10">
        <v>0.08</v>
      </c>
      <c r="R75" s="10">
        <v>7.3599999999999999E-2</v>
      </c>
      <c r="S75" s="9">
        <v>314629285.11000001</v>
      </c>
      <c r="T75" s="10">
        <v>2.75500127029E-3</v>
      </c>
      <c r="U75" s="10">
        <v>0.08</v>
      </c>
      <c r="V75" s="10">
        <v>7.7200000000000005E-2</v>
      </c>
      <c r="W75" s="9" t="s">
        <v>26</v>
      </c>
      <c r="X75" s="10" t="s">
        <v>26</v>
      </c>
      <c r="Y75" s="10" t="s">
        <v>26</v>
      </c>
      <c r="Z75" s="10" t="s">
        <v>26</v>
      </c>
      <c r="AA75" s="9" t="s">
        <v>26</v>
      </c>
      <c r="AB75" s="10" t="s">
        <v>26</v>
      </c>
      <c r="AC75" s="10" t="s">
        <v>26</v>
      </c>
      <c r="AD75" s="10" t="s">
        <v>26</v>
      </c>
      <c r="AE75" s="9">
        <v>2767809753.0100002</v>
      </c>
      <c r="AF75" s="10">
        <v>4.2346295806399998E-3</v>
      </c>
      <c r="AG75" s="10">
        <v>0.08</v>
      </c>
      <c r="AH75" s="10">
        <v>7.5800000000000006E-2</v>
      </c>
      <c r="AI75" s="9" t="s">
        <v>26</v>
      </c>
      <c r="AJ75" s="10" t="s">
        <v>26</v>
      </c>
      <c r="AK75" s="10" t="s">
        <v>26</v>
      </c>
      <c r="AL75" s="10" t="s">
        <v>26</v>
      </c>
      <c r="AM75" s="9" t="s">
        <v>26</v>
      </c>
      <c r="AN75" s="10" t="s">
        <v>26</v>
      </c>
      <c r="AO75" s="10" t="s">
        <v>26</v>
      </c>
      <c r="AP75" s="10" t="s">
        <v>26</v>
      </c>
      <c r="AQ75" s="9" t="s">
        <v>26</v>
      </c>
      <c r="AR75" s="10" t="s">
        <v>26</v>
      </c>
      <c r="AS75" s="10" t="s">
        <v>26</v>
      </c>
      <c r="AT75" s="10" t="s">
        <v>26</v>
      </c>
      <c r="AU75" s="9" t="s">
        <v>26</v>
      </c>
      <c r="AV75" s="10" t="s">
        <v>26</v>
      </c>
      <c r="AW75" s="10" t="s">
        <v>26</v>
      </c>
      <c r="AX75" s="10" t="s">
        <v>26</v>
      </c>
      <c r="AY75" s="9">
        <v>2767809753.0100002</v>
      </c>
      <c r="AZ75" s="10">
        <v>3.7357075310900001E-3</v>
      </c>
      <c r="BA75" s="10">
        <v>0.08</v>
      </c>
      <c r="BB75" s="10">
        <v>7.6300000000000007E-2</v>
      </c>
    </row>
    <row r="76" spans="1:54" customFormat="1">
      <c r="A76" s="3" t="s">
        <v>68</v>
      </c>
      <c r="B76" s="23" t="s">
        <v>57</v>
      </c>
      <c r="C76" s="2">
        <v>354838607.76999998</v>
      </c>
      <c r="D76" s="1">
        <v>1</v>
      </c>
      <c r="E76" s="1" t="s">
        <v>26</v>
      </c>
      <c r="F76" s="1" t="s">
        <v>26</v>
      </c>
      <c r="G76" s="2">
        <v>473093314.51999998</v>
      </c>
      <c r="H76" s="1">
        <v>1</v>
      </c>
      <c r="I76" s="1" t="s">
        <v>26</v>
      </c>
      <c r="J76" s="1" t="s">
        <v>26</v>
      </c>
      <c r="K76" s="2">
        <v>166321915.31</v>
      </c>
      <c r="L76" s="1">
        <v>1</v>
      </c>
      <c r="M76" s="1" t="s">
        <v>26</v>
      </c>
      <c r="N76" s="1" t="s">
        <v>26</v>
      </c>
      <c r="O76" s="2">
        <v>1458926630.3</v>
      </c>
      <c r="P76" s="1">
        <v>1</v>
      </c>
      <c r="Q76" s="1" t="s">
        <v>26</v>
      </c>
      <c r="R76" s="1" t="s">
        <v>26</v>
      </c>
      <c r="S76" s="2">
        <v>314629285.11000001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2767809753.0100002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 t="s">
        <v>26</v>
      </c>
      <c r="AR76" s="1" t="s">
        <v>26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2767809753.0100002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72</v>
      </c>
      <c r="B77" s="20" t="s">
        <v>25</v>
      </c>
      <c r="C77" s="9" t="s">
        <v>26</v>
      </c>
      <c r="D77" s="10" t="s">
        <v>26</v>
      </c>
      <c r="E77" s="10" t="s">
        <v>26</v>
      </c>
      <c r="F77" s="10" t="s">
        <v>26</v>
      </c>
      <c r="G77" s="9">
        <v>2650862769.5300002</v>
      </c>
      <c r="H77" s="10">
        <v>1.722623714148E-2</v>
      </c>
      <c r="I77" s="10">
        <v>0.09</v>
      </c>
      <c r="J77" s="10">
        <v>7.2800000000000004E-2</v>
      </c>
      <c r="K77" s="9" t="s">
        <v>26</v>
      </c>
      <c r="L77" s="10" t="s">
        <v>26</v>
      </c>
      <c r="M77" s="10" t="s">
        <v>26</v>
      </c>
      <c r="N77" s="10" t="s">
        <v>26</v>
      </c>
      <c r="O77" s="9">
        <v>2231553470.46</v>
      </c>
      <c r="P77" s="10">
        <v>9.7462690958999999E-3</v>
      </c>
      <c r="Q77" s="10">
        <v>0.09</v>
      </c>
      <c r="R77" s="10">
        <v>8.0299999999999996E-2</v>
      </c>
      <c r="S77" s="9">
        <v>1396984822.73</v>
      </c>
      <c r="T77" s="10">
        <v>1.223247530772E-2</v>
      </c>
      <c r="U77" s="10">
        <v>0.09</v>
      </c>
      <c r="V77" s="10">
        <v>7.7799999999999994E-2</v>
      </c>
      <c r="W77" s="9" t="s">
        <v>26</v>
      </c>
      <c r="X77" s="10" t="s">
        <v>26</v>
      </c>
      <c r="Y77" s="10" t="s">
        <v>26</v>
      </c>
      <c r="Z77" s="10" t="s">
        <v>26</v>
      </c>
      <c r="AA77" s="9">
        <v>1861559253.29</v>
      </c>
      <c r="AB77" s="10">
        <v>1.323992077779E-2</v>
      </c>
      <c r="AC77" s="10">
        <v>0.09</v>
      </c>
      <c r="AD77" s="10">
        <v>7.6799999999999993E-2</v>
      </c>
      <c r="AE77" s="9">
        <v>8140960316.0100002</v>
      </c>
      <c r="AF77" s="10">
        <v>1.245531826438E-2</v>
      </c>
      <c r="AG77" s="10">
        <v>0.09</v>
      </c>
      <c r="AH77" s="10">
        <v>7.7499999999999999E-2</v>
      </c>
      <c r="AI77" s="9">
        <v>16591099.300000001</v>
      </c>
      <c r="AJ77" s="10">
        <v>9.6670631425999998E-4</v>
      </c>
      <c r="AK77" s="10">
        <v>0.09</v>
      </c>
      <c r="AL77" s="10">
        <v>8.8999999999999996E-2</v>
      </c>
      <c r="AM77" s="9">
        <v>118656203.09999999</v>
      </c>
      <c r="AN77" s="10">
        <v>4.9597577190499996E-3</v>
      </c>
      <c r="AO77" s="10">
        <v>0.09</v>
      </c>
      <c r="AP77" s="10">
        <v>8.5000000000000006E-2</v>
      </c>
      <c r="AQ77" s="9">
        <v>135247302.40000001</v>
      </c>
      <c r="AR77" s="10">
        <v>3.29178648941E-3</v>
      </c>
      <c r="AS77" s="10">
        <v>0.09</v>
      </c>
      <c r="AT77" s="10">
        <v>8.6699999999999999E-2</v>
      </c>
      <c r="AU77" s="9">
        <v>489529408.74000001</v>
      </c>
      <c r="AV77" s="10">
        <v>1.05942803288E-2</v>
      </c>
      <c r="AW77" s="10">
        <v>0.09</v>
      </c>
      <c r="AX77" s="10">
        <v>7.9399999999999998E-2</v>
      </c>
      <c r="AY77" s="9">
        <v>8765737027.1499996</v>
      </c>
      <c r="AZ77" s="10">
        <v>1.18310985039E-2</v>
      </c>
      <c r="BA77" s="10">
        <v>0.09</v>
      </c>
      <c r="BB77" s="10">
        <v>7.8200000000000006E-2</v>
      </c>
    </row>
    <row r="78" spans="1:54" customFormat="1">
      <c r="A78" s="3" t="s">
        <v>68</v>
      </c>
      <c r="B78" s="23" t="s">
        <v>40</v>
      </c>
      <c r="C78" s="2" t="s">
        <v>26</v>
      </c>
      <c r="D78" s="1" t="s">
        <v>26</v>
      </c>
      <c r="E78" s="1" t="s">
        <v>26</v>
      </c>
      <c r="F78" s="1" t="s">
        <v>26</v>
      </c>
      <c r="G78" s="2">
        <v>2650862769.5300002</v>
      </c>
      <c r="H78" s="1">
        <v>1</v>
      </c>
      <c r="I78" s="1" t="s">
        <v>26</v>
      </c>
      <c r="J78" s="1" t="s">
        <v>26</v>
      </c>
      <c r="K78" s="2" t="s">
        <v>26</v>
      </c>
      <c r="L78" s="1" t="s">
        <v>26</v>
      </c>
      <c r="M78" s="1" t="s">
        <v>26</v>
      </c>
      <c r="N78" s="1" t="s">
        <v>26</v>
      </c>
      <c r="O78" s="2">
        <v>2231553470.46</v>
      </c>
      <c r="P78" s="1">
        <v>1</v>
      </c>
      <c r="Q78" s="1" t="s">
        <v>26</v>
      </c>
      <c r="R78" s="1" t="s">
        <v>26</v>
      </c>
      <c r="S78" s="2">
        <v>1396984822.73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>
        <v>1861559253.29</v>
      </c>
      <c r="AB78" s="1">
        <v>1</v>
      </c>
      <c r="AC78" s="1" t="s">
        <v>26</v>
      </c>
      <c r="AD78" s="1" t="s">
        <v>26</v>
      </c>
      <c r="AE78" s="2">
        <v>8140960316.0100002</v>
      </c>
      <c r="AF78" s="1">
        <v>1</v>
      </c>
      <c r="AG78" s="1" t="s">
        <v>26</v>
      </c>
      <c r="AH78" s="1" t="s">
        <v>26</v>
      </c>
      <c r="AI78" s="2">
        <v>16591099.300000001</v>
      </c>
      <c r="AJ78" s="1">
        <v>1</v>
      </c>
      <c r="AK78" s="1" t="s">
        <v>26</v>
      </c>
      <c r="AL78" s="1" t="s">
        <v>26</v>
      </c>
      <c r="AM78" s="2">
        <v>118656203.09999999</v>
      </c>
      <c r="AN78" s="1">
        <v>1</v>
      </c>
      <c r="AO78" s="1" t="s">
        <v>26</v>
      </c>
      <c r="AP78" s="1" t="s">
        <v>26</v>
      </c>
      <c r="AQ78" s="2">
        <v>135247302.40000001</v>
      </c>
      <c r="AR78" s="1">
        <v>1</v>
      </c>
      <c r="AS78" s="1" t="s">
        <v>26</v>
      </c>
      <c r="AT78" s="1" t="s">
        <v>26</v>
      </c>
      <c r="AU78" s="2">
        <v>489529408.74000001</v>
      </c>
      <c r="AV78" s="1">
        <v>1</v>
      </c>
      <c r="AW78" s="1" t="s">
        <v>26</v>
      </c>
      <c r="AX78" s="1" t="s">
        <v>26</v>
      </c>
      <c r="AY78" s="2">
        <v>8765737027.1499996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73</v>
      </c>
      <c r="B79" s="20" t="s">
        <v>25</v>
      </c>
      <c r="C79" s="9">
        <v>87596469.329999998</v>
      </c>
      <c r="D79" s="10">
        <v>1.3368617101710001E-2</v>
      </c>
      <c r="E79" s="10">
        <v>0.08</v>
      </c>
      <c r="F79" s="10">
        <v>6.6600000000000006E-2</v>
      </c>
      <c r="G79" s="9">
        <v>222309183.08000001</v>
      </c>
      <c r="H79" s="10">
        <v>1.44464313675E-3</v>
      </c>
      <c r="I79" s="10">
        <v>0.08</v>
      </c>
      <c r="J79" s="10">
        <v>7.8600000000000003E-2</v>
      </c>
      <c r="K79" s="9">
        <v>105422207.25</v>
      </c>
      <c r="L79" s="10">
        <v>3.4502614011279999E-2</v>
      </c>
      <c r="M79" s="10">
        <v>0.08</v>
      </c>
      <c r="N79" s="10">
        <v>4.5499999999999999E-2</v>
      </c>
      <c r="O79" s="9">
        <v>2741574243.5999999</v>
      </c>
      <c r="P79" s="10">
        <v>1.1973775523750001E-2</v>
      </c>
      <c r="Q79" s="10">
        <v>0.08</v>
      </c>
      <c r="R79" s="10">
        <v>6.8000000000000005E-2</v>
      </c>
      <c r="S79" s="9">
        <v>2891227925.4299998</v>
      </c>
      <c r="T79" s="10">
        <v>2.5316577267949999E-2</v>
      </c>
      <c r="U79" s="10">
        <v>0.08</v>
      </c>
      <c r="V79" s="10">
        <v>5.4699999999999999E-2</v>
      </c>
      <c r="W79" s="9" t="s">
        <v>26</v>
      </c>
      <c r="X79" s="10" t="s">
        <v>26</v>
      </c>
      <c r="Y79" s="10" t="s">
        <v>26</v>
      </c>
      <c r="Z79" s="10" t="s">
        <v>26</v>
      </c>
      <c r="AA79" s="9">
        <v>1887014645.98</v>
      </c>
      <c r="AB79" s="10">
        <v>1.342096652317E-2</v>
      </c>
      <c r="AC79" s="10">
        <v>0.08</v>
      </c>
      <c r="AD79" s="10">
        <v>6.6600000000000006E-2</v>
      </c>
      <c r="AE79" s="9">
        <v>7935144674.6700001</v>
      </c>
      <c r="AF79" s="10">
        <v>1.214042920741E-2</v>
      </c>
      <c r="AG79" s="10">
        <v>0.08</v>
      </c>
      <c r="AH79" s="10">
        <v>6.7900000000000002E-2</v>
      </c>
      <c r="AI79" s="9">
        <v>615043708.07000005</v>
      </c>
      <c r="AJ79" s="10">
        <v>3.5836482283899997E-2</v>
      </c>
      <c r="AK79" s="10">
        <v>0.08</v>
      </c>
      <c r="AL79" s="10">
        <v>4.4200000000000003E-2</v>
      </c>
      <c r="AM79" s="9">
        <v>1692316838.01</v>
      </c>
      <c r="AN79" s="10">
        <v>7.0737823064549996E-2</v>
      </c>
      <c r="AO79" s="10">
        <v>0.08</v>
      </c>
      <c r="AP79" s="10">
        <v>9.2999999999999992E-3</v>
      </c>
      <c r="AQ79" s="9">
        <v>2307360546.0799999</v>
      </c>
      <c r="AR79" s="10">
        <v>5.615888921257E-2</v>
      </c>
      <c r="AS79" s="10">
        <v>0.08</v>
      </c>
      <c r="AT79" s="10">
        <v>2.3800000000000002E-2</v>
      </c>
      <c r="AU79" s="9">
        <v>710400392.34000003</v>
      </c>
      <c r="AV79" s="10">
        <v>1.537431820799E-2</v>
      </c>
      <c r="AW79" s="10">
        <v>0.08</v>
      </c>
      <c r="AX79" s="10">
        <v>6.4600000000000005E-2</v>
      </c>
      <c r="AY79" s="9">
        <v>10952905613.09</v>
      </c>
      <c r="AZ79" s="10">
        <v>1.478311576209E-2</v>
      </c>
      <c r="BA79" s="10">
        <v>0.08</v>
      </c>
      <c r="BB79" s="10">
        <v>6.5199999999999994E-2</v>
      </c>
    </row>
    <row r="80" spans="1:54" customFormat="1">
      <c r="A80" s="3" t="s">
        <v>68</v>
      </c>
      <c r="B80" s="23" t="s">
        <v>57</v>
      </c>
      <c r="C80" s="2">
        <v>87596469.329999998</v>
      </c>
      <c r="D80" s="1">
        <v>1</v>
      </c>
      <c r="E80" s="1" t="s">
        <v>26</v>
      </c>
      <c r="F80" s="1" t="s">
        <v>26</v>
      </c>
      <c r="G80" s="2">
        <v>222309183.08000001</v>
      </c>
      <c r="H80" s="1">
        <v>1</v>
      </c>
      <c r="I80" s="1" t="s">
        <v>26</v>
      </c>
      <c r="J80" s="1" t="s">
        <v>26</v>
      </c>
      <c r="K80" s="2">
        <v>105422207.25</v>
      </c>
      <c r="L80" s="1">
        <v>1</v>
      </c>
      <c r="M80" s="1" t="s">
        <v>26</v>
      </c>
      <c r="N80" s="1" t="s">
        <v>26</v>
      </c>
      <c r="O80" s="2">
        <v>2741574243.5999999</v>
      </c>
      <c r="P80" s="1">
        <v>1</v>
      </c>
      <c r="Q80" s="1" t="s">
        <v>26</v>
      </c>
      <c r="R80" s="1" t="s">
        <v>26</v>
      </c>
      <c r="S80" s="2">
        <v>2891227925.4299998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>
        <v>1887014645.98</v>
      </c>
      <c r="AB80" s="1">
        <v>1</v>
      </c>
      <c r="AC80" s="1" t="s">
        <v>26</v>
      </c>
      <c r="AD80" s="1" t="s">
        <v>26</v>
      </c>
      <c r="AE80" s="2">
        <v>7935144674.6700001</v>
      </c>
      <c r="AF80" s="1">
        <v>1</v>
      </c>
      <c r="AG80" s="1" t="s">
        <v>26</v>
      </c>
      <c r="AH80" s="1" t="s">
        <v>26</v>
      </c>
      <c r="AI80" s="2">
        <v>615043708.07000005</v>
      </c>
      <c r="AJ80" s="1">
        <v>1</v>
      </c>
      <c r="AK80" s="1" t="s">
        <v>26</v>
      </c>
      <c r="AL80" s="1" t="s">
        <v>26</v>
      </c>
      <c r="AM80" s="2">
        <v>1692316838.01</v>
      </c>
      <c r="AN80" s="1">
        <v>1</v>
      </c>
      <c r="AO80" s="1" t="s">
        <v>26</v>
      </c>
      <c r="AP80" s="1" t="s">
        <v>26</v>
      </c>
      <c r="AQ80" s="2">
        <v>2307360546.0799999</v>
      </c>
      <c r="AR80" s="1">
        <v>1</v>
      </c>
      <c r="AS80" s="1" t="s">
        <v>26</v>
      </c>
      <c r="AT80" s="1" t="s">
        <v>26</v>
      </c>
      <c r="AU80" s="2">
        <v>710400392.34000003</v>
      </c>
      <c r="AV80" s="1">
        <v>1</v>
      </c>
      <c r="AW80" s="1" t="s">
        <v>26</v>
      </c>
      <c r="AX80" s="1" t="s">
        <v>26</v>
      </c>
      <c r="AY80" s="2">
        <v>10952905613.09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74</v>
      </c>
      <c r="B81" s="20" t="s">
        <v>25</v>
      </c>
      <c r="C81" s="9">
        <v>256773792.18000001</v>
      </c>
      <c r="D81" s="10">
        <v>3.9187772471490002E-2</v>
      </c>
      <c r="E81" s="10">
        <v>0.08</v>
      </c>
      <c r="F81" s="10">
        <v>4.0800000000000003E-2</v>
      </c>
      <c r="G81" s="9">
        <v>871468858.64999998</v>
      </c>
      <c r="H81" s="10">
        <v>5.6631106645999999E-3</v>
      </c>
      <c r="I81" s="10">
        <v>0.08</v>
      </c>
      <c r="J81" s="10">
        <v>7.4300000000000005E-2</v>
      </c>
      <c r="K81" s="9">
        <v>107705561.58</v>
      </c>
      <c r="L81" s="10">
        <v>3.5249910953299997E-2</v>
      </c>
      <c r="M81" s="10">
        <v>0.08</v>
      </c>
      <c r="N81" s="10">
        <v>4.48E-2</v>
      </c>
      <c r="O81" s="9">
        <v>1860699278.1900001</v>
      </c>
      <c r="P81" s="10">
        <v>8.1265701726900008E-3</v>
      </c>
      <c r="Q81" s="10">
        <v>0.08</v>
      </c>
      <c r="R81" s="10">
        <v>7.1900000000000006E-2</v>
      </c>
      <c r="S81" s="9" t="s">
        <v>26</v>
      </c>
      <c r="T81" s="10" t="s">
        <v>26</v>
      </c>
      <c r="U81" s="10" t="s">
        <v>26</v>
      </c>
      <c r="V81" s="10" t="s">
        <v>26</v>
      </c>
      <c r="W81" s="9" t="s">
        <v>26</v>
      </c>
      <c r="X81" s="10" t="s">
        <v>26</v>
      </c>
      <c r="Y81" s="10" t="s">
        <v>26</v>
      </c>
      <c r="Z81" s="10" t="s">
        <v>26</v>
      </c>
      <c r="AA81" s="9" t="s">
        <v>26</v>
      </c>
      <c r="AB81" s="10" t="s">
        <v>26</v>
      </c>
      <c r="AC81" s="10" t="s">
        <v>26</v>
      </c>
      <c r="AD81" s="10" t="s">
        <v>26</v>
      </c>
      <c r="AE81" s="9">
        <v>3096647490.5999999</v>
      </c>
      <c r="AF81" s="10">
        <v>4.7377371404399996E-3</v>
      </c>
      <c r="AG81" s="10">
        <v>0.08</v>
      </c>
      <c r="AH81" s="10">
        <v>7.5300000000000006E-2</v>
      </c>
      <c r="AI81" s="9" t="s">
        <v>26</v>
      </c>
      <c r="AJ81" s="10" t="s">
        <v>26</v>
      </c>
      <c r="AK81" s="10" t="s">
        <v>26</v>
      </c>
      <c r="AL81" s="10" t="s">
        <v>26</v>
      </c>
      <c r="AM81" s="9">
        <v>377366757.24000001</v>
      </c>
      <c r="AN81" s="10">
        <v>1.5773702834200001E-2</v>
      </c>
      <c r="AO81" s="10">
        <v>0.08</v>
      </c>
      <c r="AP81" s="10">
        <v>6.4199999999999993E-2</v>
      </c>
      <c r="AQ81" s="9">
        <v>377366757.24000001</v>
      </c>
      <c r="AR81" s="10">
        <v>9.1847361906E-3</v>
      </c>
      <c r="AS81" s="10">
        <v>0.08</v>
      </c>
      <c r="AT81" s="10">
        <v>7.0800000000000002E-2</v>
      </c>
      <c r="AU81" s="9" t="s">
        <v>26</v>
      </c>
      <c r="AV81" s="10" t="s">
        <v>26</v>
      </c>
      <c r="AW81" s="10" t="s">
        <v>26</v>
      </c>
      <c r="AX81" s="10" t="s">
        <v>26</v>
      </c>
      <c r="AY81" s="9">
        <v>3474014247.8400002</v>
      </c>
      <c r="AZ81" s="10">
        <v>4.68887038738E-3</v>
      </c>
      <c r="BA81" s="10">
        <v>0.08</v>
      </c>
      <c r="BB81" s="10">
        <v>7.5300000000000006E-2</v>
      </c>
    </row>
    <row r="82" spans="1:54" customFormat="1">
      <c r="A82" s="3" t="s">
        <v>68</v>
      </c>
      <c r="B82" s="23" t="s">
        <v>57</v>
      </c>
      <c r="C82" s="2">
        <v>256773792.18000001</v>
      </c>
      <c r="D82" s="1">
        <v>1</v>
      </c>
      <c r="E82" s="1" t="s">
        <v>26</v>
      </c>
      <c r="F82" s="1" t="s">
        <v>26</v>
      </c>
      <c r="G82" s="2">
        <v>871468858.64999998</v>
      </c>
      <c r="H82" s="1">
        <v>1</v>
      </c>
      <c r="I82" s="1" t="s">
        <v>26</v>
      </c>
      <c r="J82" s="1" t="s">
        <v>26</v>
      </c>
      <c r="K82" s="2">
        <v>107705561.58</v>
      </c>
      <c r="L82" s="1">
        <v>1</v>
      </c>
      <c r="M82" s="1" t="s">
        <v>26</v>
      </c>
      <c r="N82" s="1" t="s">
        <v>26</v>
      </c>
      <c r="O82" s="2">
        <v>1860699278.1900001</v>
      </c>
      <c r="P82" s="1">
        <v>1</v>
      </c>
      <c r="Q82" s="1" t="s">
        <v>26</v>
      </c>
      <c r="R82" s="1" t="s">
        <v>26</v>
      </c>
      <c r="S82" s="2" t="s">
        <v>26</v>
      </c>
      <c r="T82" s="1" t="s">
        <v>26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3096647490.5999999</v>
      </c>
      <c r="AF82" s="1">
        <v>1</v>
      </c>
      <c r="AG82" s="1" t="s">
        <v>26</v>
      </c>
      <c r="AH82" s="1" t="s">
        <v>26</v>
      </c>
      <c r="AI82" s="2" t="s">
        <v>26</v>
      </c>
      <c r="AJ82" s="1" t="s">
        <v>26</v>
      </c>
      <c r="AK82" s="1" t="s">
        <v>26</v>
      </c>
      <c r="AL82" s="1" t="s">
        <v>26</v>
      </c>
      <c r="AM82" s="2">
        <v>377366757.24000001</v>
      </c>
      <c r="AN82" s="1">
        <v>1</v>
      </c>
      <c r="AO82" s="1" t="s">
        <v>26</v>
      </c>
      <c r="AP82" s="1" t="s">
        <v>26</v>
      </c>
      <c r="AQ82" s="2">
        <v>377366757.24000001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3474014247.8400002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75</v>
      </c>
      <c r="B83" s="20" t="s">
        <v>25</v>
      </c>
      <c r="C83" s="9">
        <v>88258649.469999999</v>
      </c>
      <c r="D83" s="10">
        <v>1.346967634316E-2</v>
      </c>
      <c r="E83" s="10">
        <v>0.06</v>
      </c>
      <c r="F83" s="10">
        <v>4.65E-2</v>
      </c>
      <c r="G83" s="9">
        <v>658304419.5</v>
      </c>
      <c r="H83" s="10">
        <v>4.2778932851399998E-3</v>
      </c>
      <c r="I83" s="10">
        <v>0.06</v>
      </c>
      <c r="J83" s="10">
        <v>5.57E-2</v>
      </c>
      <c r="K83" s="9">
        <v>33702045.289999999</v>
      </c>
      <c r="L83" s="10">
        <v>1.103001625904E-2</v>
      </c>
      <c r="M83" s="10">
        <v>0.06</v>
      </c>
      <c r="N83" s="10">
        <v>4.9000000000000002E-2</v>
      </c>
      <c r="O83" s="9">
        <v>503405632.93000001</v>
      </c>
      <c r="P83" s="10">
        <v>2.19861492358E-3</v>
      </c>
      <c r="Q83" s="10">
        <v>0.06</v>
      </c>
      <c r="R83" s="10">
        <v>5.7799999999999997E-2</v>
      </c>
      <c r="S83" s="9">
        <v>330468785.08999997</v>
      </c>
      <c r="T83" s="10">
        <v>2.89369733143E-3</v>
      </c>
      <c r="U83" s="10">
        <v>0.06</v>
      </c>
      <c r="V83" s="10">
        <v>5.7099999999999998E-2</v>
      </c>
      <c r="W83" s="9" t="s">
        <v>26</v>
      </c>
      <c r="X83" s="10" t="s">
        <v>26</v>
      </c>
      <c r="Y83" s="10" t="s">
        <v>26</v>
      </c>
      <c r="Z83" s="10" t="s">
        <v>26</v>
      </c>
      <c r="AA83" s="9">
        <v>40745090.399999999</v>
      </c>
      <c r="AB83" s="10">
        <v>2.8979027556E-4</v>
      </c>
      <c r="AC83" s="10">
        <v>0.06</v>
      </c>
      <c r="AD83" s="10">
        <v>5.9700000000000003E-2</v>
      </c>
      <c r="AE83" s="9">
        <v>1654884622.6800001</v>
      </c>
      <c r="AF83" s="10">
        <v>2.5319021179600002E-3</v>
      </c>
      <c r="AG83" s="10">
        <v>0.06</v>
      </c>
      <c r="AH83" s="10">
        <v>5.7500000000000002E-2</v>
      </c>
      <c r="AI83" s="9">
        <v>228576397.5</v>
      </c>
      <c r="AJ83" s="10">
        <v>1.331836081249E-2</v>
      </c>
      <c r="AK83" s="10">
        <v>0.06</v>
      </c>
      <c r="AL83" s="10">
        <v>4.6699999999999998E-2</v>
      </c>
      <c r="AM83" s="9" t="s">
        <v>26</v>
      </c>
      <c r="AN83" s="10" t="s">
        <v>26</v>
      </c>
      <c r="AO83" s="10" t="s">
        <v>26</v>
      </c>
      <c r="AP83" s="10" t="s">
        <v>26</v>
      </c>
      <c r="AQ83" s="9">
        <v>228576397.5</v>
      </c>
      <c r="AR83" s="10">
        <v>5.5633249886400003E-3</v>
      </c>
      <c r="AS83" s="10">
        <v>0.06</v>
      </c>
      <c r="AT83" s="10">
        <v>5.4399999999999997E-2</v>
      </c>
      <c r="AU83" s="9" t="s">
        <v>26</v>
      </c>
      <c r="AV83" s="10" t="s">
        <v>26</v>
      </c>
      <c r="AW83" s="10" t="s">
        <v>26</v>
      </c>
      <c r="AX83" s="10" t="s">
        <v>26</v>
      </c>
      <c r="AY83" s="9">
        <v>1883461020.1800001</v>
      </c>
      <c r="AZ83" s="10">
        <v>2.54210373742E-3</v>
      </c>
      <c r="BA83" s="10">
        <v>0.06</v>
      </c>
      <c r="BB83" s="10">
        <v>5.7500000000000002E-2</v>
      </c>
    </row>
    <row r="84" spans="1:54" customFormat="1">
      <c r="A84" s="3" t="s">
        <v>68</v>
      </c>
      <c r="B84" s="23" t="s">
        <v>47</v>
      </c>
      <c r="C84" s="2">
        <v>88258649.469999999</v>
      </c>
      <c r="D84" s="1">
        <v>1</v>
      </c>
      <c r="E84" s="1" t="s">
        <v>26</v>
      </c>
      <c r="F84" s="1" t="s">
        <v>26</v>
      </c>
      <c r="G84" s="2">
        <v>658304419.5</v>
      </c>
      <c r="H84" s="1">
        <v>1</v>
      </c>
      <c r="I84" s="1" t="s">
        <v>26</v>
      </c>
      <c r="J84" s="1" t="s">
        <v>26</v>
      </c>
      <c r="K84" s="2">
        <v>33702045.289999999</v>
      </c>
      <c r="L84" s="1">
        <v>1</v>
      </c>
      <c r="M84" s="1" t="s">
        <v>26</v>
      </c>
      <c r="N84" s="1" t="s">
        <v>26</v>
      </c>
      <c r="O84" s="2">
        <v>503405632.93000001</v>
      </c>
      <c r="P84" s="1">
        <v>1</v>
      </c>
      <c r="Q84" s="1" t="s">
        <v>26</v>
      </c>
      <c r="R84" s="1" t="s">
        <v>26</v>
      </c>
      <c r="S84" s="2">
        <v>330468785.08999997</v>
      </c>
      <c r="T84" s="1">
        <v>1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>
        <v>40745090.399999999</v>
      </c>
      <c r="AB84" s="1">
        <v>1</v>
      </c>
      <c r="AC84" s="1" t="s">
        <v>26</v>
      </c>
      <c r="AD84" s="1" t="s">
        <v>26</v>
      </c>
      <c r="AE84" s="2">
        <v>1654884622.6800001</v>
      </c>
      <c r="AF84" s="1">
        <v>1</v>
      </c>
      <c r="AG84" s="1" t="s">
        <v>26</v>
      </c>
      <c r="AH84" s="1" t="s">
        <v>26</v>
      </c>
      <c r="AI84" s="2">
        <v>228576397.5</v>
      </c>
      <c r="AJ84" s="1">
        <v>1</v>
      </c>
      <c r="AK84" s="1" t="s">
        <v>26</v>
      </c>
      <c r="AL84" s="1" t="s">
        <v>26</v>
      </c>
      <c r="AM84" s="2" t="s">
        <v>26</v>
      </c>
      <c r="AN84" s="1" t="s">
        <v>26</v>
      </c>
      <c r="AO84" s="1" t="s">
        <v>26</v>
      </c>
      <c r="AP84" s="1" t="s">
        <v>26</v>
      </c>
      <c r="AQ84" s="2">
        <v>228576397.5</v>
      </c>
      <c r="AR84" s="1">
        <v>1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2">
        <v>1883461020.1800001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76</v>
      </c>
      <c r="B85" s="20" t="s">
        <v>25</v>
      </c>
      <c r="C85" s="9">
        <v>36998710.25</v>
      </c>
      <c r="D85" s="10">
        <v>5.6465927722099997E-3</v>
      </c>
      <c r="E85" s="10">
        <v>0.06</v>
      </c>
      <c r="F85" s="10">
        <v>5.4399999999999997E-2</v>
      </c>
      <c r="G85" s="9">
        <v>803978701.70000005</v>
      </c>
      <c r="H85" s="10">
        <v>5.2245359251999997E-3</v>
      </c>
      <c r="I85" s="10">
        <v>0.06</v>
      </c>
      <c r="J85" s="10">
        <v>5.4800000000000001E-2</v>
      </c>
      <c r="K85" s="9">
        <v>50745878</v>
      </c>
      <c r="L85" s="10">
        <v>1.6608127328859999E-2</v>
      </c>
      <c r="M85" s="10">
        <v>0.06</v>
      </c>
      <c r="N85" s="10">
        <v>4.3400000000000001E-2</v>
      </c>
      <c r="O85" s="9">
        <v>423337831.99000001</v>
      </c>
      <c r="P85" s="10">
        <v>1.8489202628000001E-3</v>
      </c>
      <c r="Q85" s="10">
        <v>0.06</v>
      </c>
      <c r="R85" s="10">
        <v>5.8200000000000002E-2</v>
      </c>
      <c r="S85" s="9">
        <v>205228576</v>
      </c>
      <c r="T85" s="10">
        <v>1.7970513691400001E-3</v>
      </c>
      <c r="U85" s="10">
        <v>0.06</v>
      </c>
      <c r="V85" s="10">
        <v>5.8200000000000002E-2</v>
      </c>
      <c r="W85" s="9" t="s">
        <v>26</v>
      </c>
      <c r="X85" s="10" t="s">
        <v>26</v>
      </c>
      <c r="Y85" s="10" t="s">
        <v>26</v>
      </c>
      <c r="Z85" s="10" t="s">
        <v>26</v>
      </c>
      <c r="AA85" s="9" t="s">
        <v>26</v>
      </c>
      <c r="AB85" s="10" t="s">
        <v>26</v>
      </c>
      <c r="AC85" s="10" t="s">
        <v>26</v>
      </c>
      <c r="AD85" s="10" t="s">
        <v>26</v>
      </c>
      <c r="AE85" s="9">
        <v>1520289697.9400001</v>
      </c>
      <c r="AF85" s="10">
        <v>2.32597768652E-3</v>
      </c>
      <c r="AG85" s="10">
        <v>0.06</v>
      </c>
      <c r="AH85" s="10">
        <v>5.7700000000000001E-2</v>
      </c>
      <c r="AI85" s="9">
        <v>126533541</v>
      </c>
      <c r="AJ85" s="10">
        <v>7.3726743983700002E-3</v>
      </c>
      <c r="AK85" s="10">
        <v>0.06</v>
      </c>
      <c r="AL85" s="10">
        <v>5.2600000000000001E-2</v>
      </c>
      <c r="AM85" s="9" t="s">
        <v>26</v>
      </c>
      <c r="AN85" s="10" t="s">
        <v>26</v>
      </c>
      <c r="AO85" s="10" t="s">
        <v>26</v>
      </c>
      <c r="AP85" s="10" t="s">
        <v>26</v>
      </c>
      <c r="AQ85" s="9">
        <v>126533541</v>
      </c>
      <c r="AR85" s="10">
        <v>3.0797020962999998E-3</v>
      </c>
      <c r="AS85" s="10">
        <v>0.06</v>
      </c>
      <c r="AT85" s="10">
        <v>5.6899999999999999E-2</v>
      </c>
      <c r="AU85" s="9" t="s">
        <v>26</v>
      </c>
      <c r="AV85" s="10" t="s">
        <v>26</v>
      </c>
      <c r="AW85" s="10" t="s">
        <v>26</v>
      </c>
      <c r="AX85" s="10" t="s">
        <v>26</v>
      </c>
      <c r="AY85" s="9">
        <v>1646823238.9400001</v>
      </c>
      <c r="AZ85" s="10">
        <v>2.22271417658E-3</v>
      </c>
      <c r="BA85" s="10">
        <v>0.06</v>
      </c>
      <c r="BB85" s="10">
        <v>5.7799999999999997E-2</v>
      </c>
    </row>
    <row r="86" spans="1:54" customFormat="1">
      <c r="A86" s="3" t="s">
        <v>68</v>
      </c>
      <c r="B86" s="23" t="s">
        <v>47</v>
      </c>
      <c r="C86" s="2">
        <v>36998710.25</v>
      </c>
      <c r="D86" s="1">
        <v>1</v>
      </c>
      <c r="E86" s="1" t="s">
        <v>26</v>
      </c>
      <c r="F86" s="1" t="s">
        <v>26</v>
      </c>
      <c r="G86" s="2">
        <v>803978701.70000005</v>
      </c>
      <c r="H86" s="1">
        <v>1</v>
      </c>
      <c r="I86" s="1" t="s">
        <v>26</v>
      </c>
      <c r="J86" s="1" t="s">
        <v>26</v>
      </c>
      <c r="K86" s="2">
        <v>50745878</v>
      </c>
      <c r="L86" s="1">
        <v>1</v>
      </c>
      <c r="M86" s="1" t="s">
        <v>26</v>
      </c>
      <c r="N86" s="1" t="s">
        <v>26</v>
      </c>
      <c r="O86" s="2">
        <v>423337831.99000001</v>
      </c>
      <c r="P86" s="1">
        <v>1</v>
      </c>
      <c r="Q86" s="1" t="s">
        <v>26</v>
      </c>
      <c r="R86" s="1" t="s">
        <v>26</v>
      </c>
      <c r="S86" s="2">
        <v>205228576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1520289697.9400001</v>
      </c>
      <c r="AF86" s="1">
        <v>1</v>
      </c>
      <c r="AG86" s="1" t="s">
        <v>26</v>
      </c>
      <c r="AH86" s="1" t="s">
        <v>26</v>
      </c>
      <c r="AI86" s="2">
        <v>126533541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126533541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1646823238.9400001</v>
      </c>
      <c r="AZ86" s="1">
        <v>1</v>
      </c>
      <c r="BA86" s="1" t="s">
        <v>26</v>
      </c>
      <c r="BB86" s="1" t="s">
        <v>26</v>
      </c>
    </row>
    <row r="87" spans="1:54" s="25" customFormat="1">
      <c r="A87" s="12" t="s">
        <v>77</v>
      </c>
      <c r="B87" s="27" t="s">
        <v>25</v>
      </c>
      <c r="C87" s="29" t="s">
        <v>26</v>
      </c>
      <c r="D87" s="30" t="s">
        <v>26</v>
      </c>
      <c r="E87" s="30" t="s">
        <v>26</v>
      </c>
      <c r="F87" s="30" t="s">
        <v>26</v>
      </c>
      <c r="G87" s="29" t="s">
        <v>26</v>
      </c>
      <c r="H87" s="30" t="s">
        <v>26</v>
      </c>
      <c r="I87" s="30" t="s">
        <v>26</v>
      </c>
      <c r="J87" s="30" t="s">
        <v>26</v>
      </c>
      <c r="K87" s="29" t="s">
        <v>26</v>
      </c>
      <c r="L87" s="30" t="s">
        <v>26</v>
      </c>
      <c r="M87" s="30" t="s">
        <v>26</v>
      </c>
      <c r="N87" s="30" t="s">
        <v>26</v>
      </c>
      <c r="O87" s="29">
        <v>128645516.25</v>
      </c>
      <c r="P87" s="30">
        <v>5.6185694672000004E-4</v>
      </c>
      <c r="Q87" s="30" t="s">
        <v>26</v>
      </c>
      <c r="R87" s="30" t="s">
        <v>26</v>
      </c>
      <c r="S87" s="29">
        <v>223077050.69999999</v>
      </c>
      <c r="T87" s="30">
        <v>1.9533386977499999E-3</v>
      </c>
      <c r="U87" s="30" t="s">
        <v>26</v>
      </c>
      <c r="V87" s="30" t="s">
        <v>26</v>
      </c>
      <c r="W87" s="29" t="s">
        <v>26</v>
      </c>
      <c r="X87" s="30" t="s">
        <v>26</v>
      </c>
      <c r="Y87" s="30" t="s">
        <v>26</v>
      </c>
      <c r="Z87" s="30" t="s">
        <v>26</v>
      </c>
      <c r="AA87" s="29">
        <v>143053814.06999999</v>
      </c>
      <c r="AB87" s="30">
        <v>1.0174380224000001E-3</v>
      </c>
      <c r="AC87" s="30" t="s">
        <v>26</v>
      </c>
      <c r="AD87" s="30" t="s">
        <v>26</v>
      </c>
      <c r="AE87" s="29">
        <v>494776381.01999998</v>
      </c>
      <c r="AF87" s="30">
        <v>7.5698652936000003E-4</v>
      </c>
      <c r="AG87" s="30" t="s">
        <v>26</v>
      </c>
      <c r="AH87" s="30" t="s">
        <v>26</v>
      </c>
      <c r="AI87" s="29">
        <v>8587803.9000000004</v>
      </c>
      <c r="AJ87" s="30">
        <v>5.0038180746999998E-4</v>
      </c>
      <c r="AK87" s="30" t="s">
        <v>26</v>
      </c>
      <c r="AL87" s="30" t="s">
        <v>26</v>
      </c>
      <c r="AM87" s="29" t="s">
        <v>26</v>
      </c>
      <c r="AN87" s="30" t="s">
        <v>26</v>
      </c>
      <c r="AO87" s="30" t="s">
        <v>26</v>
      </c>
      <c r="AP87" s="30" t="s">
        <v>26</v>
      </c>
      <c r="AQ87" s="29">
        <v>8587803.9000000004</v>
      </c>
      <c r="AR87" s="30">
        <v>2.0901871128000001E-4</v>
      </c>
      <c r="AS87" s="30" t="s">
        <v>26</v>
      </c>
      <c r="AT87" s="30" t="s">
        <v>26</v>
      </c>
      <c r="AU87" s="29">
        <v>25763411.699999999</v>
      </c>
      <c r="AV87" s="30">
        <v>5.5756569657000002E-4</v>
      </c>
      <c r="AW87" s="30" t="s">
        <v>26</v>
      </c>
      <c r="AX87" s="30" t="s">
        <v>26</v>
      </c>
      <c r="AY87" s="29">
        <v>529127596.62</v>
      </c>
      <c r="AZ87" s="30">
        <v>7.1416250537000004E-4</v>
      </c>
      <c r="BA87" s="30" t="s">
        <v>26</v>
      </c>
      <c r="BB87" s="30" t="s">
        <v>26</v>
      </c>
    </row>
    <row r="88" spans="1:54" s="7" customFormat="1">
      <c r="A88" s="5" t="s">
        <v>78</v>
      </c>
      <c r="B88" s="20" t="s">
        <v>25</v>
      </c>
      <c r="C88" s="9" t="s">
        <v>26</v>
      </c>
      <c r="D88" s="10" t="s">
        <v>26</v>
      </c>
      <c r="E88" s="10" t="s">
        <v>26</v>
      </c>
      <c r="F88" s="10" t="s">
        <v>26</v>
      </c>
      <c r="G88" s="9" t="s">
        <v>26</v>
      </c>
      <c r="H88" s="10" t="s">
        <v>26</v>
      </c>
      <c r="I88" s="10" t="s">
        <v>26</v>
      </c>
      <c r="J88" s="10" t="s">
        <v>26</v>
      </c>
      <c r="K88" s="9" t="s">
        <v>26</v>
      </c>
      <c r="L88" s="10" t="s">
        <v>26</v>
      </c>
      <c r="M88" s="10" t="s">
        <v>26</v>
      </c>
      <c r="N88" s="10" t="s">
        <v>26</v>
      </c>
      <c r="O88" s="9" t="s">
        <v>26</v>
      </c>
      <c r="P88" s="10" t="s">
        <v>26</v>
      </c>
      <c r="Q88" s="10" t="s">
        <v>26</v>
      </c>
      <c r="R88" s="10" t="s">
        <v>26</v>
      </c>
      <c r="S88" s="9">
        <v>68702431.200000003</v>
      </c>
      <c r="T88" s="10">
        <v>6.0158190666000002E-4</v>
      </c>
      <c r="U88" s="10">
        <v>0.1</v>
      </c>
      <c r="V88" s="10">
        <v>9.9400000000000002E-2</v>
      </c>
      <c r="W88" s="9" t="s">
        <v>26</v>
      </c>
      <c r="X88" s="10" t="s">
        <v>26</v>
      </c>
      <c r="Y88" s="10" t="s">
        <v>26</v>
      </c>
      <c r="Z88" s="10" t="s">
        <v>26</v>
      </c>
      <c r="AA88" s="9" t="s">
        <v>26</v>
      </c>
      <c r="AB88" s="10" t="s">
        <v>26</v>
      </c>
      <c r="AC88" s="10" t="s">
        <v>26</v>
      </c>
      <c r="AD88" s="10" t="s">
        <v>26</v>
      </c>
      <c r="AE88" s="9">
        <v>68702431.200000003</v>
      </c>
      <c r="AF88" s="10">
        <v>1.0511175745E-4</v>
      </c>
      <c r="AG88" s="10">
        <v>0.1</v>
      </c>
      <c r="AH88" s="10">
        <v>9.9900000000000003E-2</v>
      </c>
      <c r="AI88" s="9">
        <v>8587803.9000000004</v>
      </c>
      <c r="AJ88" s="10">
        <v>5.0038180746999998E-4</v>
      </c>
      <c r="AK88" s="10">
        <v>0.1</v>
      </c>
      <c r="AL88" s="10">
        <v>9.9500000000000005E-2</v>
      </c>
      <c r="AM88" s="9" t="s">
        <v>26</v>
      </c>
      <c r="AN88" s="10" t="s">
        <v>26</v>
      </c>
      <c r="AO88" s="10" t="s">
        <v>26</v>
      </c>
      <c r="AP88" s="10" t="s">
        <v>26</v>
      </c>
      <c r="AQ88" s="9">
        <v>8587803.9000000004</v>
      </c>
      <c r="AR88" s="10">
        <v>2.0901871128000001E-4</v>
      </c>
      <c r="AS88" s="10">
        <v>0.1</v>
      </c>
      <c r="AT88" s="10">
        <v>9.98E-2</v>
      </c>
      <c r="AU88" s="9">
        <v>25763411.699999999</v>
      </c>
      <c r="AV88" s="10">
        <v>5.5756569657000002E-4</v>
      </c>
      <c r="AW88" s="10">
        <v>0.1</v>
      </c>
      <c r="AX88" s="10">
        <v>9.9400000000000002E-2</v>
      </c>
      <c r="AY88" s="9">
        <v>103053646.8</v>
      </c>
      <c r="AZ88" s="10">
        <v>1.3909131003E-4</v>
      </c>
      <c r="BA88" s="10">
        <v>0.1</v>
      </c>
      <c r="BB88" s="10">
        <v>9.9900000000000003E-2</v>
      </c>
    </row>
    <row r="89" spans="1:54" customFormat="1">
      <c r="A89" s="3" t="s">
        <v>79</v>
      </c>
      <c r="B89" s="23" t="s">
        <v>29</v>
      </c>
      <c r="C89" s="2" t="s">
        <v>26</v>
      </c>
      <c r="D89" s="1" t="s">
        <v>26</v>
      </c>
      <c r="E89" s="1" t="s">
        <v>26</v>
      </c>
      <c r="F89" s="1" t="s">
        <v>26</v>
      </c>
      <c r="G89" s="2" t="s">
        <v>26</v>
      </c>
      <c r="H89" s="1" t="s">
        <v>26</v>
      </c>
      <c r="I89" s="1" t="s">
        <v>26</v>
      </c>
      <c r="J89" s="1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2">
        <v>68702431.200000003</v>
      </c>
      <c r="T89" s="1">
        <v>1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2">
        <v>68702431.200000003</v>
      </c>
      <c r="AF89" s="1">
        <v>1</v>
      </c>
      <c r="AG89" s="1" t="s">
        <v>26</v>
      </c>
      <c r="AH89" s="1" t="s">
        <v>26</v>
      </c>
      <c r="AI89" s="2">
        <v>8587803.9000000004</v>
      </c>
      <c r="AJ89" s="1">
        <v>1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>
        <v>8587803.9000000004</v>
      </c>
      <c r="AR89" s="1">
        <v>1</v>
      </c>
      <c r="AS89" s="1" t="s">
        <v>26</v>
      </c>
      <c r="AT89" s="1" t="s">
        <v>26</v>
      </c>
      <c r="AU89" s="2">
        <v>25763411.699999999</v>
      </c>
      <c r="AV89" s="1">
        <v>1</v>
      </c>
      <c r="AW89" s="1" t="s">
        <v>26</v>
      </c>
      <c r="AX89" s="1" t="s">
        <v>26</v>
      </c>
      <c r="AY89" s="2">
        <v>103053646.8</v>
      </c>
      <c r="AZ89" s="1">
        <v>1</v>
      </c>
      <c r="BA89" s="1" t="s">
        <v>26</v>
      </c>
      <c r="BB89" s="1" t="s">
        <v>26</v>
      </c>
    </row>
    <row r="90" spans="1:54" s="7" customFormat="1">
      <c r="A90" s="5" t="s">
        <v>80</v>
      </c>
      <c r="B90" s="20" t="s">
        <v>25</v>
      </c>
      <c r="C90" s="9" t="s">
        <v>26</v>
      </c>
      <c r="D90" s="10" t="s">
        <v>26</v>
      </c>
      <c r="E90" s="10" t="s">
        <v>26</v>
      </c>
      <c r="F90" s="10" t="s">
        <v>26</v>
      </c>
      <c r="G90" s="9" t="s">
        <v>26</v>
      </c>
      <c r="H90" s="10" t="s">
        <v>26</v>
      </c>
      <c r="I90" s="10" t="s">
        <v>26</v>
      </c>
      <c r="J90" s="10" t="s">
        <v>26</v>
      </c>
      <c r="K90" s="9" t="s">
        <v>26</v>
      </c>
      <c r="L90" s="10" t="s">
        <v>26</v>
      </c>
      <c r="M90" s="10" t="s">
        <v>26</v>
      </c>
      <c r="N90" s="10" t="s">
        <v>26</v>
      </c>
      <c r="O90" s="9">
        <v>128645516.25</v>
      </c>
      <c r="P90" s="10">
        <v>5.6185694672000004E-4</v>
      </c>
      <c r="Q90" s="10">
        <v>0.09</v>
      </c>
      <c r="R90" s="10">
        <v>8.9399999999999993E-2</v>
      </c>
      <c r="S90" s="9">
        <v>154374619.5</v>
      </c>
      <c r="T90" s="10">
        <v>1.3517567910899999E-3</v>
      </c>
      <c r="U90" s="10">
        <v>0.09</v>
      </c>
      <c r="V90" s="10">
        <v>8.8599999999999998E-2</v>
      </c>
      <c r="W90" s="9" t="s">
        <v>26</v>
      </c>
      <c r="X90" s="10" t="s">
        <v>26</v>
      </c>
      <c r="Y90" s="10" t="s">
        <v>26</v>
      </c>
      <c r="Z90" s="10" t="s">
        <v>26</v>
      </c>
      <c r="AA90" s="9">
        <v>143053814.06999999</v>
      </c>
      <c r="AB90" s="10">
        <v>1.0174380224000001E-3</v>
      </c>
      <c r="AC90" s="10">
        <v>0.09</v>
      </c>
      <c r="AD90" s="10">
        <v>8.8999999999999996E-2</v>
      </c>
      <c r="AE90" s="9">
        <v>426073949.81999999</v>
      </c>
      <c r="AF90" s="10">
        <v>6.5187477190999999E-4</v>
      </c>
      <c r="AG90" s="10">
        <v>0.09</v>
      </c>
      <c r="AH90" s="10">
        <v>8.9300000000000004E-2</v>
      </c>
      <c r="AI90" s="9" t="s">
        <v>26</v>
      </c>
      <c r="AJ90" s="10" t="s">
        <v>26</v>
      </c>
      <c r="AK90" s="10" t="s">
        <v>26</v>
      </c>
      <c r="AL90" s="10" t="s">
        <v>26</v>
      </c>
      <c r="AM90" s="9" t="s">
        <v>26</v>
      </c>
      <c r="AN90" s="10" t="s">
        <v>26</v>
      </c>
      <c r="AO90" s="10" t="s">
        <v>26</v>
      </c>
      <c r="AP90" s="10" t="s">
        <v>26</v>
      </c>
      <c r="AQ90" s="9" t="s">
        <v>26</v>
      </c>
      <c r="AR90" s="10" t="s">
        <v>26</v>
      </c>
      <c r="AS90" s="10" t="s">
        <v>26</v>
      </c>
      <c r="AT90" s="10" t="s">
        <v>26</v>
      </c>
      <c r="AU90" s="9" t="s">
        <v>26</v>
      </c>
      <c r="AV90" s="10" t="s">
        <v>26</v>
      </c>
      <c r="AW90" s="10" t="s">
        <v>26</v>
      </c>
      <c r="AX90" s="10" t="s">
        <v>26</v>
      </c>
      <c r="AY90" s="9">
        <v>426073949.81999999</v>
      </c>
      <c r="AZ90" s="10">
        <v>5.7507119533999995E-4</v>
      </c>
      <c r="BA90" s="10">
        <v>0.09</v>
      </c>
      <c r="BB90" s="10">
        <v>8.9399999999999993E-2</v>
      </c>
    </row>
    <row r="91" spans="1:54" customFormat="1">
      <c r="A91" s="3" t="s">
        <v>79</v>
      </c>
      <c r="B91" s="23" t="s">
        <v>40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>
        <v>128645516.25</v>
      </c>
      <c r="P91" s="1">
        <v>1</v>
      </c>
      <c r="Q91" s="1" t="s">
        <v>26</v>
      </c>
      <c r="R91" s="1" t="s">
        <v>26</v>
      </c>
      <c r="S91" s="2">
        <v>154374619.5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143053814.06999999</v>
      </c>
      <c r="AB91" s="1">
        <v>1</v>
      </c>
      <c r="AC91" s="1" t="s">
        <v>26</v>
      </c>
      <c r="AD91" s="1" t="s">
        <v>26</v>
      </c>
      <c r="AE91" s="2">
        <v>426073949.81999999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426073949.81999999</v>
      </c>
      <c r="AZ91" s="1">
        <v>1</v>
      </c>
      <c r="BA91" s="1" t="s">
        <v>26</v>
      </c>
      <c r="BB91" s="1" t="s">
        <v>26</v>
      </c>
    </row>
    <row r="92" spans="1:54" s="25" customFormat="1">
      <c r="A92" s="12" t="s">
        <v>81</v>
      </c>
      <c r="B92" s="27" t="s">
        <v>25</v>
      </c>
      <c r="C92" s="29" t="s">
        <v>26</v>
      </c>
      <c r="D92" s="30" t="s">
        <v>26</v>
      </c>
      <c r="E92" s="30" t="s">
        <v>26</v>
      </c>
      <c r="F92" s="30" t="s">
        <v>26</v>
      </c>
      <c r="G92" s="29">
        <v>690598355.5</v>
      </c>
      <c r="H92" s="30">
        <v>4.4877506214600002E-3</v>
      </c>
      <c r="I92" s="30">
        <v>0.05</v>
      </c>
      <c r="J92" s="30">
        <v>4.5499999999999999E-2</v>
      </c>
      <c r="K92" s="29">
        <v>23221461.02</v>
      </c>
      <c r="L92" s="30">
        <v>7.5999272567999999E-3</v>
      </c>
      <c r="M92" s="30">
        <v>0.05</v>
      </c>
      <c r="N92" s="30">
        <v>4.24E-2</v>
      </c>
      <c r="O92" s="29">
        <v>1799237812.04</v>
      </c>
      <c r="P92" s="30">
        <v>7.8581383398600001E-3</v>
      </c>
      <c r="Q92" s="30">
        <v>0.05</v>
      </c>
      <c r="R92" s="30">
        <v>4.2099999999999999E-2</v>
      </c>
      <c r="S92" s="29">
        <v>1577758453.8599999</v>
      </c>
      <c r="T92" s="30">
        <v>1.3815390843449999E-2</v>
      </c>
      <c r="U92" s="30">
        <v>0.05</v>
      </c>
      <c r="V92" s="30">
        <f>+U92-T92</f>
        <v>3.6184609156550002E-2</v>
      </c>
      <c r="W92" s="29" t="s">
        <v>26</v>
      </c>
      <c r="X92" s="30" t="s">
        <v>26</v>
      </c>
      <c r="Y92" s="30" t="s">
        <v>26</v>
      </c>
      <c r="Z92" s="30" t="s">
        <v>26</v>
      </c>
      <c r="AA92" s="29">
        <v>365747067.45999998</v>
      </c>
      <c r="AB92" s="30">
        <v>2.60129361411E-3</v>
      </c>
      <c r="AC92" s="30">
        <v>0.05</v>
      </c>
      <c r="AD92" s="30">
        <v>4.7399999999999998E-2</v>
      </c>
      <c r="AE92" s="29">
        <v>4456563149.8800001</v>
      </c>
      <c r="AF92" s="30">
        <v>6.81834946276E-3</v>
      </c>
      <c r="AG92" s="30">
        <v>0.05</v>
      </c>
      <c r="AH92" s="30">
        <f>+AG92-AF92</f>
        <v>4.3181650537240004E-2</v>
      </c>
      <c r="AI92" s="29" t="s">
        <v>26</v>
      </c>
      <c r="AJ92" s="30" t="s">
        <v>26</v>
      </c>
      <c r="AK92" s="30" t="s">
        <v>26</v>
      </c>
      <c r="AL92" s="30" t="s">
        <v>26</v>
      </c>
      <c r="AM92" s="29" t="s">
        <v>26</v>
      </c>
      <c r="AN92" s="30" t="s">
        <v>26</v>
      </c>
      <c r="AO92" s="30" t="s">
        <v>26</v>
      </c>
      <c r="AP92" s="30" t="s">
        <v>26</v>
      </c>
      <c r="AQ92" s="29" t="s">
        <v>26</v>
      </c>
      <c r="AR92" s="30" t="s">
        <v>26</v>
      </c>
      <c r="AS92" s="30" t="s">
        <v>26</v>
      </c>
      <c r="AT92" s="30" t="s">
        <v>26</v>
      </c>
      <c r="AU92" s="29">
        <v>613653096</v>
      </c>
      <c r="AV92" s="30">
        <v>1.328053597514E-2</v>
      </c>
      <c r="AW92" s="30" t="s">
        <v>26</v>
      </c>
      <c r="AX92" s="30" t="s">
        <v>26</v>
      </c>
      <c r="AY92" s="29">
        <v>5070216245.8800001</v>
      </c>
      <c r="AZ92" s="30">
        <v>6.8432611719099999E-3</v>
      </c>
      <c r="BA92" s="30">
        <v>0.05</v>
      </c>
      <c r="BB92" s="30">
        <f>+BA92-AZ92</f>
        <v>4.3156738828089999E-2</v>
      </c>
    </row>
    <row r="93" spans="1:54" s="7" customFormat="1">
      <c r="A93" s="5" t="s">
        <v>82</v>
      </c>
      <c r="B93" s="20" t="s">
        <v>25</v>
      </c>
      <c r="C93" s="9" t="s">
        <v>26</v>
      </c>
      <c r="D93" s="10" t="s">
        <v>26</v>
      </c>
      <c r="E93" s="10" t="s">
        <v>26</v>
      </c>
      <c r="F93" s="10" t="s">
        <v>26</v>
      </c>
      <c r="G93" s="9" t="s">
        <v>26</v>
      </c>
      <c r="H93" s="10" t="s">
        <v>26</v>
      </c>
      <c r="I93" s="10" t="s">
        <v>26</v>
      </c>
      <c r="J93" s="10" t="s">
        <v>26</v>
      </c>
      <c r="K93" s="9" t="s">
        <v>26</v>
      </c>
      <c r="L93" s="10" t="s">
        <v>26</v>
      </c>
      <c r="M93" s="10" t="s">
        <v>26</v>
      </c>
      <c r="N93" s="10" t="s">
        <v>26</v>
      </c>
      <c r="O93" s="9" t="s">
        <v>26</v>
      </c>
      <c r="P93" s="10" t="s">
        <v>26</v>
      </c>
      <c r="Q93" s="10" t="s">
        <v>26</v>
      </c>
      <c r="R93" s="10" t="s">
        <v>26</v>
      </c>
      <c r="S93" s="9">
        <v>680132181.39999998</v>
      </c>
      <c r="T93" s="10">
        <v>5.9554692217099999E-3</v>
      </c>
      <c r="U93" s="1" t="s">
        <v>26</v>
      </c>
      <c r="V93" s="1" t="s">
        <v>26</v>
      </c>
      <c r="W93" s="9" t="s">
        <v>26</v>
      </c>
      <c r="X93" s="10" t="s">
        <v>26</v>
      </c>
      <c r="Y93" s="10" t="s">
        <v>26</v>
      </c>
      <c r="Z93" s="10" t="s">
        <v>26</v>
      </c>
      <c r="AA93" s="9" t="s">
        <v>26</v>
      </c>
      <c r="AB93" s="10" t="s">
        <v>26</v>
      </c>
      <c r="AC93" s="10" t="s">
        <v>26</v>
      </c>
      <c r="AD93" s="10" t="s">
        <v>26</v>
      </c>
      <c r="AE93" s="9">
        <v>680132181.39999998</v>
      </c>
      <c r="AF93" s="10">
        <v>1.04057291184E-3</v>
      </c>
      <c r="AG93" s="1" t="s">
        <v>26</v>
      </c>
      <c r="AH93" s="1" t="s">
        <v>26</v>
      </c>
      <c r="AI93" s="9" t="s">
        <v>26</v>
      </c>
      <c r="AJ93" s="10" t="s">
        <v>26</v>
      </c>
      <c r="AK93" s="10" t="s">
        <v>26</v>
      </c>
      <c r="AL93" s="10" t="s">
        <v>26</v>
      </c>
      <c r="AM93" s="9" t="s">
        <v>26</v>
      </c>
      <c r="AN93" s="10" t="s">
        <v>26</v>
      </c>
      <c r="AO93" s="10" t="s">
        <v>26</v>
      </c>
      <c r="AP93" s="10" t="s">
        <v>26</v>
      </c>
      <c r="AQ93" s="9" t="s">
        <v>26</v>
      </c>
      <c r="AR93" s="10" t="s">
        <v>26</v>
      </c>
      <c r="AS93" s="10" t="s">
        <v>26</v>
      </c>
      <c r="AT93" s="10" t="s">
        <v>26</v>
      </c>
      <c r="AU93" s="9">
        <v>613653096</v>
      </c>
      <c r="AV93" s="10">
        <v>1.328053597514E-2</v>
      </c>
      <c r="AW93" s="10">
        <v>0.05</v>
      </c>
      <c r="AX93" s="10">
        <v>3.6700000000000003E-2</v>
      </c>
      <c r="AY93" s="9">
        <v>1293785277.4000001</v>
      </c>
      <c r="AZ93" s="10">
        <v>1.74621951496E-3</v>
      </c>
      <c r="BA93" s="1" t="s">
        <v>26</v>
      </c>
      <c r="BB93" s="1" t="s">
        <v>26</v>
      </c>
    </row>
    <row r="94" spans="1:54" customFormat="1">
      <c r="A94" s="3" t="s">
        <v>83</v>
      </c>
      <c r="B94" s="23" t="s">
        <v>40</v>
      </c>
      <c r="C94" s="2" t="s">
        <v>26</v>
      </c>
      <c r="D94" s="1" t="s">
        <v>26</v>
      </c>
      <c r="E94" s="1" t="s">
        <v>26</v>
      </c>
      <c r="F94" s="1" t="s">
        <v>26</v>
      </c>
      <c r="G94" s="2" t="s">
        <v>26</v>
      </c>
      <c r="H94" s="1" t="s">
        <v>26</v>
      </c>
      <c r="I94" s="1" t="s">
        <v>26</v>
      </c>
      <c r="J94" s="1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2">
        <v>680132181.39999998</v>
      </c>
      <c r="T94" s="1">
        <v>1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2" t="s">
        <v>26</v>
      </c>
      <c r="AB94" s="1" t="s">
        <v>26</v>
      </c>
      <c r="AC94" s="1" t="s">
        <v>26</v>
      </c>
      <c r="AD94" s="1" t="s">
        <v>26</v>
      </c>
      <c r="AE94" s="2">
        <v>680132181.39999998</v>
      </c>
      <c r="AF94" s="1">
        <v>1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>
        <v>613653096</v>
      </c>
      <c r="AV94" s="1">
        <v>1</v>
      </c>
      <c r="AW94" s="1" t="s">
        <v>26</v>
      </c>
      <c r="AX94" s="1" t="s">
        <v>26</v>
      </c>
      <c r="AY94" s="2">
        <v>1293785277.4000001</v>
      </c>
      <c r="AZ94" s="1">
        <v>1</v>
      </c>
      <c r="BA94" s="1" t="s">
        <v>26</v>
      </c>
      <c r="BB94" s="1" t="s">
        <v>26</v>
      </c>
    </row>
    <row r="95" spans="1:54" s="7" customFormat="1">
      <c r="A95" s="5" t="s">
        <v>84</v>
      </c>
      <c r="B95" s="20" t="s">
        <v>25</v>
      </c>
      <c r="C95" s="9" t="s">
        <v>26</v>
      </c>
      <c r="D95" s="10" t="s">
        <v>26</v>
      </c>
      <c r="E95" s="10" t="s">
        <v>26</v>
      </c>
      <c r="F95" s="10" t="s">
        <v>26</v>
      </c>
      <c r="G95" s="9">
        <v>690598355.5</v>
      </c>
      <c r="H95" s="10">
        <v>4.4877506214600002E-3</v>
      </c>
      <c r="I95" s="1" t="s">
        <v>26</v>
      </c>
      <c r="J95" s="1" t="s">
        <v>26</v>
      </c>
      <c r="K95" s="9">
        <v>23221461.02</v>
      </c>
      <c r="L95" s="10">
        <v>7.5999272567999999E-3</v>
      </c>
      <c r="M95" s="10" t="s">
        <v>26</v>
      </c>
      <c r="N95" s="10" t="s">
        <v>26</v>
      </c>
      <c r="O95" s="9">
        <v>1799237812.04</v>
      </c>
      <c r="P95" s="10">
        <v>7.8581383398600001E-3</v>
      </c>
      <c r="Q95" s="1" t="s">
        <v>26</v>
      </c>
      <c r="R95" s="1" t="s">
        <v>26</v>
      </c>
      <c r="S95" s="9">
        <v>897626272.46000004</v>
      </c>
      <c r="T95" s="10">
        <v>7.8599216217400004E-3</v>
      </c>
      <c r="U95" s="1" t="s">
        <v>26</v>
      </c>
      <c r="V95" s="1" t="s">
        <v>26</v>
      </c>
      <c r="W95" s="9" t="s">
        <v>26</v>
      </c>
      <c r="X95" s="10" t="s">
        <v>26</v>
      </c>
      <c r="Y95" s="10" t="s">
        <v>26</v>
      </c>
      <c r="Z95" s="10" t="s">
        <v>26</v>
      </c>
      <c r="AA95" s="9">
        <v>365747067.45999998</v>
      </c>
      <c r="AB95" s="10">
        <v>2.60129361411E-3</v>
      </c>
      <c r="AC95" s="1" t="s">
        <v>26</v>
      </c>
      <c r="AD95" s="1" t="s">
        <v>26</v>
      </c>
      <c r="AE95" s="9">
        <v>3776430968.48</v>
      </c>
      <c r="AF95" s="10">
        <v>5.7777765509299996E-3</v>
      </c>
      <c r="AG95" s="1" t="s">
        <v>26</v>
      </c>
      <c r="AH95" s="1" t="s">
        <v>26</v>
      </c>
      <c r="AI95" s="9" t="s">
        <v>26</v>
      </c>
      <c r="AJ95" s="10" t="s">
        <v>26</v>
      </c>
      <c r="AK95" s="10" t="s">
        <v>26</v>
      </c>
      <c r="AL95" s="10" t="s">
        <v>26</v>
      </c>
      <c r="AM95" s="9" t="s">
        <v>26</v>
      </c>
      <c r="AN95" s="10" t="s">
        <v>26</v>
      </c>
      <c r="AO95" s="10" t="s">
        <v>26</v>
      </c>
      <c r="AP95" s="10" t="s">
        <v>26</v>
      </c>
      <c r="AQ95" s="9" t="s">
        <v>26</v>
      </c>
      <c r="AR95" s="10" t="s">
        <v>26</v>
      </c>
      <c r="AS95" s="10" t="s">
        <v>26</v>
      </c>
      <c r="AT95" s="10" t="s">
        <v>26</v>
      </c>
      <c r="AU95" s="9" t="s">
        <v>26</v>
      </c>
      <c r="AV95" s="10" t="s">
        <v>26</v>
      </c>
      <c r="AW95" s="10" t="s">
        <v>26</v>
      </c>
      <c r="AX95" s="10" t="s">
        <v>26</v>
      </c>
      <c r="AY95" s="9">
        <v>3776430968.48</v>
      </c>
      <c r="AZ95" s="10">
        <v>5.0970416569499997E-3</v>
      </c>
      <c r="BA95" s="1" t="s">
        <v>26</v>
      </c>
      <c r="BB95" s="1" t="s">
        <v>26</v>
      </c>
    </row>
    <row r="96" spans="1:54" customFormat="1">
      <c r="A96" s="3" t="s">
        <v>85</v>
      </c>
      <c r="B96" s="23" t="s">
        <v>40</v>
      </c>
      <c r="C96" s="2" t="s">
        <v>26</v>
      </c>
      <c r="D96" s="1" t="s">
        <v>26</v>
      </c>
      <c r="E96" s="1" t="s">
        <v>26</v>
      </c>
      <c r="F96" s="1" t="s">
        <v>26</v>
      </c>
      <c r="G96" s="2">
        <v>690598355.5</v>
      </c>
      <c r="H96" s="1">
        <v>1</v>
      </c>
      <c r="I96" s="1" t="s">
        <v>26</v>
      </c>
      <c r="J96" s="1" t="s">
        <v>26</v>
      </c>
      <c r="K96" s="2">
        <v>23221461.02</v>
      </c>
      <c r="L96" s="1">
        <v>1</v>
      </c>
      <c r="M96" s="1" t="s">
        <v>26</v>
      </c>
      <c r="N96" s="1" t="s">
        <v>26</v>
      </c>
      <c r="O96" s="2">
        <v>1799237812.04</v>
      </c>
      <c r="P96" s="1">
        <v>1</v>
      </c>
      <c r="Q96" s="1" t="s">
        <v>26</v>
      </c>
      <c r="R96" s="1" t="s">
        <v>26</v>
      </c>
      <c r="S96" s="2">
        <v>897626272.46000004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>
        <v>365747067.45999998</v>
      </c>
      <c r="AB96" s="1">
        <v>1</v>
      </c>
      <c r="AC96" s="1" t="s">
        <v>26</v>
      </c>
      <c r="AD96" s="1" t="s">
        <v>26</v>
      </c>
      <c r="AE96" s="2">
        <v>3776430968.48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2">
        <v>3776430968.48</v>
      </c>
      <c r="AZ96" s="1">
        <v>1</v>
      </c>
      <c r="BA96" s="1" t="s">
        <v>26</v>
      </c>
      <c r="BB96" s="1" t="s">
        <v>26</v>
      </c>
    </row>
    <row r="97" spans="1:54" s="25" customFormat="1">
      <c r="A97" s="12" t="s">
        <v>86</v>
      </c>
      <c r="B97" s="27" t="s">
        <v>25</v>
      </c>
      <c r="C97" s="29" t="s">
        <v>26</v>
      </c>
      <c r="D97" s="30" t="s">
        <v>26</v>
      </c>
      <c r="E97" s="30" t="s">
        <v>26</v>
      </c>
      <c r="F97" s="30" t="s">
        <v>26</v>
      </c>
      <c r="G97" s="29">
        <v>7351894355.4700003</v>
      </c>
      <c r="H97" s="30">
        <v>4.7775191180080001E-2</v>
      </c>
      <c r="I97" s="30">
        <v>0.15</v>
      </c>
      <c r="J97" s="30">
        <f>I97-H97</f>
        <v>0.10222480881991999</v>
      </c>
      <c r="K97" s="29">
        <v>162011082.41999999</v>
      </c>
      <c r="L97" s="30">
        <v>5.3023039339629999E-2</v>
      </c>
      <c r="M97" s="30">
        <v>0.15</v>
      </c>
      <c r="N97" s="30">
        <f>M97-L97</f>
        <v>9.6976960660369996E-2</v>
      </c>
      <c r="O97" s="29">
        <v>25891373459.139999</v>
      </c>
      <c r="P97" s="30">
        <v>0.11308010152375</v>
      </c>
      <c r="Q97" s="30">
        <v>0.15</v>
      </c>
      <c r="R97" s="30">
        <f>Q97-P97</f>
        <v>3.691989847624999E-2</v>
      </c>
      <c r="S97" s="29">
        <v>5464793125.75</v>
      </c>
      <c r="T97" s="30">
        <v>4.7851591430949997E-2</v>
      </c>
      <c r="U97" s="30">
        <v>0.15</v>
      </c>
      <c r="V97" s="30">
        <f>U97-T97</f>
        <v>0.10214840856905</v>
      </c>
      <c r="W97" s="29" t="s">
        <v>26</v>
      </c>
      <c r="X97" s="30" t="s">
        <v>26</v>
      </c>
      <c r="Y97" s="30" t="s">
        <v>26</v>
      </c>
      <c r="Z97" s="30" t="s">
        <v>26</v>
      </c>
      <c r="AA97" s="29">
        <v>6148078326.9899998</v>
      </c>
      <c r="AB97" s="30">
        <v>4.3726821932259997E-2</v>
      </c>
      <c r="AC97" s="30">
        <v>0.15</v>
      </c>
      <c r="AD97" s="30">
        <f>AC97-AB97</f>
        <v>0.10627317806774</v>
      </c>
      <c r="AE97" s="29">
        <v>45018150349.769997</v>
      </c>
      <c r="AF97" s="30">
        <v>6.8875828958069998E-2</v>
      </c>
      <c r="AG97" s="30">
        <v>0.15</v>
      </c>
      <c r="AH97" s="30">
        <f>AG97-AF97</f>
        <v>8.1124171041929996E-2</v>
      </c>
      <c r="AI97" s="29" t="s">
        <v>26</v>
      </c>
      <c r="AJ97" s="30" t="s">
        <v>26</v>
      </c>
      <c r="AK97" s="30" t="s">
        <v>26</v>
      </c>
      <c r="AL97" s="30" t="s">
        <v>26</v>
      </c>
      <c r="AM97" s="29" t="s">
        <v>26</v>
      </c>
      <c r="AN97" s="30" t="s">
        <v>26</v>
      </c>
      <c r="AO97" s="30" t="s">
        <v>26</v>
      </c>
      <c r="AP97" s="30" t="s">
        <v>26</v>
      </c>
      <c r="AQ97" s="29" t="s">
        <v>26</v>
      </c>
      <c r="AR97" s="30" t="s">
        <v>26</v>
      </c>
      <c r="AS97" s="30" t="s">
        <v>26</v>
      </c>
      <c r="AT97" s="30" t="s">
        <v>26</v>
      </c>
      <c r="AU97" s="29">
        <v>1858985630.45</v>
      </c>
      <c r="AV97" s="30">
        <v>4.0231729788999998E-2</v>
      </c>
      <c r="AW97" s="30">
        <v>0.15</v>
      </c>
      <c r="AX97" s="30">
        <f>AW97-AV97</f>
        <v>0.109768270211</v>
      </c>
      <c r="AY97" s="29">
        <v>46877135980.220001</v>
      </c>
      <c r="AZ97" s="30">
        <v>6.3269980795089997E-2</v>
      </c>
      <c r="BA97" s="30">
        <v>0.15</v>
      </c>
      <c r="BB97" s="30">
        <f>BA97-AZ97</f>
        <v>8.6730019204909997E-2</v>
      </c>
    </row>
    <row r="98" spans="1:54" s="7" customFormat="1">
      <c r="A98" s="5" t="s">
        <v>87</v>
      </c>
      <c r="B98" s="20" t="s">
        <v>25</v>
      </c>
      <c r="C98" s="9" t="s">
        <v>26</v>
      </c>
      <c r="D98" s="10" t="s">
        <v>26</v>
      </c>
      <c r="E98" s="10" t="s">
        <v>26</v>
      </c>
      <c r="F98" s="10" t="s">
        <v>26</v>
      </c>
      <c r="G98" s="9">
        <v>543013456.99000001</v>
      </c>
      <c r="H98" s="10" t="s">
        <v>26</v>
      </c>
      <c r="I98" s="10" t="s">
        <v>26</v>
      </c>
      <c r="J98" s="10" t="s">
        <v>26</v>
      </c>
      <c r="K98" s="9">
        <v>63883936.119999997</v>
      </c>
      <c r="L98" s="10">
        <v>2.090795523037E-2</v>
      </c>
      <c r="M98" s="10" t="s">
        <v>26</v>
      </c>
      <c r="N98" s="10" t="s">
        <v>26</v>
      </c>
      <c r="O98" s="9" t="s">
        <v>26</v>
      </c>
      <c r="P98" s="10" t="s">
        <v>26</v>
      </c>
      <c r="Q98" s="10" t="s">
        <v>26</v>
      </c>
      <c r="R98" s="10" t="s">
        <v>26</v>
      </c>
      <c r="S98" s="9">
        <v>683848497.98000002</v>
      </c>
      <c r="T98" s="10">
        <v>5.9880105564900001E-3</v>
      </c>
      <c r="U98" s="10" t="s">
        <v>26</v>
      </c>
      <c r="V98" s="10" t="s">
        <v>26</v>
      </c>
      <c r="W98" s="9" t="s">
        <v>26</v>
      </c>
      <c r="X98" s="10" t="s">
        <v>26</v>
      </c>
      <c r="Y98" s="10" t="s">
        <v>26</v>
      </c>
      <c r="Z98" s="10" t="s">
        <v>26</v>
      </c>
      <c r="AA98" s="9">
        <v>423957030.58999997</v>
      </c>
      <c r="AB98" s="10">
        <v>3.0152988621100002E-3</v>
      </c>
      <c r="AC98" s="10" t="s">
        <v>26</v>
      </c>
      <c r="AD98" s="10" t="s">
        <v>26</v>
      </c>
      <c r="AE98" s="9">
        <v>1714702921.6800001</v>
      </c>
      <c r="AF98" s="10">
        <v>2.6234215362000001E-3</v>
      </c>
      <c r="AG98" s="10" t="s">
        <v>26</v>
      </c>
      <c r="AH98" s="10" t="s">
        <v>26</v>
      </c>
      <c r="AI98" s="9" t="s">
        <v>26</v>
      </c>
      <c r="AJ98" s="10" t="s">
        <v>26</v>
      </c>
      <c r="AK98" s="10" t="s">
        <v>26</v>
      </c>
      <c r="AL98" s="10" t="s">
        <v>26</v>
      </c>
      <c r="AM98" s="9" t="s">
        <v>26</v>
      </c>
      <c r="AN98" s="10" t="s">
        <v>26</v>
      </c>
      <c r="AO98" s="10" t="s">
        <v>26</v>
      </c>
      <c r="AP98" s="10" t="s">
        <v>26</v>
      </c>
      <c r="AQ98" s="9" t="s">
        <v>26</v>
      </c>
      <c r="AR98" s="10" t="s">
        <v>26</v>
      </c>
      <c r="AS98" s="10" t="s">
        <v>26</v>
      </c>
      <c r="AT98" s="10" t="s">
        <v>26</v>
      </c>
      <c r="AU98" s="9" t="s">
        <v>26</v>
      </c>
      <c r="AV98" s="10" t="s">
        <v>26</v>
      </c>
      <c r="AW98" s="10" t="s">
        <v>26</v>
      </c>
      <c r="AX98" s="10" t="s">
        <v>26</v>
      </c>
      <c r="AY98" s="9">
        <v>1714702921.6800001</v>
      </c>
      <c r="AZ98" s="10">
        <v>2.3143312545699998E-3</v>
      </c>
      <c r="BA98" s="10" t="s">
        <v>26</v>
      </c>
      <c r="BB98" s="10" t="s">
        <v>26</v>
      </c>
    </row>
    <row r="99" spans="1:54" customFormat="1">
      <c r="A99" s="3" t="s">
        <v>88</v>
      </c>
      <c r="B99" s="23" t="s">
        <v>47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543013456.99000001</v>
      </c>
      <c r="H99" s="1" t="s">
        <v>26</v>
      </c>
      <c r="I99" s="1" t="s">
        <v>26</v>
      </c>
      <c r="J99" s="1" t="s">
        <v>26</v>
      </c>
      <c r="K99" s="2">
        <v>63883936.119999997</v>
      </c>
      <c r="L99" s="1">
        <v>1</v>
      </c>
      <c r="M99" s="1" t="s">
        <v>26</v>
      </c>
      <c r="N99" s="1" t="s">
        <v>26</v>
      </c>
      <c r="O99" s="2" t="s">
        <v>26</v>
      </c>
      <c r="P99" s="1" t="s">
        <v>26</v>
      </c>
      <c r="Q99" s="1" t="s">
        <v>26</v>
      </c>
      <c r="R99" s="1" t="s">
        <v>26</v>
      </c>
      <c r="S99" s="2">
        <v>683848497.98000002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423957030.58999997</v>
      </c>
      <c r="AB99" s="1">
        <v>1</v>
      </c>
      <c r="AC99" s="1" t="s">
        <v>26</v>
      </c>
      <c r="AD99" s="1" t="s">
        <v>26</v>
      </c>
      <c r="AE99" s="2">
        <v>1714702921.6800001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1714702921.6800001</v>
      </c>
      <c r="AZ99" s="1">
        <v>1</v>
      </c>
      <c r="BA99" s="10" t="s">
        <v>26</v>
      </c>
      <c r="BB99" s="10" t="s">
        <v>26</v>
      </c>
    </row>
    <row r="100" spans="1:54" s="7" customFormat="1">
      <c r="A100" s="5" t="s">
        <v>89</v>
      </c>
      <c r="B100" s="20" t="s">
        <v>25</v>
      </c>
      <c r="C100" s="9" t="s">
        <v>26</v>
      </c>
      <c r="D100" s="10" t="s">
        <v>26</v>
      </c>
      <c r="E100" s="10" t="s">
        <v>26</v>
      </c>
      <c r="F100" s="10" t="s">
        <v>26</v>
      </c>
      <c r="G100" s="9">
        <v>1916559551.1199999</v>
      </c>
      <c r="H100" s="10" t="s">
        <v>26</v>
      </c>
      <c r="I100" s="10" t="s">
        <v>26</v>
      </c>
      <c r="J100" s="10" t="s">
        <v>26</v>
      </c>
      <c r="K100" s="9" t="s">
        <v>26</v>
      </c>
      <c r="L100" s="10" t="s">
        <v>26</v>
      </c>
      <c r="M100" s="10" t="s">
        <v>26</v>
      </c>
      <c r="N100" s="10" t="s">
        <v>26</v>
      </c>
      <c r="O100" s="9">
        <v>3436884506.3200002</v>
      </c>
      <c r="P100" s="10">
        <v>1.5010530419079999E-2</v>
      </c>
      <c r="Q100" s="10" t="s">
        <v>26</v>
      </c>
      <c r="R100" s="10" t="s">
        <v>26</v>
      </c>
      <c r="S100" s="9">
        <v>1252553464.52</v>
      </c>
      <c r="T100" s="10">
        <v>1.096778510191E-2</v>
      </c>
      <c r="U100" s="10" t="s">
        <v>26</v>
      </c>
      <c r="V100" s="10" t="s">
        <v>26</v>
      </c>
      <c r="W100" s="9" t="s">
        <v>26</v>
      </c>
      <c r="X100" s="10" t="s">
        <v>26</v>
      </c>
      <c r="Y100" s="10" t="s">
        <v>26</v>
      </c>
      <c r="Z100" s="10" t="s">
        <v>26</v>
      </c>
      <c r="AA100" s="9">
        <v>1915337547.76</v>
      </c>
      <c r="AB100" s="10">
        <v>1.3622406780899999E-2</v>
      </c>
      <c r="AC100" s="10" t="s">
        <v>26</v>
      </c>
      <c r="AD100" s="10" t="s">
        <v>26</v>
      </c>
      <c r="AE100" s="9">
        <v>8521335069.7200003</v>
      </c>
      <c r="AF100" s="10">
        <v>1.3037275236679999E-2</v>
      </c>
      <c r="AG100" s="10" t="s">
        <v>26</v>
      </c>
      <c r="AH100" s="10" t="s">
        <v>26</v>
      </c>
      <c r="AI100" s="9" t="s">
        <v>26</v>
      </c>
      <c r="AJ100" s="10" t="s">
        <v>26</v>
      </c>
      <c r="AK100" s="10" t="s">
        <v>26</v>
      </c>
      <c r="AL100" s="10" t="s">
        <v>26</v>
      </c>
      <c r="AM100" s="9" t="s">
        <v>26</v>
      </c>
      <c r="AN100" s="10" t="s">
        <v>26</v>
      </c>
      <c r="AO100" s="10" t="s">
        <v>26</v>
      </c>
      <c r="AP100" s="10" t="s">
        <v>26</v>
      </c>
      <c r="AQ100" s="9" t="s">
        <v>26</v>
      </c>
      <c r="AR100" s="10" t="s">
        <v>26</v>
      </c>
      <c r="AS100" s="10" t="s">
        <v>26</v>
      </c>
      <c r="AT100" s="10" t="s">
        <v>26</v>
      </c>
      <c r="AU100" s="9">
        <v>314207619.08999997</v>
      </c>
      <c r="AV100" s="10">
        <v>6.8000073921000003E-3</v>
      </c>
      <c r="AW100" s="10" t="s">
        <v>26</v>
      </c>
      <c r="AX100" s="10" t="s">
        <v>26</v>
      </c>
      <c r="AY100" s="9">
        <v>8835542688.8099995</v>
      </c>
      <c r="AZ100" s="10">
        <v>1.1925315071959999E-2</v>
      </c>
      <c r="BA100" s="10" t="s">
        <v>26</v>
      </c>
      <c r="BB100" s="10" t="s">
        <v>26</v>
      </c>
    </row>
    <row r="101" spans="1:54" customFormat="1">
      <c r="A101" s="3" t="s">
        <v>88</v>
      </c>
      <c r="B101" s="23" t="s">
        <v>47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1916559551.1199999</v>
      </c>
      <c r="H101" s="1" t="s">
        <v>26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3436884506.3200002</v>
      </c>
      <c r="P101" s="1">
        <v>1</v>
      </c>
      <c r="Q101" s="1" t="s">
        <v>26</v>
      </c>
      <c r="R101" s="1" t="s">
        <v>26</v>
      </c>
      <c r="S101" s="2">
        <v>1252553464.52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1915337547.76</v>
      </c>
      <c r="AB101" s="1">
        <v>1</v>
      </c>
      <c r="AC101" s="1" t="s">
        <v>26</v>
      </c>
      <c r="AD101" s="1" t="s">
        <v>26</v>
      </c>
      <c r="AE101" s="2">
        <v>8521335069.7200003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314207619.08999997</v>
      </c>
      <c r="AV101" s="1">
        <v>1</v>
      </c>
      <c r="AW101" s="1" t="s">
        <v>26</v>
      </c>
      <c r="AX101" s="1" t="s">
        <v>26</v>
      </c>
      <c r="AY101" s="2">
        <v>8835542688.8099995</v>
      </c>
      <c r="AZ101" s="1">
        <v>1</v>
      </c>
      <c r="BA101" s="10" t="s">
        <v>26</v>
      </c>
      <c r="BB101" s="10" t="s">
        <v>26</v>
      </c>
    </row>
    <row r="102" spans="1:54" s="7" customFormat="1">
      <c r="A102" s="5" t="s">
        <v>90</v>
      </c>
      <c r="B102" s="20" t="s">
        <v>25</v>
      </c>
      <c r="C102" s="9" t="s">
        <v>26</v>
      </c>
      <c r="D102" s="10" t="s">
        <v>26</v>
      </c>
      <c r="E102" s="10" t="s">
        <v>26</v>
      </c>
      <c r="F102" s="10" t="s">
        <v>26</v>
      </c>
      <c r="G102" s="9">
        <v>2074689586.3</v>
      </c>
      <c r="H102" s="10" t="s">
        <v>26</v>
      </c>
      <c r="I102" s="10" t="s">
        <v>26</v>
      </c>
      <c r="J102" s="10" t="s">
        <v>26</v>
      </c>
      <c r="K102" s="9" t="s">
        <v>26</v>
      </c>
      <c r="L102" s="10" t="s">
        <v>26</v>
      </c>
      <c r="M102" s="10" t="s">
        <v>26</v>
      </c>
      <c r="N102" s="10" t="s">
        <v>26</v>
      </c>
      <c r="O102" s="9">
        <v>1350709366.0799999</v>
      </c>
      <c r="P102" s="10">
        <v>5.8991985298299998E-3</v>
      </c>
      <c r="Q102" s="10" t="s">
        <v>26</v>
      </c>
      <c r="R102" s="10" t="s">
        <v>26</v>
      </c>
      <c r="S102" s="9">
        <v>1350709366.0899999</v>
      </c>
      <c r="T102" s="10">
        <v>1.182727163514E-2</v>
      </c>
      <c r="U102" s="10" t="s">
        <v>26</v>
      </c>
      <c r="V102" s="10" t="s">
        <v>26</v>
      </c>
      <c r="W102" s="9" t="s">
        <v>26</v>
      </c>
      <c r="X102" s="10" t="s">
        <v>26</v>
      </c>
      <c r="Y102" s="10" t="s">
        <v>26</v>
      </c>
      <c r="Z102" s="10" t="s">
        <v>26</v>
      </c>
      <c r="AA102" s="9">
        <v>1295870565.8199999</v>
      </c>
      <c r="AB102" s="10">
        <v>9.2165874384099993E-3</v>
      </c>
      <c r="AC102" s="10" t="s">
        <v>26</v>
      </c>
      <c r="AD102" s="10" t="s">
        <v>26</v>
      </c>
      <c r="AE102" s="9">
        <v>6071978884.29</v>
      </c>
      <c r="AF102" s="10">
        <v>9.2898658834699999E-3</v>
      </c>
      <c r="AG102" s="10" t="s">
        <v>26</v>
      </c>
      <c r="AH102" s="10" t="s">
        <v>26</v>
      </c>
      <c r="AI102" s="9" t="s">
        <v>26</v>
      </c>
      <c r="AJ102" s="10" t="s">
        <v>26</v>
      </c>
      <c r="AK102" s="10" t="s">
        <v>26</v>
      </c>
      <c r="AL102" s="10" t="s">
        <v>26</v>
      </c>
      <c r="AM102" s="9" t="s">
        <v>26</v>
      </c>
      <c r="AN102" s="10" t="s">
        <v>26</v>
      </c>
      <c r="AO102" s="10" t="s">
        <v>26</v>
      </c>
      <c r="AP102" s="10" t="s">
        <v>26</v>
      </c>
      <c r="AQ102" s="9" t="s">
        <v>26</v>
      </c>
      <c r="AR102" s="10" t="s">
        <v>26</v>
      </c>
      <c r="AS102" s="10" t="s">
        <v>26</v>
      </c>
      <c r="AT102" s="10" t="s">
        <v>26</v>
      </c>
      <c r="AU102" s="9" t="s">
        <v>26</v>
      </c>
      <c r="AV102" s="10" t="s">
        <v>26</v>
      </c>
      <c r="AW102" s="10" t="s">
        <v>26</v>
      </c>
      <c r="AX102" s="10" t="s">
        <v>26</v>
      </c>
      <c r="AY102" s="9">
        <v>6071978884.29</v>
      </c>
      <c r="AZ102" s="10">
        <v>8.19533828942E-3</v>
      </c>
      <c r="BA102" s="10" t="s">
        <v>26</v>
      </c>
      <c r="BB102" s="10" t="s">
        <v>26</v>
      </c>
    </row>
    <row r="103" spans="1:54" customFormat="1">
      <c r="A103" s="3" t="s">
        <v>88</v>
      </c>
      <c r="B103" s="23" t="s">
        <v>47</v>
      </c>
      <c r="C103" s="2" t="s">
        <v>26</v>
      </c>
      <c r="D103" s="1" t="s">
        <v>26</v>
      </c>
      <c r="E103" s="1" t="s">
        <v>26</v>
      </c>
      <c r="F103" s="1" t="s">
        <v>26</v>
      </c>
      <c r="G103" s="2">
        <v>2074689586.3</v>
      </c>
      <c r="H103" s="1" t="s">
        <v>26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1350709366.0799999</v>
      </c>
      <c r="P103" s="1">
        <v>1</v>
      </c>
      <c r="Q103" s="1" t="s">
        <v>26</v>
      </c>
      <c r="R103" s="1" t="s">
        <v>26</v>
      </c>
      <c r="S103" s="2">
        <v>1350709366.0899999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18">
        <v>1295870565.8199999</v>
      </c>
      <c r="AB103" s="19">
        <v>1</v>
      </c>
      <c r="AC103" s="1" t="s">
        <v>26</v>
      </c>
      <c r="AD103" s="1" t="s">
        <v>26</v>
      </c>
      <c r="AE103" s="22">
        <v>6071978884.29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2">
        <v>6071978884.29</v>
      </c>
      <c r="AZ103" s="1">
        <v>1</v>
      </c>
      <c r="BA103" s="10" t="s">
        <v>26</v>
      </c>
      <c r="BB103" s="10" t="s">
        <v>26</v>
      </c>
    </row>
    <row r="104" spans="1:54" s="7" customFormat="1">
      <c r="A104" s="5" t="s">
        <v>91</v>
      </c>
      <c r="B104" s="20" t="s">
        <v>25</v>
      </c>
      <c r="C104" s="9" t="s">
        <v>26</v>
      </c>
      <c r="D104" s="10" t="s">
        <v>26</v>
      </c>
      <c r="E104" s="10" t="s">
        <v>26</v>
      </c>
      <c r="F104" s="10" t="s">
        <v>26</v>
      </c>
      <c r="G104" s="9" t="s">
        <v>26</v>
      </c>
      <c r="H104" s="10" t="s">
        <v>26</v>
      </c>
      <c r="I104" s="10" t="s">
        <v>26</v>
      </c>
      <c r="J104" s="10" t="s">
        <v>26</v>
      </c>
      <c r="K104" s="9" t="s">
        <v>26</v>
      </c>
      <c r="L104" s="10" t="s">
        <v>26</v>
      </c>
      <c r="M104" s="10" t="s">
        <v>26</v>
      </c>
      <c r="N104" s="10" t="s">
        <v>26</v>
      </c>
      <c r="O104" s="9">
        <v>3668642921.5500002</v>
      </c>
      <c r="P104" s="10">
        <v>1.602273107211E-2</v>
      </c>
      <c r="Q104" s="10" t="s">
        <v>26</v>
      </c>
      <c r="R104" s="10" t="s">
        <v>26</v>
      </c>
      <c r="S104" s="9">
        <v>658551295.33000004</v>
      </c>
      <c r="T104" s="10">
        <v>5.7664996268500003E-3</v>
      </c>
      <c r="U104" s="10" t="s">
        <v>26</v>
      </c>
      <c r="V104" s="10" t="s">
        <v>26</v>
      </c>
      <c r="W104" s="9" t="s">
        <v>26</v>
      </c>
      <c r="X104" s="10" t="s">
        <v>26</v>
      </c>
      <c r="Y104" s="10" t="s">
        <v>26</v>
      </c>
      <c r="Z104" s="10" t="s">
        <v>26</v>
      </c>
      <c r="AA104" s="9">
        <v>1316761119.6199999</v>
      </c>
      <c r="AB104" s="10">
        <v>9.3651667956399995E-3</v>
      </c>
      <c r="AC104" s="10" t="s">
        <v>26</v>
      </c>
      <c r="AD104" s="10" t="s">
        <v>26</v>
      </c>
      <c r="AE104" s="9">
        <v>5643955336.5</v>
      </c>
      <c r="AF104" s="10">
        <v>8.6350083107300003E-3</v>
      </c>
      <c r="AG104" s="10" t="s">
        <v>26</v>
      </c>
      <c r="AH104" s="10" t="s">
        <v>26</v>
      </c>
      <c r="AI104" s="9" t="s">
        <v>26</v>
      </c>
      <c r="AJ104" s="10" t="s">
        <v>26</v>
      </c>
      <c r="AK104" s="10" t="s">
        <v>26</v>
      </c>
      <c r="AL104" s="10" t="s">
        <v>26</v>
      </c>
      <c r="AM104" s="9" t="s">
        <v>26</v>
      </c>
      <c r="AN104" s="10" t="s">
        <v>26</v>
      </c>
      <c r="AO104" s="10" t="s">
        <v>26</v>
      </c>
      <c r="AP104" s="10" t="s">
        <v>26</v>
      </c>
      <c r="AQ104" s="9" t="s">
        <v>26</v>
      </c>
      <c r="AR104" s="10" t="s">
        <v>26</v>
      </c>
      <c r="AS104" s="10" t="s">
        <v>26</v>
      </c>
      <c r="AT104" s="10" t="s">
        <v>26</v>
      </c>
      <c r="AU104" s="9">
        <v>365861830.74000001</v>
      </c>
      <c r="AV104" s="10">
        <v>7.9178956917899997E-3</v>
      </c>
      <c r="AW104" s="10" t="s">
        <v>26</v>
      </c>
      <c r="AX104" s="10" t="s">
        <v>26</v>
      </c>
      <c r="AY104" s="9">
        <v>6009817167.2399998</v>
      </c>
      <c r="AZ104" s="10">
        <v>8.11143873879E-3</v>
      </c>
      <c r="BA104" s="10" t="s">
        <v>26</v>
      </c>
      <c r="BB104" s="10" t="s">
        <v>26</v>
      </c>
    </row>
    <row r="105" spans="1:54" customFormat="1">
      <c r="A105" s="3" t="s">
        <v>88</v>
      </c>
      <c r="B105" s="23" t="s">
        <v>47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3668642921.5500002</v>
      </c>
      <c r="P105" s="1">
        <v>1</v>
      </c>
      <c r="Q105" s="1" t="s">
        <v>26</v>
      </c>
      <c r="R105" s="1" t="s">
        <v>26</v>
      </c>
      <c r="S105" s="2">
        <v>658551295.33000004</v>
      </c>
      <c r="T105" s="1">
        <v>1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1316761119.6199999</v>
      </c>
      <c r="AB105" s="1">
        <v>1</v>
      </c>
      <c r="AC105" s="1" t="s">
        <v>26</v>
      </c>
      <c r="AD105" s="1" t="s">
        <v>26</v>
      </c>
      <c r="AE105" s="2">
        <v>5643955336.5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365861830.74000001</v>
      </c>
      <c r="AV105" s="1">
        <v>1</v>
      </c>
      <c r="AW105" s="1" t="s">
        <v>26</v>
      </c>
      <c r="AX105" s="1" t="s">
        <v>26</v>
      </c>
      <c r="AY105" s="2">
        <v>6009817167.2399998</v>
      </c>
      <c r="AZ105" s="1">
        <v>1</v>
      </c>
      <c r="BA105" s="10" t="s">
        <v>26</v>
      </c>
      <c r="BB105" s="10" t="s">
        <v>26</v>
      </c>
    </row>
    <row r="106" spans="1:54" s="7" customFormat="1">
      <c r="A106" s="5" t="s">
        <v>92</v>
      </c>
      <c r="B106" s="20" t="s">
        <v>25</v>
      </c>
      <c r="C106" s="9" t="s">
        <v>26</v>
      </c>
      <c r="D106" s="10" t="s">
        <v>26</v>
      </c>
      <c r="E106" s="10" t="s">
        <v>26</v>
      </c>
      <c r="F106" s="10" t="s">
        <v>26</v>
      </c>
      <c r="G106" s="9" t="s">
        <v>26</v>
      </c>
      <c r="H106" s="10" t="s">
        <v>26</v>
      </c>
      <c r="I106" s="10" t="s">
        <v>26</v>
      </c>
      <c r="J106" s="10" t="s">
        <v>26</v>
      </c>
      <c r="K106" s="9" t="s">
        <v>26</v>
      </c>
      <c r="L106" s="10" t="s">
        <v>26</v>
      </c>
      <c r="M106" s="10" t="s">
        <v>26</v>
      </c>
      <c r="N106" s="10" t="s">
        <v>26</v>
      </c>
      <c r="O106" s="9">
        <v>1543464134.8</v>
      </c>
      <c r="P106" s="10">
        <v>6.7410514678499997E-3</v>
      </c>
      <c r="Q106" s="10" t="s">
        <v>26</v>
      </c>
      <c r="R106" s="10" t="s">
        <v>26</v>
      </c>
      <c r="S106" s="9" t="s">
        <v>26</v>
      </c>
      <c r="T106" s="10" t="s">
        <v>26</v>
      </c>
      <c r="U106" s="10" t="s">
        <v>26</v>
      </c>
      <c r="V106" s="10" t="s">
        <v>26</v>
      </c>
      <c r="W106" s="9" t="s">
        <v>26</v>
      </c>
      <c r="X106" s="10" t="s">
        <v>26</v>
      </c>
      <c r="Y106" s="10" t="s">
        <v>26</v>
      </c>
      <c r="Z106" s="10" t="s">
        <v>26</v>
      </c>
      <c r="AA106" s="9" t="s">
        <v>26</v>
      </c>
      <c r="AB106" s="10" t="s">
        <v>26</v>
      </c>
      <c r="AC106" s="10" t="s">
        <v>26</v>
      </c>
      <c r="AD106" s="10" t="s">
        <v>26</v>
      </c>
      <c r="AE106" s="9">
        <v>1543464134.8</v>
      </c>
      <c r="AF106" s="10">
        <v>2.36143357569E-3</v>
      </c>
      <c r="AG106" s="10" t="s">
        <v>26</v>
      </c>
      <c r="AH106" s="10" t="s">
        <v>26</v>
      </c>
      <c r="AI106" s="9" t="s">
        <v>26</v>
      </c>
      <c r="AJ106" s="10" t="s">
        <v>26</v>
      </c>
      <c r="AK106" s="10" t="s">
        <v>26</v>
      </c>
      <c r="AL106" s="10" t="s">
        <v>26</v>
      </c>
      <c r="AM106" s="9" t="s">
        <v>26</v>
      </c>
      <c r="AN106" s="10" t="s">
        <v>26</v>
      </c>
      <c r="AO106" s="10" t="s">
        <v>26</v>
      </c>
      <c r="AP106" s="10" t="s">
        <v>26</v>
      </c>
      <c r="AQ106" s="9" t="s">
        <v>26</v>
      </c>
      <c r="AR106" s="10" t="s">
        <v>26</v>
      </c>
      <c r="AS106" s="10" t="s">
        <v>26</v>
      </c>
      <c r="AT106" s="10" t="s">
        <v>26</v>
      </c>
      <c r="AU106" s="9" t="s">
        <v>26</v>
      </c>
      <c r="AV106" s="10" t="s">
        <v>26</v>
      </c>
      <c r="AW106" s="10" t="s">
        <v>26</v>
      </c>
      <c r="AX106" s="10" t="s">
        <v>26</v>
      </c>
      <c r="AY106" s="9">
        <v>1543464134.8</v>
      </c>
      <c r="AZ106" s="10">
        <v>2.0832105913599999E-3</v>
      </c>
      <c r="BA106" s="10" t="s">
        <v>26</v>
      </c>
      <c r="BB106" s="10" t="s">
        <v>26</v>
      </c>
    </row>
    <row r="107" spans="1:54" customFormat="1">
      <c r="A107" s="3" t="s">
        <v>88</v>
      </c>
      <c r="B107" s="23" t="s">
        <v>47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1543464134.8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1543464134.8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1543464134.8</v>
      </c>
      <c r="AZ107" s="1">
        <v>1</v>
      </c>
      <c r="BA107" s="10" t="s">
        <v>26</v>
      </c>
      <c r="BB107" s="10" t="s">
        <v>26</v>
      </c>
    </row>
    <row r="108" spans="1:54" s="7" customFormat="1">
      <c r="A108" s="5" t="s">
        <v>93</v>
      </c>
      <c r="B108" s="20" t="s">
        <v>25</v>
      </c>
      <c r="C108" s="9" t="s">
        <v>26</v>
      </c>
      <c r="D108" s="10" t="s">
        <v>26</v>
      </c>
      <c r="E108" s="10" t="s">
        <v>26</v>
      </c>
      <c r="F108" s="10" t="s">
        <v>26</v>
      </c>
      <c r="G108" s="9" t="s">
        <v>26</v>
      </c>
      <c r="H108" s="10" t="s">
        <v>26</v>
      </c>
      <c r="I108" s="10" t="s">
        <v>26</v>
      </c>
      <c r="J108" s="10" t="s">
        <v>26</v>
      </c>
      <c r="K108" s="9" t="s">
        <v>26</v>
      </c>
      <c r="L108" s="10" t="s">
        <v>26</v>
      </c>
      <c r="M108" s="10" t="s">
        <v>26</v>
      </c>
      <c r="N108" s="10" t="s">
        <v>26</v>
      </c>
      <c r="O108" s="9">
        <v>330925144.19999999</v>
      </c>
      <c r="P108" s="10">
        <v>1.4453095337700001E-3</v>
      </c>
      <c r="Q108" s="10" t="s">
        <v>26</v>
      </c>
      <c r="R108" s="10" t="s">
        <v>26</v>
      </c>
      <c r="S108" s="9" t="s">
        <v>26</v>
      </c>
      <c r="T108" s="10" t="s">
        <v>26</v>
      </c>
      <c r="U108" s="10" t="s">
        <v>26</v>
      </c>
      <c r="V108" s="10" t="s">
        <v>26</v>
      </c>
      <c r="W108" s="9" t="s">
        <v>26</v>
      </c>
      <c r="X108" s="10" t="s">
        <v>26</v>
      </c>
      <c r="Y108" s="10" t="s">
        <v>26</v>
      </c>
      <c r="Z108" s="10" t="s">
        <v>26</v>
      </c>
      <c r="AA108" s="9">
        <v>330925144.19999999</v>
      </c>
      <c r="AB108" s="10">
        <v>2.35363053034E-3</v>
      </c>
      <c r="AC108" s="10" t="s">
        <v>26</v>
      </c>
      <c r="AD108" s="10" t="s">
        <v>26</v>
      </c>
      <c r="AE108" s="9">
        <v>661850288.39999998</v>
      </c>
      <c r="AF108" s="10">
        <v>1.01260240382E-3</v>
      </c>
      <c r="AG108" s="10" t="s">
        <v>26</v>
      </c>
      <c r="AH108" s="10" t="s">
        <v>26</v>
      </c>
      <c r="AI108" s="9" t="s">
        <v>26</v>
      </c>
      <c r="AJ108" s="10" t="s">
        <v>26</v>
      </c>
      <c r="AK108" s="10" t="s">
        <v>26</v>
      </c>
      <c r="AL108" s="10" t="s">
        <v>26</v>
      </c>
      <c r="AM108" s="9" t="s">
        <v>26</v>
      </c>
      <c r="AN108" s="10" t="s">
        <v>26</v>
      </c>
      <c r="AO108" s="10" t="s">
        <v>26</v>
      </c>
      <c r="AP108" s="10" t="s">
        <v>26</v>
      </c>
      <c r="AQ108" s="9" t="s">
        <v>26</v>
      </c>
      <c r="AR108" s="10" t="s">
        <v>26</v>
      </c>
      <c r="AS108" s="10" t="s">
        <v>26</v>
      </c>
      <c r="AT108" s="10" t="s">
        <v>26</v>
      </c>
      <c r="AU108" s="9" t="s">
        <v>26</v>
      </c>
      <c r="AV108" s="10" t="s">
        <v>26</v>
      </c>
      <c r="AW108" s="10" t="s">
        <v>26</v>
      </c>
      <c r="AX108" s="10" t="s">
        <v>26</v>
      </c>
      <c r="AY108" s="9">
        <v>661850288.39999998</v>
      </c>
      <c r="AZ108" s="10">
        <v>8.9329806868E-4</v>
      </c>
      <c r="BA108" s="10" t="s">
        <v>26</v>
      </c>
      <c r="BB108" s="10" t="s">
        <v>26</v>
      </c>
    </row>
    <row r="109" spans="1:54" customFormat="1">
      <c r="A109" s="3" t="s">
        <v>88</v>
      </c>
      <c r="B109" s="23" t="s">
        <v>47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330925144.19999999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>
        <v>330925144.19999999</v>
      </c>
      <c r="AB109" s="1">
        <v>1</v>
      </c>
      <c r="AC109" s="1" t="s">
        <v>26</v>
      </c>
      <c r="AD109" s="1" t="s">
        <v>26</v>
      </c>
      <c r="AE109" s="2">
        <v>661850288.39999998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661850288.39999998</v>
      </c>
      <c r="AZ109" s="1">
        <v>1</v>
      </c>
      <c r="BA109" s="10" t="s">
        <v>26</v>
      </c>
      <c r="BB109" s="10" t="s">
        <v>26</v>
      </c>
    </row>
    <row r="110" spans="1:54" s="7" customFormat="1">
      <c r="A110" s="5" t="s">
        <v>94</v>
      </c>
      <c r="B110" s="20" t="s">
        <v>25</v>
      </c>
      <c r="C110" s="9" t="s">
        <v>26</v>
      </c>
      <c r="D110" s="10" t="s">
        <v>26</v>
      </c>
      <c r="E110" s="10" t="s">
        <v>26</v>
      </c>
      <c r="F110" s="10" t="s">
        <v>26</v>
      </c>
      <c r="G110" s="9" t="s">
        <v>26</v>
      </c>
      <c r="H110" s="10" t="s">
        <v>26</v>
      </c>
      <c r="I110" s="10" t="s">
        <v>26</v>
      </c>
      <c r="J110" s="10" t="s">
        <v>26</v>
      </c>
      <c r="K110" s="9" t="s">
        <v>26</v>
      </c>
      <c r="L110" s="10" t="s">
        <v>26</v>
      </c>
      <c r="M110" s="10" t="s">
        <v>26</v>
      </c>
      <c r="N110" s="10" t="s">
        <v>26</v>
      </c>
      <c r="O110" s="9">
        <v>6175224268.0699997</v>
      </c>
      <c r="P110" s="10">
        <v>2.6970179402310002E-2</v>
      </c>
      <c r="Q110" s="10" t="s">
        <v>26</v>
      </c>
      <c r="R110" s="10" t="s">
        <v>26</v>
      </c>
      <c r="S110" s="9" t="s">
        <v>26</v>
      </c>
      <c r="T110" s="10" t="s">
        <v>26</v>
      </c>
      <c r="U110" s="10" t="s">
        <v>26</v>
      </c>
      <c r="V110" s="10" t="s">
        <v>26</v>
      </c>
      <c r="W110" s="9" t="s">
        <v>26</v>
      </c>
      <c r="X110" s="10" t="s">
        <v>26</v>
      </c>
      <c r="Y110" s="10" t="s">
        <v>26</v>
      </c>
      <c r="Z110" s="10" t="s">
        <v>26</v>
      </c>
      <c r="AA110" s="9" t="s">
        <v>26</v>
      </c>
      <c r="AB110" s="10" t="s">
        <v>26</v>
      </c>
      <c r="AC110" s="10" t="s">
        <v>26</v>
      </c>
      <c r="AD110" s="10" t="s">
        <v>26</v>
      </c>
      <c r="AE110" s="9">
        <v>6175224268.0699997</v>
      </c>
      <c r="AF110" s="10">
        <v>9.4478268689600006E-3</v>
      </c>
      <c r="AG110" s="10" t="s">
        <v>26</v>
      </c>
      <c r="AH110" s="10" t="s">
        <v>26</v>
      </c>
      <c r="AI110" s="9" t="s">
        <v>26</v>
      </c>
      <c r="AJ110" s="10" t="s">
        <v>26</v>
      </c>
      <c r="AK110" s="10" t="s">
        <v>26</v>
      </c>
      <c r="AL110" s="10" t="s">
        <v>26</v>
      </c>
      <c r="AM110" s="9" t="s">
        <v>26</v>
      </c>
      <c r="AN110" s="10" t="s">
        <v>26</v>
      </c>
      <c r="AO110" s="10" t="s">
        <v>26</v>
      </c>
      <c r="AP110" s="10" t="s">
        <v>26</v>
      </c>
      <c r="AQ110" s="9" t="s">
        <v>26</v>
      </c>
      <c r="AR110" s="10" t="s">
        <v>26</v>
      </c>
      <c r="AS110" s="10" t="s">
        <v>26</v>
      </c>
      <c r="AT110" s="10" t="s">
        <v>26</v>
      </c>
      <c r="AU110" s="9" t="s">
        <v>26</v>
      </c>
      <c r="AV110" s="10" t="s">
        <v>26</v>
      </c>
      <c r="AW110" s="10" t="s">
        <v>26</v>
      </c>
      <c r="AX110" s="10" t="s">
        <v>26</v>
      </c>
      <c r="AY110" s="9">
        <v>6175224268.0699997</v>
      </c>
      <c r="AZ110" s="10">
        <v>8.3346883864899995E-3</v>
      </c>
      <c r="BA110" s="10" t="s">
        <v>26</v>
      </c>
      <c r="BB110" s="10" t="s">
        <v>26</v>
      </c>
    </row>
    <row r="111" spans="1:54" customFormat="1">
      <c r="A111" s="3" t="s">
        <v>88</v>
      </c>
      <c r="B111" s="23" t="s">
        <v>47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6175224268.0699997</v>
      </c>
      <c r="P111" s="1">
        <v>1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6175224268.0699997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6175224268.0699997</v>
      </c>
      <c r="AZ111" s="1">
        <v>1</v>
      </c>
      <c r="BA111" s="10" t="s">
        <v>26</v>
      </c>
      <c r="BB111" s="10" t="s">
        <v>26</v>
      </c>
    </row>
    <row r="112" spans="1:54" s="7" customFormat="1">
      <c r="A112" s="5" t="s">
        <v>95</v>
      </c>
      <c r="B112" s="20" t="s">
        <v>25</v>
      </c>
      <c r="C112" s="9" t="s">
        <v>26</v>
      </c>
      <c r="D112" s="10" t="s">
        <v>26</v>
      </c>
      <c r="E112" s="10" t="s">
        <v>26</v>
      </c>
      <c r="F112" s="10" t="s">
        <v>26</v>
      </c>
      <c r="G112" s="9" t="s">
        <v>26</v>
      </c>
      <c r="H112" s="10" t="s">
        <v>26</v>
      </c>
      <c r="I112" s="10" t="s">
        <v>26</v>
      </c>
      <c r="J112" s="10" t="s">
        <v>26</v>
      </c>
      <c r="K112" s="9" t="s">
        <v>26</v>
      </c>
      <c r="L112" s="10" t="s">
        <v>26</v>
      </c>
      <c r="M112" s="10" t="s">
        <v>26</v>
      </c>
      <c r="N112" s="10" t="s">
        <v>26</v>
      </c>
      <c r="O112" s="9" t="s">
        <v>26</v>
      </c>
      <c r="P112" s="10" t="s">
        <v>26</v>
      </c>
      <c r="Q112" s="10" t="s">
        <v>26</v>
      </c>
      <c r="R112" s="10" t="s">
        <v>26</v>
      </c>
      <c r="S112" s="9">
        <v>139799018.09</v>
      </c>
      <c r="T112" s="10">
        <v>1.2241278566600001E-3</v>
      </c>
      <c r="U112" s="10" t="s">
        <v>26</v>
      </c>
      <c r="V112" s="10" t="s">
        <v>26</v>
      </c>
      <c r="W112" s="9" t="s">
        <v>26</v>
      </c>
      <c r="X112" s="10" t="s">
        <v>26</v>
      </c>
      <c r="Y112" s="10" t="s">
        <v>26</v>
      </c>
      <c r="Z112" s="10" t="s">
        <v>26</v>
      </c>
      <c r="AA112" s="9" t="s">
        <v>26</v>
      </c>
      <c r="AB112" s="10" t="s">
        <v>26</v>
      </c>
      <c r="AC112" s="10" t="s">
        <v>26</v>
      </c>
      <c r="AD112" s="10" t="s">
        <v>26</v>
      </c>
      <c r="AE112" s="9">
        <v>139799018.09</v>
      </c>
      <c r="AF112" s="10">
        <v>2.1388646987E-4</v>
      </c>
      <c r="AG112" s="10" t="s">
        <v>26</v>
      </c>
      <c r="AH112" s="10" t="s">
        <v>26</v>
      </c>
      <c r="AI112" s="9" t="s">
        <v>26</v>
      </c>
      <c r="AJ112" s="10" t="s">
        <v>26</v>
      </c>
      <c r="AK112" s="10" t="s">
        <v>26</v>
      </c>
      <c r="AL112" s="10" t="s">
        <v>26</v>
      </c>
      <c r="AM112" s="9" t="s">
        <v>26</v>
      </c>
      <c r="AN112" s="10" t="s">
        <v>26</v>
      </c>
      <c r="AO112" s="10" t="s">
        <v>26</v>
      </c>
      <c r="AP112" s="10" t="s">
        <v>26</v>
      </c>
      <c r="AQ112" s="9" t="s">
        <v>26</v>
      </c>
      <c r="AR112" s="10" t="s">
        <v>26</v>
      </c>
      <c r="AS112" s="10" t="s">
        <v>26</v>
      </c>
      <c r="AT112" s="10" t="s">
        <v>26</v>
      </c>
      <c r="AU112" s="9">
        <v>179085603.47</v>
      </c>
      <c r="AV112" s="10">
        <v>3.8757285101599999E-3</v>
      </c>
      <c r="AW112" s="10" t="s">
        <v>26</v>
      </c>
      <c r="AX112" s="10" t="s">
        <v>26</v>
      </c>
      <c r="AY112" s="9">
        <v>318884621.56</v>
      </c>
      <c r="AZ112" s="10">
        <v>4.3039796395999999E-4</v>
      </c>
      <c r="BA112" s="10" t="s">
        <v>26</v>
      </c>
      <c r="BB112" s="10" t="s">
        <v>26</v>
      </c>
    </row>
    <row r="113" spans="1:54" customFormat="1">
      <c r="A113" s="3" t="s">
        <v>88</v>
      </c>
      <c r="B113" s="23" t="s">
        <v>47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139799018.09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139799018.09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>
        <v>179085603.47</v>
      </c>
      <c r="AV113" s="1">
        <v>1</v>
      </c>
      <c r="AW113" s="1" t="s">
        <v>26</v>
      </c>
      <c r="AX113" s="1" t="s">
        <v>26</v>
      </c>
      <c r="AY113" s="2">
        <v>318884621.56</v>
      </c>
      <c r="AZ113" s="1">
        <v>1</v>
      </c>
      <c r="BA113" s="10" t="s">
        <v>26</v>
      </c>
      <c r="BB113" s="10" t="s">
        <v>26</v>
      </c>
    </row>
    <row r="114" spans="1:54" s="7" customFormat="1">
      <c r="A114" s="5" t="s">
        <v>96</v>
      </c>
      <c r="B114" s="20" t="s">
        <v>25</v>
      </c>
      <c r="C114" s="9" t="s">
        <v>26</v>
      </c>
      <c r="D114" s="10" t="s">
        <v>26</v>
      </c>
      <c r="E114" s="10" t="s">
        <v>26</v>
      </c>
      <c r="F114" s="10" t="s">
        <v>26</v>
      </c>
      <c r="G114" s="9" t="s">
        <v>26</v>
      </c>
      <c r="H114" s="10" t="s">
        <v>26</v>
      </c>
      <c r="I114" s="10" t="s">
        <v>26</v>
      </c>
      <c r="J114" s="10" t="s">
        <v>26</v>
      </c>
      <c r="K114" s="9">
        <v>60256267.109999999</v>
      </c>
      <c r="L114" s="10">
        <v>1.9720690546030002E-2</v>
      </c>
      <c r="M114" s="10" t="s">
        <v>26</v>
      </c>
      <c r="N114" s="10" t="s">
        <v>26</v>
      </c>
      <c r="O114" s="9" t="s">
        <v>26</v>
      </c>
      <c r="P114" s="10" t="s">
        <v>26</v>
      </c>
      <c r="Q114" s="10" t="s">
        <v>26</v>
      </c>
      <c r="R114" s="10" t="s">
        <v>26</v>
      </c>
      <c r="S114" s="9" t="s">
        <v>26</v>
      </c>
      <c r="T114" s="10" t="s">
        <v>26</v>
      </c>
      <c r="U114" s="10" t="s">
        <v>26</v>
      </c>
      <c r="V114" s="10" t="s">
        <v>26</v>
      </c>
      <c r="W114" s="9" t="s">
        <v>26</v>
      </c>
      <c r="X114" s="10" t="s">
        <v>26</v>
      </c>
      <c r="Y114" s="10" t="s">
        <v>26</v>
      </c>
      <c r="Z114" s="10" t="s">
        <v>26</v>
      </c>
      <c r="AA114" s="9" t="s">
        <v>26</v>
      </c>
      <c r="AB114" s="10" t="s">
        <v>26</v>
      </c>
      <c r="AC114" s="10" t="s">
        <v>26</v>
      </c>
      <c r="AD114" s="10" t="s">
        <v>26</v>
      </c>
      <c r="AE114" s="9">
        <v>60256267.109999999</v>
      </c>
      <c r="AF114" s="10">
        <v>9.2189490569999995E-5</v>
      </c>
      <c r="AG114" s="10" t="s">
        <v>26</v>
      </c>
      <c r="AH114" s="10" t="s">
        <v>26</v>
      </c>
      <c r="AI114" s="9" t="s">
        <v>26</v>
      </c>
      <c r="AJ114" s="10" t="s">
        <v>26</v>
      </c>
      <c r="AK114" s="10" t="s">
        <v>26</v>
      </c>
      <c r="AL114" s="10" t="s">
        <v>26</v>
      </c>
      <c r="AM114" s="9" t="s">
        <v>26</v>
      </c>
      <c r="AN114" s="10" t="s">
        <v>26</v>
      </c>
      <c r="AO114" s="10" t="s">
        <v>26</v>
      </c>
      <c r="AP114" s="10" t="s">
        <v>26</v>
      </c>
      <c r="AQ114" s="9" t="s">
        <v>26</v>
      </c>
      <c r="AR114" s="10" t="s">
        <v>26</v>
      </c>
      <c r="AS114" s="10" t="s">
        <v>26</v>
      </c>
      <c r="AT114" s="10" t="s">
        <v>26</v>
      </c>
      <c r="AU114" s="9" t="s">
        <v>26</v>
      </c>
      <c r="AV114" s="10" t="s">
        <v>26</v>
      </c>
      <c r="AW114" s="10" t="s">
        <v>26</v>
      </c>
      <c r="AX114" s="10" t="s">
        <v>26</v>
      </c>
      <c r="AY114" s="9">
        <v>60256267.109999999</v>
      </c>
      <c r="AZ114" s="10">
        <v>8.1327768499999995E-5</v>
      </c>
      <c r="BA114" s="10" t="s">
        <v>26</v>
      </c>
      <c r="BB114" s="10" t="s">
        <v>26</v>
      </c>
    </row>
    <row r="115" spans="1:54" customFormat="1">
      <c r="A115" s="3" t="s">
        <v>88</v>
      </c>
      <c r="B115" s="23" t="s">
        <v>47</v>
      </c>
      <c r="C115" s="2" t="s">
        <v>26</v>
      </c>
      <c r="D115" s="1" t="s">
        <v>26</v>
      </c>
      <c r="E115" s="1" t="s">
        <v>26</v>
      </c>
      <c r="F115" s="1" t="s">
        <v>26</v>
      </c>
      <c r="G115" s="2" t="s">
        <v>26</v>
      </c>
      <c r="H115" s="1" t="s">
        <v>26</v>
      </c>
      <c r="I115" s="1" t="s">
        <v>26</v>
      </c>
      <c r="J115" s="1" t="s">
        <v>26</v>
      </c>
      <c r="K115" s="2">
        <v>60256267.109999999</v>
      </c>
      <c r="L115" s="1">
        <v>1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60256267.109999999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60256267.109999999</v>
      </c>
      <c r="AZ115" s="1">
        <v>1</v>
      </c>
      <c r="BA115" s="10" t="s">
        <v>26</v>
      </c>
      <c r="BB115" s="10" t="s">
        <v>26</v>
      </c>
    </row>
    <row r="116" spans="1:54" s="7" customFormat="1">
      <c r="A116" s="5" t="s">
        <v>97</v>
      </c>
      <c r="B116" s="20" t="s">
        <v>25</v>
      </c>
      <c r="C116" s="9" t="s">
        <v>26</v>
      </c>
      <c r="D116" s="10" t="s">
        <v>26</v>
      </c>
      <c r="E116" s="10" t="s">
        <v>26</v>
      </c>
      <c r="F116" s="10" t="s">
        <v>26</v>
      </c>
      <c r="G116" s="9">
        <v>742088184.62</v>
      </c>
      <c r="H116" s="10" t="s">
        <v>26</v>
      </c>
      <c r="I116" s="10" t="s">
        <v>26</v>
      </c>
      <c r="J116" s="10" t="s">
        <v>26</v>
      </c>
      <c r="K116" s="9" t="s">
        <v>26</v>
      </c>
      <c r="L116" s="10" t="s">
        <v>26</v>
      </c>
      <c r="M116" s="10" t="s">
        <v>26</v>
      </c>
      <c r="N116" s="10" t="s">
        <v>26</v>
      </c>
      <c r="O116" s="9">
        <v>2138852189.47</v>
      </c>
      <c r="P116" s="10">
        <v>9.3413979413400003E-3</v>
      </c>
      <c r="Q116" s="10" t="s">
        <v>26</v>
      </c>
      <c r="R116" s="10" t="s">
        <v>26</v>
      </c>
      <c r="S116" s="9">
        <v>112780288.36</v>
      </c>
      <c r="T116" s="10">
        <v>9.8754264907999992E-4</v>
      </c>
      <c r="U116" s="10" t="s">
        <v>26</v>
      </c>
      <c r="V116" s="10" t="s">
        <v>26</v>
      </c>
      <c r="W116" s="9" t="s">
        <v>26</v>
      </c>
      <c r="X116" s="10" t="s">
        <v>26</v>
      </c>
      <c r="Y116" s="10" t="s">
        <v>26</v>
      </c>
      <c r="Z116" s="10" t="s">
        <v>26</v>
      </c>
      <c r="AA116" s="9" t="s">
        <v>26</v>
      </c>
      <c r="AB116" s="10" t="s">
        <v>26</v>
      </c>
      <c r="AC116" s="10" t="s">
        <v>26</v>
      </c>
      <c r="AD116" s="10" t="s">
        <v>26</v>
      </c>
      <c r="AE116" s="9">
        <v>2993720662.4499998</v>
      </c>
      <c r="AF116" s="10">
        <v>4.5802635313300002E-3</v>
      </c>
      <c r="AG116" s="10" t="s">
        <v>26</v>
      </c>
      <c r="AH116" s="10" t="s">
        <v>26</v>
      </c>
      <c r="AI116" s="9" t="s">
        <v>26</v>
      </c>
      <c r="AJ116" s="10" t="s">
        <v>26</v>
      </c>
      <c r="AK116" s="10" t="s">
        <v>26</v>
      </c>
      <c r="AL116" s="10" t="s">
        <v>26</v>
      </c>
      <c r="AM116" s="9" t="s">
        <v>26</v>
      </c>
      <c r="AN116" s="10" t="s">
        <v>26</v>
      </c>
      <c r="AO116" s="10" t="s">
        <v>26</v>
      </c>
      <c r="AP116" s="10" t="s">
        <v>26</v>
      </c>
      <c r="AQ116" s="9" t="s">
        <v>26</v>
      </c>
      <c r="AR116" s="10" t="s">
        <v>26</v>
      </c>
      <c r="AS116" s="10" t="s">
        <v>26</v>
      </c>
      <c r="AT116" s="10" t="s">
        <v>26</v>
      </c>
      <c r="AU116" s="9" t="s">
        <v>26</v>
      </c>
      <c r="AV116" s="10" t="s">
        <v>26</v>
      </c>
      <c r="AW116" s="10" t="s">
        <v>26</v>
      </c>
      <c r="AX116" s="10" t="s">
        <v>26</v>
      </c>
      <c r="AY116" s="9">
        <v>2993720662.4499998</v>
      </c>
      <c r="AZ116" s="10">
        <v>4.0406190535800003E-3</v>
      </c>
      <c r="BA116" s="10" t="s">
        <v>26</v>
      </c>
      <c r="BB116" s="10" t="s">
        <v>26</v>
      </c>
    </row>
    <row r="117" spans="1:54" customFormat="1">
      <c r="A117" s="3" t="s">
        <v>88</v>
      </c>
      <c r="B117" s="23" t="s">
        <v>47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742088184.62</v>
      </c>
      <c r="H117" s="1" t="s">
        <v>26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2138852189.47</v>
      </c>
      <c r="P117" s="1">
        <v>1</v>
      </c>
      <c r="Q117" s="1" t="s">
        <v>26</v>
      </c>
      <c r="R117" s="1" t="s">
        <v>26</v>
      </c>
      <c r="S117" s="2">
        <v>112780288.36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2993720662.4499998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2993720662.4499998</v>
      </c>
      <c r="AZ117" s="1">
        <v>1</v>
      </c>
      <c r="BA117" s="10" t="s">
        <v>26</v>
      </c>
      <c r="BB117" s="10" t="s">
        <v>26</v>
      </c>
    </row>
    <row r="118" spans="1:54" s="7" customFormat="1">
      <c r="A118" s="5" t="s">
        <v>98</v>
      </c>
      <c r="B118" s="20" t="s">
        <v>25</v>
      </c>
      <c r="C118" s="9" t="s">
        <v>26</v>
      </c>
      <c r="D118" s="10" t="s">
        <v>26</v>
      </c>
      <c r="E118" s="10" t="s">
        <v>26</v>
      </c>
      <c r="F118" s="10" t="s">
        <v>26</v>
      </c>
      <c r="G118" s="9">
        <v>1498725630.4400001</v>
      </c>
      <c r="H118" s="10" t="s">
        <v>26</v>
      </c>
      <c r="I118" s="10" t="s">
        <v>26</v>
      </c>
      <c r="J118" s="10" t="s">
        <v>26</v>
      </c>
      <c r="K118" s="9" t="s">
        <v>26</v>
      </c>
      <c r="L118" s="10" t="s">
        <v>26</v>
      </c>
      <c r="M118" s="10" t="s">
        <v>26</v>
      </c>
      <c r="N118" s="10" t="s">
        <v>26</v>
      </c>
      <c r="O118" s="9">
        <v>3570823489.8099999</v>
      </c>
      <c r="P118" s="10">
        <v>1.5595506487450001E-2</v>
      </c>
      <c r="Q118" s="10" t="s">
        <v>26</v>
      </c>
      <c r="R118" s="10" t="s">
        <v>26</v>
      </c>
      <c r="S118" s="9">
        <v>999830577.14999998</v>
      </c>
      <c r="T118" s="10">
        <v>8.7548573527000007E-3</v>
      </c>
      <c r="U118" s="10" t="s">
        <v>26</v>
      </c>
      <c r="V118" s="10" t="s">
        <v>26</v>
      </c>
      <c r="W118" s="9" t="s">
        <v>26</v>
      </c>
      <c r="X118" s="10" t="s">
        <v>26</v>
      </c>
      <c r="Y118" s="10" t="s">
        <v>26</v>
      </c>
      <c r="Z118" s="10" t="s">
        <v>26</v>
      </c>
      <c r="AA118" s="9" t="s">
        <v>26</v>
      </c>
      <c r="AB118" s="10" t="s">
        <v>26</v>
      </c>
      <c r="AC118" s="10" t="s">
        <v>26</v>
      </c>
      <c r="AD118" s="10" t="s">
        <v>26</v>
      </c>
      <c r="AE118" s="9">
        <v>6069379697.3999996</v>
      </c>
      <c r="AF118" s="10">
        <v>9.2858892395999999E-3</v>
      </c>
      <c r="AG118" s="10" t="s">
        <v>26</v>
      </c>
      <c r="AH118" s="10" t="s">
        <v>26</v>
      </c>
      <c r="AI118" s="9" t="s">
        <v>26</v>
      </c>
      <c r="AJ118" s="10" t="s">
        <v>26</v>
      </c>
      <c r="AK118" s="10" t="s">
        <v>26</v>
      </c>
      <c r="AL118" s="10" t="s">
        <v>26</v>
      </c>
      <c r="AM118" s="9" t="s">
        <v>26</v>
      </c>
      <c r="AN118" s="10" t="s">
        <v>26</v>
      </c>
      <c r="AO118" s="10" t="s">
        <v>26</v>
      </c>
      <c r="AP118" s="10" t="s">
        <v>26</v>
      </c>
      <c r="AQ118" s="9" t="s">
        <v>26</v>
      </c>
      <c r="AR118" s="10" t="s">
        <v>26</v>
      </c>
      <c r="AS118" s="10" t="s">
        <v>26</v>
      </c>
      <c r="AT118" s="10" t="s">
        <v>26</v>
      </c>
      <c r="AU118" s="9">
        <v>999830577.14999998</v>
      </c>
      <c r="AV118" s="10">
        <v>2.1638098194949999E-2</v>
      </c>
      <c r="AW118" s="10" t="s">
        <v>26</v>
      </c>
      <c r="AX118" s="10" t="s">
        <v>26</v>
      </c>
      <c r="AY118" s="9">
        <v>7069210274.5500002</v>
      </c>
      <c r="AZ118" s="10">
        <v>9.5412995899699996E-3</v>
      </c>
      <c r="BA118" s="10" t="s">
        <v>26</v>
      </c>
      <c r="BB118" s="10" t="s">
        <v>26</v>
      </c>
    </row>
    <row r="119" spans="1:54" customFormat="1">
      <c r="A119" s="3" t="s">
        <v>88</v>
      </c>
      <c r="B119" s="23" t="s">
        <v>40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1498725630.4400001</v>
      </c>
      <c r="H119" s="1" t="s">
        <v>26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3570823489.8099999</v>
      </c>
      <c r="P119" s="1">
        <v>1</v>
      </c>
      <c r="Q119" s="1" t="s">
        <v>26</v>
      </c>
      <c r="R119" s="1" t="s">
        <v>26</v>
      </c>
      <c r="S119" s="2">
        <v>999830577.14999998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6069379697.3999996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999830577.14999998</v>
      </c>
      <c r="AV119" s="1">
        <v>1</v>
      </c>
      <c r="AW119" s="1" t="s">
        <v>26</v>
      </c>
      <c r="AX119" s="1" t="s">
        <v>26</v>
      </c>
      <c r="AY119" s="2">
        <v>7069210274.5500002</v>
      </c>
      <c r="AZ119" s="1">
        <v>1</v>
      </c>
      <c r="BA119" s="10" t="s">
        <v>26</v>
      </c>
      <c r="BB119" s="10" t="s">
        <v>26</v>
      </c>
    </row>
    <row r="120" spans="1:54" s="7" customFormat="1">
      <c r="A120" s="5" t="s">
        <v>99</v>
      </c>
      <c r="B120" s="20" t="s">
        <v>25</v>
      </c>
      <c r="C120" s="9" t="s">
        <v>26</v>
      </c>
      <c r="D120" s="10" t="s">
        <v>26</v>
      </c>
      <c r="E120" s="10" t="s">
        <v>26</v>
      </c>
      <c r="F120" s="10" t="s">
        <v>26</v>
      </c>
      <c r="G120" s="9">
        <v>576817946</v>
      </c>
      <c r="H120" s="10" t="s">
        <v>26</v>
      </c>
      <c r="I120" s="10" t="s">
        <v>26</v>
      </c>
      <c r="J120" s="10" t="s">
        <v>26</v>
      </c>
      <c r="K120" s="9" t="s">
        <v>26</v>
      </c>
      <c r="L120" s="10" t="s">
        <v>26</v>
      </c>
      <c r="M120" s="10" t="s">
        <v>26</v>
      </c>
      <c r="N120" s="10" t="s">
        <v>26</v>
      </c>
      <c r="O120" s="9">
        <v>799804227.55999994</v>
      </c>
      <c r="P120" s="10">
        <v>3.4931303816100002E-3</v>
      </c>
      <c r="Q120" s="10" t="s">
        <v>26</v>
      </c>
      <c r="R120" s="10" t="s">
        <v>26</v>
      </c>
      <c r="S120" s="9">
        <v>266720618.22999999</v>
      </c>
      <c r="T120" s="10">
        <v>2.33549665213E-3</v>
      </c>
      <c r="U120" s="10" t="s">
        <v>26</v>
      </c>
      <c r="V120" s="10" t="s">
        <v>26</v>
      </c>
      <c r="W120" s="9" t="s">
        <v>26</v>
      </c>
      <c r="X120" s="10" t="s">
        <v>26</v>
      </c>
      <c r="Y120" s="10" t="s">
        <v>26</v>
      </c>
      <c r="Z120" s="10" t="s">
        <v>26</v>
      </c>
      <c r="AA120" s="9">
        <v>865226919</v>
      </c>
      <c r="AB120" s="10">
        <v>6.15373152486E-3</v>
      </c>
      <c r="AC120" s="10" t="s">
        <v>26</v>
      </c>
      <c r="AD120" s="10" t="s">
        <v>26</v>
      </c>
      <c r="AE120" s="9">
        <v>2508569710.79</v>
      </c>
      <c r="AF120" s="10">
        <v>3.8380034938600002E-3</v>
      </c>
      <c r="AG120" s="10" t="s">
        <v>26</v>
      </c>
      <c r="AH120" s="10" t="s">
        <v>26</v>
      </c>
      <c r="AI120" s="9" t="s">
        <v>26</v>
      </c>
      <c r="AJ120" s="10" t="s">
        <v>26</v>
      </c>
      <c r="AK120" s="10" t="s">
        <v>26</v>
      </c>
      <c r="AL120" s="10" t="s">
        <v>26</v>
      </c>
      <c r="AM120" s="9" t="s">
        <v>26</v>
      </c>
      <c r="AN120" s="10" t="s">
        <v>26</v>
      </c>
      <c r="AO120" s="10" t="s">
        <v>26</v>
      </c>
      <c r="AP120" s="10" t="s">
        <v>26</v>
      </c>
      <c r="AQ120" s="9" t="s">
        <v>26</v>
      </c>
      <c r="AR120" s="10" t="s">
        <v>26</v>
      </c>
      <c r="AS120" s="10" t="s">
        <v>26</v>
      </c>
      <c r="AT120" s="10" t="s">
        <v>26</v>
      </c>
      <c r="AU120" s="9" t="s">
        <v>26</v>
      </c>
      <c r="AV120" s="10" t="s">
        <v>26</v>
      </c>
      <c r="AW120" s="10" t="s">
        <v>26</v>
      </c>
      <c r="AX120" s="10" t="s">
        <v>26</v>
      </c>
      <c r="AY120" s="9">
        <v>2508569710.79</v>
      </c>
      <c r="AZ120" s="10">
        <v>3.3858117418199998E-3</v>
      </c>
      <c r="BA120" s="10" t="s">
        <v>26</v>
      </c>
      <c r="BB120" s="10" t="s">
        <v>26</v>
      </c>
    </row>
    <row r="121" spans="1:54" customFormat="1">
      <c r="A121" s="3" t="s">
        <v>88</v>
      </c>
      <c r="B121" s="23" t="s">
        <v>47</v>
      </c>
      <c r="C121" s="2" t="s">
        <v>26</v>
      </c>
      <c r="D121" s="1" t="s">
        <v>26</v>
      </c>
      <c r="E121" s="1" t="s">
        <v>26</v>
      </c>
      <c r="F121" s="1" t="s">
        <v>26</v>
      </c>
      <c r="G121" s="2">
        <v>576817946</v>
      </c>
      <c r="H121" s="1" t="s">
        <v>26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799804227.55999994</v>
      </c>
      <c r="P121" s="1">
        <v>1</v>
      </c>
      <c r="Q121" s="1" t="s">
        <v>26</v>
      </c>
      <c r="R121" s="1" t="s">
        <v>26</v>
      </c>
      <c r="S121" s="2">
        <v>266720618.22999999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18">
        <v>865226919</v>
      </c>
      <c r="AB121" s="19">
        <v>1</v>
      </c>
      <c r="AC121" s="1" t="s">
        <v>26</v>
      </c>
      <c r="AD121" s="1" t="s">
        <v>26</v>
      </c>
      <c r="AE121" s="22">
        <v>2508569710.79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2">
        <v>2508569710.79</v>
      </c>
      <c r="AZ121" s="1">
        <v>1</v>
      </c>
      <c r="BA121" s="10" t="s">
        <v>26</v>
      </c>
      <c r="BB121" s="10" t="s">
        <v>26</v>
      </c>
    </row>
    <row r="122" spans="1:54" s="7" customFormat="1">
      <c r="A122" s="5" t="s">
        <v>100</v>
      </c>
      <c r="B122" s="20" t="s">
        <v>25</v>
      </c>
      <c r="C122" s="9" t="s">
        <v>26</v>
      </c>
      <c r="D122" s="10" t="s">
        <v>26</v>
      </c>
      <c r="E122" s="10" t="s">
        <v>26</v>
      </c>
      <c r="F122" s="10" t="s">
        <v>26</v>
      </c>
      <c r="G122" s="9" t="s">
        <v>26</v>
      </c>
      <c r="H122" s="10" t="s">
        <v>26</v>
      </c>
      <c r="I122" s="10" t="s">
        <v>26</v>
      </c>
      <c r="J122" s="10" t="s">
        <v>26</v>
      </c>
      <c r="K122" s="9" t="s">
        <v>26</v>
      </c>
      <c r="L122" s="10" t="s">
        <v>26</v>
      </c>
      <c r="M122" s="10" t="s">
        <v>26</v>
      </c>
      <c r="N122" s="10" t="s">
        <v>26</v>
      </c>
      <c r="O122" s="9">
        <v>369228899.99000001</v>
      </c>
      <c r="P122" s="10">
        <v>1.6126004888199999E-3</v>
      </c>
      <c r="Q122" s="10" t="s">
        <v>26</v>
      </c>
      <c r="R122" s="10" t="s">
        <v>26</v>
      </c>
      <c r="S122" s="9" t="s">
        <v>26</v>
      </c>
      <c r="T122" s="10" t="s">
        <v>26</v>
      </c>
      <c r="U122" s="10" t="s">
        <v>26</v>
      </c>
      <c r="V122" s="10" t="s">
        <v>26</v>
      </c>
      <c r="W122" s="9" t="s">
        <v>26</v>
      </c>
      <c r="X122" s="10" t="s">
        <v>26</v>
      </c>
      <c r="Y122" s="10" t="s">
        <v>26</v>
      </c>
      <c r="Z122" s="10" t="s">
        <v>26</v>
      </c>
      <c r="AA122" s="9" t="s">
        <v>26</v>
      </c>
      <c r="AB122" s="10" t="s">
        <v>26</v>
      </c>
      <c r="AC122" s="10" t="s">
        <v>26</v>
      </c>
      <c r="AD122" s="10" t="s">
        <v>26</v>
      </c>
      <c r="AE122" s="9">
        <v>369228899.99000001</v>
      </c>
      <c r="AF122" s="10">
        <v>5.6490429670000004E-4</v>
      </c>
      <c r="AG122" s="10" t="s">
        <v>26</v>
      </c>
      <c r="AH122" s="10" t="s">
        <v>26</v>
      </c>
      <c r="AI122" s="9" t="s">
        <v>26</v>
      </c>
      <c r="AJ122" s="10" t="s">
        <v>26</v>
      </c>
      <c r="AK122" s="10" t="s">
        <v>26</v>
      </c>
      <c r="AL122" s="10" t="s">
        <v>26</v>
      </c>
      <c r="AM122" s="9" t="s">
        <v>26</v>
      </c>
      <c r="AN122" s="10" t="s">
        <v>26</v>
      </c>
      <c r="AO122" s="10" t="s">
        <v>26</v>
      </c>
      <c r="AP122" s="10" t="s">
        <v>26</v>
      </c>
      <c r="AQ122" s="9" t="s">
        <v>26</v>
      </c>
      <c r="AR122" s="10" t="s">
        <v>26</v>
      </c>
      <c r="AS122" s="10" t="s">
        <v>26</v>
      </c>
      <c r="AT122" s="10" t="s">
        <v>26</v>
      </c>
      <c r="AU122" s="9" t="s">
        <v>26</v>
      </c>
      <c r="AV122" s="10" t="s">
        <v>26</v>
      </c>
      <c r="AW122" s="10" t="s">
        <v>26</v>
      </c>
      <c r="AX122" s="10" t="s">
        <v>26</v>
      </c>
      <c r="AY122" s="9">
        <v>369228899.99000001</v>
      </c>
      <c r="AZ122" s="10">
        <v>4.9834754029000003E-4</v>
      </c>
      <c r="BA122" s="10" t="s">
        <v>26</v>
      </c>
      <c r="BB122" s="10" t="s">
        <v>26</v>
      </c>
    </row>
    <row r="123" spans="1:54" customFormat="1">
      <c r="A123" s="3" t="s">
        <v>88</v>
      </c>
      <c r="B123" s="23" t="s">
        <v>57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369228899.99000001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369228899.99000001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369228899.99000001</v>
      </c>
      <c r="AZ123" s="1">
        <v>1</v>
      </c>
      <c r="BA123" s="10" t="s">
        <v>26</v>
      </c>
      <c r="BB123" s="10" t="s">
        <v>26</v>
      </c>
    </row>
    <row r="124" spans="1:54" s="7" customFormat="1">
      <c r="A124" s="5" t="s">
        <v>101</v>
      </c>
      <c r="B124" s="20" t="s">
        <v>25</v>
      </c>
      <c r="C124" s="9" t="s">
        <v>26</v>
      </c>
      <c r="D124" s="10" t="s">
        <v>26</v>
      </c>
      <c r="E124" s="10" t="s">
        <v>26</v>
      </c>
      <c r="F124" s="10" t="s">
        <v>26</v>
      </c>
      <c r="G124" s="9" t="s">
        <v>26</v>
      </c>
      <c r="H124" s="10" t="s">
        <v>26</v>
      </c>
      <c r="I124" s="10" t="s">
        <v>26</v>
      </c>
      <c r="J124" s="10" t="s">
        <v>26</v>
      </c>
      <c r="K124" s="9" t="s">
        <v>26</v>
      </c>
      <c r="L124" s="10" t="s">
        <v>26</v>
      </c>
      <c r="M124" s="10" t="s">
        <v>26</v>
      </c>
      <c r="N124" s="10" t="s">
        <v>26</v>
      </c>
      <c r="O124" s="9">
        <v>32718394.859999999</v>
      </c>
      <c r="P124" s="10">
        <v>1.4289699301999999E-4</v>
      </c>
      <c r="Q124" s="10" t="s">
        <v>26</v>
      </c>
      <c r="R124" s="10" t="s">
        <v>26</v>
      </c>
      <c r="S124" s="9" t="s">
        <v>26</v>
      </c>
      <c r="T124" s="10" t="s">
        <v>26</v>
      </c>
      <c r="U124" s="10" t="s">
        <v>26</v>
      </c>
      <c r="V124" s="10" t="s">
        <v>26</v>
      </c>
      <c r="W124" s="9" t="s">
        <v>26</v>
      </c>
      <c r="X124" s="10" t="s">
        <v>26</v>
      </c>
      <c r="Y124" s="10" t="s">
        <v>26</v>
      </c>
      <c r="Z124" s="10" t="s">
        <v>26</v>
      </c>
      <c r="AA124" s="9" t="s">
        <v>26</v>
      </c>
      <c r="AB124" s="10" t="s">
        <v>26</v>
      </c>
      <c r="AC124" s="10" t="s">
        <v>26</v>
      </c>
      <c r="AD124" s="10" t="s">
        <v>26</v>
      </c>
      <c r="AE124" s="9">
        <v>32718394.859999999</v>
      </c>
      <c r="AF124" s="10">
        <v>5.0057733399999997E-5</v>
      </c>
      <c r="AG124" s="10" t="s">
        <v>26</v>
      </c>
      <c r="AH124" s="10" t="s">
        <v>26</v>
      </c>
      <c r="AI124" s="9" t="s">
        <v>26</v>
      </c>
      <c r="AJ124" s="10" t="s">
        <v>26</v>
      </c>
      <c r="AK124" s="10" t="s">
        <v>26</v>
      </c>
      <c r="AL124" s="10" t="s">
        <v>26</v>
      </c>
      <c r="AM124" s="9" t="s">
        <v>26</v>
      </c>
      <c r="AN124" s="10" t="s">
        <v>26</v>
      </c>
      <c r="AO124" s="10" t="s">
        <v>26</v>
      </c>
      <c r="AP124" s="10" t="s">
        <v>26</v>
      </c>
      <c r="AQ124" s="9" t="s">
        <v>26</v>
      </c>
      <c r="AR124" s="10" t="s">
        <v>26</v>
      </c>
      <c r="AS124" s="10" t="s">
        <v>26</v>
      </c>
      <c r="AT124" s="10" t="s">
        <v>26</v>
      </c>
      <c r="AU124" s="9" t="s">
        <v>26</v>
      </c>
      <c r="AV124" s="10" t="s">
        <v>26</v>
      </c>
      <c r="AW124" s="10" t="s">
        <v>26</v>
      </c>
      <c r="AX124" s="10" t="s">
        <v>26</v>
      </c>
      <c r="AY124" s="9">
        <v>32718394.859999999</v>
      </c>
      <c r="AZ124" s="10">
        <v>4.4159954980000001E-5</v>
      </c>
      <c r="BA124" s="10" t="s">
        <v>26</v>
      </c>
      <c r="BB124" s="10" t="s">
        <v>26</v>
      </c>
    </row>
    <row r="125" spans="1:54" customFormat="1">
      <c r="A125" s="3" t="s">
        <v>88</v>
      </c>
      <c r="B125" s="23" t="s">
        <v>57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32718394.859999999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32718394.859999999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32718394.859999999</v>
      </c>
      <c r="AZ125" s="1">
        <v>1</v>
      </c>
      <c r="BA125" s="10" t="s">
        <v>26</v>
      </c>
      <c r="BB125" s="10" t="s">
        <v>26</v>
      </c>
    </row>
    <row r="126" spans="1:54" s="7" customFormat="1">
      <c r="A126" s="5" t="s">
        <v>102</v>
      </c>
      <c r="B126" s="20" t="s">
        <v>25</v>
      </c>
      <c r="C126" s="9" t="s">
        <v>26</v>
      </c>
      <c r="D126" s="10" t="s">
        <v>26</v>
      </c>
      <c r="E126" s="10" t="s">
        <v>26</v>
      </c>
      <c r="F126" s="10" t="s">
        <v>26</v>
      </c>
      <c r="G126" s="9" t="s">
        <v>26</v>
      </c>
      <c r="H126" s="10" t="s">
        <v>26</v>
      </c>
      <c r="I126" s="10" t="s">
        <v>26</v>
      </c>
      <c r="J126" s="10" t="s">
        <v>26</v>
      </c>
      <c r="K126" s="9" t="s">
        <v>26</v>
      </c>
      <c r="L126" s="10" t="s">
        <v>26</v>
      </c>
      <c r="M126" s="10" t="s">
        <v>26</v>
      </c>
      <c r="N126" s="10" t="s">
        <v>26</v>
      </c>
      <c r="O126" s="9">
        <v>1862091375.4300001</v>
      </c>
      <c r="P126" s="10">
        <v>8.1326501319999994E-3</v>
      </c>
      <c r="Q126" s="10" t="s">
        <v>26</v>
      </c>
      <c r="R126" s="10" t="s">
        <v>26</v>
      </c>
      <c r="S126" s="9" t="s">
        <v>26</v>
      </c>
      <c r="T126" s="10" t="s">
        <v>26</v>
      </c>
      <c r="U126" s="10" t="s">
        <v>26</v>
      </c>
      <c r="V126" s="10" t="s">
        <v>26</v>
      </c>
      <c r="W126" s="9" t="s">
        <v>26</v>
      </c>
      <c r="X126" s="10" t="s">
        <v>26</v>
      </c>
      <c r="Y126" s="10" t="s">
        <v>26</v>
      </c>
      <c r="Z126" s="10" t="s">
        <v>26</v>
      </c>
      <c r="AA126" s="9" t="s">
        <v>26</v>
      </c>
      <c r="AB126" s="10" t="s">
        <v>26</v>
      </c>
      <c r="AC126" s="10" t="s">
        <v>26</v>
      </c>
      <c r="AD126" s="10" t="s">
        <v>26</v>
      </c>
      <c r="AE126" s="9">
        <v>1862091375.4300001</v>
      </c>
      <c r="AF126" s="10">
        <v>2.8489195153899999E-3</v>
      </c>
      <c r="AG126" s="10" t="s">
        <v>26</v>
      </c>
      <c r="AH126" s="10" t="s">
        <v>26</v>
      </c>
      <c r="AI126" s="9" t="s">
        <v>26</v>
      </c>
      <c r="AJ126" s="10" t="s">
        <v>26</v>
      </c>
      <c r="AK126" s="10" t="s">
        <v>26</v>
      </c>
      <c r="AL126" s="10" t="s">
        <v>26</v>
      </c>
      <c r="AM126" s="9" t="s">
        <v>26</v>
      </c>
      <c r="AN126" s="10" t="s">
        <v>26</v>
      </c>
      <c r="AO126" s="10" t="s">
        <v>26</v>
      </c>
      <c r="AP126" s="10" t="s">
        <v>26</v>
      </c>
      <c r="AQ126" s="9" t="s">
        <v>26</v>
      </c>
      <c r="AR126" s="10" t="s">
        <v>26</v>
      </c>
      <c r="AS126" s="10" t="s">
        <v>26</v>
      </c>
      <c r="AT126" s="10" t="s">
        <v>26</v>
      </c>
      <c r="AU126" s="9" t="s">
        <v>26</v>
      </c>
      <c r="AV126" s="10" t="s">
        <v>26</v>
      </c>
      <c r="AW126" s="10" t="s">
        <v>26</v>
      </c>
      <c r="AX126" s="10" t="s">
        <v>26</v>
      </c>
      <c r="AY126" s="9">
        <v>1862091375.4300001</v>
      </c>
      <c r="AZ126" s="10">
        <v>2.5132611687699999E-3</v>
      </c>
      <c r="BA126" s="10" t="s">
        <v>26</v>
      </c>
      <c r="BB126" s="10" t="s">
        <v>26</v>
      </c>
    </row>
    <row r="127" spans="1:54" customFormat="1">
      <c r="A127" s="3" t="s">
        <v>88</v>
      </c>
      <c r="B127" s="23" t="s">
        <v>47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1862091375.4300001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1862091375.4300001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1862091375.4300001</v>
      </c>
      <c r="AZ127" s="1">
        <v>1</v>
      </c>
      <c r="BA127" s="10" t="s">
        <v>26</v>
      </c>
      <c r="BB127" s="10" t="s">
        <v>26</v>
      </c>
    </row>
    <row r="128" spans="1:54" s="7" customFormat="1">
      <c r="A128" s="5" t="s">
        <v>103</v>
      </c>
      <c r="B128" s="20" t="s">
        <v>25</v>
      </c>
      <c r="C128" s="9" t="s">
        <v>26</v>
      </c>
      <c r="D128" s="10" t="s">
        <v>26</v>
      </c>
      <c r="E128" s="10" t="s">
        <v>26</v>
      </c>
      <c r="F128" s="10" t="s">
        <v>26</v>
      </c>
      <c r="G128" s="9" t="s">
        <v>26</v>
      </c>
      <c r="H128" s="10" t="s">
        <v>26</v>
      </c>
      <c r="I128" s="10" t="s">
        <v>26</v>
      </c>
      <c r="J128" s="10" t="s">
        <v>26</v>
      </c>
      <c r="K128" s="9" t="s">
        <v>26</v>
      </c>
      <c r="L128" s="10" t="s">
        <v>26</v>
      </c>
      <c r="M128" s="10" t="s">
        <v>26</v>
      </c>
      <c r="N128" s="10" t="s">
        <v>26</v>
      </c>
      <c r="O128" s="9">
        <v>612004541</v>
      </c>
      <c r="P128" s="10">
        <v>2.6729186745699999E-3</v>
      </c>
      <c r="Q128" s="10" t="s">
        <v>26</v>
      </c>
      <c r="R128" s="10" t="s">
        <v>26</v>
      </c>
      <c r="S128" s="9" t="s">
        <v>26</v>
      </c>
      <c r="T128" s="10" t="s">
        <v>26</v>
      </c>
      <c r="U128" s="10" t="s">
        <v>26</v>
      </c>
      <c r="V128" s="10" t="s">
        <v>26</v>
      </c>
      <c r="W128" s="9" t="s">
        <v>26</v>
      </c>
      <c r="X128" s="10" t="s">
        <v>26</v>
      </c>
      <c r="Y128" s="10" t="s">
        <v>26</v>
      </c>
      <c r="Z128" s="10" t="s">
        <v>26</v>
      </c>
      <c r="AA128" s="9" t="s">
        <v>26</v>
      </c>
      <c r="AB128" s="10" t="s">
        <v>26</v>
      </c>
      <c r="AC128" s="10" t="s">
        <v>26</v>
      </c>
      <c r="AD128" s="10" t="s">
        <v>26</v>
      </c>
      <c r="AE128" s="9">
        <v>612004541</v>
      </c>
      <c r="AF128" s="10">
        <v>9.3634055953000005E-4</v>
      </c>
      <c r="AG128" s="10" t="s">
        <v>26</v>
      </c>
      <c r="AH128" s="10" t="s">
        <v>26</v>
      </c>
      <c r="AI128" s="9" t="s">
        <v>26</v>
      </c>
      <c r="AJ128" s="10" t="s">
        <v>26</v>
      </c>
      <c r="AK128" s="10" t="s">
        <v>26</v>
      </c>
      <c r="AL128" s="10" t="s">
        <v>26</v>
      </c>
      <c r="AM128" s="9" t="s">
        <v>26</v>
      </c>
      <c r="AN128" s="10" t="s">
        <v>26</v>
      </c>
      <c r="AO128" s="10" t="s">
        <v>26</v>
      </c>
      <c r="AP128" s="10" t="s">
        <v>26</v>
      </c>
      <c r="AQ128" s="9" t="s">
        <v>26</v>
      </c>
      <c r="AR128" s="10" t="s">
        <v>26</v>
      </c>
      <c r="AS128" s="10" t="s">
        <v>26</v>
      </c>
      <c r="AT128" s="10" t="s">
        <v>26</v>
      </c>
      <c r="AU128" s="9" t="s">
        <v>26</v>
      </c>
      <c r="AV128" s="10" t="s">
        <v>26</v>
      </c>
      <c r="AW128" s="10" t="s">
        <v>26</v>
      </c>
      <c r="AX128" s="10" t="s">
        <v>26</v>
      </c>
      <c r="AY128" s="9">
        <v>612004541</v>
      </c>
      <c r="AZ128" s="10">
        <v>8.2602135873000005E-4</v>
      </c>
      <c r="BA128" s="10" t="s">
        <v>26</v>
      </c>
      <c r="BB128" s="10" t="s">
        <v>26</v>
      </c>
    </row>
    <row r="129" spans="1:54" customFormat="1">
      <c r="A129" s="3" t="s">
        <v>88</v>
      </c>
      <c r="B129" s="21" t="s">
        <v>104</v>
      </c>
      <c r="C129" s="2" t="s">
        <v>26</v>
      </c>
      <c r="D129" s="1" t="s">
        <v>26</v>
      </c>
      <c r="E129" s="1" t="s">
        <v>26</v>
      </c>
      <c r="F129" s="1" t="s">
        <v>26</v>
      </c>
      <c r="G129" s="2" t="s">
        <v>26</v>
      </c>
      <c r="H129" s="1" t="s">
        <v>26</v>
      </c>
      <c r="I129" s="1" t="s">
        <v>26</v>
      </c>
      <c r="J129" s="1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612004541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612004541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612004541</v>
      </c>
      <c r="AZ129" s="1">
        <v>1</v>
      </c>
      <c r="BA129" s="10" t="s">
        <v>26</v>
      </c>
      <c r="BB129" s="10" t="s">
        <v>26</v>
      </c>
    </row>
    <row r="130" spans="1:54" s="7" customFormat="1">
      <c r="A130" s="5" t="s">
        <v>105</v>
      </c>
      <c r="B130" s="20" t="s">
        <v>25</v>
      </c>
      <c r="C130" s="9" t="s">
        <v>26</v>
      </c>
      <c r="D130" s="10" t="s">
        <v>26</v>
      </c>
      <c r="E130" s="10" t="s">
        <v>26</v>
      </c>
      <c r="F130" s="10" t="s">
        <v>26</v>
      </c>
      <c r="G130" s="9" t="s">
        <v>26</v>
      </c>
      <c r="H130" s="10" t="s">
        <v>26</v>
      </c>
      <c r="I130" s="10" t="s">
        <v>26</v>
      </c>
      <c r="J130" s="10" t="s">
        <v>26</v>
      </c>
      <c r="K130" s="9">
        <v>37870879.189999998</v>
      </c>
      <c r="L130" s="10">
        <v>1.2394393563229999E-2</v>
      </c>
      <c r="M130" s="10">
        <v>0.15</v>
      </c>
      <c r="N130" s="10">
        <v>0.13760560643677</v>
      </c>
      <c r="O130" s="9" t="s">
        <v>26</v>
      </c>
      <c r="P130" s="10" t="s">
        <v>26</v>
      </c>
      <c r="Q130" s="10" t="s">
        <v>26</v>
      </c>
      <c r="R130" s="10" t="s">
        <v>26</v>
      </c>
      <c r="S130" s="9" t="s">
        <v>26</v>
      </c>
      <c r="T130" s="10" t="s">
        <v>26</v>
      </c>
      <c r="U130" s="10" t="s">
        <v>26</v>
      </c>
      <c r="V130" s="10" t="s">
        <v>26</v>
      </c>
      <c r="W130" s="9" t="s">
        <v>26</v>
      </c>
      <c r="X130" s="10" t="s">
        <v>26</v>
      </c>
      <c r="Y130" s="10" t="s">
        <v>26</v>
      </c>
      <c r="Z130" s="10" t="s">
        <v>26</v>
      </c>
      <c r="AA130" s="9" t="s">
        <v>26</v>
      </c>
      <c r="AB130" s="10" t="s">
        <v>26</v>
      </c>
      <c r="AC130" s="10" t="s">
        <v>26</v>
      </c>
      <c r="AD130" s="10" t="s">
        <v>26</v>
      </c>
      <c r="AE130" s="9">
        <v>37870879.189999998</v>
      </c>
      <c r="AF130" s="10">
        <v>5.7940812260000001E-5</v>
      </c>
      <c r="AG130" s="10" t="s">
        <v>26</v>
      </c>
      <c r="AH130" s="10" t="s">
        <v>26</v>
      </c>
      <c r="AI130" s="9" t="s">
        <v>26</v>
      </c>
      <c r="AJ130" s="10" t="s">
        <v>26</v>
      </c>
      <c r="AK130" s="10" t="s">
        <v>26</v>
      </c>
      <c r="AL130" s="10" t="s">
        <v>26</v>
      </c>
      <c r="AM130" s="9" t="s">
        <v>26</v>
      </c>
      <c r="AN130" s="10" t="s">
        <v>26</v>
      </c>
      <c r="AO130" s="10" t="s">
        <v>26</v>
      </c>
      <c r="AP130" s="10" t="s">
        <v>26</v>
      </c>
      <c r="AQ130" s="9" t="s">
        <v>26</v>
      </c>
      <c r="AR130" s="10" t="s">
        <v>26</v>
      </c>
      <c r="AS130" s="10" t="s">
        <v>26</v>
      </c>
      <c r="AT130" s="10" t="s">
        <v>26</v>
      </c>
      <c r="AU130" s="9" t="s">
        <v>26</v>
      </c>
      <c r="AV130" s="10" t="s">
        <v>26</v>
      </c>
      <c r="AW130" s="10" t="s">
        <v>26</v>
      </c>
      <c r="AX130" s="10" t="s">
        <v>26</v>
      </c>
      <c r="AY130" s="9">
        <v>37870879.189999998</v>
      </c>
      <c r="AZ130" s="10">
        <v>5.1114253229999997E-5</v>
      </c>
      <c r="BA130" s="10" t="s">
        <v>26</v>
      </c>
      <c r="BB130" s="10" t="s">
        <v>26</v>
      </c>
    </row>
    <row r="131" spans="1:54" customFormat="1">
      <c r="A131" s="3" t="s">
        <v>88</v>
      </c>
      <c r="B131" s="23" t="s">
        <v>47</v>
      </c>
      <c r="C131" s="2" t="s">
        <v>26</v>
      </c>
      <c r="D131" s="1" t="s">
        <v>26</v>
      </c>
      <c r="E131" s="1" t="s">
        <v>26</v>
      </c>
      <c r="F131" s="1" t="s">
        <v>26</v>
      </c>
      <c r="G131" s="2" t="s">
        <v>26</v>
      </c>
      <c r="H131" s="1" t="s">
        <v>26</v>
      </c>
      <c r="I131" s="1" t="s">
        <v>26</v>
      </c>
      <c r="J131" s="1" t="s">
        <v>26</v>
      </c>
      <c r="K131" s="2">
        <v>37870879.189999998</v>
      </c>
      <c r="L131" s="1">
        <v>1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37870879.189999998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37870879.189999998</v>
      </c>
      <c r="AZ131" s="1">
        <v>1</v>
      </c>
      <c r="BA131" s="10" t="s">
        <v>26</v>
      </c>
      <c r="BB131" s="10" t="s">
        <v>26</v>
      </c>
    </row>
    <row r="132" spans="1:54" s="25" customFormat="1">
      <c r="A132" s="12" t="s">
        <v>106</v>
      </c>
      <c r="B132" s="27" t="s">
        <v>25</v>
      </c>
      <c r="C132" s="29" t="s">
        <v>26</v>
      </c>
      <c r="D132" s="30" t="s">
        <v>26</v>
      </c>
      <c r="E132" s="30" t="s">
        <v>26</v>
      </c>
      <c r="F132" s="30" t="s">
        <v>26</v>
      </c>
      <c r="G132" s="29">
        <v>165059761.16</v>
      </c>
      <c r="H132" s="30">
        <v>1.07261628966E-3</v>
      </c>
      <c r="I132" s="30">
        <v>0.05</v>
      </c>
      <c r="J132" s="30">
        <f>+I132-H132</f>
        <v>4.892738371034E-2</v>
      </c>
      <c r="K132" s="29" t="s">
        <v>26</v>
      </c>
      <c r="L132" s="30" t="s">
        <v>26</v>
      </c>
      <c r="M132" s="30" t="s">
        <v>26</v>
      </c>
      <c r="N132" s="30" t="s">
        <v>26</v>
      </c>
      <c r="O132" s="29" t="s">
        <v>26</v>
      </c>
      <c r="P132" s="30" t="s">
        <v>26</v>
      </c>
      <c r="Q132" s="30" t="s">
        <v>26</v>
      </c>
      <c r="R132" s="30" t="s">
        <v>26</v>
      </c>
      <c r="S132" s="29">
        <v>165059761.16</v>
      </c>
      <c r="T132" s="30">
        <v>1.44531953378E-3</v>
      </c>
      <c r="U132" s="30">
        <v>0.05</v>
      </c>
      <c r="V132" s="30">
        <v>4.8554680466220003E-2</v>
      </c>
      <c r="W132" s="29" t="s">
        <v>26</v>
      </c>
      <c r="X132" s="30" t="s">
        <v>26</v>
      </c>
      <c r="Y132" s="30" t="s">
        <v>26</v>
      </c>
      <c r="Z132" s="30" t="s">
        <v>26</v>
      </c>
      <c r="AA132" s="29">
        <v>165059761.16</v>
      </c>
      <c r="AB132" s="30">
        <v>1.17395036311E-3</v>
      </c>
      <c r="AC132" s="30">
        <v>0.05</v>
      </c>
      <c r="AD132" s="30">
        <v>4.8826049636890002E-2</v>
      </c>
      <c r="AE132" s="29">
        <v>495179283.48000002</v>
      </c>
      <c r="AF132" s="30">
        <v>7.5760295275E-4</v>
      </c>
      <c r="AG132" s="30">
        <v>0.05</v>
      </c>
      <c r="AH132" s="30">
        <v>4.9242397047250003E-2</v>
      </c>
      <c r="AI132" s="29" t="s">
        <v>26</v>
      </c>
      <c r="AJ132" s="30" t="s">
        <v>26</v>
      </c>
      <c r="AK132" s="30" t="s">
        <v>26</v>
      </c>
      <c r="AL132" s="30" t="s">
        <v>26</v>
      </c>
      <c r="AM132" s="29" t="s">
        <v>26</v>
      </c>
      <c r="AN132" s="30" t="s">
        <v>26</v>
      </c>
      <c r="AO132" s="30" t="s">
        <v>26</v>
      </c>
      <c r="AP132" s="30" t="s">
        <v>26</v>
      </c>
      <c r="AQ132" s="29" t="s">
        <v>26</v>
      </c>
      <c r="AR132" s="30" t="s">
        <v>26</v>
      </c>
      <c r="AS132" s="30" t="s">
        <v>26</v>
      </c>
      <c r="AT132" s="30" t="s">
        <v>26</v>
      </c>
      <c r="AU132" s="29" t="s">
        <v>26</v>
      </c>
      <c r="AV132" s="30" t="s">
        <v>26</v>
      </c>
      <c r="AW132" s="30" t="s">
        <v>26</v>
      </c>
      <c r="AX132" s="30" t="s">
        <v>26</v>
      </c>
      <c r="AY132" s="29">
        <v>495179283.48000002</v>
      </c>
      <c r="AZ132" s="30">
        <v>6.6834253203999999E-4</v>
      </c>
      <c r="BA132" s="30">
        <v>0.05</v>
      </c>
      <c r="BB132" s="30">
        <v>4.9331657467960005E-2</v>
      </c>
    </row>
    <row r="133" spans="1:54" s="7" customFormat="1">
      <c r="A133" s="5" t="s">
        <v>107</v>
      </c>
      <c r="B133" s="20" t="s">
        <v>25</v>
      </c>
      <c r="C133" s="9" t="s">
        <v>26</v>
      </c>
      <c r="D133" s="10" t="s">
        <v>26</v>
      </c>
      <c r="E133" s="10" t="s">
        <v>26</v>
      </c>
      <c r="F133" s="10" t="s">
        <v>26</v>
      </c>
      <c r="G133" s="9">
        <v>165059761.16</v>
      </c>
      <c r="H133" s="10">
        <v>1.07261628966E-3</v>
      </c>
      <c r="I133" s="10" t="s">
        <v>26</v>
      </c>
      <c r="J133" s="10" t="s">
        <v>26</v>
      </c>
      <c r="K133" s="9" t="s">
        <v>26</v>
      </c>
      <c r="L133" s="10" t="s">
        <v>26</v>
      </c>
      <c r="M133" s="10" t="s">
        <v>26</v>
      </c>
      <c r="N133" s="10" t="s">
        <v>26</v>
      </c>
      <c r="O133" s="9" t="s">
        <v>26</v>
      </c>
      <c r="P133" s="10" t="s">
        <v>26</v>
      </c>
      <c r="Q133" s="10" t="s">
        <v>26</v>
      </c>
      <c r="R133" s="10" t="s">
        <v>26</v>
      </c>
      <c r="S133" s="9">
        <v>165059761.16</v>
      </c>
      <c r="T133" s="10">
        <v>1.44531953378E-3</v>
      </c>
      <c r="U133" s="10" t="s">
        <v>26</v>
      </c>
      <c r="V133" s="10" t="s">
        <v>26</v>
      </c>
      <c r="W133" s="9" t="s">
        <v>26</v>
      </c>
      <c r="X133" s="10" t="s">
        <v>26</v>
      </c>
      <c r="Y133" s="10" t="s">
        <v>26</v>
      </c>
      <c r="Z133" s="10" t="s">
        <v>26</v>
      </c>
      <c r="AA133" s="9">
        <v>165059761.16</v>
      </c>
      <c r="AB133" s="10">
        <v>1.17395036311E-3</v>
      </c>
      <c r="AC133" s="10" t="s">
        <v>26</v>
      </c>
      <c r="AD133" s="10" t="s">
        <v>26</v>
      </c>
      <c r="AE133" s="9">
        <v>495179283.48000002</v>
      </c>
      <c r="AF133" s="10">
        <v>7.5760295275E-4</v>
      </c>
      <c r="AG133" s="10" t="s">
        <v>26</v>
      </c>
      <c r="AH133" s="10" t="s">
        <v>26</v>
      </c>
      <c r="AI133" s="9" t="s">
        <v>26</v>
      </c>
      <c r="AJ133" s="10" t="s">
        <v>26</v>
      </c>
      <c r="AK133" s="10" t="s">
        <v>26</v>
      </c>
      <c r="AL133" s="10" t="s">
        <v>26</v>
      </c>
      <c r="AM133" s="9" t="s">
        <v>26</v>
      </c>
      <c r="AN133" s="10" t="s">
        <v>26</v>
      </c>
      <c r="AO133" s="10" t="s">
        <v>26</v>
      </c>
      <c r="AP133" s="10" t="s">
        <v>26</v>
      </c>
      <c r="AQ133" s="9" t="s">
        <v>26</v>
      </c>
      <c r="AR133" s="10" t="s">
        <v>26</v>
      </c>
      <c r="AS133" s="10" t="s">
        <v>26</v>
      </c>
      <c r="AT133" s="10" t="s">
        <v>26</v>
      </c>
      <c r="AU133" s="9" t="s">
        <v>26</v>
      </c>
      <c r="AV133" s="10" t="s">
        <v>26</v>
      </c>
      <c r="AW133" s="10" t="s">
        <v>26</v>
      </c>
      <c r="AX133" s="10" t="s">
        <v>26</v>
      </c>
      <c r="AY133" s="9">
        <v>495179283.48000002</v>
      </c>
      <c r="AZ133" s="10">
        <v>6.6834253203999999E-4</v>
      </c>
      <c r="BA133" s="10" t="s">
        <v>26</v>
      </c>
      <c r="BB133" s="10" t="s">
        <v>26</v>
      </c>
    </row>
    <row r="134" spans="1:54" customFormat="1">
      <c r="A134" s="3" t="s">
        <v>108</v>
      </c>
      <c r="B134" s="23" t="s">
        <v>40</v>
      </c>
      <c r="C134" s="2" t="s">
        <v>26</v>
      </c>
      <c r="D134" s="1" t="s">
        <v>26</v>
      </c>
      <c r="E134" s="1" t="s">
        <v>26</v>
      </c>
      <c r="F134" s="1" t="s">
        <v>26</v>
      </c>
      <c r="G134" s="2">
        <v>165059761.16</v>
      </c>
      <c r="H134" s="1">
        <v>1</v>
      </c>
      <c r="I134" s="1" t="s">
        <v>26</v>
      </c>
      <c r="J134" s="1" t="s">
        <v>26</v>
      </c>
      <c r="K134" s="2" t="s">
        <v>26</v>
      </c>
      <c r="L134" s="1" t="s">
        <v>26</v>
      </c>
      <c r="M134" s="1" t="s">
        <v>26</v>
      </c>
      <c r="N134" s="1" t="s">
        <v>26</v>
      </c>
      <c r="O134" s="2" t="s">
        <v>26</v>
      </c>
      <c r="P134" s="1" t="s">
        <v>26</v>
      </c>
      <c r="Q134" s="1" t="s">
        <v>26</v>
      </c>
      <c r="R134" s="1" t="s">
        <v>26</v>
      </c>
      <c r="S134" s="2">
        <v>165059761.16</v>
      </c>
      <c r="T134" s="1">
        <v>1</v>
      </c>
      <c r="U134" s="1" t="s">
        <v>26</v>
      </c>
      <c r="V134" s="1" t="s">
        <v>26</v>
      </c>
      <c r="W134" s="2" t="s">
        <v>26</v>
      </c>
      <c r="X134" s="1" t="s">
        <v>26</v>
      </c>
      <c r="Y134" s="1" t="s">
        <v>26</v>
      </c>
      <c r="Z134" s="1" t="s">
        <v>26</v>
      </c>
      <c r="AA134" s="2">
        <v>165059761.16</v>
      </c>
      <c r="AB134" s="1">
        <v>1</v>
      </c>
      <c r="AC134" s="1" t="s">
        <v>26</v>
      </c>
      <c r="AD134" s="1" t="s">
        <v>26</v>
      </c>
      <c r="AE134" s="2">
        <v>495179283.48000002</v>
      </c>
      <c r="AF134" s="1">
        <v>1</v>
      </c>
      <c r="AG134" s="1" t="s">
        <v>26</v>
      </c>
      <c r="AH134" s="1" t="s">
        <v>26</v>
      </c>
      <c r="AI134" s="2" t="s">
        <v>26</v>
      </c>
      <c r="AJ134" s="1" t="s">
        <v>26</v>
      </c>
      <c r="AK134" s="1" t="s">
        <v>26</v>
      </c>
      <c r="AL134" s="1" t="s">
        <v>26</v>
      </c>
      <c r="AM134" s="2" t="s">
        <v>26</v>
      </c>
      <c r="AN134" s="1" t="s">
        <v>26</v>
      </c>
      <c r="AO134" s="1" t="s">
        <v>26</v>
      </c>
      <c r="AP134" s="1" t="s">
        <v>26</v>
      </c>
      <c r="AQ134" s="2" t="s">
        <v>26</v>
      </c>
      <c r="AR134" s="1" t="s">
        <v>26</v>
      </c>
      <c r="AS134" s="1" t="s">
        <v>26</v>
      </c>
      <c r="AT134" s="1" t="s">
        <v>26</v>
      </c>
      <c r="AU134" s="2" t="s">
        <v>26</v>
      </c>
      <c r="AV134" s="1" t="s">
        <v>26</v>
      </c>
      <c r="AW134" s="1" t="s">
        <v>26</v>
      </c>
      <c r="AX134" s="1" t="s">
        <v>26</v>
      </c>
      <c r="AY134" s="2">
        <v>495179283.48000002</v>
      </c>
      <c r="AZ134" s="1">
        <v>1</v>
      </c>
      <c r="BA134" s="1" t="s">
        <v>26</v>
      </c>
      <c r="BB134" s="1" t="s">
        <v>26</v>
      </c>
    </row>
    <row r="135" spans="1:54" s="25" customFormat="1">
      <c r="A135" s="12" t="s">
        <v>109</v>
      </c>
      <c r="B135" s="27" t="s">
        <v>25</v>
      </c>
      <c r="C135" s="29">
        <v>6551457992.7600002</v>
      </c>
      <c r="D135" s="30">
        <v>0.99990000000000001</v>
      </c>
      <c r="E135" s="30" t="s">
        <v>26</v>
      </c>
      <c r="F135" s="30" t="s">
        <v>26</v>
      </c>
      <c r="G135" s="29">
        <v>153884223266.59</v>
      </c>
      <c r="H135" s="30">
        <v>1</v>
      </c>
      <c r="I135" s="30" t="s">
        <v>26</v>
      </c>
      <c r="J135" s="30" t="s">
        <v>26</v>
      </c>
      <c r="K135" s="29">
        <v>3046756552.48</v>
      </c>
      <c r="L135" s="30">
        <v>0.99709999999999999</v>
      </c>
      <c r="M135" s="30" t="s">
        <v>26</v>
      </c>
      <c r="N135" s="30" t="s">
        <v>26</v>
      </c>
      <c r="O135" s="29">
        <v>228964699557</v>
      </c>
      <c r="P135" s="30">
        <v>1</v>
      </c>
      <c r="Q135" s="30" t="s">
        <v>26</v>
      </c>
      <c r="R135" s="30" t="s">
        <v>26</v>
      </c>
      <c r="S135" s="29">
        <v>114202769670.12</v>
      </c>
      <c r="T135" s="30">
        <v>1</v>
      </c>
      <c r="U135" s="30" t="s">
        <v>26</v>
      </c>
      <c r="V135" s="30" t="s">
        <v>26</v>
      </c>
      <c r="W135" s="29">
        <v>6345954144.3900003</v>
      </c>
      <c r="X135" s="30">
        <v>0.99929999999999997</v>
      </c>
      <c r="Y135" s="30" t="s">
        <v>26</v>
      </c>
      <c r="Z135" s="30" t="s">
        <v>26</v>
      </c>
      <c r="AA135" s="29">
        <v>140601796017.63</v>
      </c>
      <c r="AB135" s="30">
        <v>1</v>
      </c>
      <c r="AC135" s="30" t="s">
        <v>26</v>
      </c>
      <c r="AD135" s="30" t="s">
        <v>26</v>
      </c>
      <c r="AE135" s="29">
        <v>653597657200.96997</v>
      </c>
      <c r="AF135" s="30">
        <v>1</v>
      </c>
      <c r="AG135" s="30" t="s">
        <v>26</v>
      </c>
      <c r="AH135" s="30" t="s">
        <v>26</v>
      </c>
      <c r="AI135" s="29">
        <v>17162442070.700001</v>
      </c>
      <c r="AJ135" s="30">
        <v>1</v>
      </c>
      <c r="AK135" s="30" t="s">
        <v>26</v>
      </c>
      <c r="AL135" s="30" t="s">
        <v>26</v>
      </c>
      <c r="AM135" s="29">
        <v>23908178175.490002</v>
      </c>
      <c r="AN135" s="30">
        <v>0.99929999999999997</v>
      </c>
      <c r="AO135" s="30" t="s">
        <v>26</v>
      </c>
      <c r="AP135" s="30" t="s">
        <v>26</v>
      </c>
      <c r="AQ135" s="29">
        <v>41070620246.190002</v>
      </c>
      <c r="AR135" s="30">
        <v>0.99960000000000004</v>
      </c>
      <c r="AS135" s="30" t="s">
        <v>26</v>
      </c>
      <c r="AT135" s="30" t="s">
        <v>26</v>
      </c>
      <c r="AU135" s="29">
        <v>46206876156.300003</v>
      </c>
      <c r="AV135" s="30">
        <v>1</v>
      </c>
      <c r="AW135" s="30" t="s">
        <v>26</v>
      </c>
      <c r="AX135" s="30" t="s">
        <v>26</v>
      </c>
      <c r="AY135" s="29">
        <v>740875153603.45996</v>
      </c>
      <c r="AZ135" s="30">
        <v>1</v>
      </c>
      <c r="BA135" s="30" t="s">
        <v>26</v>
      </c>
      <c r="BB135" s="30" t="s">
        <v>26</v>
      </c>
    </row>
    <row r="136" spans="1:54" customFormat="1">
      <c r="A136" s="3" t="s">
        <v>110</v>
      </c>
      <c r="B136" s="23" t="s">
        <v>25</v>
      </c>
      <c r="C136" s="2">
        <v>937716.05</v>
      </c>
      <c r="D136" s="1">
        <v>1E-4</v>
      </c>
      <c r="E136" s="1" t="s">
        <v>26</v>
      </c>
      <c r="F136" s="1" t="s">
        <v>26</v>
      </c>
      <c r="G136" s="2">
        <v>966386.74</v>
      </c>
      <c r="H136" s="1">
        <v>0</v>
      </c>
      <c r="I136" s="1" t="s">
        <v>26</v>
      </c>
      <c r="J136" s="1" t="s">
        <v>26</v>
      </c>
      <c r="K136" s="2">
        <v>8728090.3800000008</v>
      </c>
      <c r="L136" s="1">
        <v>2.8999999999999998E-3</v>
      </c>
      <c r="M136" s="1" t="s">
        <v>26</v>
      </c>
      <c r="N136" s="1" t="s">
        <v>26</v>
      </c>
      <c r="O136" s="2">
        <v>194445.16</v>
      </c>
      <c r="P136" s="1">
        <v>0</v>
      </c>
      <c r="Q136" s="1" t="s">
        <v>26</v>
      </c>
      <c r="R136" s="1" t="s">
        <v>26</v>
      </c>
      <c r="S136" s="2">
        <v>184972.17</v>
      </c>
      <c r="T136" s="1">
        <v>0</v>
      </c>
      <c r="U136" s="1" t="s">
        <v>26</v>
      </c>
      <c r="V136" s="1" t="s">
        <v>26</v>
      </c>
      <c r="W136" s="2">
        <v>4324870.74</v>
      </c>
      <c r="X136" s="1">
        <v>6.9999999999999999E-4</v>
      </c>
      <c r="Y136" s="1" t="s">
        <v>26</v>
      </c>
      <c r="Z136" s="1" t="s">
        <v>26</v>
      </c>
      <c r="AA136" s="2">
        <v>197342.74</v>
      </c>
      <c r="AB136" s="1">
        <v>0</v>
      </c>
      <c r="AC136" s="1" t="s">
        <v>26</v>
      </c>
      <c r="AD136" s="1" t="s">
        <v>26</v>
      </c>
      <c r="AE136" s="2">
        <v>15533823.98</v>
      </c>
      <c r="AF136" s="1">
        <v>0</v>
      </c>
      <c r="AG136" s="1" t="s">
        <v>26</v>
      </c>
      <c r="AH136" s="1" t="s">
        <v>26</v>
      </c>
      <c r="AI136" s="2">
        <v>60186.01</v>
      </c>
      <c r="AJ136" s="1">
        <v>0</v>
      </c>
      <c r="AK136" s="1" t="s">
        <v>26</v>
      </c>
      <c r="AL136" s="1" t="s">
        <v>26</v>
      </c>
      <c r="AM136" s="2">
        <v>15612021.810000001</v>
      </c>
      <c r="AN136" s="1">
        <v>6.9999999999999999E-4</v>
      </c>
      <c r="AO136" s="1" t="s">
        <v>26</v>
      </c>
      <c r="AP136" s="1" t="s">
        <v>26</v>
      </c>
      <c r="AQ136" s="2">
        <v>15672207.82</v>
      </c>
      <c r="AR136" s="1">
        <v>4.0000000000000002E-4</v>
      </c>
      <c r="AS136" s="1" t="s">
        <v>26</v>
      </c>
      <c r="AT136" s="1" t="s">
        <v>26</v>
      </c>
      <c r="AU136" s="2">
        <v>76420.67</v>
      </c>
      <c r="AV136" s="1">
        <v>0</v>
      </c>
      <c r="AW136" s="1" t="s">
        <v>26</v>
      </c>
      <c r="AX136" s="1" t="s">
        <v>26</v>
      </c>
      <c r="AY136" s="2">
        <v>31282452.469999999</v>
      </c>
      <c r="AZ136" s="1">
        <v>0</v>
      </c>
      <c r="BA136" s="1" t="s">
        <v>26</v>
      </c>
      <c r="BB136" s="1" t="s">
        <v>26</v>
      </c>
    </row>
    <row r="137" spans="1:54" s="25" customFormat="1">
      <c r="A137" s="12" t="s">
        <v>111</v>
      </c>
      <c r="B137" s="27" t="s">
        <v>25</v>
      </c>
      <c r="C137" s="29">
        <v>6552395708.8100004</v>
      </c>
      <c r="D137" s="30">
        <v>1</v>
      </c>
      <c r="E137" s="30" t="s">
        <v>26</v>
      </c>
      <c r="F137" s="30" t="s">
        <v>26</v>
      </c>
      <c r="G137" s="29">
        <v>153885189653.32999</v>
      </c>
      <c r="H137" s="30">
        <v>1</v>
      </c>
      <c r="I137" s="30" t="s">
        <v>26</v>
      </c>
      <c r="J137" s="30" t="s">
        <v>26</v>
      </c>
      <c r="K137" s="29">
        <v>3055484642.8600001</v>
      </c>
      <c r="L137" s="30">
        <v>1</v>
      </c>
      <c r="M137" s="30" t="s">
        <v>26</v>
      </c>
      <c r="N137" s="30" t="s">
        <v>26</v>
      </c>
      <c r="O137" s="29">
        <v>228964894002.16</v>
      </c>
      <c r="P137" s="30">
        <v>1</v>
      </c>
      <c r="Q137" s="30" t="s">
        <v>26</v>
      </c>
      <c r="R137" s="30" t="s">
        <v>26</v>
      </c>
      <c r="S137" s="29">
        <v>114202954642.28999</v>
      </c>
      <c r="T137" s="30">
        <v>1</v>
      </c>
      <c r="U137" s="30" t="s">
        <v>26</v>
      </c>
      <c r="V137" s="30" t="s">
        <v>26</v>
      </c>
      <c r="W137" s="29">
        <v>6350279015.1300001</v>
      </c>
      <c r="X137" s="30">
        <v>1</v>
      </c>
      <c r="Y137" s="30" t="s">
        <v>26</v>
      </c>
      <c r="Z137" s="30" t="s">
        <v>26</v>
      </c>
      <c r="AA137" s="29">
        <v>140601993360.37</v>
      </c>
      <c r="AB137" s="30">
        <v>1</v>
      </c>
      <c r="AC137" s="30" t="s">
        <v>26</v>
      </c>
      <c r="AD137" s="30" t="s">
        <v>26</v>
      </c>
      <c r="AE137" s="29">
        <v>653613191024.94995</v>
      </c>
      <c r="AF137" s="30">
        <v>1</v>
      </c>
      <c r="AG137" s="30" t="s">
        <v>26</v>
      </c>
      <c r="AH137" s="30" t="s">
        <v>26</v>
      </c>
      <c r="AI137" s="29">
        <v>17162502256.709999</v>
      </c>
      <c r="AJ137" s="30">
        <v>1</v>
      </c>
      <c r="AK137" s="30" t="s">
        <v>26</v>
      </c>
      <c r="AL137" s="30" t="s">
        <v>26</v>
      </c>
      <c r="AM137" s="29">
        <v>23923790197.299999</v>
      </c>
      <c r="AN137" s="30">
        <v>1</v>
      </c>
      <c r="AO137" s="30" t="s">
        <v>26</v>
      </c>
      <c r="AP137" s="30" t="s">
        <v>26</v>
      </c>
      <c r="AQ137" s="29">
        <v>41086292454.010002</v>
      </c>
      <c r="AR137" s="30">
        <v>1</v>
      </c>
      <c r="AS137" s="30" t="s">
        <v>26</v>
      </c>
      <c r="AT137" s="30" t="s">
        <v>26</v>
      </c>
      <c r="AU137" s="29">
        <v>46206952576.970001</v>
      </c>
      <c r="AV137" s="30">
        <v>1</v>
      </c>
      <c r="AW137" s="30" t="s">
        <v>26</v>
      </c>
      <c r="AX137" s="30" t="s">
        <v>26</v>
      </c>
      <c r="AY137" s="29">
        <v>740906436055.93005</v>
      </c>
      <c r="AZ137" s="30">
        <v>1</v>
      </c>
      <c r="BA137" s="30" t="s">
        <v>26</v>
      </c>
      <c r="BB137" s="30" t="s">
        <v>26</v>
      </c>
    </row>
    <row r="139" spans="1:54">
      <c r="A139" s="17" t="s">
        <v>112</v>
      </c>
    </row>
    <row r="140" spans="1:54">
      <c r="A140" s="24" t="s">
        <v>113</v>
      </c>
    </row>
    <row r="141" spans="1:54">
      <c r="A141" s="24" t="s">
        <v>114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"/>
  <sheetViews>
    <sheetView zoomScaleNormal="100" workbookViewId="0">
      <pane xSplit="2" ySplit="7" topLeftCell="C125" activePane="bottomRight" state="frozen"/>
      <selection pane="topRight" activeCell="C1" sqref="C1"/>
      <selection pane="bottomLeft" activeCell="A8" sqref="A8"/>
      <selection pane="bottomRight" activeCell="A135" sqref="A135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" style="13" bestFit="1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27" t="s">
        <v>25</v>
      </c>
      <c r="C8" s="29">
        <v>2500574765.3000002</v>
      </c>
      <c r="D8" s="30">
        <v>0.36563100874684001</v>
      </c>
      <c r="E8" s="30" t="s">
        <v>26</v>
      </c>
      <c r="F8" s="30" t="s">
        <v>26</v>
      </c>
      <c r="G8" s="29">
        <v>80141167324.130005</v>
      </c>
      <c r="H8" s="30">
        <v>0.50964484583387004</v>
      </c>
      <c r="I8" s="30" t="s">
        <v>26</v>
      </c>
      <c r="J8" s="30" t="s">
        <v>26</v>
      </c>
      <c r="K8" s="29">
        <v>805186957.25</v>
      </c>
      <c r="L8" s="30">
        <v>0.25851985392173998</v>
      </c>
      <c r="M8" s="30" t="s">
        <v>26</v>
      </c>
      <c r="N8" s="30" t="s">
        <v>26</v>
      </c>
      <c r="O8" s="29">
        <v>103792702803.47</v>
      </c>
      <c r="P8" s="30">
        <v>0.44372518124237997</v>
      </c>
      <c r="Q8" s="30" t="s">
        <v>26</v>
      </c>
      <c r="R8" s="30" t="s">
        <v>26</v>
      </c>
      <c r="S8" s="29">
        <v>63758187074.230003</v>
      </c>
      <c r="T8" s="30">
        <v>0.54917139391104997</v>
      </c>
      <c r="U8" s="30" t="s">
        <v>26</v>
      </c>
      <c r="V8" s="30" t="s">
        <v>26</v>
      </c>
      <c r="W8" s="29">
        <v>2219974439.4899998</v>
      </c>
      <c r="X8" s="30">
        <v>0.33872059604136001</v>
      </c>
      <c r="Y8" s="30" t="s">
        <v>26</v>
      </c>
      <c r="Z8" s="30" t="s">
        <v>26</v>
      </c>
      <c r="AA8" s="29">
        <v>72132414309.369995</v>
      </c>
      <c r="AB8" s="30">
        <v>0.50084900200161997</v>
      </c>
      <c r="AC8" s="30" t="s">
        <v>26</v>
      </c>
      <c r="AD8" s="30" t="s">
        <v>26</v>
      </c>
      <c r="AE8" s="29">
        <v>325350207673.23999</v>
      </c>
      <c r="AF8" s="30">
        <v>0.48720581877458002</v>
      </c>
      <c r="AG8" s="30" t="s">
        <v>26</v>
      </c>
      <c r="AH8" s="30" t="s">
        <v>26</v>
      </c>
      <c r="AI8" s="29">
        <v>7617367284.1000004</v>
      </c>
      <c r="AJ8" s="30">
        <v>0.43805731705010997</v>
      </c>
      <c r="AK8" s="30" t="s">
        <v>26</v>
      </c>
      <c r="AL8" s="30" t="s">
        <v>26</v>
      </c>
      <c r="AM8" s="29">
        <v>8031096331.9700003</v>
      </c>
      <c r="AN8" s="30">
        <v>0.33279335012802003</v>
      </c>
      <c r="AO8" s="30" t="s">
        <v>26</v>
      </c>
      <c r="AP8" s="30" t="s">
        <v>26</v>
      </c>
      <c r="AQ8" s="29">
        <v>15648463616.07</v>
      </c>
      <c r="AR8" s="30">
        <v>0.37687746847038001</v>
      </c>
      <c r="AS8" s="30" t="s">
        <v>26</v>
      </c>
      <c r="AT8" s="30" t="s">
        <v>26</v>
      </c>
      <c r="AU8" s="29">
        <v>24284477334.900002</v>
      </c>
      <c r="AV8" s="30">
        <v>0.51449934079238002</v>
      </c>
      <c r="AW8" s="30" t="s">
        <v>26</v>
      </c>
      <c r="AX8" s="30" t="s">
        <v>26</v>
      </c>
      <c r="AY8" s="29">
        <v>365283148624.21002</v>
      </c>
      <c r="AZ8" s="30">
        <v>0.48285329924321002</v>
      </c>
      <c r="BA8" s="30" t="s">
        <v>26</v>
      </c>
      <c r="BB8" s="30" t="s">
        <v>26</v>
      </c>
    </row>
    <row r="9" spans="1:54" s="7" customFormat="1">
      <c r="A9" s="5" t="s">
        <v>27</v>
      </c>
      <c r="B9" s="20" t="s">
        <v>25</v>
      </c>
      <c r="C9" s="9">
        <v>2500574765.3000002</v>
      </c>
      <c r="D9" s="10">
        <v>0.36563100874684001</v>
      </c>
      <c r="E9" s="10">
        <v>0.6</v>
      </c>
      <c r="F9" s="10">
        <f>E9-D9</f>
        <v>0.23436899125315996</v>
      </c>
      <c r="G9" s="9">
        <f>G10</f>
        <v>74121074155.119995</v>
      </c>
      <c r="H9" s="10">
        <f>G9/G137</f>
        <v>0.47136398490355974</v>
      </c>
      <c r="I9" s="10">
        <v>0.6</v>
      </c>
      <c r="J9" s="10">
        <f>I9-H9</f>
        <v>0.12863601509644024</v>
      </c>
      <c r="K9" s="9">
        <v>805186957.25</v>
      </c>
      <c r="L9" s="10">
        <v>0.25851985392173998</v>
      </c>
      <c r="M9" s="10">
        <v>0.6</v>
      </c>
      <c r="N9" s="10">
        <f>M9-L9</f>
        <v>0.34148014607825999</v>
      </c>
      <c r="O9" s="9">
        <f>O10</f>
        <v>102192424872.47</v>
      </c>
      <c r="P9" s="10">
        <f>O9/O137</f>
        <v>0.43688421586414328</v>
      </c>
      <c r="Q9" s="10">
        <v>0.6</v>
      </c>
      <c r="R9" s="10">
        <f>Q9-P9</f>
        <v>0.1631157841358567</v>
      </c>
      <c r="S9" s="9">
        <f>S10</f>
        <v>62176335704.230003</v>
      </c>
      <c r="T9" s="10">
        <f>S9/S137</f>
        <v>0.53554692761490164</v>
      </c>
      <c r="U9" s="10">
        <v>0.6</v>
      </c>
      <c r="V9" s="10">
        <f>U9-T9</f>
        <v>6.4453072385098342E-2</v>
      </c>
      <c r="W9" s="9">
        <v>2219974439.4899998</v>
      </c>
      <c r="X9" s="10">
        <v>0.33872059604136001</v>
      </c>
      <c r="Y9" s="10">
        <v>0.6</v>
      </c>
      <c r="Z9" s="10">
        <f>Y9-X9</f>
        <v>0.26127940395863997</v>
      </c>
      <c r="AA9" s="9">
        <f>AA10</f>
        <v>70735346274.369995</v>
      </c>
      <c r="AB9" s="10">
        <f>AA9/AA137</f>
        <v>0.49114920324535682</v>
      </c>
      <c r="AC9" s="10">
        <v>0.6</v>
      </c>
      <c r="AD9" s="10">
        <f>AC9-AB9</f>
        <v>0.10885079675464315</v>
      </c>
      <c r="AE9" s="9">
        <f>AE10</f>
        <v>314750917168.22998</v>
      </c>
      <c r="AF9" s="10">
        <f>AE9/AE137</f>
        <v>0.47134136762064088</v>
      </c>
      <c r="AG9" s="10">
        <v>0.6</v>
      </c>
      <c r="AH9" s="10">
        <f>AG9-AF9</f>
        <v>0.12865863237935909</v>
      </c>
      <c r="AI9" s="9">
        <v>7617367284.1000004</v>
      </c>
      <c r="AJ9" s="10">
        <v>0.43805731705010997</v>
      </c>
      <c r="AK9" s="10">
        <v>0.6</v>
      </c>
      <c r="AL9" s="10">
        <f>AK9-AJ9</f>
        <v>0.16194268294989</v>
      </c>
      <c r="AM9" s="9">
        <v>8031096331.9700003</v>
      </c>
      <c r="AN9" s="10">
        <v>0.33279335012802003</v>
      </c>
      <c r="AO9" s="10">
        <v>0.6</v>
      </c>
      <c r="AP9" s="10">
        <f>AO9-AN9</f>
        <v>0.26720664987197995</v>
      </c>
      <c r="AQ9" s="9">
        <v>15648463616.07</v>
      </c>
      <c r="AR9" s="10">
        <v>0.37687746847038001</v>
      </c>
      <c r="AS9" s="10">
        <v>0.6</v>
      </c>
      <c r="AT9" s="10">
        <f>AS9-AR9</f>
        <v>0.22312253152961997</v>
      </c>
      <c r="AU9" s="9">
        <v>24284477334.900002</v>
      </c>
      <c r="AV9" s="10">
        <v>0.51449934079238002</v>
      </c>
      <c r="AW9" s="10">
        <v>0.6</v>
      </c>
      <c r="AX9" s="10">
        <f>AW9-AV9</f>
        <v>8.5500659207619956E-2</v>
      </c>
      <c r="AY9" s="9">
        <f>AY10</f>
        <v>354683858119.20001</v>
      </c>
      <c r="AZ9" s="10">
        <f>AY9/AY137</f>
        <v>0.4688496027286353</v>
      </c>
      <c r="BA9" s="10">
        <v>0.6</v>
      </c>
      <c r="BB9" s="10">
        <f>BA9-AZ9</f>
        <v>0.13115039727136468</v>
      </c>
    </row>
    <row r="10" spans="1:54" customFormat="1" ht="17.25">
      <c r="A10" s="3" t="s">
        <v>28</v>
      </c>
      <c r="B10" s="23" t="s">
        <v>29</v>
      </c>
      <c r="C10" s="2">
        <v>2500574765.3000002</v>
      </c>
      <c r="D10" s="1">
        <v>1</v>
      </c>
      <c r="E10" s="1" t="s">
        <v>26</v>
      </c>
      <c r="F10" s="1" t="s">
        <v>26</v>
      </c>
      <c r="G10" s="2">
        <v>74121074155.119995</v>
      </c>
      <c r="H10" s="1">
        <v>1</v>
      </c>
      <c r="I10" s="1" t="s">
        <v>26</v>
      </c>
      <c r="J10" s="1" t="s">
        <v>26</v>
      </c>
      <c r="K10" s="2">
        <v>805186957.25</v>
      </c>
      <c r="L10" s="1">
        <v>1</v>
      </c>
      <c r="M10" s="1" t="s">
        <v>26</v>
      </c>
      <c r="N10" s="1" t="s">
        <v>26</v>
      </c>
      <c r="O10" s="2">
        <v>102192424872.47</v>
      </c>
      <c r="P10" s="1">
        <v>1</v>
      </c>
      <c r="Q10" s="1" t="s">
        <v>26</v>
      </c>
      <c r="R10" s="1" t="s">
        <v>26</v>
      </c>
      <c r="S10" s="2">
        <v>62176335704.230003</v>
      </c>
      <c r="T10" s="1">
        <v>1</v>
      </c>
      <c r="U10" s="1" t="s">
        <v>26</v>
      </c>
      <c r="V10" s="1" t="s">
        <v>26</v>
      </c>
      <c r="W10" s="2">
        <v>2219974439.4899998</v>
      </c>
      <c r="X10" s="1">
        <v>1</v>
      </c>
      <c r="Y10" s="1" t="s">
        <v>26</v>
      </c>
      <c r="Z10" s="1" t="s">
        <v>26</v>
      </c>
      <c r="AA10" s="2">
        <v>70735346274.369995</v>
      </c>
      <c r="AB10" s="1">
        <v>1</v>
      </c>
      <c r="AC10" s="1" t="s">
        <v>26</v>
      </c>
      <c r="AD10" s="1" t="s">
        <v>26</v>
      </c>
      <c r="AE10" s="2">
        <v>314750917168.22998</v>
      </c>
      <c r="AF10" s="1">
        <v>1</v>
      </c>
      <c r="AG10" s="1" t="s">
        <v>26</v>
      </c>
      <c r="AH10" s="1" t="s">
        <v>26</v>
      </c>
      <c r="AI10" s="2">
        <v>7617367284.1000004</v>
      </c>
      <c r="AJ10" s="1">
        <v>1</v>
      </c>
      <c r="AK10" s="1" t="s">
        <v>26</v>
      </c>
      <c r="AL10" s="1" t="s">
        <v>26</v>
      </c>
      <c r="AM10" s="2">
        <v>8031096331.9700003</v>
      </c>
      <c r="AN10" s="1">
        <v>1</v>
      </c>
      <c r="AO10" s="1" t="s">
        <v>26</v>
      </c>
      <c r="AP10" s="1" t="s">
        <v>26</v>
      </c>
      <c r="AQ10" s="2">
        <v>15648463616.07</v>
      </c>
      <c r="AR10" s="1">
        <v>1</v>
      </c>
      <c r="AS10" s="1" t="s">
        <v>26</v>
      </c>
      <c r="AT10" s="1" t="s">
        <v>26</v>
      </c>
      <c r="AU10" s="2">
        <v>24284477334.900002</v>
      </c>
      <c r="AV10" s="1">
        <v>1</v>
      </c>
      <c r="AW10" s="1" t="s">
        <v>26</v>
      </c>
      <c r="AX10" s="1" t="s">
        <v>26</v>
      </c>
      <c r="AY10" s="2">
        <v>354683858119.20001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v>6020093169.0100002</v>
      </c>
      <c r="H11" s="10">
        <f>G11/G137</f>
        <v>3.8284052652780377E-2</v>
      </c>
      <c r="I11" s="10">
        <v>0.1</v>
      </c>
      <c r="J11" s="10">
        <f>I11-H11</f>
        <v>6.1715947347219628E-2</v>
      </c>
      <c r="K11" s="9" t="s">
        <v>26</v>
      </c>
      <c r="L11" s="10" t="s">
        <v>26</v>
      </c>
      <c r="M11" s="10" t="s">
        <v>26</v>
      </c>
      <c r="N11" s="10" t="s">
        <v>26</v>
      </c>
      <c r="O11" s="9">
        <f>O12</f>
        <v>1600277931</v>
      </c>
      <c r="P11" s="10">
        <f>O11/O137</f>
        <v>6.84136979743957E-3</v>
      </c>
      <c r="Q11" s="10">
        <v>0.1</v>
      </c>
      <c r="R11" s="10">
        <f>Q11-P11</f>
        <v>9.3158630202560433E-2</v>
      </c>
      <c r="S11" s="9">
        <f>S12</f>
        <v>1581851370</v>
      </c>
      <c r="T11" s="10">
        <f>S11/S137</f>
        <v>1.3625049330291893E-2</v>
      </c>
      <c r="U11" s="10">
        <v>0.1</v>
      </c>
      <c r="V11" s="10">
        <f>U11-T11</f>
        <v>8.6374950669708114E-2</v>
      </c>
      <c r="W11" s="9" t="s">
        <v>26</v>
      </c>
      <c r="X11" s="10" t="s">
        <v>26</v>
      </c>
      <c r="Y11" s="10" t="s">
        <v>26</v>
      </c>
      <c r="Z11" s="10" t="s">
        <v>26</v>
      </c>
      <c r="AA11" s="9">
        <f>AA12</f>
        <v>1397068035</v>
      </c>
      <c r="AB11" s="10">
        <f>AA11/AA137</f>
        <v>9.7005088461471264E-3</v>
      </c>
      <c r="AC11" s="10">
        <v>0.1</v>
      </c>
      <c r="AD11" s="10">
        <f>AC11-AB11</f>
        <v>9.0299491153852884E-2</v>
      </c>
      <c r="AE11" s="9">
        <f>AE12</f>
        <v>10599290505.01</v>
      </c>
      <c r="AF11" s="10">
        <f>AE11/AE137</f>
        <v>1.5872500475573377E-2</v>
      </c>
      <c r="AG11" s="10">
        <v>0.1</v>
      </c>
      <c r="AH11" s="10">
        <f>AG11-AF11</f>
        <v>8.4127499524426635E-2</v>
      </c>
      <c r="AI11" s="9" t="s">
        <v>26</v>
      </c>
      <c r="AJ11" s="10" t="s">
        <v>26</v>
      </c>
      <c r="AK11" s="10" t="s">
        <v>26</v>
      </c>
      <c r="AL11" s="10" t="s">
        <v>26</v>
      </c>
      <c r="AM11" s="9" t="s">
        <v>26</v>
      </c>
      <c r="AN11" s="10" t="s">
        <v>26</v>
      </c>
      <c r="AO11" s="10" t="s">
        <v>26</v>
      </c>
      <c r="AP11" s="10" t="s">
        <v>26</v>
      </c>
      <c r="AQ11" s="9" t="s">
        <v>26</v>
      </c>
      <c r="AR11" s="10" t="s">
        <v>26</v>
      </c>
      <c r="AS11" s="10" t="s">
        <v>26</v>
      </c>
      <c r="AT11" s="10" t="s">
        <v>26</v>
      </c>
      <c r="AU11" s="9" t="s">
        <v>26</v>
      </c>
      <c r="AV11" s="10" t="s">
        <v>26</v>
      </c>
      <c r="AW11" s="10" t="s">
        <v>26</v>
      </c>
      <c r="AX11" s="10" t="s">
        <v>26</v>
      </c>
      <c r="AY11" s="9">
        <f>AY12</f>
        <v>10599290505.01</v>
      </c>
      <c r="AZ11" s="10">
        <f>AY11/AY137</f>
        <v>1.4010993251373803E-2</v>
      </c>
      <c r="BA11" s="10">
        <v>0.1</v>
      </c>
      <c r="BB11" s="10">
        <f>BA11-AZ11</f>
        <v>8.5989006748626196E-2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6020093169.0100002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1600277931</v>
      </c>
      <c r="P12" s="1">
        <v>1</v>
      </c>
      <c r="Q12" s="1" t="s">
        <v>26</v>
      </c>
      <c r="R12" s="1" t="s">
        <v>26</v>
      </c>
      <c r="S12" s="2">
        <v>1581851370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1397068035</v>
      </c>
      <c r="AB12" s="1">
        <v>1</v>
      </c>
      <c r="AC12" s="1" t="s">
        <v>26</v>
      </c>
      <c r="AD12" s="1" t="s">
        <v>26</v>
      </c>
      <c r="AE12" s="2">
        <v>10599290505.01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10599290505.01</v>
      </c>
      <c r="AZ12" s="1">
        <v>1</v>
      </c>
      <c r="BA12" s="1" t="s">
        <v>26</v>
      </c>
      <c r="BB12" s="1" t="s">
        <v>26</v>
      </c>
    </row>
    <row r="13" spans="1:54" customFormat="1">
      <c r="A13" s="12" t="s">
        <v>31</v>
      </c>
      <c r="B13" s="27" t="s">
        <v>25</v>
      </c>
      <c r="C13" s="29">
        <v>2823446825.6100001</v>
      </c>
      <c r="D13" s="30">
        <v>0.41284096973081003</v>
      </c>
      <c r="E13" s="30" t="s">
        <v>26</v>
      </c>
      <c r="F13" s="30" t="s">
        <v>26</v>
      </c>
      <c r="G13" s="29">
        <v>54235709238.529999</v>
      </c>
      <c r="H13" s="30">
        <v>0.34490325754513002</v>
      </c>
      <c r="I13" s="30" t="s">
        <v>26</v>
      </c>
      <c r="J13" s="30" t="s">
        <v>26</v>
      </c>
      <c r="K13" s="29">
        <v>1012230014</v>
      </c>
      <c r="L13" s="30">
        <v>0.32499477667673998</v>
      </c>
      <c r="M13" s="30" t="s">
        <v>26</v>
      </c>
      <c r="N13" s="30" t="s">
        <v>26</v>
      </c>
      <c r="O13" s="29">
        <v>72901837599.869995</v>
      </c>
      <c r="P13" s="30">
        <v>0.31166334653752997</v>
      </c>
      <c r="Q13" s="30" t="s">
        <v>26</v>
      </c>
      <c r="R13" s="30" t="s">
        <v>26</v>
      </c>
      <c r="S13" s="29">
        <v>32513119868.75</v>
      </c>
      <c r="T13" s="30">
        <v>0.28004678580227998</v>
      </c>
      <c r="U13" s="30" t="s">
        <v>26</v>
      </c>
      <c r="V13" s="30" t="s">
        <v>26</v>
      </c>
      <c r="W13" s="29">
        <v>2923013608.21</v>
      </c>
      <c r="X13" s="30">
        <v>0.44598932942550001</v>
      </c>
      <c r="Y13" s="30" t="s">
        <v>26</v>
      </c>
      <c r="Z13" s="30" t="s">
        <v>26</v>
      </c>
      <c r="AA13" s="29">
        <v>45380410804.019997</v>
      </c>
      <c r="AB13" s="30">
        <v>0.31509736197287003</v>
      </c>
      <c r="AC13" s="30" t="s">
        <v>26</v>
      </c>
      <c r="AD13" s="30" t="s">
        <v>26</v>
      </c>
      <c r="AE13" s="29">
        <v>211789767958.98999</v>
      </c>
      <c r="AF13" s="30">
        <v>0.31715119545942</v>
      </c>
      <c r="AG13" s="30" t="s">
        <v>26</v>
      </c>
      <c r="AH13" s="30" t="s">
        <v>26</v>
      </c>
      <c r="AI13" s="29">
        <v>7245150804.1400003</v>
      </c>
      <c r="AJ13" s="30">
        <v>0.41665200121173002</v>
      </c>
      <c r="AK13" s="30" t="s">
        <v>26</v>
      </c>
      <c r="AL13" s="30" t="s">
        <v>26</v>
      </c>
      <c r="AM13" s="29">
        <v>11972714602.92</v>
      </c>
      <c r="AN13" s="30">
        <v>0.49612651101833999</v>
      </c>
      <c r="AO13" s="30" t="s">
        <v>26</v>
      </c>
      <c r="AP13" s="30" t="s">
        <v>26</v>
      </c>
      <c r="AQ13" s="29">
        <v>19217865407.060001</v>
      </c>
      <c r="AR13" s="30">
        <v>0.46284291172070002</v>
      </c>
      <c r="AS13" s="30" t="s">
        <v>26</v>
      </c>
      <c r="AT13" s="30" t="s">
        <v>26</v>
      </c>
      <c r="AU13" s="29">
        <v>15045566851.35</v>
      </c>
      <c r="AV13" s="30">
        <v>0.31876058603668</v>
      </c>
      <c r="AW13" s="30" t="s">
        <v>26</v>
      </c>
      <c r="AX13" s="30" t="s">
        <v>26</v>
      </c>
      <c r="AY13" s="29">
        <v>246053200217.39999</v>
      </c>
      <c r="AZ13" s="30">
        <v>0.32524796164781999</v>
      </c>
      <c r="BA13" s="30" t="s">
        <v>26</v>
      </c>
      <c r="BB13" s="30" t="s">
        <v>26</v>
      </c>
    </row>
    <row r="14" spans="1:54" s="28" customFormat="1">
      <c r="A14" s="5" t="s">
        <v>32</v>
      </c>
      <c r="B14" s="20" t="s">
        <v>25</v>
      </c>
      <c r="C14" s="9">
        <v>2823446825.6100001</v>
      </c>
      <c r="D14" s="10">
        <v>0.41284096973081003</v>
      </c>
      <c r="E14" s="10">
        <v>0.5</v>
      </c>
      <c r="F14" s="10">
        <v>8.72E-2</v>
      </c>
      <c r="G14" s="9">
        <v>54235709238.529999</v>
      </c>
      <c r="H14" s="10">
        <v>0.34490325754513002</v>
      </c>
      <c r="I14" s="10">
        <v>0.5</v>
      </c>
      <c r="J14" s="10">
        <v>0.15509999999999999</v>
      </c>
      <c r="K14" s="9">
        <v>1012230014</v>
      </c>
      <c r="L14" s="10">
        <v>0.32499477667673998</v>
      </c>
      <c r="M14" s="10">
        <v>0.5</v>
      </c>
      <c r="N14" s="10">
        <v>0.17499999999999999</v>
      </c>
      <c r="O14" s="9">
        <v>72901837599.869995</v>
      </c>
      <c r="P14" s="10">
        <v>0.31166334653752997</v>
      </c>
      <c r="Q14" s="10">
        <v>0.50009999999999999</v>
      </c>
      <c r="R14" s="10">
        <v>0.18840000000000001</v>
      </c>
      <c r="S14" s="9">
        <v>32513119868.75</v>
      </c>
      <c r="T14" s="10">
        <v>0.28004678580227998</v>
      </c>
      <c r="U14" s="10">
        <v>0.5</v>
      </c>
      <c r="V14" s="10">
        <v>0.22</v>
      </c>
      <c r="W14" s="9">
        <v>2923013608.21</v>
      </c>
      <c r="X14" s="10">
        <v>0.44598932942550001</v>
      </c>
      <c r="Y14" s="10">
        <v>0.5</v>
      </c>
      <c r="Z14" s="10">
        <v>5.3999999999999999E-2</v>
      </c>
      <c r="AA14" s="9">
        <v>45380410804.019997</v>
      </c>
      <c r="AB14" s="10">
        <v>0.31509736197287003</v>
      </c>
      <c r="AC14" s="10">
        <v>0.5</v>
      </c>
      <c r="AD14" s="10">
        <v>0.18490000000000001</v>
      </c>
      <c r="AE14" s="9">
        <v>211789767958.98999</v>
      </c>
      <c r="AF14" s="10">
        <v>0.31715119545942</v>
      </c>
      <c r="AG14" s="10">
        <v>0.5</v>
      </c>
      <c r="AH14" s="10">
        <v>0.18279999999999999</v>
      </c>
      <c r="AI14" s="9">
        <v>7245150804.1400003</v>
      </c>
      <c r="AJ14" s="10">
        <v>0.41665200121173002</v>
      </c>
      <c r="AK14" s="10">
        <v>0.5</v>
      </c>
      <c r="AL14" s="10">
        <v>8.3299999999999999E-2</v>
      </c>
      <c r="AM14" s="9">
        <v>11972714602.92</v>
      </c>
      <c r="AN14" s="10">
        <v>0.49612651101833999</v>
      </c>
      <c r="AO14" s="10">
        <v>0.50009999999999999</v>
      </c>
      <c r="AP14" s="10">
        <v>4.0000000000000001E-3</v>
      </c>
      <c r="AQ14" s="9">
        <v>19217865407.060001</v>
      </c>
      <c r="AR14" s="10">
        <v>0.46284291172070002</v>
      </c>
      <c r="AS14" s="10">
        <v>0.5</v>
      </c>
      <c r="AT14" s="10">
        <v>3.7199999999999997E-2</v>
      </c>
      <c r="AU14" s="9">
        <v>15045566851.35</v>
      </c>
      <c r="AV14" s="10">
        <v>0.31876058603668</v>
      </c>
      <c r="AW14" s="10">
        <v>0.5</v>
      </c>
      <c r="AX14" s="10">
        <v>0.1812</v>
      </c>
      <c r="AY14" s="9">
        <v>246053200217.39999</v>
      </c>
      <c r="AZ14" s="10">
        <v>0.32524796164781999</v>
      </c>
      <c r="BA14" s="10">
        <v>0.50009999999999999</v>
      </c>
      <c r="BB14" s="10">
        <v>0.1749</v>
      </c>
    </row>
    <row r="15" spans="1:54" s="7" customFormat="1">
      <c r="A15" s="3" t="s">
        <v>33</v>
      </c>
      <c r="B15" s="23" t="s">
        <v>29</v>
      </c>
      <c r="C15" s="2">
        <v>983285042.41999996</v>
      </c>
      <c r="D15" s="1">
        <v>0.34825697211689999</v>
      </c>
      <c r="E15" s="1" t="s">
        <v>26</v>
      </c>
      <c r="F15" s="1" t="s">
        <v>26</v>
      </c>
      <c r="G15" s="2">
        <v>17672018637.299999</v>
      </c>
      <c r="H15" s="1">
        <v>0.32583732904787999</v>
      </c>
      <c r="I15" s="1" t="s">
        <v>26</v>
      </c>
      <c r="J15" s="1" t="s">
        <v>26</v>
      </c>
      <c r="K15" s="2">
        <v>252073906.93000001</v>
      </c>
      <c r="L15" s="1">
        <v>0.24902828748763001</v>
      </c>
      <c r="M15" s="1" t="s">
        <v>26</v>
      </c>
      <c r="N15" s="1" t="s">
        <v>26</v>
      </c>
      <c r="O15" s="2">
        <v>20730937421.639999</v>
      </c>
      <c r="P15" s="1">
        <v>0.28436783082785999</v>
      </c>
      <c r="Q15" s="1" t="s">
        <v>26</v>
      </c>
      <c r="R15" s="1" t="s">
        <v>26</v>
      </c>
      <c r="S15" s="2">
        <v>11543025822.5</v>
      </c>
      <c r="T15" s="1">
        <v>0.35502670519154</v>
      </c>
      <c r="U15" s="1" t="s">
        <v>26</v>
      </c>
      <c r="V15" s="1" t="s">
        <v>26</v>
      </c>
      <c r="W15" s="2">
        <v>1117135454.6099999</v>
      </c>
      <c r="X15" s="1">
        <v>0.38218619696886003</v>
      </c>
      <c r="Y15" s="1" t="s">
        <v>26</v>
      </c>
      <c r="Z15" s="1" t="s">
        <v>26</v>
      </c>
      <c r="AA15" s="2">
        <v>17143108232</v>
      </c>
      <c r="AB15" s="1">
        <v>0.37776450076739998</v>
      </c>
      <c r="AC15" s="1" t="s">
        <v>26</v>
      </c>
      <c r="AD15" s="1" t="s">
        <v>26</v>
      </c>
      <c r="AE15" s="2">
        <v>69441584517.399994</v>
      </c>
      <c r="AF15" s="1">
        <v>0.32787978940911999</v>
      </c>
      <c r="AG15" s="1" t="s">
        <v>26</v>
      </c>
      <c r="AH15" s="1" t="s">
        <v>26</v>
      </c>
      <c r="AI15" s="2">
        <v>1952599432.3199999</v>
      </c>
      <c r="AJ15" s="1">
        <v>0.26950431883408998</v>
      </c>
      <c r="AK15" s="1" t="s">
        <v>26</v>
      </c>
      <c r="AL15" s="1" t="s">
        <v>26</v>
      </c>
      <c r="AM15" s="2">
        <v>6285121136.8900003</v>
      </c>
      <c r="AN15" s="1">
        <v>0.52495372564524001</v>
      </c>
      <c r="AO15" s="1" t="s">
        <v>26</v>
      </c>
      <c r="AP15" s="1" t="s">
        <v>26</v>
      </c>
      <c r="AQ15" s="2">
        <v>8237720569.21</v>
      </c>
      <c r="AR15" s="1">
        <v>0.4286490926398</v>
      </c>
      <c r="AS15" s="1" t="s">
        <v>26</v>
      </c>
      <c r="AT15" s="1" t="s">
        <v>26</v>
      </c>
      <c r="AU15" s="2">
        <v>7765471542.9099998</v>
      </c>
      <c r="AV15" s="1">
        <v>0.51613020763077999</v>
      </c>
      <c r="AW15" s="1" t="s">
        <v>26</v>
      </c>
      <c r="AX15" s="1" t="s">
        <v>26</v>
      </c>
      <c r="AY15" s="2">
        <v>85444776629.520004</v>
      </c>
      <c r="AZ15" s="1">
        <v>0.34726139125208</v>
      </c>
      <c r="BA15" s="1" t="s">
        <v>26</v>
      </c>
      <c r="BB15" s="1" t="s">
        <v>26</v>
      </c>
    </row>
    <row r="16" spans="1:54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3128223401.1700001</v>
      </c>
      <c r="H16" s="1">
        <v>5.7678298027080001E-2</v>
      </c>
      <c r="I16" s="1" t="s">
        <v>26</v>
      </c>
      <c r="J16" s="1" t="s">
        <v>26</v>
      </c>
      <c r="K16" s="2">
        <v>78800533.200000003</v>
      </c>
      <c r="L16" s="1">
        <v>7.7848445620189999E-2</v>
      </c>
      <c r="M16" s="1" t="s">
        <v>26</v>
      </c>
      <c r="N16" s="1" t="s">
        <v>26</v>
      </c>
      <c r="O16" s="2">
        <v>1979460200</v>
      </c>
      <c r="P16" s="1">
        <v>2.715240472901E-2</v>
      </c>
      <c r="Q16" s="1" t="s">
        <v>26</v>
      </c>
      <c r="R16" s="1" t="s">
        <v>26</v>
      </c>
      <c r="S16" s="2" t="s">
        <v>26</v>
      </c>
      <c r="T16" s="1" t="s">
        <v>26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6425790209.2299995</v>
      </c>
      <c r="AB16" s="1">
        <v>0.14159832613637</v>
      </c>
      <c r="AC16" s="1" t="s">
        <v>26</v>
      </c>
      <c r="AD16" s="1" t="s">
        <v>26</v>
      </c>
      <c r="AE16" s="2">
        <v>11612274343.6</v>
      </c>
      <c r="AF16" s="1">
        <v>5.4829250985569997E-2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782497569.16999996</v>
      </c>
      <c r="AN16" s="1">
        <v>6.5356737809420001E-2</v>
      </c>
      <c r="AO16" s="1" t="s">
        <v>26</v>
      </c>
      <c r="AP16" s="1" t="s">
        <v>26</v>
      </c>
      <c r="AQ16" s="2">
        <v>782497569.16999996</v>
      </c>
      <c r="AR16" s="1">
        <v>4.0717194787020003E-2</v>
      </c>
      <c r="AS16" s="1" t="s">
        <v>26</v>
      </c>
      <c r="AT16" s="1" t="s">
        <v>26</v>
      </c>
      <c r="AU16" s="2" t="s">
        <v>26</v>
      </c>
      <c r="AV16" s="1" t="s">
        <v>26</v>
      </c>
      <c r="AW16" s="1" t="s">
        <v>26</v>
      </c>
      <c r="AX16" s="1" t="s">
        <v>26</v>
      </c>
      <c r="AY16" s="2">
        <v>12394771912.77</v>
      </c>
      <c r="AZ16" s="1">
        <v>5.0374357666630003E-2</v>
      </c>
      <c r="BA16" s="1" t="s">
        <v>26</v>
      </c>
      <c r="BB16" s="1" t="s">
        <v>26</v>
      </c>
    </row>
    <row r="17" spans="1:55" customFormat="1">
      <c r="A17" s="3" t="s">
        <v>36</v>
      </c>
      <c r="B17" s="23" t="s">
        <v>29</v>
      </c>
      <c r="C17" s="2">
        <v>1840161783.1900001</v>
      </c>
      <c r="D17" s="1">
        <v>0.65174302788310001</v>
      </c>
      <c r="E17" s="1" t="s">
        <v>26</v>
      </c>
      <c r="F17" s="1" t="s">
        <v>26</v>
      </c>
      <c r="G17" s="2">
        <v>33435467200.060001</v>
      </c>
      <c r="H17" s="1">
        <v>0.61648437292503999</v>
      </c>
      <c r="I17" s="1" t="s">
        <v>26</v>
      </c>
      <c r="J17" s="1" t="s">
        <v>26</v>
      </c>
      <c r="K17" s="2">
        <v>681355573.87</v>
      </c>
      <c r="L17" s="1">
        <v>0.67312326689218005</v>
      </c>
      <c r="M17" s="1" t="s">
        <v>26</v>
      </c>
      <c r="N17" s="1" t="s">
        <v>26</v>
      </c>
      <c r="O17" s="2">
        <v>50191439978.230003</v>
      </c>
      <c r="P17" s="1">
        <v>0.68847976444312997</v>
      </c>
      <c r="Q17" s="1" t="s">
        <v>26</v>
      </c>
      <c r="R17" s="1" t="s">
        <v>26</v>
      </c>
      <c r="S17" s="2">
        <v>20970094046.25</v>
      </c>
      <c r="T17" s="1">
        <v>0.64497329480846</v>
      </c>
      <c r="U17" s="1" t="s">
        <v>26</v>
      </c>
      <c r="V17" s="1" t="s">
        <v>26</v>
      </c>
      <c r="W17" s="2">
        <v>1805878153.5999999</v>
      </c>
      <c r="X17" s="1">
        <v>0.61781380303113997</v>
      </c>
      <c r="Y17" s="1" t="s">
        <v>26</v>
      </c>
      <c r="Z17" s="1" t="s">
        <v>26</v>
      </c>
      <c r="AA17" s="2">
        <v>21811512362.790001</v>
      </c>
      <c r="AB17" s="1">
        <v>0.48063717309623</v>
      </c>
      <c r="AC17" s="1" t="s">
        <v>26</v>
      </c>
      <c r="AD17" s="1" t="s">
        <v>26</v>
      </c>
      <c r="AE17" s="2">
        <v>130735909097.99001</v>
      </c>
      <c r="AF17" s="1">
        <v>0.61729095960531</v>
      </c>
      <c r="AG17" s="1" t="s">
        <v>26</v>
      </c>
      <c r="AH17" s="1" t="s">
        <v>26</v>
      </c>
      <c r="AI17" s="2">
        <v>5292551371.8199997</v>
      </c>
      <c r="AJ17" s="1">
        <v>0.73049568116591002</v>
      </c>
      <c r="AK17" s="1" t="s">
        <v>26</v>
      </c>
      <c r="AL17" s="1" t="s">
        <v>26</v>
      </c>
      <c r="AM17" s="2">
        <v>4905095896.8599997</v>
      </c>
      <c r="AN17" s="1">
        <v>0.40968953654535001</v>
      </c>
      <c r="AO17" s="1" t="s">
        <v>26</v>
      </c>
      <c r="AP17" s="1" t="s">
        <v>26</v>
      </c>
      <c r="AQ17" s="2">
        <v>10197647268.68</v>
      </c>
      <c r="AR17" s="1">
        <v>0.53063371257318004</v>
      </c>
      <c r="AS17" s="1" t="s">
        <v>26</v>
      </c>
      <c r="AT17" s="1" t="s">
        <v>26</v>
      </c>
      <c r="AU17" s="2">
        <v>7280095308.4399996</v>
      </c>
      <c r="AV17" s="1">
        <v>0.48386979236922001</v>
      </c>
      <c r="AW17" s="1" t="s">
        <v>26</v>
      </c>
      <c r="AX17" s="1" t="s">
        <v>26</v>
      </c>
      <c r="AY17" s="2">
        <v>148213651675.10999</v>
      </c>
      <c r="AZ17" s="1">
        <v>0.60236425108128999</v>
      </c>
      <c r="BA17" s="1" t="s">
        <v>26</v>
      </c>
      <c r="BB17" s="1" t="s">
        <v>26</v>
      </c>
    </row>
    <row r="18" spans="1:55" customFormat="1">
      <c r="A18" s="12" t="s">
        <v>37</v>
      </c>
      <c r="B18" s="27" t="s">
        <v>25</v>
      </c>
      <c r="C18" s="29">
        <v>294977345.94999999</v>
      </c>
      <c r="D18" s="30">
        <v>4.3131229689200003E-2</v>
      </c>
      <c r="E18" s="30" t="s">
        <v>26</v>
      </c>
      <c r="F18" s="30" t="s">
        <v>26</v>
      </c>
      <c r="G18" s="29">
        <v>6577193109.6700001</v>
      </c>
      <c r="H18" s="30">
        <v>4.1826600239550003E-2</v>
      </c>
      <c r="I18" s="30" t="s">
        <v>26</v>
      </c>
      <c r="J18" s="30" t="s">
        <v>26</v>
      </c>
      <c r="K18" s="29">
        <v>190224564.94</v>
      </c>
      <c r="L18" s="30">
        <v>6.1075041389860002E-2</v>
      </c>
      <c r="M18" s="30" t="s">
        <v>26</v>
      </c>
      <c r="N18" s="30" t="s">
        <v>26</v>
      </c>
      <c r="O18" s="29">
        <v>14955041386.75</v>
      </c>
      <c r="P18" s="30">
        <v>6.393444115612E-2</v>
      </c>
      <c r="Q18" s="30" t="s">
        <v>26</v>
      </c>
      <c r="R18" s="30" t="s">
        <v>26</v>
      </c>
      <c r="S18" s="29">
        <v>4928734472.8500004</v>
      </c>
      <c r="T18" s="30">
        <v>4.245290063723E-2</v>
      </c>
      <c r="U18" s="30" t="s">
        <v>26</v>
      </c>
      <c r="V18" s="30" t="s">
        <v>26</v>
      </c>
      <c r="W18" s="29">
        <v>1332764058.6700001</v>
      </c>
      <c r="X18" s="30">
        <v>0.20335127662051</v>
      </c>
      <c r="Y18" s="30" t="s">
        <v>26</v>
      </c>
      <c r="Z18" s="30" t="s">
        <v>26</v>
      </c>
      <c r="AA18" s="29">
        <v>11786312339.25</v>
      </c>
      <c r="AB18" s="30">
        <v>8.1837864833889995E-2</v>
      </c>
      <c r="AC18" s="30" t="s">
        <v>26</v>
      </c>
      <c r="AD18" s="30" t="s">
        <v>26</v>
      </c>
      <c r="AE18" s="29">
        <v>40065247278.080002</v>
      </c>
      <c r="AF18" s="30">
        <v>5.9996954494420003E-2</v>
      </c>
      <c r="AG18" s="30" t="s">
        <v>26</v>
      </c>
      <c r="AH18" s="30" t="s">
        <v>26</v>
      </c>
      <c r="AI18" s="29">
        <v>1224699763.98</v>
      </c>
      <c r="AJ18" s="30">
        <v>7.0429673769419998E-2</v>
      </c>
      <c r="AK18" s="30" t="s">
        <v>26</v>
      </c>
      <c r="AL18" s="30" t="s">
        <v>26</v>
      </c>
      <c r="AM18" s="29">
        <v>1701512615.6400001</v>
      </c>
      <c r="AN18" s="30">
        <v>7.0507445090630005E-2</v>
      </c>
      <c r="AO18" s="30" t="s">
        <v>26</v>
      </c>
      <c r="AP18" s="30" t="s">
        <v>26</v>
      </c>
      <c r="AQ18" s="29">
        <v>2926212379.6199999</v>
      </c>
      <c r="AR18" s="30">
        <v>7.0474874779740002E-2</v>
      </c>
      <c r="AS18" s="30" t="s">
        <v>26</v>
      </c>
      <c r="AT18" s="30" t="s">
        <v>26</v>
      </c>
      <c r="AU18" s="29">
        <v>3303484874.29</v>
      </c>
      <c r="AV18" s="30">
        <v>6.9988773762779996E-2</v>
      </c>
      <c r="AW18" s="30" t="s">
        <v>26</v>
      </c>
      <c r="AX18" s="30" t="s">
        <v>26</v>
      </c>
      <c r="AY18" s="29">
        <v>46294944531.989998</v>
      </c>
      <c r="AZ18" s="30">
        <v>6.1195450131619998E-2</v>
      </c>
      <c r="BA18" s="30" t="s">
        <v>26</v>
      </c>
      <c r="BB18" s="30" t="s">
        <v>26</v>
      </c>
    </row>
    <row r="19" spans="1:55" s="28" customFormat="1">
      <c r="A19" s="5" t="s">
        <v>38</v>
      </c>
      <c r="B19" s="20" t="s">
        <v>25</v>
      </c>
      <c r="C19" s="9">
        <v>65048469.950000003</v>
      </c>
      <c r="D19" s="10">
        <v>9.5113083661000006E-3</v>
      </c>
      <c r="E19" s="10">
        <v>0.15</v>
      </c>
      <c r="F19" s="10">
        <v>0.14050000000000001</v>
      </c>
      <c r="G19" s="9">
        <v>1800149582.5</v>
      </c>
      <c r="H19" s="10">
        <v>1.1447761332709999E-2</v>
      </c>
      <c r="I19" s="10">
        <v>0.15</v>
      </c>
      <c r="J19" s="10">
        <v>0.1386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6841986049.9899998</v>
      </c>
      <c r="P19" s="10">
        <v>2.9250240316390001E-2</v>
      </c>
      <c r="Q19" s="10">
        <v>0.1411</v>
      </c>
      <c r="R19" s="10">
        <v>0.1118</v>
      </c>
      <c r="S19" s="9">
        <v>1308951929.71</v>
      </c>
      <c r="T19" s="10">
        <v>1.1274457270320001E-2</v>
      </c>
      <c r="U19" s="10">
        <v>0.05</v>
      </c>
      <c r="V19" s="10">
        <v>3.8699999999999998E-2</v>
      </c>
      <c r="W19" s="9">
        <v>362063184.02999997</v>
      </c>
      <c r="X19" s="10">
        <v>5.5243094387809999E-2</v>
      </c>
      <c r="Y19" s="10">
        <v>0.15</v>
      </c>
      <c r="Z19" s="10">
        <v>9.4799999999999995E-2</v>
      </c>
      <c r="AA19" s="9">
        <v>5268600924.3900003</v>
      </c>
      <c r="AB19" s="10">
        <v>3.6582353997029998E-2</v>
      </c>
      <c r="AC19" s="10">
        <v>0.13850000000000001</v>
      </c>
      <c r="AD19" s="10">
        <v>0.1019</v>
      </c>
      <c r="AE19" s="9">
        <v>15646800140.57</v>
      </c>
      <c r="AF19" s="10">
        <v>2.3430789020259999E-2</v>
      </c>
      <c r="AG19" s="10">
        <v>0.14130000000000001</v>
      </c>
      <c r="AH19" s="10">
        <v>0.1179</v>
      </c>
      <c r="AI19" s="9">
        <v>660429422.85000002</v>
      </c>
      <c r="AJ19" s="10">
        <v>3.7979780977409998E-2</v>
      </c>
      <c r="AK19" s="10">
        <v>0.05</v>
      </c>
      <c r="AL19" s="10">
        <v>1.2E-2</v>
      </c>
      <c r="AM19" s="9" t="s">
        <v>26</v>
      </c>
      <c r="AN19" s="10" t="s">
        <v>26</v>
      </c>
      <c r="AO19" s="10" t="s">
        <v>26</v>
      </c>
      <c r="AP19" s="10" t="s">
        <v>26</v>
      </c>
      <c r="AQ19" s="9">
        <v>660429422.85000002</v>
      </c>
      <c r="AR19" s="10">
        <v>1.5905776764659998E-2</v>
      </c>
      <c r="AS19" s="10">
        <v>0.14180000000000001</v>
      </c>
      <c r="AT19" s="10">
        <v>0.12590000000000001</v>
      </c>
      <c r="AU19" s="9">
        <v>936327040.13999999</v>
      </c>
      <c r="AV19" s="10">
        <v>1.9837348701170002E-2</v>
      </c>
      <c r="AW19" s="10">
        <v>0.05</v>
      </c>
      <c r="AX19" s="10">
        <v>3.0200000000000001E-2</v>
      </c>
      <c r="AY19" s="9">
        <v>17243556603.560001</v>
      </c>
      <c r="AZ19" s="10">
        <v>2.2793573226890001E-2</v>
      </c>
      <c r="BA19" s="10">
        <v>0.14119999999999999</v>
      </c>
      <c r="BB19" s="10">
        <v>0.11840000000000001</v>
      </c>
    </row>
    <row r="20" spans="1:55" s="7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4044377780</v>
      </c>
      <c r="P20" s="1">
        <v>0.59111166705841001</v>
      </c>
      <c r="Q20" s="1" t="s">
        <v>26</v>
      </c>
      <c r="R20" s="1" t="s">
        <v>26</v>
      </c>
      <c r="S20" s="2">
        <v>998379713.13999999</v>
      </c>
      <c r="T20" s="1">
        <v>0.76273214506905995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4044377780</v>
      </c>
      <c r="AB20" s="1">
        <v>0.76763790578202995</v>
      </c>
      <c r="AC20" s="1" t="s">
        <v>26</v>
      </c>
      <c r="AD20" s="1" t="s">
        <v>26</v>
      </c>
      <c r="AE20" s="2">
        <v>9087135273.1399994</v>
      </c>
      <c r="AF20" s="1">
        <v>0.58076636702083995</v>
      </c>
      <c r="AG20" s="1" t="s">
        <v>26</v>
      </c>
      <c r="AH20" s="1" t="s">
        <v>26</v>
      </c>
      <c r="AI20" s="2">
        <v>361448757.19999999</v>
      </c>
      <c r="AJ20" s="1">
        <v>0.54729354067875002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361448757.19999999</v>
      </c>
      <c r="AR20" s="1">
        <v>0.54729354067875002</v>
      </c>
      <c r="AS20" s="1" t="s">
        <v>26</v>
      </c>
      <c r="AT20" s="1" t="s">
        <v>26</v>
      </c>
      <c r="AU20" s="2">
        <v>645155742.60000002</v>
      </c>
      <c r="AV20" s="1">
        <v>0.68902820803246001</v>
      </c>
      <c r="AW20" s="1" t="s">
        <v>26</v>
      </c>
      <c r="AX20" s="1" t="s">
        <v>26</v>
      </c>
      <c r="AY20" s="2">
        <v>10093739772.940001</v>
      </c>
      <c r="AZ20" s="1">
        <v>0.58536298543284004</v>
      </c>
      <c r="BA20" s="1" t="s">
        <v>26</v>
      </c>
      <c r="BB20" s="1" t="s">
        <v>26</v>
      </c>
    </row>
    <row r="21" spans="1:55" customFormat="1">
      <c r="A21" s="3" t="s">
        <v>41</v>
      </c>
      <c r="B21" s="23" t="s">
        <v>35</v>
      </c>
      <c r="C21" s="2">
        <v>65048469.950000003</v>
      </c>
      <c r="D21" s="1">
        <v>1</v>
      </c>
      <c r="E21" s="1" t="s">
        <v>26</v>
      </c>
      <c r="F21" s="1" t="s">
        <v>26</v>
      </c>
      <c r="G21" s="2">
        <v>1800149582.5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2797608269.9899998</v>
      </c>
      <c r="P21" s="1">
        <v>0.40888833294158999</v>
      </c>
      <c r="Q21" s="1" t="s">
        <v>26</v>
      </c>
      <c r="R21" s="1" t="s">
        <v>26</v>
      </c>
      <c r="S21" s="2">
        <v>310572216.56999999</v>
      </c>
      <c r="T21" s="1">
        <v>0.23726785493093999</v>
      </c>
      <c r="U21" s="1" t="s">
        <v>26</v>
      </c>
      <c r="V21" s="1" t="s">
        <v>26</v>
      </c>
      <c r="W21" s="2">
        <v>362063184.02999997</v>
      </c>
      <c r="X21" s="1">
        <v>1</v>
      </c>
      <c r="Y21" s="1" t="s">
        <v>26</v>
      </c>
      <c r="Z21" s="1" t="s">
        <v>26</v>
      </c>
      <c r="AA21" s="2">
        <v>1224223144.3900001</v>
      </c>
      <c r="AB21" s="1">
        <v>0.23236209421796999</v>
      </c>
      <c r="AC21" s="1" t="s">
        <v>26</v>
      </c>
      <c r="AD21" s="1" t="s">
        <v>26</v>
      </c>
      <c r="AE21" s="2">
        <v>6559664867.4300003</v>
      </c>
      <c r="AF21" s="1">
        <v>0.41923363297916</v>
      </c>
      <c r="AG21" s="1" t="s">
        <v>26</v>
      </c>
      <c r="AH21" s="1" t="s">
        <v>26</v>
      </c>
      <c r="AI21" s="2">
        <v>298980665.64999998</v>
      </c>
      <c r="AJ21" s="1">
        <v>0.45270645932124998</v>
      </c>
      <c r="AK21" s="1" t="s">
        <v>26</v>
      </c>
      <c r="AL21" s="1" t="s">
        <v>26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298980665.64999998</v>
      </c>
      <c r="AR21" s="1">
        <v>0.45270645932124998</v>
      </c>
      <c r="AS21" s="1" t="s">
        <v>26</v>
      </c>
      <c r="AT21" s="1" t="s">
        <v>26</v>
      </c>
      <c r="AU21" s="2">
        <v>291171297.54000002</v>
      </c>
      <c r="AV21" s="1">
        <v>0.31097179196753999</v>
      </c>
      <c r="AW21" s="1" t="s">
        <v>26</v>
      </c>
      <c r="AX21" s="1" t="s">
        <v>26</v>
      </c>
      <c r="AY21" s="2">
        <v>7149816830.6199999</v>
      </c>
      <c r="AZ21" s="1">
        <v>0.41463701456716001</v>
      </c>
      <c r="BA21" s="1" t="s">
        <v>26</v>
      </c>
      <c r="BB21" s="1" t="s">
        <v>26</v>
      </c>
      <c r="BC21" s="26"/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>
        <v>18583235.379999999</v>
      </c>
      <c r="L22" s="10">
        <v>5.9664842463899997E-3</v>
      </c>
      <c r="M22" s="10">
        <v>0.15</v>
      </c>
      <c r="N22" s="10">
        <v>0.14399999999999999</v>
      </c>
      <c r="O22" s="9" t="s">
        <v>26</v>
      </c>
      <c r="P22" s="10" t="s">
        <v>26</v>
      </c>
      <c r="Q22" s="10" t="s">
        <v>26</v>
      </c>
      <c r="R22" s="10" t="s">
        <v>26</v>
      </c>
      <c r="S22" s="9" t="s">
        <v>26</v>
      </c>
      <c r="T22" s="10" t="s">
        <v>26</v>
      </c>
      <c r="U22" s="10" t="s">
        <v>26</v>
      </c>
      <c r="V22" s="10" t="s">
        <v>26</v>
      </c>
      <c r="W22" s="9">
        <v>36870197.039999999</v>
      </c>
      <c r="X22" s="10">
        <v>5.62560311299E-3</v>
      </c>
      <c r="Y22" s="10">
        <v>0.15</v>
      </c>
      <c r="Z22" s="10">
        <v>0.1444</v>
      </c>
      <c r="AA22" s="9">
        <v>150568466.55000001</v>
      </c>
      <c r="AB22" s="10">
        <v>1.04546710278E-3</v>
      </c>
      <c r="AC22" s="10">
        <v>0.15</v>
      </c>
      <c r="AD22" s="10">
        <v>0.14899999999999999</v>
      </c>
      <c r="AE22" s="9">
        <v>206021898.97</v>
      </c>
      <c r="AF22" s="10">
        <v>3.0851392009999999E-4</v>
      </c>
      <c r="AG22" s="10">
        <v>0.15</v>
      </c>
      <c r="AH22" s="10">
        <v>0.1497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 t="s">
        <v>26</v>
      </c>
      <c r="AV22" s="10" t="s">
        <v>26</v>
      </c>
      <c r="AW22" s="10" t="s">
        <v>26</v>
      </c>
      <c r="AX22" s="10" t="s">
        <v>26</v>
      </c>
      <c r="AY22" s="9">
        <v>206021898.97</v>
      </c>
      <c r="AZ22" s="10">
        <v>2.7233217301999999E-4</v>
      </c>
      <c r="BA22" s="10">
        <v>0.15</v>
      </c>
      <c r="BB22" s="10">
        <v>0.1497</v>
      </c>
    </row>
    <row r="23" spans="1:55" s="7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>
        <v>18583235.379999999</v>
      </c>
      <c r="L23" s="1">
        <v>1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36870197.039999999</v>
      </c>
      <c r="X23" s="1">
        <v>1</v>
      </c>
      <c r="Y23" s="1" t="s">
        <v>26</v>
      </c>
      <c r="Z23" s="1" t="s">
        <v>26</v>
      </c>
      <c r="AA23" s="2">
        <v>150568466.55000001</v>
      </c>
      <c r="AB23" s="1">
        <v>1</v>
      </c>
      <c r="AC23" s="1" t="s">
        <v>26</v>
      </c>
      <c r="AD23" s="1" t="s">
        <v>26</v>
      </c>
      <c r="AE23" s="2">
        <v>206021898.97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206021898.97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143408975.28</v>
      </c>
      <c r="D24" s="10">
        <v>2.0969086396700001E-2</v>
      </c>
      <c r="E24" s="10">
        <v>0.13500000000000001</v>
      </c>
      <c r="F24" s="10">
        <v>0.114</v>
      </c>
      <c r="G24" s="9" t="s">
        <v>26</v>
      </c>
      <c r="H24" s="10" t="s">
        <v>26</v>
      </c>
      <c r="I24" s="10" t="s">
        <v>26</v>
      </c>
      <c r="J24" s="10" t="s">
        <v>26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143408975.28</v>
      </c>
      <c r="AF24" s="10">
        <v>2.1475224411E-4</v>
      </c>
      <c r="AG24" s="10">
        <v>0.13500000000000001</v>
      </c>
      <c r="AH24" s="10">
        <v>0.1348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143408975.28</v>
      </c>
      <c r="AZ24" s="10">
        <v>1.8956663376E-4</v>
      </c>
      <c r="BA24" s="10">
        <v>0.13500000000000001</v>
      </c>
      <c r="BB24" s="10">
        <v>0.1348</v>
      </c>
    </row>
    <row r="25" spans="1:55" s="7" customFormat="1">
      <c r="A25" s="3" t="s">
        <v>41</v>
      </c>
      <c r="B25" s="23" t="s">
        <v>44</v>
      </c>
      <c r="C25" s="2">
        <v>143408975.28</v>
      </c>
      <c r="D25" s="1">
        <v>1</v>
      </c>
      <c r="E25" s="1" t="s">
        <v>26</v>
      </c>
      <c r="F25" s="1" t="s">
        <v>26</v>
      </c>
      <c r="G25" s="2" t="s">
        <v>26</v>
      </c>
      <c r="H25" s="1" t="s">
        <v>26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143408975.28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143408975.28</v>
      </c>
      <c r="AZ25" s="1">
        <v>1</v>
      </c>
      <c r="BA25" s="1" t="s">
        <v>26</v>
      </c>
      <c r="BB25" s="1" t="s">
        <v>26</v>
      </c>
    </row>
    <row r="26" spans="1:55" s="7" customFormat="1">
      <c r="A26" s="5" t="s">
        <v>45</v>
      </c>
      <c r="B26" s="20" t="s">
        <v>25</v>
      </c>
      <c r="C26" s="9">
        <v>20096854.399999999</v>
      </c>
      <c r="D26" s="10">
        <v>2.9385376709699998E-3</v>
      </c>
      <c r="E26" s="10">
        <v>0.13500000000000001</v>
      </c>
      <c r="F26" s="10">
        <v>0.1321</v>
      </c>
      <c r="G26" s="9">
        <v>1448433564.3</v>
      </c>
      <c r="H26" s="10">
        <v>9.2110799633400003E-3</v>
      </c>
      <c r="I26" s="10">
        <v>0.13500000000000001</v>
      </c>
      <c r="J26" s="10">
        <v>0.1258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1611155129.5</v>
      </c>
      <c r="P26" s="10">
        <v>6.8878647779400002E-3</v>
      </c>
      <c r="Q26" s="10">
        <v>0.13500000000000001</v>
      </c>
      <c r="R26" s="10">
        <v>0.12809999999999999</v>
      </c>
      <c r="S26" s="9">
        <v>825551411.76999998</v>
      </c>
      <c r="T26" s="10">
        <v>7.1107608348300001E-3</v>
      </c>
      <c r="U26" s="10">
        <v>0.13539999999999999</v>
      </c>
      <c r="V26" s="10">
        <v>0.1283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1715357160.46</v>
      </c>
      <c r="AB26" s="10">
        <v>1.191052497159E-2</v>
      </c>
      <c r="AC26" s="10">
        <v>0.05</v>
      </c>
      <c r="AD26" s="10">
        <v>3.8100000000000002E-2</v>
      </c>
      <c r="AE26" s="9">
        <v>5620594120.4300003</v>
      </c>
      <c r="AF26" s="10">
        <v>8.4167340172500004E-3</v>
      </c>
      <c r="AG26" s="10">
        <v>0.1353</v>
      </c>
      <c r="AH26" s="10">
        <v>0.12690000000000001</v>
      </c>
      <c r="AI26" s="9" t="s">
        <v>26</v>
      </c>
      <c r="AJ26" s="10" t="s">
        <v>26</v>
      </c>
      <c r="AK26" s="10" t="s">
        <v>26</v>
      </c>
      <c r="AL26" s="10" t="s">
        <v>26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 t="s">
        <v>26</v>
      </c>
      <c r="AR26" s="10" t="s">
        <v>26</v>
      </c>
      <c r="AS26" s="10" t="s">
        <v>26</v>
      </c>
      <c r="AT26" s="10" t="s">
        <v>26</v>
      </c>
      <c r="AU26" s="9">
        <v>958494044</v>
      </c>
      <c r="AV26" s="10">
        <v>2.0306986516140001E-2</v>
      </c>
      <c r="AW26" s="10">
        <v>0.13500000000000001</v>
      </c>
      <c r="AX26" s="10">
        <v>0.1147</v>
      </c>
      <c r="AY26" s="9">
        <v>6579088164.4300003</v>
      </c>
      <c r="AZ26" s="10">
        <v>8.6966355775599993E-3</v>
      </c>
      <c r="BA26" s="10">
        <v>0.13519999999999999</v>
      </c>
      <c r="BB26" s="10">
        <v>0.1265</v>
      </c>
    </row>
    <row r="27" spans="1:55" s="7" customFormat="1">
      <c r="A27" s="3" t="s">
        <v>39</v>
      </c>
      <c r="B27" s="23" t="s">
        <v>40</v>
      </c>
      <c r="C27" s="2">
        <v>20096854.399999999</v>
      </c>
      <c r="D27" s="1">
        <v>1</v>
      </c>
      <c r="E27" s="1" t="s">
        <v>26</v>
      </c>
      <c r="F27" s="1" t="s">
        <v>26</v>
      </c>
      <c r="G27" s="2">
        <v>1448433564.3</v>
      </c>
      <c r="H27" s="1">
        <v>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1611155129.5</v>
      </c>
      <c r="P27" s="1">
        <v>1</v>
      </c>
      <c r="Q27" s="1" t="s">
        <v>26</v>
      </c>
      <c r="R27" s="1" t="s">
        <v>26</v>
      </c>
      <c r="S27" s="2">
        <v>804847541</v>
      </c>
      <c r="T27" s="1">
        <v>0.97492116120835004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1636731402.28</v>
      </c>
      <c r="AB27" s="1">
        <v>0.95416362260153997</v>
      </c>
      <c r="AC27" s="1" t="s">
        <v>26</v>
      </c>
      <c r="AD27" s="1" t="s">
        <v>26</v>
      </c>
      <c r="AE27" s="2">
        <v>5521264491.4799995</v>
      </c>
      <c r="AF27" s="1">
        <v>0.98232755704793995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958494044</v>
      </c>
      <c r="AV27" s="1">
        <v>1</v>
      </c>
      <c r="AW27" s="1" t="s">
        <v>26</v>
      </c>
      <c r="AX27" s="1" t="s">
        <v>26</v>
      </c>
      <c r="AY27" s="2">
        <v>6479758535.4799995</v>
      </c>
      <c r="AZ27" s="1">
        <v>0.9849022195071</v>
      </c>
      <c r="BA27" s="1" t="s">
        <v>26</v>
      </c>
      <c r="BB27" s="1" t="s">
        <v>26</v>
      </c>
    </row>
    <row r="28" spans="1:55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>
        <v>20703870.77</v>
      </c>
      <c r="T28" s="1">
        <v>2.5078838791650002E-2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78625758.180000007</v>
      </c>
      <c r="AB28" s="1">
        <v>4.5836377398459999E-2</v>
      </c>
      <c r="AC28" s="1" t="s">
        <v>26</v>
      </c>
      <c r="AD28" s="1" t="s">
        <v>26</v>
      </c>
      <c r="AE28" s="2">
        <v>99329628.950000003</v>
      </c>
      <c r="AF28" s="1">
        <v>1.767244295206E-2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99329628.950000003</v>
      </c>
      <c r="AZ28" s="1">
        <v>1.50977804929E-2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>
        <v>32682114.09</v>
      </c>
      <c r="D29" s="10">
        <v>4.7787390757200003E-3</v>
      </c>
      <c r="E29" s="10">
        <v>0.09</v>
      </c>
      <c r="F29" s="10">
        <v>8.5199999999999998E-2</v>
      </c>
      <c r="G29" s="9">
        <v>39721338.649999999</v>
      </c>
      <c r="H29" s="10">
        <v>2.5260145550999997E-4</v>
      </c>
      <c r="I29" s="10">
        <v>0.09</v>
      </c>
      <c r="J29" s="10">
        <v>8.9700000000000002E-2</v>
      </c>
      <c r="K29" s="9" t="s">
        <v>26</v>
      </c>
      <c r="L29" s="10" t="s">
        <v>26</v>
      </c>
      <c r="M29" s="10" t="s">
        <v>26</v>
      </c>
      <c r="N29" s="10" t="s">
        <v>26</v>
      </c>
      <c r="O29" s="9" t="s">
        <v>26</v>
      </c>
      <c r="P29" s="10" t="s">
        <v>26</v>
      </c>
      <c r="Q29" s="10" t="s">
        <v>26</v>
      </c>
      <c r="R29" s="10" t="s">
        <v>26</v>
      </c>
      <c r="S29" s="9">
        <v>43446745.740000002</v>
      </c>
      <c r="T29" s="10">
        <v>3.7422190017999998E-4</v>
      </c>
      <c r="U29" s="10">
        <v>0.109</v>
      </c>
      <c r="V29" s="10">
        <v>0.1086</v>
      </c>
      <c r="W29" s="9" t="s">
        <v>26</v>
      </c>
      <c r="X29" s="10" t="s">
        <v>26</v>
      </c>
      <c r="Y29" s="10" t="s">
        <v>26</v>
      </c>
      <c r="Z29" s="10" t="s">
        <v>26</v>
      </c>
      <c r="AA29" s="9">
        <v>35196122.880000003</v>
      </c>
      <c r="AB29" s="10">
        <v>2.4438309998999998E-4</v>
      </c>
      <c r="AC29" s="10">
        <v>0.09</v>
      </c>
      <c r="AD29" s="10">
        <v>8.9800000000000005E-2</v>
      </c>
      <c r="AE29" s="9">
        <v>151046321.36000001</v>
      </c>
      <c r="AF29" s="10">
        <v>2.2618902627E-4</v>
      </c>
      <c r="AG29" s="10">
        <v>9.5500000000000002E-2</v>
      </c>
      <c r="AH29" s="10">
        <v>9.5299999999999996E-2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265787456.47999999</v>
      </c>
      <c r="AN29" s="10">
        <v>1.101372644627E-2</v>
      </c>
      <c r="AO29" s="10">
        <v>0.13500000000000001</v>
      </c>
      <c r="AP29" s="10">
        <v>0.124</v>
      </c>
      <c r="AQ29" s="9">
        <v>265787456.47999999</v>
      </c>
      <c r="AR29" s="10">
        <v>6.4012229064099998E-3</v>
      </c>
      <c r="AS29" s="10">
        <v>0.13500000000000001</v>
      </c>
      <c r="AT29" s="10">
        <v>0.12859999999999999</v>
      </c>
      <c r="AU29" s="9" t="s">
        <v>26</v>
      </c>
      <c r="AV29" s="10" t="s">
        <v>26</v>
      </c>
      <c r="AW29" s="10" t="s">
        <v>26</v>
      </c>
      <c r="AX29" s="10" t="s">
        <v>26</v>
      </c>
      <c r="AY29" s="9">
        <v>416833777.83999997</v>
      </c>
      <c r="AZ29" s="10">
        <v>5.5099603041000003E-4</v>
      </c>
      <c r="BA29" s="10">
        <v>0.1207</v>
      </c>
      <c r="BB29" s="10">
        <v>0.1201</v>
      </c>
    </row>
    <row r="30" spans="1:55" s="7" customFormat="1">
      <c r="A30" s="3" t="s">
        <v>39</v>
      </c>
      <c r="B30" s="23" t="s">
        <v>47</v>
      </c>
      <c r="C30" s="2">
        <v>32682114.09</v>
      </c>
      <c r="D30" s="1">
        <v>1</v>
      </c>
      <c r="E30" s="1" t="s">
        <v>26</v>
      </c>
      <c r="F30" s="1" t="s">
        <v>26</v>
      </c>
      <c r="G30" s="2">
        <v>39721338.649999999</v>
      </c>
      <c r="H30" s="1">
        <v>1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25140087.789999999</v>
      </c>
      <c r="T30" s="1">
        <v>0.57864144625346003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>
        <v>35196122.880000003</v>
      </c>
      <c r="AB30" s="1">
        <v>1</v>
      </c>
      <c r="AC30" s="1" t="s">
        <v>26</v>
      </c>
      <c r="AD30" s="1" t="s">
        <v>26</v>
      </c>
      <c r="AE30" s="2">
        <v>132739663.41</v>
      </c>
      <c r="AF30" s="1">
        <v>0.87880103411211996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 t="s">
        <v>26</v>
      </c>
      <c r="AN30" s="1" t="s">
        <v>26</v>
      </c>
      <c r="AO30" s="1" t="s">
        <v>26</v>
      </c>
      <c r="AP30" s="1" t="s">
        <v>26</v>
      </c>
      <c r="AQ30" s="2" t="s">
        <v>26</v>
      </c>
      <c r="AR30" s="1" t="s">
        <v>26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132739663.41</v>
      </c>
      <c r="AZ30" s="1">
        <v>0.31844747346975</v>
      </c>
      <c r="BA30" s="1" t="s">
        <v>26</v>
      </c>
      <c r="BB30" s="1" t="s">
        <v>26</v>
      </c>
    </row>
    <row r="31" spans="1:55" customFormat="1">
      <c r="A31" s="3" t="s">
        <v>41</v>
      </c>
      <c r="B31" s="23" t="s">
        <v>44</v>
      </c>
      <c r="C31" s="2" t="s">
        <v>26</v>
      </c>
      <c r="D31" s="1" t="s">
        <v>26</v>
      </c>
      <c r="E31" s="1" t="s">
        <v>26</v>
      </c>
      <c r="F31" s="1" t="s">
        <v>26</v>
      </c>
      <c r="G31" s="2" t="s">
        <v>26</v>
      </c>
      <c r="H31" s="1" t="s">
        <v>26</v>
      </c>
      <c r="I31" s="1" t="s">
        <v>26</v>
      </c>
      <c r="J31" s="1" t="s">
        <v>26</v>
      </c>
      <c r="K31" s="2" t="s">
        <v>26</v>
      </c>
      <c r="L31" s="1" t="s">
        <v>26</v>
      </c>
      <c r="M31" s="1" t="s">
        <v>26</v>
      </c>
      <c r="N31" s="1" t="s">
        <v>26</v>
      </c>
      <c r="O31" s="2" t="s">
        <v>26</v>
      </c>
      <c r="P31" s="1" t="s">
        <v>26</v>
      </c>
      <c r="Q31" s="1" t="s">
        <v>26</v>
      </c>
      <c r="R31" s="1" t="s">
        <v>26</v>
      </c>
      <c r="S31" s="2">
        <v>18306657.949999999</v>
      </c>
      <c r="T31" s="1">
        <v>0.42135855374654002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2">
        <v>18306657.949999999</v>
      </c>
      <c r="AF31" s="1">
        <v>0.12119896588788</v>
      </c>
      <c r="AG31" s="1" t="s">
        <v>26</v>
      </c>
      <c r="AH31" s="1" t="s">
        <v>26</v>
      </c>
      <c r="AI31" s="2" t="s">
        <v>26</v>
      </c>
      <c r="AJ31" s="1" t="s">
        <v>26</v>
      </c>
      <c r="AK31" s="1" t="s">
        <v>26</v>
      </c>
      <c r="AL31" s="1" t="s">
        <v>26</v>
      </c>
      <c r="AM31" s="2">
        <v>265787456.47999999</v>
      </c>
      <c r="AN31" s="1">
        <v>1</v>
      </c>
      <c r="AO31" s="1" t="s">
        <v>26</v>
      </c>
      <c r="AP31" s="1" t="s">
        <v>26</v>
      </c>
      <c r="AQ31" s="2">
        <v>265787456.47999999</v>
      </c>
      <c r="AR31" s="1">
        <v>1</v>
      </c>
      <c r="AS31" s="1" t="s">
        <v>26</v>
      </c>
      <c r="AT31" s="1" t="s">
        <v>26</v>
      </c>
      <c r="AU31" s="2" t="s">
        <v>26</v>
      </c>
      <c r="AV31" s="1" t="s">
        <v>26</v>
      </c>
      <c r="AW31" s="1" t="s">
        <v>26</v>
      </c>
      <c r="AX31" s="1" t="s">
        <v>26</v>
      </c>
      <c r="AY31" s="2">
        <v>284094114.43000001</v>
      </c>
      <c r="AZ31" s="1">
        <v>0.68155252653025</v>
      </c>
      <c r="BA31" s="1" t="s">
        <v>26</v>
      </c>
      <c r="BB31" s="1" t="s">
        <v>26</v>
      </c>
    </row>
    <row r="32" spans="1:55" s="7" customFormat="1">
      <c r="A32" s="5" t="s">
        <v>48</v>
      </c>
      <c r="B32" s="20" t="s">
        <v>25</v>
      </c>
      <c r="C32" s="9" t="s">
        <v>26</v>
      </c>
      <c r="D32" s="10" t="s">
        <v>26</v>
      </c>
      <c r="E32" s="10" t="s">
        <v>26</v>
      </c>
      <c r="F32" s="10" t="s">
        <v>26</v>
      </c>
      <c r="G32" s="9" t="s">
        <v>26</v>
      </c>
      <c r="H32" s="10" t="s">
        <v>26</v>
      </c>
      <c r="I32" s="10" t="s">
        <v>26</v>
      </c>
      <c r="J32" s="10" t="s">
        <v>26</v>
      </c>
      <c r="K32" s="9" t="s">
        <v>26</v>
      </c>
      <c r="L32" s="10" t="s">
        <v>26</v>
      </c>
      <c r="M32" s="10" t="s">
        <v>26</v>
      </c>
      <c r="N32" s="10" t="s">
        <v>26</v>
      </c>
      <c r="O32" s="9" t="s">
        <v>26</v>
      </c>
      <c r="P32" s="10" t="s">
        <v>26</v>
      </c>
      <c r="Q32" s="10" t="s">
        <v>26</v>
      </c>
      <c r="R32" s="10" t="s">
        <v>26</v>
      </c>
      <c r="S32" s="9" t="s">
        <v>26</v>
      </c>
      <c r="T32" s="10" t="s">
        <v>26</v>
      </c>
      <c r="U32" s="10" t="s">
        <v>26</v>
      </c>
      <c r="V32" s="10" t="s">
        <v>26</v>
      </c>
      <c r="W32" s="9" t="s">
        <v>26</v>
      </c>
      <c r="X32" s="10" t="s">
        <v>26</v>
      </c>
      <c r="Y32" s="10" t="s">
        <v>26</v>
      </c>
      <c r="Z32" s="10" t="s">
        <v>26</v>
      </c>
      <c r="AA32" s="9" t="s">
        <v>26</v>
      </c>
      <c r="AB32" s="10" t="s">
        <v>26</v>
      </c>
      <c r="AC32" s="10" t="s">
        <v>26</v>
      </c>
      <c r="AD32" s="10" t="s">
        <v>26</v>
      </c>
      <c r="AE32" s="9" t="s">
        <v>26</v>
      </c>
      <c r="AF32" s="10" t="s">
        <v>26</v>
      </c>
      <c r="AG32" s="10" t="s">
        <v>26</v>
      </c>
      <c r="AH32" s="10" t="s">
        <v>26</v>
      </c>
      <c r="AI32" s="9">
        <v>5012122.2699999996</v>
      </c>
      <c r="AJ32" s="10">
        <v>2.8823565314E-4</v>
      </c>
      <c r="AK32" s="10">
        <v>0.13500000000000001</v>
      </c>
      <c r="AL32" s="10">
        <v>0.13469999999999999</v>
      </c>
      <c r="AM32" s="9" t="s">
        <v>26</v>
      </c>
      <c r="AN32" s="10" t="s">
        <v>26</v>
      </c>
      <c r="AO32" s="10" t="s">
        <v>26</v>
      </c>
      <c r="AP32" s="10" t="s">
        <v>26</v>
      </c>
      <c r="AQ32" s="9">
        <v>5012122.2699999996</v>
      </c>
      <c r="AR32" s="10">
        <v>1.2071191135E-4</v>
      </c>
      <c r="AS32" s="10">
        <v>0.13500000000000001</v>
      </c>
      <c r="AT32" s="10">
        <v>0.13489999999999999</v>
      </c>
      <c r="AU32" s="9" t="s">
        <v>26</v>
      </c>
      <c r="AV32" s="10" t="s">
        <v>26</v>
      </c>
      <c r="AW32" s="10" t="s">
        <v>26</v>
      </c>
      <c r="AX32" s="10" t="s">
        <v>26</v>
      </c>
      <c r="AY32" s="9">
        <v>5012122.2699999996</v>
      </c>
      <c r="AZ32" s="10">
        <v>6.6253255399999998E-6</v>
      </c>
      <c r="BA32" s="10">
        <v>0.13500000000000001</v>
      </c>
      <c r="BB32" s="10">
        <v>0.13500000000000001</v>
      </c>
    </row>
    <row r="33" spans="1:54" s="7" customFormat="1">
      <c r="A33" s="3" t="s">
        <v>41</v>
      </c>
      <c r="B33" s="23" t="s">
        <v>44</v>
      </c>
      <c r="C33" s="2" t="s">
        <v>26</v>
      </c>
      <c r="D33" s="1" t="s">
        <v>26</v>
      </c>
      <c r="E33" s="1" t="s">
        <v>26</v>
      </c>
      <c r="F33" s="1" t="s">
        <v>26</v>
      </c>
      <c r="G33" s="2" t="s">
        <v>26</v>
      </c>
      <c r="H33" s="1" t="s">
        <v>26</v>
      </c>
      <c r="I33" s="1" t="s">
        <v>26</v>
      </c>
      <c r="J33" s="1" t="s">
        <v>26</v>
      </c>
      <c r="K33" s="2" t="s">
        <v>26</v>
      </c>
      <c r="L33" s="1" t="s">
        <v>26</v>
      </c>
      <c r="M33" s="1" t="s">
        <v>26</v>
      </c>
      <c r="N33" s="1" t="s">
        <v>26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2" t="s">
        <v>26</v>
      </c>
      <c r="AB33" s="1" t="s">
        <v>26</v>
      </c>
      <c r="AC33" s="1" t="s">
        <v>26</v>
      </c>
      <c r="AD33" s="1" t="s">
        <v>26</v>
      </c>
      <c r="AE33" s="2" t="s">
        <v>26</v>
      </c>
      <c r="AF33" s="1" t="s">
        <v>26</v>
      </c>
      <c r="AG33" s="1" t="s">
        <v>26</v>
      </c>
      <c r="AH33" s="1" t="s">
        <v>26</v>
      </c>
      <c r="AI33" s="2">
        <v>5012122.2699999996</v>
      </c>
      <c r="AJ33" s="1">
        <v>1</v>
      </c>
      <c r="AK33" s="1" t="s">
        <v>26</v>
      </c>
      <c r="AL33" s="1" t="s">
        <v>26</v>
      </c>
      <c r="AM33" s="2" t="s">
        <v>26</v>
      </c>
      <c r="AN33" s="1" t="s">
        <v>26</v>
      </c>
      <c r="AO33" s="1" t="s">
        <v>26</v>
      </c>
      <c r="AP33" s="1" t="s">
        <v>26</v>
      </c>
      <c r="AQ33" s="2">
        <v>5012122.2699999996</v>
      </c>
      <c r="AR33" s="1">
        <v>1</v>
      </c>
      <c r="AS33" s="1" t="s">
        <v>26</v>
      </c>
      <c r="AT33" s="1" t="s">
        <v>26</v>
      </c>
      <c r="AU33" s="2" t="s">
        <v>26</v>
      </c>
      <c r="AV33" s="1" t="s">
        <v>26</v>
      </c>
      <c r="AW33" s="1" t="s">
        <v>26</v>
      </c>
      <c r="AX33" s="1" t="s">
        <v>26</v>
      </c>
      <c r="AY33" s="2">
        <v>5012122.2699999996</v>
      </c>
      <c r="AZ33" s="1">
        <v>1</v>
      </c>
      <c r="BA33" s="1" t="s">
        <v>26</v>
      </c>
      <c r="BB33" s="1" t="s">
        <v>26</v>
      </c>
    </row>
    <row r="34" spans="1:54" s="7" customFormat="1">
      <c r="A34" s="5" t="s">
        <v>49</v>
      </c>
      <c r="B34" s="20" t="s">
        <v>25</v>
      </c>
      <c r="C34" s="9" t="s">
        <v>26</v>
      </c>
      <c r="D34" s="10" t="s">
        <v>26</v>
      </c>
      <c r="E34" s="10" t="s">
        <v>26</v>
      </c>
      <c r="F34" s="10" t="s">
        <v>26</v>
      </c>
      <c r="G34" s="9" t="s">
        <v>26</v>
      </c>
      <c r="H34" s="10" t="s">
        <v>26</v>
      </c>
      <c r="I34" s="10" t="s">
        <v>26</v>
      </c>
      <c r="J34" s="10" t="s">
        <v>26</v>
      </c>
      <c r="K34" s="9">
        <v>47043429.909999996</v>
      </c>
      <c r="L34" s="10">
        <v>1.510414509178E-2</v>
      </c>
      <c r="M34" s="10">
        <v>0.13500000000000001</v>
      </c>
      <c r="N34" s="10">
        <v>0.11990000000000001</v>
      </c>
      <c r="O34" s="9" t="s">
        <v>26</v>
      </c>
      <c r="P34" s="10" t="s">
        <v>26</v>
      </c>
      <c r="Q34" s="10" t="s">
        <v>26</v>
      </c>
      <c r="R34" s="10" t="s">
        <v>26</v>
      </c>
      <c r="S34" s="9" t="s">
        <v>26</v>
      </c>
      <c r="T34" s="10" t="s">
        <v>26</v>
      </c>
      <c r="U34" s="10" t="s">
        <v>26</v>
      </c>
      <c r="V34" s="10" t="s">
        <v>26</v>
      </c>
      <c r="W34" s="9" t="s">
        <v>26</v>
      </c>
      <c r="X34" s="10" t="s">
        <v>26</v>
      </c>
      <c r="Y34" s="10" t="s">
        <v>26</v>
      </c>
      <c r="Z34" s="10" t="s">
        <v>26</v>
      </c>
      <c r="AA34" s="9" t="s">
        <v>26</v>
      </c>
      <c r="AB34" s="10" t="s">
        <v>26</v>
      </c>
      <c r="AC34" s="10" t="s">
        <v>26</v>
      </c>
      <c r="AD34" s="10" t="s">
        <v>26</v>
      </c>
      <c r="AE34" s="9">
        <v>47043429.909999996</v>
      </c>
      <c r="AF34" s="10">
        <v>7.0446651780000003E-5</v>
      </c>
      <c r="AG34" s="10">
        <v>0.13500000000000001</v>
      </c>
      <c r="AH34" s="10">
        <v>0.13489999999999999</v>
      </c>
      <c r="AI34" s="9">
        <v>20081185.07</v>
      </c>
      <c r="AJ34" s="10">
        <v>1.15482288393E-3</v>
      </c>
      <c r="AK34" s="10">
        <v>0.13500000000000001</v>
      </c>
      <c r="AL34" s="10">
        <v>0.1338</v>
      </c>
      <c r="AM34" s="9" t="s">
        <v>26</v>
      </c>
      <c r="AN34" s="10" t="s">
        <v>26</v>
      </c>
      <c r="AO34" s="10" t="s">
        <v>26</v>
      </c>
      <c r="AP34" s="10" t="s">
        <v>26</v>
      </c>
      <c r="AQ34" s="9">
        <v>20081185.07</v>
      </c>
      <c r="AR34" s="10">
        <v>4.8363509534999998E-4</v>
      </c>
      <c r="AS34" s="10">
        <v>0.13500000000000001</v>
      </c>
      <c r="AT34" s="10">
        <v>0.13450000000000001</v>
      </c>
      <c r="AU34" s="9" t="s">
        <v>26</v>
      </c>
      <c r="AV34" s="10" t="s">
        <v>26</v>
      </c>
      <c r="AW34" s="10" t="s">
        <v>26</v>
      </c>
      <c r="AX34" s="10" t="s">
        <v>26</v>
      </c>
      <c r="AY34" s="9">
        <v>67124614.980000004</v>
      </c>
      <c r="AZ34" s="10">
        <v>8.872936495E-5</v>
      </c>
      <c r="BA34" s="10">
        <v>0.13500000000000001</v>
      </c>
      <c r="BB34" s="10">
        <v>0.13489999999999999</v>
      </c>
    </row>
    <row r="35" spans="1:54" s="7" customFormat="1">
      <c r="A35" s="3" t="s">
        <v>41</v>
      </c>
      <c r="B35" s="23" t="s">
        <v>44</v>
      </c>
      <c r="C35" s="2" t="s">
        <v>26</v>
      </c>
      <c r="D35" s="1" t="s">
        <v>26</v>
      </c>
      <c r="E35" s="1" t="s">
        <v>26</v>
      </c>
      <c r="F35" s="1" t="s">
        <v>26</v>
      </c>
      <c r="G35" s="2" t="s">
        <v>26</v>
      </c>
      <c r="H35" s="1" t="s">
        <v>26</v>
      </c>
      <c r="I35" s="1" t="s">
        <v>26</v>
      </c>
      <c r="J35" s="1" t="s">
        <v>26</v>
      </c>
      <c r="K35" s="2">
        <v>47043429.909999996</v>
      </c>
      <c r="L35" s="1">
        <v>1</v>
      </c>
      <c r="M35" s="1" t="s">
        <v>26</v>
      </c>
      <c r="N35" s="1" t="s">
        <v>26</v>
      </c>
      <c r="O35" s="2" t="s">
        <v>26</v>
      </c>
      <c r="P35" s="1" t="s">
        <v>26</v>
      </c>
      <c r="Q35" s="1" t="s">
        <v>26</v>
      </c>
      <c r="R35" s="1" t="s">
        <v>26</v>
      </c>
      <c r="S35" s="2" t="s">
        <v>26</v>
      </c>
      <c r="T35" s="1" t="s">
        <v>26</v>
      </c>
      <c r="U35" s="1" t="s">
        <v>26</v>
      </c>
      <c r="V35" s="1" t="s">
        <v>26</v>
      </c>
      <c r="W35" s="2" t="s">
        <v>26</v>
      </c>
      <c r="X35" s="1" t="s">
        <v>26</v>
      </c>
      <c r="Y35" s="1" t="s">
        <v>26</v>
      </c>
      <c r="Z35" s="1" t="s">
        <v>26</v>
      </c>
      <c r="AA35" s="2" t="s">
        <v>26</v>
      </c>
      <c r="AB35" s="1" t="s">
        <v>26</v>
      </c>
      <c r="AC35" s="1" t="s">
        <v>26</v>
      </c>
      <c r="AD35" s="1" t="s">
        <v>26</v>
      </c>
      <c r="AE35" s="2">
        <v>47043429.909999996</v>
      </c>
      <c r="AF35" s="1">
        <v>1</v>
      </c>
      <c r="AG35" s="1" t="s">
        <v>26</v>
      </c>
      <c r="AH35" s="1" t="s">
        <v>26</v>
      </c>
      <c r="AI35" s="2">
        <v>20081185.07</v>
      </c>
      <c r="AJ35" s="1">
        <v>1</v>
      </c>
      <c r="AK35" s="1" t="s">
        <v>26</v>
      </c>
      <c r="AL35" s="1" t="s">
        <v>26</v>
      </c>
      <c r="AM35" s="2" t="s">
        <v>26</v>
      </c>
      <c r="AN35" s="1" t="s">
        <v>26</v>
      </c>
      <c r="AO35" s="1" t="s">
        <v>26</v>
      </c>
      <c r="AP35" s="1" t="s">
        <v>26</v>
      </c>
      <c r="AQ35" s="2">
        <v>20081185.07</v>
      </c>
      <c r="AR35" s="1">
        <v>1</v>
      </c>
      <c r="AS35" s="1" t="s">
        <v>26</v>
      </c>
      <c r="AT35" s="1" t="s">
        <v>26</v>
      </c>
      <c r="AU35" s="2" t="s">
        <v>26</v>
      </c>
      <c r="AV35" s="1" t="s">
        <v>26</v>
      </c>
      <c r="AW35" s="1" t="s">
        <v>26</v>
      </c>
      <c r="AX35" s="1" t="s">
        <v>26</v>
      </c>
      <c r="AY35" s="2">
        <v>67124614.980000004</v>
      </c>
      <c r="AZ35" s="1">
        <v>1</v>
      </c>
      <c r="BA35" s="1" t="s">
        <v>26</v>
      </c>
      <c r="BB35" s="1" t="s">
        <v>26</v>
      </c>
    </row>
    <row r="36" spans="1:54" s="7" customFormat="1">
      <c r="A36" s="5" t="s">
        <v>50</v>
      </c>
      <c r="B36" s="20" t="s">
        <v>25</v>
      </c>
      <c r="C36" s="9">
        <v>9126637.6600000001</v>
      </c>
      <c r="D36" s="10">
        <v>1.33448588716E-3</v>
      </c>
      <c r="E36" s="10">
        <v>0.13500000000000001</v>
      </c>
      <c r="F36" s="10">
        <v>0.13370000000000001</v>
      </c>
      <c r="G36" s="9">
        <v>576400706.22000003</v>
      </c>
      <c r="H36" s="10">
        <v>3.6655274544699998E-3</v>
      </c>
      <c r="I36" s="10">
        <v>0.09</v>
      </c>
      <c r="J36" s="10">
        <v>8.6300000000000002E-2</v>
      </c>
      <c r="K36" s="9" t="s">
        <v>26</v>
      </c>
      <c r="L36" s="10" t="s">
        <v>26</v>
      </c>
      <c r="M36" s="10" t="s">
        <v>26</v>
      </c>
      <c r="N36" s="10" t="s">
        <v>26</v>
      </c>
      <c r="O36" s="9">
        <v>1598893785.1800001</v>
      </c>
      <c r="P36" s="10">
        <v>6.8354461869999999E-3</v>
      </c>
      <c r="Q36" s="10">
        <v>0.1193</v>
      </c>
      <c r="R36" s="10">
        <v>0.1125</v>
      </c>
      <c r="S36" s="9">
        <v>580426683.11000001</v>
      </c>
      <c r="T36" s="10">
        <v>4.9994164710999997E-3</v>
      </c>
      <c r="U36" s="10">
        <v>0.1111</v>
      </c>
      <c r="V36" s="10">
        <v>0.1061</v>
      </c>
      <c r="W36" s="9" t="s">
        <v>26</v>
      </c>
      <c r="X36" s="10" t="s">
        <v>26</v>
      </c>
      <c r="Y36" s="10" t="s">
        <v>26</v>
      </c>
      <c r="Z36" s="10" t="s">
        <v>26</v>
      </c>
      <c r="AA36" s="9">
        <v>558225480.26999998</v>
      </c>
      <c r="AB36" s="10">
        <v>3.8760199192299999E-3</v>
      </c>
      <c r="AC36" s="10">
        <v>0.09</v>
      </c>
      <c r="AD36" s="10">
        <v>8.6099999999999996E-2</v>
      </c>
      <c r="AE36" s="9">
        <v>3323073292.4400001</v>
      </c>
      <c r="AF36" s="10">
        <v>4.9762397751900002E-3</v>
      </c>
      <c r="AG36" s="10">
        <v>0.1079</v>
      </c>
      <c r="AH36" s="10">
        <v>0.10290000000000001</v>
      </c>
      <c r="AI36" s="9">
        <v>129031230.09999999</v>
      </c>
      <c r="AJ36" s="10">
        <v>7.4202900247799996E-3</v>
      </c>
      <c r="AK36" s="10">
        <v>0.1176</v>
      </c>
      <c r="AL36" s="10">
        <v>0.11020000000000001</v>
      </c>
      <c r="AM36" s="9">
        <v>734298783.36000001</v>
      </c>
      <c r="AN36" s="10">
        <v>3.04279443314E-2</v>
      </c>
      <c r="AO36" s="10">
        <v>0.13500000000000001</v>
      </c>
      <c r="AP36" s="10">
        <v>0.1046</v>
      </c>
      <c r="AQ36" s="9">
        <v>863330013.46000004</v>
      </c>
      <c r="AR36" s="10">
        <v>2.0792432912910001E-2</v>
      </c>
      <c r="AS36" s="10">
        <v>0.13239999999999999</v>
      </c>
      <c r="AT36" s="10">
        <v>0.1116</v>
      </c>
      <c r="AU36" s="9">
        <v>214383712.86000001</v>
      </c>
      <c r="AV36" s="10">
        <v>4.5420075310599996E-3</v>
      </c>
      <c r="AW36" s="10">
        <v>0.13500000000000001</v>
      </c>
      <c r="AX36" s="10">
        <v>0.1305</v>
      </c>
      <c r="AY36" s="9">
        <v>4400787018.7600002</v>
      </c>
      <c r="AZ36" s="10">
        <v>5.81722573099E-3</v>
      </c>
      <c r="BA36" s="10">
        <v>0.114</v>
      </c>
      <c r="BB36" s="10">
        <v>0.1082</v>
      </c>
    </row>
    <row r="37" spans="1:54" s="7" customFormat="1">
      <c r="A37" s="3" t="s">
        <v>39</v>
      </c>
      <c r="B37" s="23" t="s">
        <v>47</v>
      </c>
      <c r="C37" s="2" t="s">
        <v>26</v>
      </c>
      <c r="D37" s="1" t="s">
        <v>26</v>
      </c>
      <c r="E37" s="1" t="s">
        <v>26</v>
      </c>
      <c r="F37" s="1" t="s">
        <v>26</v>
      </c>
      <c r="G37" s="2">
        <v>576400706.22000003</v>
      </c>
      <c r="H37" s="1">
        <v>1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558225480.26999998</v>
      </c>
      <c r="P37" s="1">
        <v>0.34913230975324</v>
      </c>
      <c r="Q37" s="1" t="s">
        <v>26</v>
      </c>
      <c r="R37" s="1" t="s">
        <v>26</v>
      </c>
      <c r="S37" s="2">
        <v>307768605</v>
      </c>
      <c r="T37" s="1">
        <v>0.53024544521443995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558225480.26999998</v>
      </c>
      <c r="AB37" s="1">
        <v>1</v>
      </c>
      <c r="AC37" s="1" t="s">
        <v>26</v>
      </c>
      <c r="AD37" s="1" t="s">
        <v>26</v>
      </c>
      <c r="AE37" s="2">
        <v>2000620271.76</v>
      </c>
      <c r="AF37" s="1">
        <v>0.60203916546512004</v>
      </c>
      <c r="AG37" s="1" t="s">
        <v>26</v>
      </c>
      <c r="AH37" s="1" t="s">
        <v>26</v>
      </c>
      <c r="AI37" s="2">
        <v>50012336.5</v>
      </c>
      <c r="AJ37" s="1">
        <v>0.38759869576722</v>
      </c>
      <c r="AK37" s="1" t="s">
        <v>26</v>
      </c>
      <c r="AL37" s="1" t="s">
        <v>26</v>
      </c>
      <c r="AM37" s="2" t="s">
        <v>26</v>
      </c>
      <c r="AN37" s="1" t="s">
        <v>26</v>
      </c>
      <c r="AO37" s="1" t="s">
        <v>26</v>
      </c>
      <c r="AP37" s="1" t="s">
        <v>26</v>
      </c>
      <c r="AQ37" s="2">
        <v>50012336.5</v>
      </c>
      <c r="AR37" s="1">
        <v>5.7929570060430001E-2</v>
      </c>
      <c r="AS37" s="1" t="s">
        <v>26</v>
      </c>
      <c r="AT37" s="1" t="s">
        <v>26</v>
      </c>
      <c r="AU37" s="2" t="s">
        <v>26</v>
      </c>
      <c r="AV37" s="1" t="s">
        <v>26</v>
      </c>
      <c r="AW37" s="1" t="s">
        <v>26</v>
      </c>
      <c r="AX37" s="1" t="s">
        <v>26</v>
      </c>
      <c r="AY37" s="2">
        <v>2050632608.26</v>
      </c>
      <c r="AZ37" s="1">
        <v>0.46596951852439</v>
      </c>
      <c r="BA37" s="1" t="s">
        <v>26</v>
      </c>
      <c r="BB37" s="1" t="s">
        <v>26</v>
      </c>
    </row>
    <row r="38" spans="1:54" customFormat="1">
      <c r="A38" s="3" t="s">
        <v>41</v>
      </c>
      <c r="B38" s="23" t="s">
        <v>44</v>
      </c>
      <c r="C38" s="2">
        <v>9126637.6600000001</v>
      </c>
      <c r="D38" s="1">
        <v>1</v>
      </c>
      <c r="E38" s="1" t="s">
        <v>26</v>
      </c>
      <c r="F38" s="1" t="s">
        <v>26</v>
      </c>
      <c r="G38" s="2" t="s">
        <v>26</v>
      </c>
      <c r="H38" s="1" t="s">
        <v>26</v>
      </c>
      <c r="I38" s="1" t="s">
        <v>26</v>
      </c>
      <c r="J38" s="1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2">
        <v>1040668304.91</v>
      </c>
      <c r="P38" s="1">
        <v>0.65086769024675994</v>
      </c>
      <c r="Q38" s="1" t="s">
        <v>26</v>
      </c>
      <c r="R38" s="1" t="s">
        <v>26</v>
      </c>
      <c r="S38" s="2">
        <v>272658078.11000001</v>
      </c>
      <c r="T38" s="1">
        <v>0.46975455478556</v>
      </c>
      <c r="U38" s="1" t="s">
        <v>26</v>
      </c>
      <c r="V38" s="1" t="s">
        <v>26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2">
        <v>1322453020.6800001</v>
      </c>
      <c r="AF38" s="1">
        <v>0.39796083453488001</v>
      </c>
      <c r="AG38" s="1" t="s">
        <v>26</v>
      </c>
      <c r="AH38" s="1" t="s">
        <v>26</v>
      </c>
      <c r="AI38" s="2">
        <v>79018893.599999994</v>
      </c>
      <c r="AJ38" s="1">
        <v>0.61240130423278005</v>
      </c>
      <c r="AK38" s="1" t="s">
        <v>26</v>
      </c>
      <c r="AL38" s="1" t="s">
        <v>26</v>
      </c>
      <c r="AM38" s="2">
        <v>734298783.36000001</v>
      </c>
      <c r="AN38" s="1">
        <v>1</v>
      </c>
      <c r="AO38" s="1" t="s">
        <v>26</v>
      </c>
      <c r="AP38" s="1" t="s">
        <v>26</v>
      </c>
      <c r="AQ38" s="2">
        <v>813317676.96000004</v>
      </c>
      <c r="AR38" s="1">
        <v>0.94207042993957002</v>
      </c>
      <c r="AS38" s="1" t="s">
        <v>26</v>
      </c>
      <c r="AT38" s="1" t="s">
        <v>26</v>
      </c>
      <c r="AU38" s="2">
        <v>214383712.86000001</v>
      </c>
      <c r="AV38" s="1">
        <v>1</v>
      </c>
      <c r="AW38" s="1" t="s">
        <v>26</v>
      </c>
      <c r="AX38" s="1" t="s">
        <v>26</v>
      </c>
      <c r="AY38" s="2">
        <v>2350154410.5</v>
      </c>
      <c r="AZ38" s="1">
        <v>0.53403048147561005</v>
      </c>
      <c r="BA38" s="1" t="s">
        <v>26</v>
      </c>
      <c r="BB38" s="1" t="s">
        <v>26</v>
      </c>
    </row>
    <row r="39" spans="1:54" s="7" customFormat="1">
      <c r="A39" s="5" t="s">
        <v>51</v>
      </c>
      <c r="B39" s="20" t="s">
        <v>25</v>
      </c>
      <c r="C39" s="9" t="s">
        <v>26</v>
      </c>
      <c r="D39" s="10" t="s">
        <v>26</v>
      </c>
      <c r="E39" s="10" t="s">
        <v>26</v>
      </c>
      <c r="F39" s="10" t="s">
        <v>26</v>
      </c>
      <c r="G39" s="9" t="s">
        <v>26</v>
      </c>
      <c r="H39" s="10" t="s">
        <v>26</v>
      </c>
      <c r="I39" s="10" t="s">
        <v>26</v>
      </c>
      <c r="J39" s="10" t="s">
        <v>26</v>
      </c>
      <c r="K39" s="9" t="s">
        <v>26</v>
      </c>
      <c r="L39" s="10" t="s">
        <v>26</v>
      </c>
      <c r="M39" s="10" t="s">
        <v>26</v>
      </c>
      <c r="N39" s="10" t="s">
        <v>26</v>
      </c>
      <c r="O39" s="9">
        <v>101379762.70999999</v>
      </c>
      <c r="P39" s="10">
        <v>4.3340959786E-4</v>
      </c>
      <c r="Q39" s="10">
        <v>0.13500000000000001</v>
      </c>
      <c r="R39" s="10">
        <v>0.1346</v>
      </c>
      <c r="S39" s="9" t="s">
        <v>26</v>
      </c>
      <c r="T39" s="10" t="s">
        <v>26</v>
      </c>
      <c r="U39" s="10" t="s">
        <v>26</v>
      </c>
      <c r="V39" s="10" t="s">
        <v>26</v>
      </c>
      <c r="W39" s="9" t="s">
        <v>26</v>
      </c>
      <c r="X39" s="10" t="s">
        <v>26</v>
      </c>
      <c r="Y39" s="10" t="s">
        <v>26</v>
      </c>
      <c r="Z39" s="10" t="s">
        <v>26</v>
      </c>
      <c r="AA39" s="9" t="s">
        <v>26</v>
      </c>
      <c r="AB39" s="10" t="s">
        <v>26</v>
      </c>
      <c r="AC39" s="10" t="s">
        <v>26</v>
      </c>
      <c r="AD39" s="10" t="s">
        <v>26</v>
      </c>
      <c r="AE39" s="9">
        <v>101379762.70999999</v>
      </c>
      <c r="AF39" s="10">
        <v>1.5181428852E-4</v>
      </c>
      <c r="AG39" s="10">
        <v>0.13500000000000001</v>
      </c>
      <c r="AH39" s="10">
        <v>0.1348</v>
      </c>
      <c r="AI39" s="9">
        <v>64816304.619999997</v>
      </c>
      <c r="AJ39" s="10">
        <v>3.72743697973E-3</v>
      </c>
      <c r="AK39" s="10">
        <v>0.13500000000000001</v>
      </c>
      <c r="AL39" s="10">
        <v>0.1313</v>
      </c>
      <c r="AM39" s="9" t="s">
        <v>26</v>
      </c>
      <c r="AN39" s="10" t="s">
        <v>26</v>
      </c>
      <c r="AO39" s="10" t="s">
        <v>26</v>
      </c>
      <c r="AP39" s="10" t="s">
        <v>26</v>
      </c>
      <c r="AQ39" s="9">
        <v>64816304.619999997</v>
      </c>
      <c r="AR39" s="10">
        <v>1.56103534507E-3</v>
      </c>
      <c r="AS39" s="10">
        <v>0.13500000000000001</v>
      </c>
      <c r="AT39" s="10">
        <v>0.13339999999999999</v>
      </c>
      <c r="AU39" s="9" t="s">
        <v>26</v>
      </c>
      <c r="AV39" s="10" t="s">
        <v>26</v>
      </c>
      <c r="AW39" s="10" t="s">
        <v>26</v>
      </c>
      <c r="AX39" s="10" t="s">
        <v>26</v>
      </c>
      <c r="AY39" s="9">
        <v>166196067.33000001</v>
      </c>
      <c r="AZ39" s="10">
        <v>2.1968798652000001E-4</v>
      </c>
      <c r="BA39" s="10">
        <v>0.13500000000000001</v>
      </c>
      <c r="BB39" s="10">
        <v>0.1348</v>
      </c>
    </row>
    <row r="40" spans="1:54" s="7" customFormat="1">
      <c r="A40" s="3" t="s">
        <v>41</v>
      </c>
      <c r="B40" s="23" t="s">
        <v>44</v>
      </c>
      <c r="C40" s="2" t="s">
        <v>26</v>
      </c>
      <c r="D40" s="1" t="s">
        <v>26</v>
      </c>
      <c r="E40" s="1" t="s">
        <v>26</v>
      </c>
      <c r="F40" s="1" t="s">
        <v>26</v>
      </c>
      <c r="G40" s="2" t="s">
        <v>26</v>
      </c>
      <c r="H40" s="1" t="s">
        <v>26</v>
      </c>
      <c r="I40" s="1" t="s">
        <v>26</v>
      </c>
      <c r="J40" s="1" t="s">
        <v>26</v>
      </c>
      <c r="K40" s="2" t="s">
        <v>26</v>
      </c>
      <c r="L40" s="1" t="s">
        <v>26</v>
      </c>
      <c r="M40" s="1" t="s">
        <v>26</v>
      </c>
      <c r="N40" s="1" t="s">
        <v>26</v>
      </c>
      <c r="O40" s="2">
        <v>101379762.70999999</v>
      </c>
      <c r="P40" s="1">
        <v>1</v>
      </c>
      <c r="Q40" s="1" t="s">
        <v>26</v>
      </c>
      <c r="R40" s="1" t="s">
        <v>26</v>
      </c>
      <c r="S40" s="2" t="s">
        <v>26</v>
      </c>
      <c r="T40" s="1" t="s">
        <v>26</v>
      </c>
      <c r="U40" s="1" t="s">
        <v>26</v>
      </c>
      <c r="V40" s="1" t="s">
        <v>26</v>
      </c>
      <c r="W40" s="2" t="s">
        <v>26</v>
      </c>
      <c r="X40" s="1" t="s">
        <v>26</v>
      </c>
      <c r="Y40" s="1" t="s">
        <v>26</v>
      </c>
      <c r="Z40" s="1" t="s">
        <v>26</v>
      </c>
      <c r="AA40" s="2" t="s">
        <v>26</v>
      </c>
      <c r="AB40" s="1" t="s">
        <v>26</v>
      </c>
      <c r="AC40" s="1" t="s">
        <v>26</v>
      </c>
      <c r="AD40" s="1" t="s">
        <v>26</v>
      </c>
      <c r="AE40" s="2">
        <v>101379762.70999999</v>
      </c>
      <c r="AF40" s="1">
        <v>1</v>
      </c>
      <c r="AG40" s="1" t="s">
        <v>26</v>
      </c>
      <c r="AH40" s="1" t="s">
        <v>26</v>
      </c>
      <c r="AI40" s="2">
        <v>64816304.619999997</v>
      </c>
      <c r="AJ40" s="1">
        <v>1</v>
      </c>
      <c r="AK40" s="1" t="s">
        <v>26</v>
      </c>
      <c r="AL40" s="1" t="s">
        <v>26</v>
      </c>
      <c r="AM40" s="2" t="s">
        <v>26</v>
      </c>
      <c r="AN40" s="1" t="s">
        <v>26</v>
      </c>
      <c r="AO40" s="1" t="s">
        <v>26</v>
      </c>
      <c r="AP40" s="1" t="s">
        <v>26</v>
      </c>
      <c r="AQ40" s="2">
        <v>64816304.619999997</v>
      </c>
      <c r="AR40" s="1">
        <v>1</v>
      </c>
      <c r="AS40" s="1" t="s">
        <v>26</v>
      </c>
      <c r="AT40" s="1" t="s">
        <v>26</v>
      </c>
      <c r="AU40" s="2" t="s">
        <v>26</v>
      </c>
      <c r="AV40" s="1" t="s">
        <v>26</v>
      </c>
      <c r="AW40" s="1" t="s">
        <v>26</v>
      </c>
      <c r="AX40" s="1" t="s">
        <v>26</v>
      </c>
      <c r="AY40" s="2">
        <v>166196067.33000001</v>
      </c>
      <c r="AZ40" s="1">
        <v>1</v>
      </c>
      <c r="BA40" s="1" t="s">
        <v>26</v>
      </c>
      <c r="BB40" s="1" t="s">
        <v>26</v>
      </c>
    </row>
    <row r="41" spans="1:54" s="7" customFormat="1">
      <c r="A41" s="5" t="s">
        <v>52</v>
      </c>
      <c r="B41" s="20" t="s">
        <v>25</v>
      </c>
      <c r="C41" s="9">
        <v>24614294.57</v>
      </c>
      <c r="D41" s="10">
        <v>3.5990722925400001E-3</v>
      </c>
      <c r="E41" s="10">
        <v>0.13500000000000001</v>
      </c>
      <c r="F41" s="10">
        <v>0.13139999999999999</v>
      </c>
      <c r="G41" s="9">
        <v>2712487918</v>
      </c>
      <c r="H41" s="10">
        <v>1.7249630033520001E-2</v>
      </c>
      <c r="I41" s="10">
        <v>0.13500000000000001</v>
      </c>
      <c r="J41" s="10">
        <v>0.1178</v>
      </c>
      <c r="K41" s="9" t="s">
        <v>26</v>
      </c>
      <c r="L41" s="10" t="s">
        <v>26</v>
      </c>
      <c r="M41" s="10" t="s">
        <v>26</v>
      </c>
      <c r="N41" s="10" t="s">
        <v>26</v>
      </c>
      <c r="O41" s="9">
        <v>4740663223.6800003</v>
      </c>
      <c r="P41" s="10">
        <v>2.026685490713E-2</v>
      </c>
      <c r="Q41" s="10">
        <v>0.05</v>
      </c>
      <c r="R41" s="10">
        <v>2.9700000000000001E-2</v>
      </c>
      <c r="S41" s="9">
        <v>2170357702.52</v>
      </c>
      <c r="T41" s="10">
        <v>1.8694044160800002E-2</v>
      </c>
      <c r="U41" s="10">
        <v>0.13500000000000001</v>
      </c>
      <c r="V41" s="10">
        <v>0.1163</v>
      </c>
      <c r="W41" s="9">
        <v>933830677.60000002</v>
      </c>
      <c r="X41" s="10">
        <v>0.14248257911970999</v>
      </c>
      <c r="Y41" s="10">
        <v>0.15</v>
      </c>
      <c r="Z41" s="10">
        <v>7.4999999999999997E-3</v>
      </c>
      <c r="AA41" s="9">
        <v>3967866438</v>
      </c>
      <c r="AB41" s="10">
        <v>2.7550747671150001E-2</v>
      </c>
      <c r="AC41" s="10">
        <v>0.13500000000000001</v>
      </c>
      <c r="AD41" s="10">
        <v>0.1074</v>
      </c>
      <c r="AE41" s="9">
        <v>14549820254.370001</v>
      </c>
      <c r="AF41" s="10">
        <v>2.178808226603E-2</v>
      </c>
      <c r="AG41" s="10">
        <v>0.13600000000000001</v>
      </c>
      <c r="AH41" s="10">
        <v>0.1142</v>
      </c>
      <c r="AI41" s="9">
        <v>345329499.06999999</v>
      </c>
      <c r="AJ41" s="10">
        <v>1.985910725043E-2</v>
      </c>
      <c r="AK41" s="10">
        <v>0.13950000000000001</v>
      </c>
      <c r="AL41" s="10">
        <v>0.1196</v>
      </c>
      <c r="AM41" s="9" t="s">
        <v>26</v>
      </c>
      <c r="AN41" s="10" t="s">
        <v>26</v>
      </c>
      <c r="AO41" s="10" t="s">
        <v>26</v>
      </c>
      <c r="AP41" s="10" t="s">
        <v>26</v>
      </c>
      <c r="AQ41" s="9">
        <v>345329499.06999999</v>
      </c>
      <c r="AR41" s="10">
        <v>8.3169128031200003E-3</v>
      </c>
      <c r="AS41" s="10">
        <v>0.13950000000000001</v>
      </c>
      <c r="AT41" s="10">
        <v>0.13120000000000001</v>
      </c>
      <c r="AU41" s="9">
        <v>1194280077.29</v>
      </c>
      <c r="AV41" s="10">
        <v>2.5302431014399999E-2</v>
      </c>
      <c r="AW41" s="10">
        <v>0.13600000000000001</v>
      </c>
      <c r="AX41" s="10">
        <v>0.11070000000000001</v>
      </c>
      <c r="AY41" s="9">
        <v>16089429830.73</v>
      </c>
      <c r="AZ41" s="10">
        <v>2.1267978843180001E-2</v>
      </c>
      <c r="BA41" s="10">
        <v>0.1361</v>
      </c>
      <c r="BB41" s="10">
        <v>0.1148</v>
      </c>
    </row>
    <row r="42" spans="1:54" s="7" customFormat="1">
      <c r="A42" s="3" t="s">
        <v>39</v>
      </c>
      <c r="B42" s="23" t="s">
        <v>40</v>
      </c>
      <c r="C42" s="2">
        <v>24614294.57</v>
      </c>
      <c r="D42" s="1">
        <v>1</v>
      </c>
      <c r="E42" s="1" t="s">
        <v>26</v>
      </c>
      <c r="F42" s="1" t="s">
        <v>26</v>
      </c>
      <c r="G42" s="2">
        <v>2712487918</v>
      </c>
      <c r="H42" s="1">
        <v>1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4710325946.79</v>
      </c>
      <c r="P42" s="1">
        <v>0.99360062601821997</v>
      </c>
      <c r="Q42" s="1" t="s">
        <v>26</v>
      </c>
      <c r="R42" s="1" t="s">
        <v>26</v>
      </c>
      <c r="S42" s="2">
        <v>2170357702.52</v>
      </c>
      <c r="T42" s="1">
        <v>1</v>
      </c>
      <c r="U42" s="1" t="s">
        <v>26</v>
      </c>
      <c r="V42" s="1" t="s">
        <v>26</v>
      </c>
      <c r="W42" s="2" t="s">
        <v>26</v>
      </c>
      <c r="X42" s="1" t="s">
        <v>26</v>
      </c>
      <c r="Y42" s="1" t="s">
        <v>26</v>
      </c>
      <c r="Z42" s="1" t="s">
        <v>26</v>
      </c>
      <c r="AA42" s="2">
        <v>3967866438</v>
      </c>
      <c r="AB42" s="1">
        <v>1</v>
      </c>
      <c r="AC42" s="1" t="s">
        <v>26</v>
      </c>
      <c r="AD42" s="1" t="s">
        <v>26</v>
      </c>
      <c r="AE42" s="2">
        <v>13585652299.879999</v>
      </c>
      <c r="AF42" s="1">
        <v>0.93373334256824003</v>
      </c>
      <c r="AG42" s="1" t="s">
        <v>26</v>
      </c>
      <c r="AH42" s="1" t="s">
        <v>26</v>
      </c>
      <c r="AI42" s="2">
        <v>241287543.90000001</v>
      </c>
      <c r="AJ42" s="1">
        <v>0.69871686186615001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>
        <v>241287543.90000001</v>
      </c>
      <c r="AR42" s="1">
        <v>0.69871686186615001</v>
      </c>
      <c r="AS42" s="1" t="s">
        <v>26</v>
      </c>
      <c r="AT42" s="1" t="s">
        <v>26</v>
      </c>
      <c r="AU42" s="2">
        <v>1115720024.1800001</v>
      </c>
      <c r="AV42" s="1">
        <v>0.93421974074267</v>
      </c>
      <c r="AW42" s="1" t="s">
        <v>26</v>
      </c>
      <c r="AX42" s="1" t="s">
        <v>26</v>
      </c>
      <c r="AY42" s="2">
        <v>14942659867.959999</v>
      </c>
      <c r="AZ42" s="1">
        <v>0.92872525783481996</v>
      </c>
      <c r="BA42" s="1" t="s">
        <v>26</v>
      </c>
      <c r="BB42" s="1" t="s">
        <v>26</v>
      </c>
    </row>
    <row r="43" spans="1:54" customFormat="1">
      <c r="A43" s="3" t="s">
        <v>41</v>
      </c>
      <c r="B43" s="23" t="s">
        <v>35</v>
      </c>
      <c r="C43" s="2" t="s">
        <v>26</v>
      </c>
      <c r="D43" s="1" t="s">
        <v>26</v>
      </c>
      <c r="E43" s="1" t="s">
        <v>26</v>
      </c>
      <c r="F43" s="1" t="s">
        <v>26</v>
      </c>
      <c r="G43" s="2" t="s">
        <v>26</v>
      </c>
      <c r="H43" s="1" t="s">
        <v>26</v>
      </c>
      <c r="I43" s="1" t="s">
        <v>26</v>
      </c>
      <c r="J43" s="1" t="s">
        <v>26</v>
      </c>
      <c r="K43" s="2" t="s">
        <v>26</v>
      </c>
      <c r="L43" s="1" t="s">
        <v>26</v>
      </c>
      <c r="M43" s="1" t="s">
        <v>26</v>
      </c>
      <c r="N43" s="1" t="s">
        <v>26</v>
      </c>
      <c r="O43" s="2">
        <v>30337276.890000001</v>
      </c>
      <c r="P43" s="1">
        <v>6.39937398178E-3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>
        <v>933830677.60000002</v>
      </c>
      <c r="X43" s="1">
        <v>1</v>
      </c>
      <c r="Y43" s="1" t="s">
        <v>26</v>
      </c>
      <c r="Z43" s="1" t="s">
        <v>26</v>
      </c>
      <c r="AA43" s="2" t="s">
        <v>26</v>
      </c>
      <c r="AB43" s="1" t="s">
        <v>26</v>
      </c>
      <c r="AC43" s="1" t="s">
        <v>26</v>
      </c>
      <c r="AD43" s="1" t="s">
        <v>26</v>
      </c>
      <c r="AE43" s="2">
        <v>964167954.49000001</v>
      </c>
      <c r="AF43" s="1">
        <v>6.6266657431759995E-2</v>
      </c>
      <c r="AG43" s="1" t="s">
        <v>26</v>
      </c>
      <c r="AH43" s="1" t="s">
        <v>26</v>
      </c>
      <c r="AI43" s="2">
        <v>104041955.17</v>
      </c>
      <c r="AJ43" s="1">
        <v>0.30128313813384999</v>
      </c>
      <c r="AK43" s="1" t="s">
        <v>26</v>
      </c>
      <c r="AL43" s="1" t="s">
        <v>26</v>
      </c>
      <c r="AM43" s="2" t="s">
        <v>26</v>
      </c>
      <c r="AN43" s="1" t="s">
        <v>26</v>
      </c>
      <c r="AO43" s="1" t="s">
        <v>26</v>
      </c>
      <c r="AP43" s="1" t="s">
        <v>26</v>
      </c>
      <c r="AQ43" s="2">
        <v>104041955.17</v>
      </c>
      <c r="AR43" s="1">
        <v>0.30128313813384999</v>
      </c>
      <c r="AS43" s="1" t="s">
        <v>26</v>
      </c>
      <c r="AT43" s="1" t="s">
        <v>26</v>
      </c>
      <c r="AU43" s="2">
        <v>78560053.109999999</v>
      </c>
      <c r="AV43" s="1">
        <v>6.5780259257329998E-2</v>
      </c>
      <c r="AW43" s="1" t="s">
        <v>26</v>
      </c>
      <c r="AX43" s="1" t="s">
        <v>26</v>
      </c>
      <c r="AY43" s="2">
        <v>1146769962.77</v>
      </c>
      <c r="AZ43" s="1">
        <v>7.1274742165179997E-2</v>
      </c>
      <c r="BA43" s="1" t="s">
        <v>26</v>
      </c>
      <c r="BB43" s="1" t="s">
        <v>26</v>
      </c>
    </row>
    <row r="44" spans="1:54" s="7" customFormat="1">
      <c r="A44" s="5" t="s">
        <v>53</v>
      </c>
      <c r="B44" s="20" t="s">
        <v>25</v>
      </c>
      <c r="C44" s="9" t="s">
        <v>26</v>
      </c>
      <c r="D44" s="10" t="s">
        <v>26</v>
      </c>
      <c r="E44" s="10" t="s">
        <v>26</v>
      </c>
      <c r="F44" s="10" t="s">
        <v>26</v>
      </c>
      <c r="G44" s="9" t="s">
        <v>26</v>
      </c>
      <c r="H44" s="10" t="s">
        <v>26</v>
      </c>
      <c r="I44" s="10" t="s">
        <v>26</v>
      </c>
      <c r="J44" s="10" t="s">
        <v>26</v>
      </c>
      <c r="K44" s="9">
        <v>124597899.65000001</v>
      </c>
      <c r="L44" s="10">
        <v>4.0004412051690003E-2</v>
      </c>
      <c r="M44" s="10">
        <v>0.15</v>
      </c>
      <c r="N44" s="10">
        <v>0.11</v>
      </c>
      <c r="O44" s="9" t="s">
        <v>26</v>
      </c>
      <c r="P44" s="10" t="s">
        <v>26</v>
      </c>
      <c r="Q44" s="10" t="s">
        <v>26</v>
      </c>
      <c r="R44" s="10" t="s">
        <v>26</v>
      </c>
      <c r="S44" s="9" t="s">
        <v>26</v>
      </c>
      <c r="T44" s="10" t="s">
        <v>26</v>
      </c>
      <c r="U44" s="10" t="s">
        <v>26</v>
      </c>
      <c r="V44" s="10" t="s">
        <v>26</v>
      </c>
      <c r="W44" s="9" t="s">
        <v>26</v>
      </c>
      <c r="X44" s="10" t="s">
        <v>26</v>
      </c>
      <c r="Y44" s="10" t="s">
        <v>26</v>
      </c>
      <c r="Z44" s="10" t="s">
        <v>26</v>
      </c>
      <c r="AA44" s="9">
        <v>90497746.700000003</v>
      </c>
      <c r="AB44" s="10">
        <v>6.2836807214000005E-4</v>
      </c>
      <c r="AC44" s="10">
        <v>0.15</v>
      </c>
      <c r="AD44" s="10">
        <v>0.14940000000000001</v>
      </c>
      <c r="AE44" s="9">
        <v>215095646.34999999</v>
      </c>
      <c r="AF44" s="10">
        <v>3.2210168618999999E-4</v>
      </c>
      <c r="AG44" s="10">
        <v>0.15</v>
      </c>
      <c r="AH44" s="10">
        <v>0.1497</v>
      </c>
      <c r="AI44" s="9" t="s">
        <v>26</v>
      </c>
      <c r="AJ44" s="10" t="s">
        <v>26</v>
      </c>
      <c r="AK44" s="10" t="s">
        <v>26</v>
      </c>
      <c r="AL44" s="10" t="s">
        <v>26</v>
      </c>
      <c r="AM44" s="9">
        <v>701426375.79999995</v>
      </c>
      <c r="AN44" s="10">
        <v>2.9065774312949998E-2</v>
      </c>
      <c r="AO44" s="10">
        <v>0.15</v>
      </c>
      <c r="AP44" s="10">
        <v>0.12089999999999999</v>
      </c>
      <c r="AQ44" s="9">
        <v>701426375.79999995</v>
      </c>
      <c r="AR44" s="10">
        <v>1.689314704086E-2</v>
      </c>
      <c r="AS44" s="10">
        <v>0.15</v>
      </c>
      <c r="AT44" s="10">
        <v>0.1331</v>
      </c>
      <c r="AU44" s="9" t="s">
        <v>26</v>
      </c>
      <c r="AV44" s="10" t="s">
        <v>26</v>
      </c>
      <c r="AW44" s="10" t="s">
        <v>26</v>
      </c>
      <c r="AX44" s="10" t="s">
        <v>26</v>
      </c>
      <c r="AY44" s="9">
        <v>916522022.14999998</v>
      </c>
      <c r="AZ44" s="10">
        <v>1.2115140922599999E-3</v>
      </c>
      <c r="BA44" s="10">
        <v>0.15</v>
      </c>
      <c r="BB44" s="10">
        <v>0.14879999999999999</v>
      </c>
    </row>
    <row r="45" spans="1:54" s="7" customFormat="1">
      <c r="A45" s="3" t="s">
        <v>41</v>
      </c>
      <c r="B45" s="23" t="s">
        <v>35</v>
      </c>
      <c r="C45" s="2" t="s">
        <v>26</v>
      </c>
      <c r="D45" s="1" t="s">
        <v>26</v>
      </c>
      <c r="E45" s="1" t="s">
        <v>26</v>
      </c>
      <c r="F45" s="1" t="s">
        <v>26</v>
      </c>
      <c r="G45" s="2" t="s">
        <v>26</v>
      </c>
      <c r="H45" s="1" t="s">
        <v>26</v>
      </c>
      <c r="I45" s="1" t="s">
        <v>26</v>
      </c>
      <c r="J45" s="1" t="s">
        <v>26</v>
      </c>
      <c r="K45" s="2">
        <v>124597899.65000001</v>
      </c>
      <c r="L45" s="1">
        <v>1</v>
      </c>
      <c r="M45" s="1" t="s">
        <v>26</v>
      </c>
      <c r="N45" s="1" t="s">
        <v>26</v>
      </c>
      <c r="O45" s="2" t="s">
        <v>26</v>
      </c>
      <c r="P45" s="1" t="s">
        <v>26</v>
      </c>
      <c r="Q45" s="1" t="s">
        <v>26</v>
      </c>
      <c r="R45" s="1" t="s">
        <v>26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>
        <v>90497746.700000003</v>
      </c>
      <c r="AB45" s="1">
        <v>1</v>
      </c>
      <c r="AC45" s="1" t="s">
        <v>26</v>
      </c>
      <c r="AD45" s="1" t="s">
        <v>26</v>
      </c>
      <c r="AE45" s="2">
        <v>215095646.34999999</v>
      </c>
      <c r="AF45" s="1">
        <v>1</v>
      </c>
      <c r="AG45" s="1" t="s">
        <v>26</v>
      </c>
      <c r="AH45" s="1" t="s">
        <v>26</v>
      </c>
      <c r="AI45" s="2" t="s">
        <v>26</v>
      </c>
      <c r="AJ45" s="1" t="s">
        <v>26</v>
      </c>
      <c r="AK45" s="1" t="s">
        <v>26</v>
      </c>
      <c r="AL45" s="1" t="s">
        <v>26</v>
      </c>
      <c r="AM45" s="2">
        <v>701426375.79999995</v>
      </c>
      <c r="AN45" s="1">
        <v>1</v>
      </c>
      <c r="AO45" s="1" t="s">
        <v>26</v>
      </c>
      <c r="AP45" s="1" t="s">
        <v>26</v>
      </c>
      <c r="AQ45" s="2">
        <v>701426375.79999995</v>
      </c>
      <c r="AR45" s="1">
        <v>1</v>
      </c>
      <c r="AS45" s="1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2">
        <v>916522022.14999998</v>
      </c>
      <c r="AZ45" s="1">
        <v>1</v>
      </c>
      <c r="BA45" s="1" t="s">
        <v>26</v>
      </c>
      <c r="BB45" s="1" t="s">
        <v>26</v>
      </c>
    </row>
    <row r="46" spans="1:54" s="7" customFormat="1">
      <c r="A46" s="5" t="s">
        <v>54</v>
      </c>
      <c r="B46" s="20" t="s">
        <v>25</v>
      </c>
      <c r="C46" s="9" t="s">
        <v>26</v>
      </c>
      <c r="D46" s="10" t="s">
        <v>26</v>
      </c>
      <c r="E46" s="10" t="s">
        <v>26</v>
      </c>
      <c r="F46" s="10" t="s">
        <v>26</v>
      </c>
      <c r="G46" s="9" t="s">
        <v>26</v>
      </c>
      <c r="H46" s="10" t="s">
        <v>26</v>
      </c>
      <c r="I46" s="10" t="s">
        <v>26</v>
      </c>
      <c r="J46" s="10" t="s">
        <v>26</v>
      </c>
      <c r="K46" s="9" t="s">
        <v>26</v>
      </c>
      <c r="L46" s="10" t="s">
        <v>26</v>
      </c>
      <c r="M46" s="10" t="s">
        <v>26</v>
      </c>
      <c r="N46" s="10" t="s">
        <v>26</v>
      </c>
      <c r="O46" s="9">
        <v>60963435.689999998</v>
      </c>
      <c r="P46" s="10">
        <v>2.6062536979999998E-4</v>
      </c>
      <c r="Q46" s="10">
        <v>0.15</v>
      </c>
      <c r="R46" s="10">
        <v>0.1497</v>
      </c>
      <c r="S46" s="9" t="s">
        <v>26</v>
      </c>
      <c r="T46" s="10" t="s">
        <v>26</v>
      </c>
      <c r="U46" s="10" t="s">
        <v>26</v>
      </c>
      <c r="V46" s="10" t="s">
        <v>26</v>
      </c>
      <c r="W46" s="9" t="s">
        <v>26</v>
      </c>
      <c r="X46" s="10" t="s">
        <v>26</v>
      </c>
      <c r="Y46" s="10" t="s">
        <v>26</v>
      </c>
      <c r="Z46" s="10" t="s">
        <v>26</v>
      </c>
      <c r="AA46" s="9" t="s">
        <v>26</v>
      </c>
      <c r="AB46" s="10" t="s">
        <v>26</v>
      </c>
      <c r="AC46" s="10" t="s">
        <v>26</v>
      </c>
      <c r="AD46" s="10" t="s">
        <v>26</v>
      </c>
      <c r="AE46" s="9">
        <v>60963435.689999998</v>
      </c>
      <c r="AF46" s="10">
        <v>9.1291598709999997E-5</v>
      </c>
      <c r="AG46" s="10">
        <v>0.15</v>
      </c>
      <c r="AH46" s="10">
        <v>0.14990000000000001</v>
      </c>
      <c r="AI46" s="9" t="s">
        <v>26</v>
      </c>
      <c r="AJ46" s="10" t="s">
        <v>26</v>
      </c>
      <c r="AK46" s="10" t="s">
        <v>26</v>
      </c>
      <c r="AL46" s="10" t="s">
        <v>26</v>
      </c>
      <c r="AM46" s="9" t="s">
        <v>26</v>
      </c>
      <c r="AN46" s="10" t="s">
        <v>26</v>
      </c>
      <c r="AO46" s="10" t="s">
        <v>26</v>
      </c>
      <c r="AP46" s="10" t="s">
        <v>26</v>
      </c>
      <c r="AQ46" s="9" t="s">
        <v>26</v>
      </c>
      <c r="AR46" s="10" t="s">
        <v>26</v>
      </c>
      <c r="AS46" s="10" t="s">
        <v>26</v>
      </c>
      <c r="AT46" s="10" t="s">
        <v>26</v>
      </c>
      <c r="AU46" s="9" t="s">
        <v>26</v>
      </c>
      <c r="AV46" s="10" t="s">
        <v>26</v>
      </c>
      <c r="AW46" s="10" t="s">
        <v>26</v>
      </c>
      <c r="AX46" s="10" t="s">
        <v>26</v>
      </c>
      <c r="AY46" s="9">
        <v>60963435.689999998</v>
      </c>
      <c r="AZ46" s="10">
        <v>8.0585146529999995E-5</v>
      </c>
      <c r="BA46" s="10">
        <v>0.15</v>
      </c>
      <c r="BB46" s="10">
        <v>0.14990000000000001</v>
      </c>
    </row>
    <row r="47" spans="1:54" s="7" customFormat="1">
      <c r="A47" s="3" t="s">
        <v>41</v>
      </c>
      <c r="B47" s="23" t="s">
        <v>35</v>
      </c>
      <c r="C47" s="2" t="s">
        <v>26</v>
      </c>
      <c r="D47" s="1" t="s">
        <v>26</v>
      </c>
      <c r="E47" s="1" t="s">
        <v>26</v>
      </c>
      <c r="F47" s="1" t="s">
        <v>26</v>
      </c>
      <c r="G47" s="2" t="s">
        <v>26</v>
      </c>
      <c r="H47" s="1" t="s">
        <v>26</v>
      </c>
      <c r="I47" s="1" t="s">
        <v>26</v>
      </c>
      <c r="J47" s="1" t="s">
        <v>26</v>
      </c>
      <c r="K47" s="2" t="s">
        <v>26</v>
      </c>
      <c r="L47" s="1" t="s">
        <v>26</v>
      </c>
      <c r="M47" s="1" t="s">
        <v>26</v>
      </c>
      <c r="N47" s="1" t="s">
        <v>26</v>
      </c>
      <c r="O47" s="2">
        <v>60963435.689999998</v>
      </c>
      <c r="P47" s="1">
        <v>1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2">
        <v>60963435.689999998</v>
      </c>
      <c r="AF47" s="1">
        <v>1</v>
      </c>
      <c r="AG47" s="1" t="s">
        <v>26</v>
      </c>
      <c r="AH47" s="1" t="s">
        <v>26</v>
      </c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1" t="s">
        <v>26</v>
      </c>
      <c r="AT47" s="1" t="s">
        <v>26</v>
      </c>
      <c r="AU47" s="2" t="s">
        <v>26</v>
      </c>
      <c r="AV47" s="1" t="s">
        <v>26</v>
      </c>
      <c r="AW47" s="1" t="s">
        <v>26</v>
      </c>
      <c r="AX47" s="1" t="s">
        <v>26</v>
      </c>
      <c r="AY47" s="2">
        <v>60963435.689999998</v>
      </c>
      <c r="AZ47" s="1">
        <v>1</v>
      </c>
      <c r="BA47" s="1" t="s">
        <v>26</v>
      </c>
      <c r="BB47" s="1" t="s">
        <v>26</v>
      </c>
    </row>
    <row r="48" spans="1:54" customFormat="1">
      <c r="A48" s="12" t="s">
        <v>55</v>
      </c>
      <c r="B48" s="27" t="s">
        <v>25</v>
      </c>
      <c r="C48" s="29">
        <v>74685967.329999998</v>
      </c>
      <c r="D48" s="30">
        <v>1.09204915418E-2</v>
      </c>
      <c r="E48" s="30" t="s">
        <v>26</v>
      </c>
      <c r="F48" s="30" t="s">
        <v>26</v>
      </c>
      <c r="G48" s="29">
        <v>313111053</v>
      </c>
      <c r="H48" s="30">
        <v>1.9911793110000001E-3</v>
      </c>
      <c r="I48" s="30" t="s">
        <v>26</v>
      </c>
      <c r="J48" s="30" t="s">
        <v>26</v>
      </c>
      <c r="K48" s="29">
        <v>99102307.310000002</v>
      </c>
      <c r="L48" s="30">
        <v>3.1818590425990001E-2</v>
      </c>
      <c r="M48" s="30" t="s">
        <v>26</v>
      </c>
      <c r="N48" s="30" t="s">
        <v>26</v>
      </c>
      <c r="O48" s="29">
        <v>3496518589.04</v>
      </c>
      <c r="P48" s="30">
        <v>1.494800022288E-2</v>
      </c>
      <c r="Q48" s="30" t="s">
        <v>26</v>
      </c>
      <c r="R48" s="30" t="s">
        <v>26</v>
      </c>
      <c r="S48" s="29">
        <v>1215211654.4400001</v>
      </c>
      <c r="T48" s="30">
        <v>1.046703974485E-2</v>
      </c>
      <c r="U48" s="30" t="s">
        <v>26</v>
      </c>
      <c r="V48" s="30" t="s">
        <v>26</v>
      </c>
      <c r="W48" s="29">
        <v>70185933.980000004</v>
      </c>
      <c r="X48" s="30">
        <v>1.0708871673709999E-2</v>
      </c>
      <c r="Y48" s="30" t="s">
        <v>26</v>
      </c>
      <c r="Z48" s="30" t="s">
        <v>26</v>
      </c>
      <c r="AA48" s="29">
        <v>2538578927.7399998</v>
      </c>
      <c r="AB48" s="30">
        <v>1.7626537731119999E-2</v>
      </c>
      <c r="AC48" s="30" t="s">
        <v>26</v>
      </c>
      <c r="AD48" s="30" t="s">
        <v>26</v>
      </c>
      <c r="AE48" s="29">
        <v>7807394432.8400002</v>
      </c>
      <c r="AF48" s="30">
        <v>1.169142636899E-2</v>
      </c>
      <c r="AG48" s="30" t="s">
        <v>26</v>
      </c>
      <c r="AH48" s="30" t="s">
        <v>26</v>
      </c>
      <c r="AI48" s="29">
        <v>206135026</v>
      </c>
      <c r="AJ48" s="30">
        <v>1.185435243855E-2</v>
      </c>
      <c r="AK48" s="30" t="s">
        <v>26</v>
      </c>
      <c r="AL48" s="30" t="s">
        <v>26</v>
      </c>
      <c r="AM48" s="29">
        <v>223347300.66999999</v>
      </c>
      <c r="AN48" s="30">
        <v>9.2550871462099994E-3</v>
      </c>
      <c r="AO48" s="30" t="s">
        <v>26</v>
      </c>
      <c r="AP48" s="30" t="s">
        <v>26</v>
      </c>
      <c r="AQ48" s="29">
        <v>429482326.67000002</v>
      </c>
      <c r="AR48" s="30">
        <v>1.034364880792E-2</v>
      </c>
      <c r="AS48" s="30" t="s">
        <v>26</v>
      </c>
      <c r="AT48" s="30" t="s">
        <v>26</v>
      </c>
      <c r="AU48" s="29">
        <v>514959253</v>
      </c>
      <c r="AV48" s="30">
        <v>1.0910104942739999E-2</v>
      </c>
      <c r="AW48" s="30" t="s">
        <v>26</v>
      </c>
      <c r="AX48" s="30" t="s">
        <v>26</v>
      </c>
      <c r="AY48" s="29">
        <v>8751836012.5100002</v>
      </c>
      <c r="AZ48" s="30">
        <v>1.1568704740400001E-2</v>
      </c>
      <c r="BA48" s="30" t="s">
        <v>26</v>
      </c>
      <c r="BB48" s="30" t="s">
        <v>26</v>
      </c>
    </row>
    <row r="49" spans="1:54" s="28" customFormat="1">
      <c r="A49" s="5" t="s">
        <v>56</v>
      </c>
      <c r="B49" s="20" t="s">
        <v>25</v>
      </c>
      <c r="C49" s="9">
        <v>36007424.950000003</v>
      </c>
      <c r="D49" s="10">
        <v>5.2649619957500001E-3</v>
      </c>
      <c r="E49" s="10">
        <v>0.12</v>
      </c>
      <c r="F49" s="10">
        <v>0.1147</v>
      </c>
      <c r="G49" s="9" t="s">
        <v>26</v>
      </c>
      <c r="H49" s="10" t="s">
        <v>26</v>
      </c>
      <c r="I49" s="10" t="s">
        <v>26</v>
      </c>
      <c r="J49" s="10" t="s">
        <v>26</v>
      </c>
      <c r="K49" s="9">
        <v>30863507.100000001</v>
      </c>
      <c r="L49" s="10">
        <v>9.9092878680700006E-3</v>
      </c>
      <c r="M49" s="10">
        <v>0.12</v>
      </c>
      <c r="N49" s="10">
        <v>0.1101</v>
      </c>
      <c r="O49" s="9">
        <v>826113206.71000004</v>
      </c>
      <c r="P49" s="10">
        <v>3.5317245092699998E-3</v>
      </c>
      <c r="Q49" s="10">
        <v>0.12</v>
      </c>
      <c r="R49" s="10">
        <v>0.11650000000000001</v>
      </c>
      <c r="S49" s="9">
        <v>308635071</v>
      </c>
      <c r="T49" s="10">
        <v>2.6583809849199998E-3</v>
      </c>
      <c r="U49" s="10">
        <v>0.12</v>
      </c>
      <c r="V49" s="10">
        <v>0.1173</v>
      </c>
      <c r="W49" s="9" t="s">
        <v>26</v>
      </c>
      <c r="X49" s="10" t="s">
        <v>26</v>
      </c>
      <c r="Y49" s="10" t="s">
        <v>26</v>
      </c>
      <c r="Z49" s="10" t="s">
        <v>26</v>
      </c>
      <c r="AA49" s="9">
        <v>905329541.60000002</v>
      </c>
      <c r="AB49" s="10">
        <v>6.2861253395500001E-3</v>
      </c>
      <c r="AC49" s="10">
        <v>0.12</v>
      </c>
      <c r="AD49" s="10">
        <v>0.1137</v>
      </c>
      <c r="AE49" s="9">
        <v>2106948751.3599999</v>
      </c>
      <c r="AF49" s="10">
        <v>3.15511614043E-3</v>
      </c>
      <c r="AG49" s="10">
        <v>0.12</v>
      </c>
      <c r="AH49" s="10">
        <v>0.1168</v>
      </c>
      <c r="AI49" s="9" t="s">
        <v>26</v>
      </c>
      <c r="AJ49" s="10" t="s">
        <v>26</v>
      </c>
      <c r="AK49" s="10" t="s">
        <v>26</v>
      </c>
      <c r="AL49" s="10" t="s">
        <v>26</v>
      </c>
      <c r="AM49" s="9" t="s">
        <v>26</v>
      </c>
      <c r="AN49" s="10" t="s">
        <v>26</v>
      </c>
      <c r="AO49" s="10" t="s">
        <v>26</v>
      </c>
      <c r="AP49" s="10" t="s">
        <v>26</v>
      </c>
      <c r="AQ49" s="9" t="s">
        <v>26</v>
      </c>
      <c r="AR49" s="10" t="s">
        <v>26</v>
      </c>
      <c r="AS49" s="10" t="s">
        <v>26</v>
      </c>
      <c r="AT49" s="10" t="s">
        <v>26</v>
      </c>
      <c r="AU49" s="9">
        <v>205756714</v>
      </c>
      <c r="AV49" s="10">
        <v>4.3592329477299997E-3</v>
      </c>
      <c r="AW49" s="10">
        <v>0.12</v>
      </c>
      <c r="AX49" s="10">
        <v>0.11559999999999999</v>
      </c>
      <c r="AY49" s="9">
        <v>2312705465.3600001</v>
      </c>
      <c r="AZ49" s="10">
        <v>3.0570735834199998E-3</v>
      </c>
      <c r="BA49" s="10">
        <v>0.12</v>
      </c>
      <c r="BB49" s="10">
        <v>0.1169</v>
      </c>
    </row>
    <row r="50" spans="1:54" s="7" customFormat="1">
      <c r="A50" s="3" t="s">
        <v>39</v>
      </c>
      <c r="B50" s="23" t="s">
        <v>57</v>
      </c>
      <c r="C50" s="2">
        <v>36007424.950000003</v>
      </c>
      <c r="D50" s="1">
        <v>1</v>
      </c>
      <c r="E50" s="1" t="s">
        <v>26</v>
      </c>
      <c r="F50" s="1" t="s">
        <v>26</v>
      </c>
      <c r="G50" s="2" t="s">
        <v>26</v>
      </c>
      <c r="H50" s="1" t="s">
        <v>26</v>
      </c>
      <c r="I50" s="1" t="s">
        <v>26</v>
      </c>
      <c r="J50" s="1" t="s">
        <v>26</v>
      </c>
      <c r="K50" s="2">
        <v>30863507.100000001</v>
      </c>
      <c r="L50" s="1">
        <v>1</v>
      </c>
      <c r="M50" s="1" t="s">
        <v>26</v>
      </c>
      <c r="N50" s="1" t="s">
        <v>26</v>
      </c>
      <c r="O50" s="2">
        <v>826113206.71000004</v>
      </c>
      <c r="P50" s="1">
        <v>1</v>
      </c>
      <c r="Q50" s="1" t="s">
        <v>26</v>
      </c>
      <c r="R50" s="1" t="s">
        <v>26</v>
      </c>
      <c r="S50" s="2">
        <v>308635071</v>
      </c>
      <c r="T50" s="1">
        <v>1</v>
      </c>
      <c r="U50" s="1" t="s">
        <v>26</v>
      </c>
      <c r="V50" s="1" t="s">
        <v>26</v>
      </c>
      <c r="W50" s="2" t="s">
        <v>26</v>
      </c>
      <c r="X50" s="1" t="s">
        <v>26</v>
      </c>
      <c r="Y50" s="1" t="s">
        <v>26</v>
      </c>
      <c r="Z50" s="1" t="s">
        <v>26</v>
      </c>
      <c r="AA50" s="2">
        <v>905329541.60000002</v>
      </c>
      <c r="AB50" s="1">
        <v>1</v>
      </c>
      <c r="AC50" s="1" t="s">
        <v>26</v>
      </c>
      <c r="AD50" s="1" t="s">
        <v>26</v>
      </c>
      <c r="AE50" s="2">
        <v>2106948751.3599999</v>
      </c>
      <c r="AF50" s="1">
        <v>1</v>
      </c>
      <c r="AG50" s="1" t="s">
        <v>26</v>
      </c>
      <c r="AH50" s="1" t="s">
        <v>26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2">
        <v>205756714</v>
      </c>
      <c r="AV50" s="1">
        <v>1</v>
      </c>
      <c r="AW50" s="1" t="s">
        <v>26</v>
      </c>
      <c r="AX50" s="1" t="s">
        <v>26</v>
      </c>
      <c r="AY50" s="2">
        <v>2312705465.3600001</v>
      </c>
      <c r="AZ50" s="1">
        <v>1</v>
      </c>
      <c r="BA50" s="1" t="s">
        <v>26</v>
      </c>
      <c r="BB50" s="1" t="s">
        <v>26</v>
      </c>
    </row>
    <row r="51" spans="1:54" s="7" customFormat="1">
      <c r="A51" s="5" t="s">
        <v>58</v>
      </c>
      <c r="B51" s="20" t="s">
        <v>25</v>
      </c>
      <c r="C51" s="9">
        <v>33674985.329999998</v>
      </c>
      <c r="D51" s="10">
        <v>4.92391550399E-3</v>
      </c>
      <c r="E51" s="10">
        <v>0.09</v>
      </c>
      <c r="F51" s="10">
        <v>8.5099999999999995E-2</v>
      </c>
      <c r="G51" s="9" t="s">
        <v>26</v>
      </c>
      <c r="H51" s="10" t="s">
        <v>26</v>
      </c>
      <c r="I51" s="10" t="s">
        <v>26</v>
      </c>
      <c r="J51" s="10" t="s">
        <v>26</v>
      </c>
      <c r="K51" s="9">
        <v>16705043.710000001</v>
      </c>
      <c r="L51" s="10">
        <v>5.3634567981800003E-3</v>
      </c>
      <c r="M51" s="10">
        <v>0.09</v>
      </c>
      <c r="N51" s="10">
        <v>8.4599999999999995E-2</v>
      </c>
      <c r="O51" s="9">
        <v>389680166.32999998</v>
      </c>
      <c r="P51" s="10">
        <v>1.6659254240499999E-3</v>
      </c>
      <c r="Q51" s="10">
        <v>0.09</v>
      </c>
      <c r="R51" s="10">
        <v>8.8300000000000003E-2</v>
      </c>
      <c r="S51" s="9">
        <v>294972885.69</v>
      </c>
      <c r="T51" s="10">
        <v>2.5407038410899998E-3</v>
      </c>
      <c r="U51" s="10">
        <v>0.09</v>
      </c>
      <c r="V51" s="10">
        <v>8.7499999999999994E-2</v>
      </c>
      <c r="W51" s="9" t="s">
        <v>26</v>
      </c>
      <c r="X51" s="10" t="s">
        <v>26</v>
      </c>
      <c r="Y51" s="10" t="s">
        <v>26</v>
      </c>
      <c r="Z51" s="10" t="s">
        <v>26</v>
      </c>
      <c r="AA51" s="9">
        <v>106576428.52</v>
      </c>
      <c r="AB51" s="10">
        <v>7.4000986064999997E-4</v>
      </c>
      <c r="AC51" s="10">
        <v>0.09</v>
      </c>
      <c r="AD51" s="10">
        <v>8.9300000000000004E-2</v>
      </c>
      <c r="AE51" s="9">
        <v>841609509.58000004</v>
      </c>
      <c r="AF51" s="10">
        <v>1.2602944166999999E-3</v>
      </c>
      <c r="AG51" s="10">
        <v>0.09</v>
      </c>
      <c r="AH51" s="10">
        <v>8.8700000000000001E-2</v>
      </c>
      <c r="AI51" s="9" t="s">
        <v>26</v>
      </c>
      <c r="AJ51" s="10" t="s">
        <v>26</v>
      </c>
      <c r="AK51" s="10" t="s">
        <v>26</v>
      </c>
      <c r="AL51" s="10" t="s">
        <v>26</v>
      </c>
      <c r="AM51" s="9" t="s">
        <v>26</v>
      </c>
      <c r="AN51" s="10" t="s">
        <v>26</v>
      </c>
      <c r="AO51" s="10" t="s">
        <v>26</v>
      </c>
      <c r="AP51" s="10" t="s">
        <v>26</v>
      </c>
      <c r="AQ51" s="9" t="s">
        <v>26</v>
      </c>
      <c r="AR51" s="10" t="s">
        <v>26</v>
      </c>
      <c r="AS51" s="10" t="s">
        <v>26</v>
      </c>
      <c r="AT51" s="10" t="s">
        <v>26</v>
      </c>
      <c r="AU51" s="9" t="s">
        <v>26</v>
      </c>
      <c r="AV51" s="10" t="s">
        <v>26</v>
      </c>
      <c r="AW51" s="10" t="s">
        <v>26</v>
      </c>
      <c r="AX51" s="10" t="s">
        <v>26</v>
      </c>
      <c r="AY51" s="9">
        <v>841609509.58000004</v>
      </c>
      <c r="AZ51" s="10">
        <v>1.1124902145199999E-3</v>
      </c>
      <c r="BA51" s="10">
        <v>0.09</v>
      </c>
      <c r="BB51" s="10">
        <v>8.8900000000000007E-2</v>
      </c>
    </row>
    <row r="52" spans="1:54" s="7" customFormat="1">
      <c r="A52" s="3" t="s">
        <v>39</v>
      </c>
      <c r="B52" s="23" t="s">
        <v>47</v>
      </c>
      <c r="C52" s="2">
        <v>33674985.329999998</v>
      </c>
      <c r="D52" s="1">
        <v>1</v>
      </c>
      <c r="E52" s="1" t="s">
        <v>26</v>
      </c>
      <c r="F52" s="1" t="s">
        <v>26</v>
      </c>
      <c r="G52" s="2" t="s">
        <v>26</v>
      </c>
      <c r="H52" s="1" t="s">
        <v>26</v>
      </c>
      <c r="I52" s="1" t="s">
        <v>26</v>
      </c>
      <c r="J52" s="1" t="s">
        <v>26</v>
      </c>
      <c r="K52" s="2">
        <v>16705043.710000001</v>
      </c>
      <c r="L52" s="1">
        <v>1</v>
      </c>
      <c r="M52" s="1" t="s">
        <v>26</v>
      </c>
      <c r="N52" s="1" t="s">
        <v>26</v>
      </c>
      <c r="O52" s="2">
        <v>389680166.32999998</v>
      </c>
      <c r="P52" s="1">
        <v>1</v>
      </c>
      <c r="Q52" s="1" t="s">
        <v>26</v>
      </c>
      <c r="R52" s="1" t="s">
        <v>26</v>
      </c>
      <c r="S52" s="2">
        <v>294972885.69</v>
      </c>
      <c r="T52" s="1">
        <v>1</v>
      </c>
      <c r="U52" s="1" t="s">
        <v>26</v>
      </c>
      <c r="V52" s="1" t="s">
        <v>26</v>
      </c>
      <c r="W52" s="2" t="s">
        <v>26</v>
      </c>
      <c r="X52" s="1" t="s">
        <v>26</v>
      </c>
      <c r="Y52" s="1" t="s">
        <v>26</v>
      </c>
      <c r="Z52" s="1" t="s">
        <v>26</v>
      </c>
      <c r="AA52" s="2">
        <v>106576428.52</v>
      </c>
      <c r="AB52" s="1">
        <v>1</v>
      </c>
      <c r="AC52" s="1" t="s">
        <v>26</v>
      </c>
      <c r="AD52" s="1" t="s">
        <v>26</v>
      </c>
      <c r="AE52" s="2">
        <v>841609509.58000004</v>
      </c>
      <c r="AF52" s="1">
        <v>1</v>
      </c>
      <c r="AG52" s="1" t="s">
        <v>26</v>
      </c>
      <c r="AH52" s="1" t="s">
        <v>26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2">
        <v>841609509.58000004</v>
      </c>
      <c r="AZ52" s="1">
        <v>1</v>
      </c>
      <c r="BA52" s="1" t="s">
        <v>26</v>
      </c>
      <c r="BB52" s="1" t="s">
        <v>26</v>
      </c>
    </row>
    <row r="53" spans="1:54" s="7" customFormat="1">
      <c r="A53" s="5" t="s">
        <v>59</v>
      </c>
      <c r="B53" s="20" t="s">
        <v>25</v>
      </c>
      <c r="C53" s="9">
        <v>5003557.05</v>
      </c>
      <c r="D53" s="10">
        <v>7.3161404206000002E-4</v>
      </c>
      <c r="E53" s="10">
        <v>0.12</v>
      </c>
      <c r="F53" s="10">
        <v>0.1193</v>
      </c>
      <c r="G53" s="9" t="s">
        <v>26</v>
      </c>
      <c r="H53" s="10" t="s">
        <v>26</v>
      </c>
      <c r="I53" s="10" t="s">
        <v>26</v>
      </c>
      <c r="J53" s="10" t="s">
        <v>26</v>
      </c>
      <c r="K53" s="9" t="s">
        <v>26</v>
      </c>
      <c r="L53" s="10" t="s">
        <v>26</v>
      </c>
      <c r="M53" s="10" t="s">
        <v>26</v>
      </c>
      <c r="N53" s="10" t="s">
        <v>26</v>
      </c>
      <c r="O53" s="9" t="s">
        <v>26</v>
      </c>
      <c r="P53" s="10" t="s">
        <v>26</v>
      </c>
      <c r="Q53" s="10" t="s">
        <v>26</v>
      </c>
      <c r="R53" s="10" t="s">
        <v>26</v>
      </c>
      <c r="S53" s="9">
        <v>55039127.549999997</v>
      </c>
      <c r="T53" s="10">
        <v>4.7407110809000001E-4</v>
      </c>
      <c r="U53" s="10">
        <v>0.12</v>
      </c>
      <c r="V53" s="10">
        <v>0.1195</v>
      </c>
      <c r="W53" s="9" t="s">
        <v>26</v>
      </c>
      <c r="X53" s="10" t="s">
        <v>26</v>
      </c>
      <c r="Y53" s="10" t="s">
        <v>26</v>
      </c>
      <c r="Z53" s="10" t="s">
        <v>26</v>
      </c>
      <c r="AA53" s="9">
        <v>50035570.5</v>
      </c>
      <c r="AB53" s="10">
        <v>3.4742030734999997E-4</v>
      </c>
      <c r="AC53" s="10">
        <v>0.12</v>
      </c>
      <c r="AD53" s="10">
        <v>0.1197</v>
      </c>
      <c r="AE53" s="9">
        <v>110078255.09999999</v>
      </c>
      <c r="AF53" s="10">
        <v>1.6484011732999999E-4</v>
      </c>
      <c r="AG53" s="10">
        <v>0.12</v>
      </c>
      <c r="AH53" s="10">
        <v>0.1198</v>
      </c>
      <c r="AI53" s="9" t="s">
        <v>26</v>
      </c>
      <c r="AJ53" s="10" t="s">
        <v>26</v>
      </c>
      <c r="AK53" s="10" t="s">
        <v>26</v>
      </c>
      <c r="AL53" s="10" t="s">
        <v>26</v>
      </c>
      <c r="AM53" s="9" t="s">
        <v>26</v>
      </c>
      <c r="AN53" s="10" t="s">
        <v>26</v>
      </c>
      <c r="AO53" s="10" t="s">
        <v>26</v>
      </c>
      <c r="AP53" s="10" t="s">
        <v>26</v>
      </c>
      <c r="AQ53" s="9" t="s">
        <v>26</v>
      </c>
      <c r="AR53" s="10" t="s">
        <v>26</v>
      </c>
      <c r="AS53" s="10" t="s">
        <v>26</v>
      </c>
      <c r="AT53" s="10" t="s">
        <v>26</v>
      </c>
      <c r="AU53" s="9" t="s">
        <v>26</v>
      </c>
      <c r="AV53" s="10" t="s">
        <v>26</v>
      </c>
      <c r="AW53" s="10" t="s">
        <v>26</v>
      </c>
      <c r="AX53" s="10" t="s">
        <v>26</v>
      </c>
      <c r="AY53" s="9">
        <v>110078255.09999999</v>
      </c>
      <c r="AZ53" s="10">
        <v>1.4550807736E-4</v>
      </c>
      <c r="BA53" s="10">
        <v>0.12</v>
      </c>
      <c r="BB53" s="10">
        <v>0.11990000000000001</v>
      </c>
    </row>
    <row r="54" spans="1:54" s="7" customFormat="1">
      <c r="A54" s="3" t="s">
        <v>39</v>
      </c>
      <c r="B54" s="23" t="s">
        <v>57</v>
      </c>
      <c r="C54" s="2">
        <v>5003557.05</v>
      </c>
      <c r="D54" s="1">
        <v>1</v>
      </c>
      <c r="E54" s="1" t="s">
        <v>26</v>
      </c>
      <c r="F54" s="1" t="s">
        <v>26</v>
      </c>
      <c r="G54" s="2" t="s">
        <v>26</v>
      </c>
      <c r="H54" s="1" t="s">
        <v>26</v>
      </c>
      <c r="I54" s="1" t="s">
        <v>26</v>
      </c>
      <c r="J54" s="1" t="s">
        <v>26</v>
      </c>
      <c r="K54" s="2" t="s">
        <v>26</v>
      </c>
      <c r="L54" s="1" t="s">
        <v>26</v>
      </c>
      <c r="M54" s="1" t="s">
        <v>26</v>
      </c>
      <c r="N54" s="1" t="s">
        <v>26</v>
      </c>
      <c r="O54" s="2" t="s">
        <v>26</v>
      </c>
      <c r="P54" s="1" t="s">
        <v>26</v>
      </c>
      <c r="Q54" s="1" t="s">
        <v>26</v>
      </c>
      <c r="R54" s="1" t="s">
        <v>26</v>
      </c>
      <c r="S54" s="2">
        <v>55039127.549999997</v>
      </c>
      <c r="T54" s="1">
        <v>1</v>
      </c>
      <c r="U54" s="1" t="s">
        <v>26</v>
      </c>
      <c r="V54" s="1" t="s">
        <v>26</v>
      </c>
      <c r="W54" s="2" t="s">
        <v>26</v>
      </c>
      <c r="X54" s="1" t="s">
        <v>26</v>
      </c>
      <c r="Y54" s="1" t="s">
        <v>26</v>
      </c>
      <c r="Z54" s="1" t="s">
        <v>26</v>
      </c>
      <c r="AA54" s="2">
        <v>50035570.5</v>
      </c>
      <c r="AB54" s="1">
        <v>1</v>
      </c>
      <c r="AC54" s="1" t="s">
        <v>26</v>
      </c>
      <c r="AD54" s="1" t="s">
        <v>26</v>
      </c>
      <c r="AE54" s="2">
        <v>110078255.09999999</v>
      </c>
      <c r="AF54" s="1">
        <v>1</v>
      </c>
      <c r="AG54" s="1" t="s">
        <v>26</v>
      </c>
      <c r="AH54" s="1" t="s">
        <v>26</v>
      </c>
      <c r="AI54" s="2" t="s">
        <v>26</v>
      </c>
      <c r="AJ54" s="1" t="s">
        <v>26</v>
      </c>
      <c r="AK54" s="1" t="s">
        <v>26</v>
      </c>
      <c r="AL54" s="1" t="s">
        <v>26</v>
      </c>
      <c r="AM54" s="2" t="s">
        <v>26</v>
      </c>
      <c r="AN54" s="1" t="s">
        <v>26</v>
      </c>
      <c r="AO54" s="1" t="s">
        <v>26</v>
      </c>
      <c r="AP54" s="1" t="s">
        <v>26</v>
      </c>
      <c r="AQ54" s="2" t="s">
        <v>26</v>
      </c>
      <c r="AR54" s="1" t="s">
        <v>26</v>
      </c>
      <c r="AS54" s="1" t="s">
        <v>26</v>
      </c>
      <c r="AT54" s="1" t="s">
        <v>26</v>
      </c>
      <c r="AU54" s="2" t="s">
        <v>26</v>
      </c>
      <c r="AV54" s="1" t="s">
        <v>26</v>
      </c>
      <c r="AW54" s="1" t="s">
        <v>26</v>
      </c>
      <c r="AX54" s="1" t="s">
        <v>26</v>
      </c>
      <c r="AY54" s="2">
        <v>110078255.09999999</v>
      </c>
      <c r="AZ54" s="1">
        <v>1</v>
      </c>
      <c r="BA54" s="1" t="s">
        <v>26</v>
      </c>
      <c r="BB54" s="1" t="s">
        <v>26</v>
      </c>
    </row>
    <row r="55" spans="1:54" s="7" customFormat="1">
      <c r="A55" s="5" t="s">
        <v>60</v>
      </c>
      <c r="B55" s="20" t="s">
        <v>25</v>
      </c>
      <c r="C55" s="9" t="s">
        <v>26</v>
      </c>
      <c r="D55" s="10" t="s">
        <v>26</v>
      </c>
      <c r="E55" s="10" t="s">
        <v>26</v>
      </c>
      <c r="F55" s="10" t="s">
        <v>26</v>
      </c>
      <c r="G55" s="9">
        <v>313111053</v>
      </c>
      <c r="H55" s="10">
        <v>1.9911793110000001E-3</v>
      </c>
      <c r="I55" s="10">
        <v>0.12</v>
      </c>
      <c r="J55" s="10">
        <v>0.11799999999999999</v>
      </c>
      <c r="K55" s="9">
        <v>51533756.5</v>
      </c>
      <c r="L55" s="10">
        <v>1.6545845759749999E-2</v>
      </c>
      <c r="M55" s="10">
        <v>0.12</v>
      </c>
      <c r="N55" s="10">
        <v>0.10349999999999999</v>
      </c>
      <c r="O55" s="9">
        <v>2280725216</v>
      </c>
      <c r="P55" s="10">
        <v>9.7503502895600006E-3</v>
      </c>
      <c r="Q55" s="10">
        <v>0.12</v>
      </c>
      <c r="R55" s="10">
        <v>0.11020000000000001</v>
      </c>
      <c r="S55" s="9">
        <v>556564570.20000005</v>
      </c>
      <c r="T55" s="10">
        <v>4.7938838107499998E-3</v>
      </c>
      <c r="U55" s="10">
        <v>0.12</v>
      </c>
      <c r="V55" s="10">
        <v>0.1152</v>
      </c>
      <c r="W55" s="9">
        <v>70185933.980000004</v>
      </c>
      <c r="X55" s="10">
        <v>1.0708871673709999E-2</v>
      </c>
      <c r="Y55" s="10">
        <v>0.1295</v>
      </c>
      <c r="Z55" s="10">
        <v>0.1188</v>
      </c>
      <c r="AA55" s="9">
        <v>1476637387.1199999</v>
      </c>
      <c r="AB55" s="10">
        <v>1.025298222357E-2</v>
      </c>
      <c r="AC55" s="10">
        <v>0.12</v>
      </c>
      <c r="AD55" s="10">
        <v>0.10970000000000001</v>
      </c>
      <c r="AE55" s="9">
        <v>4748757916.8000002</v>
      </c>
      <c r="AF55" s="10">
        <v>7.1111756945300003E-3</v>
      </c>
      <c r="AG55" s="10">
        <v>0.1201</v>
      </c>
      <c r="AH55" s="10">
        <v>0.113</v>
      </c>
      <c r="AI55" s="9">
        <v>206135026</v>
      </c>
      <c r="AJ55" s="10">
        <v>1.185435243855E-2</v>
      </c>
      <c r="AK55" s="10">
        <v>0.12</v>
      </c>
      <c r="AL55" s="10">
        <v>0.1081</v>
      </c>
      <c r="AM55" s="9">
        <v>223347300.66999999</v>
      </c>
      <c r="AN55" s="10">
        <v>9.2550871462099994E-3</v>
      </c>
      <c r="AO55" s="10">
        <v>0.12</v>
      </c>
      <c r="AP55" s="10">
        <v>0.11070000000000001</v>
      </c>
      <c r="AQ55" s="9">
        <v>429482326.67000002</v>
      </c>
      <c r="AR55" s="10">
        <v>1.034364880792E-2</v>
      </c>
      <c r="AS55" s="10">
        <v>0.12</v>
      </c>
      <c r="AT55" s="10">
        <v>0.10970000000000001</v>
      </c>
      <c r="AU55" s="9">
        <v>309202539</v>
      </c>
      <c r="AV55" s="10">
        <v>6.5508719950200002E-3</v>
      </c>
      <c r="AW55" s="10">
        <v>0.12</v>
      </c>
      <c r="AX55" s="10">
        <v>0.1134</v>
      </c>
      <c r="AY55" s="9">
        <v>5487442782.4700003</v>
      </c>
      <c r="AZ55" s="10">
        <v>7.2536328650899999E-3</v>
      </c>
      <c r="BA55" s="10">
        <v>0.1201</v>
      </c>
      <c r="BB55" s="10">
        <v>0.1128</v>
      </c>
    </row>
    <row r="56" spans="1:54" s="7" customFormat="1">
      <c r="A56" s="3" t="s">
        <v>39</v>
      </c>
      <c r="B56" s="23" t="s">
        <v>57</v>
      </c>
      <c r="C56" s="2" t="s">
        <v>26</v>
      </c>
      <c r="D56" s="1" t="s">
        <v>26</v>
      </c>
      <c r="E56" s="1" t="s">
        <v>26</v>
      </c>
      <c r="F56" s="1" t="s">
        <v>26</v>
      </c>
      <c r="G56" s="2">
        <v>313111053</v>
      </c>
      <c r="H56" s="1">
        <v>1</v>
      </c>
      <c r="I56" s="1" t="s">
        <v>26</v>
      </c>
      <c r="J56" s="1" t="s">
        <v>26</v>
      </c>
      <c r="K56" s="2">
        <v>51533756.5</v>
      </c>
      <c r="L56" s="1">
        <v>1</v>
      </c>
      <c r="M56" s="1" t="s">
        <v>26</v>
      </c>
      <c r="N56" s="1" t="s">
        <v>26</v>
      </c>
      <c r="O56" s="2">
        <v>2280725216</v>
      </c>
      <c r="P56" s="1">
        <v>1</v>
      </c>
      <c r="Q56" s="1" t="s">
        <v>26</v>
      </c>
      <c r="R56" s="1" t="s">
        <v>26</v>
      </c>
      <c r="S56" s="2">
        <v>556564570.20000005</v>
      </c>
      <c r="T56" s="1">
        <v>1</v>
      </c>
      <c r="U56" s="1" t="s">
        <v>26</v>
      </c>
      <c r="V56" s="1" t="s">
        <v>26</v>
      </c>
      <c r="W56" s="2">
        <v>48036833.479999997</v>
      </c>
      <c r="X56" s="1">
        <v>0.68442251539586996</v>
      </c>
      <c r="Y56" s="1" t="s">
        <v>26</v>
      </c>
      <c r="Z56" s="1" t="s">
        <v>26</v>
      </c>
      <c r="AA56" s="2">
        <v>1476637387.1199999</v>
      </c>
      <c r="AB56" s="1">
        <v>1</v>
      </c>
      <c r="AC56" s="1" t="s">
        <v>26</v>
      </c>
      <c r="AD56" s="1" t="s">
        <v>26</v>
      </c>
      <c r="AE56" s="2">
        <v>4726608816.3000002</v>
      </c>
      <c r="AF56" s="1">
        <v>0.99533581182952002</v>
      </c>
      <c r="AG56" s="1" t="s">
        <v>26</v>
      </c>
      <c r="AH56" s="1" t="s">
        <v>26</v>
      </c>
      <c r="AI56" s="2">
        <v>206135026</v>
      </c>
      <c r="AJ56" s="1">
        <v>1</v>
      </c>
      <c r="AK56" s="1" t="s">
        <v>26</v>
      </c>
      <c r="AL56" s="1" t="s">
        <v>26</v>
      </c>
      <c r="AM56" s="2">
        <v>223347300.66999999</v>
      </c>
      <c r="AN56" s="1">
        <v>1</v>
      </c>
      <c r="AO56" s="1" t="s">
        <v>26</v>
      </c>
      <c r="AP56" s="1" t="s">
        <v>26</v>
      </c>
      <c r="AQ56" s="2">
        <v>429482326.67000002</v>
      </c>
      <c r="AR56" s="1">
        <v>1</v>
      </c>
      <c r="AS56" s="1" t="s">
        <v>26</v>
      </c>
      <c r="AT56" s="1" t="s">
        <v>26</v>
      </c>
      <c r="AU56" s="2">
        <v>309202539</v>
      </c>
      <c r="AV56" s="1">
        <v>1</v>
      </c>
      <c r="AW56" s="1" t="s">
        <v>26</v>
      </c>
      <c r="AX56" s="1" t="s">
        <v>26</v>
      </c>
      <c r="AY56" s="2">
        <v>5465293681.9700003</v>
      </c>
      <c r="AZ56" s="1">
        <v>0.99596367536246</v>
      </c>
      <c r="BA56" s="1" t="s">
        <v>26</v>
      </c>
      <c r="BB56" s="1" t="s">
        <v>26</v>
      </c>
    </row>
    <row r="57" spans="1:54" customFormat="1">
      <c r="A57" s="3" t="s">
        <v>41</v>
      </c>
      <c r="B57" s="23" t="s">
        <v>35</v>
      </c>
      <c r="C57" s="2" t="s">
        <v>26</v>
      </c>
      <c r="D57" s="1" t="s">
        <v>26</v>
      </c>
      <c r="E57" s="1" t="s">
        <v>26</v>
      </c>
      <c r="F57" s="1" t="s">
        <v>26</v>
      </c>
      <c r="G57" s="2" t="s">
        <v>26</v>
      </c>
      <c r="H57" s="1" t="s">
        <v>26</v>
      </c>
      <c r="I57" s="1" t="s">
        <v>26</v>
      </c>
      <c r="J57" s="1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 t="s">
        <v>26</v>
      </c>
      <c r="P57" s="1" t="s">
        <v>26</v>
      </c>
      <c r="Q57" s="1" t="s">
        <v>26</v>
      </c>
      <c r="R57" s="1" t="s">
        <v>26</v>
      </c>
      <c r="S57" s="2" t="s">
        <v>26</v>
      </c>
      <c r="T57" s="1" t="s">
        <v>26</v>
      </c>
      <c r="U57" s="1" t="s">
        <v>26</v>
      </c>
      <c r="V57" s="1" t="s">
        <v>26</v>
      </c>
      <c r="W57" s="2">
        <v>22149100.5</v>
      </c>
      <c r="X57" s="1">
        <v>0.31557748460412999</v>
      </c>
      <c r="Y57" s="1" t="s">
        <v>26</v>
      </c>
      <c r="Z57" s="1" t="s">
        <v>26</v>
      </c>
      <c r="AA57" s="2" t="s">
        <v>26</v>
      </c>
      <c r="AB57" s="1" t="s">
        <v>26</v>
      </c>
      <c r="AC57" s="1" t="s">
        <v>26</v>
      </c>
      <c r="AD57" s="1" t="s">
        <v>26</v>
      </c>
      <c r="AE57" s="2">
        <v>22149100.5</v>
      </c>
      <c r="AF57" s="1">
        <v>4.6641881704799996E-3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22149100.5</v>
      </c>
      <c r="AZ57" s="1">
        <v>4.0363246375399999E-3</v>
      </c>
      <c r="BA57" s="1" t="s">
        <v>26</v>
      </c>
      <c r="BB57" s="1" t="s">
        <v>26</v>
      </c>
    </row>
    <row r="58" spans="1:54" customFormat="1">
      <c r="A58" s="12" t="s">
        <v>61</v>
      </c>
      <c r="B58" s="27" t="s">
        <v>25</v>
      </c>
      <c r="C58" s="29">
        <v>32069953.600000001</v>
      </c>
      <c r="D58" s="30">
        <v>4.6892297114800004E-3</v>
      </c>
      <c r="E58" s="30" t="s">
        <v>26</v>
      </c>
      <c r="F58" s="30" t="s">
        <v>26</v>
      </c>
      <c r="G58" s="29" t="s">
        <v>26</v>
      </c>
      <c r="H58" s="30" t="s">
        <v>26</v>
      </c>
      <c r="I58" s="30" t="s">
        <v>26</v>
      </c>
      <c r="J58" s="30" t="s">
        <v>26</v>
      </c>
      <c r="K58" s="29">
        <v>85541785.010000005</v>
      </c>
      <c r="L58" s="30">
        <v>2.7464739171279999E-2</v>
      </c>
      <c r="M58" s="30" t="s">
        <v>26</v>
      </c>
      <c r="N58" s="30" t="s">
        <v>26</v>
      </c>
      <c r="O58" s="29">
        <v>101575427.09999999</v>
      </c>
      <c r="P58" s="30">
        <v>4.3424608456999999E-4</v>
      </c>
      <c r="Q58" s="30" t="s">
        <v>26</v>
      </c>
      <c r="R58" s="30" t="s">
        <v>26</v>
      </c>
      <c r="S58" s="29" t="s">
        <v>26</v>
      </c>
      <c r="T58" s="30" t="s">
        <v>26</v>
      </c>
      <c r="U58" s="30" t="s">
        <v>26</v>
      </c>
      <c r="V58" s="30" t="s">
        <v>26</v>
      </c>
      <c r="W58" s="29" t="s">
        <v>26</v>
      </c>
      <c r="X58" s="30" t="s">
        <v>26</v>
      </c>
      <c r="Y58" s="30" t="s">
        <v>26</v>
      </c>
      <c r="Z58" s="30" t="s">
        <v>26</v>
      </c>
      <c r="AA58" s="29">
        <v>138352922.41</v>
      </c>
      <c r="AB58" s="30">
        <v>9.6064888131999998E-4</v>
      </c>
      <c r="AC58" s="30" t="s">
        <v>26</v>
      </c>
      <c r="AD58" s="30" t="s">
        <v>26</v>
      </c>
      <c r="AE58" s="29">
        <v>357540088.12</v>
      </c>
      <c r="AF58" s="30">
        <v>5.3540955951E-4</v>
      </c>
      <c r="AG58" s="30" t="s">
        <v>26</v>
      </c>
      <c r="AH58" s="30" t="s">
        <v>26</v>
      </c>
      <c r="AI58" s="29" t="s">
        <v>26</v>
      </c>
      <c r="AJ58" s="30" t="s">
        <v>26</v>
      </c>
      <c r="AK58" s="30" t="s">
        <v>26</v>
      </c>
      <c r="AL58" s="30" t="s">
        <v>26</v>
      </c>
      <c r="AM58" s="29" t="s">
        <v>26</v>
      </c>
      <c r="AN58" s="30" t="s">
        <v>26</v>
      </c>
      <c r="AO58" s="30" t="s">
        <v>26</v>
      </c>
      <c r="AP58" s="30" t="s">
        <v>26</v>
      </c>
      <c r="AQ58" s="29" t="s">
        <v>26</v>
      </c>
      <c r="AR58" s="30" t="s">
        <v>26</v>
      </c>
      <c r="AS58" s="30" t="s">
        <v>26</v>
      </c>
      <c r="AT58" s="30" t="s">
        <v>26</v>
      </c>
      <c r="AU58" s="29">
        <v>63488977.920000002</v>
      </c>
      <c r="AV58" s="30">
        <v>1.3450994574399999E-3</v>
      </c>
      <c r="AW58" s="30" t="s">
        <v>26</v>
      </c>
      <c r="AX58" s="30" t="s">
        <v>26</v>
      </c>
      <c r="AY58" s="29">
        <v>421029066.04000002</v>
      </c>
      <c r="AZ58" s="30">
        <v>5.5654161539999997E-4</v>
      </c>
      <c r="BA58" s="30" t="s">
        <v>26</v>
      </c>
      <c r="BB58" s="30" t="s">
        <v>26</v>
      </c>
    </row>
    <row r="59" spans="1:54" s="28" customFormat="1">
      <c r="A59" s="5" t="s">
        <v>62</v>
      </c>
      <c r="B59" s="20" t="s">
        <v>25</v>
      </c>
      <c r="C59" s="9">
        <v>10015337.5</v>
      </c>
      <c r="D59" s="10">
        <v>1.46443049969E-3</v>
      </c>
      <c r="E59" s="10">
        <v>0.09</v>
      </c>
      <c r="F59" s="10">
        <v>8.8499999999999995E-2</v>
      </c>
      <c r="G59" s="9" t="s">
        <v>26</v>
      </c>
      <c r="H59" s="10" t="s">
        <v>26</v>
      </c>
      <c r="I59" s="10" t="s">
        <v>26</v>
      </c>
      <c r="J59" s="10" t="s">
        <v>26</v>
      </c>
      <c r="K59" s="9" t="s">
        <v>26</v>
      </c>
      <c r="L59" s="10" t="s">
        <v>26</v>
      </c>
      <c r="M59" s="10" t="s">
        <v>26</v>
      </c>
      <c r="N59" s="10" t="s">
        <v>26</v>
      </c>
      <c r="O59" s="9" t="s">
        <v>26</v>
      </c>
      <c r="P59" s="10" t="s">
        <v>26</v>
      </c>
      <c r="Q59" s="10" t="s">
        <v>26</v>
      </c>
      <c r="R59" s="10" t="s">
        <v>26</v>
      </c>
      <c r="S59" s="9" t="s">
        <v>26</v>
      </c>
      <c r="T59" s="10" t="s">
        <v>26</v>
      </c>
      <c r="U59" s="10" t="s">
        <v>26</v>
      </c>
      <c r="V59" s="10" t="s">
        <v>26</v>
      </c>
      <c r="W59" s="9" t="s">
        <v>26</v>
      </c>
      <c r="X59" s="10" t="s">
        <v>26</v>
      </c>
      <c r="Y59" s="10" t="s">
        <v>26</v>
      </c>
      <c r="Z59" s="10" t="s">
        <v>26</v>
      </c>
      <c r="AA59" s="9" t="s">
        <v>26</v>
      </c>
      <c r="AB59" s="10" t="s">
        <v>26</v>
      </c>
      <c r="AC59" s="10" t="s">
        <v>26</v>
      </c>
      <c r="AD59" s="10" t="s">
        <v>26</v>
      </c>
      <c r="AE59" s="9">
        <v>10015337.5</v>
      </c>
      <c r="AF59" s="10">
        <v>1.4997779599999999E-5</v>
      </c>
      <c r="AG59" s="10">
        <v>0.09</v>
      </c>
      <c r="AH59" s="10">
        <v>0.09</v>
      </c>
      <c r="AI59" s="9" t="s">
        <v>26</v>
      </c>
      <c r="AJ59" s="10" t="s">
        <v>26</v>
      </c>
      <c r="AK59" s="10" t="s">
        <v>26</v>
      </c>
      <c r="AL59" s="10" t="s">
        <v>26</v>
      </c>
      <c r="AM59" s="9" t="s">
        <v>26</v>
      </c>
      <c r="AN59" s="10" t="s">
        <v>26</v>
      </c>
      <c r="AO59" s="10" t="s">
        <v>26</v>
      </c>
      <c r="AP59" s="10" t="s">
        <v>26</v>
      </c>
      <c r="AQ59" s="9" t="s">
        <v>26</v>
      </c>
      <c r="AR59" s="10" t="s">
        <v>26</v>
      </c>
      <c r="AS59" s="10" t="s">
        <v>26</v>
      </c>
      <c r="AT59" s="10" t="s">
        <v>26</v>
      </c>
      <c r="AU59" s="9" t="s">
        <v>26</v>
      </c>
      <c r="AV59" s="10" t="s">
        <v>26</v>
      </c>
      <c r="AW59" s="10" t="s">
        <v>26</v>
      </c>
      <c r="AX59" s="10" t="s">
        <v>26</v>
      </c>
      <c r="AY59" s="9">
        <v>10015337.5</v>
      </c>
      <c r="AZ59" s="10">
        <v>1.323887722E-5</v>
      </c>
      <c r="BA59" s="10">
        <v>0.09</v>
      </c>
      <c r="BB59" s="10">
        <v>0.09</v>
      </c>
    </row>
    <row r="60" spans="1:54" s="7" customFormat="1">
      <c r="A60" s="3" t="s">
        <v>39</v>
      </c>
      <c r="B60" s="23" t="s">
        <v>47</v>
      </c>
      <c r="C60" s="2">
        <v>10015337.5</v>
      </c>
      <c r="D60" s="1">
        <v>1</v>
      </c>
      <c r="E60" s="1" t="s">
        <v>26</v>
      </c>
      <c r="F60" s="1" t="s">
        <v>26</v>
      </c>
      <c r="G60" s="2" t="s">
        <v>26</v>
      </c>
      <c r="H60" s="1" t="s">
        <v>26</v>
      </c>
      <c r="I60" s="1" t="s">
        <v>26</v>
      </c>
      <c r="J60" s="1" t="s">
        <v>26</v>
      </c>
      <c r="K60" s="2" t="s">
        <v>26</v>
      </c>
      <c r="L60" s="1" t="s">
        <v>26</v>
      </c>
      <c r="M60" s="1" t="s">
        <v>26</v>
      </c>
      <c r="N60" s="1" t="s">
        <v>26</v>
      </c>
      <c r="O60" s="2" t="s">
        <v>26</v>
      </c>
      <c r="P60" s="1" t="s">
        <v>26</v>
      </c>
      <c r="Q60" s="1" t="s">
        <v>26</v>
      </c>
      <c r="R60" s="1" t="s">
        <v>26</v>
      </c>
      <c r="S60" s="2" t="s">
        <v>26</v>
      </c>
      <c r="T60" s="1" t="s">
        <v>26</v>
      </c>
      <c r="U60" s="1" t="s">
        <v>26</v>
      </c>
      <c r="V60" s="1" t="s">
        <v>26</v>
      </c>
      <c r="W60" s="2" t="s">
        <v>26</v>
      </c>
      <c r="X60" s="1" t="s">
        <v>26</v>
      </c>
      <c r="Y60" s="1" t="s">
        <v>26</v>
      </c>
      <c r="Z60" s="1" t="s">
        <v>26</v>
      </c>
      <c r="AA60" s="2" t="s">
        <v>26</v>
      </c>
      <c r="AB60" s="1" t="s">
        <v>26</v>
      </c>
      <c r="AC60" s="1" t="s">
        <v>26</v>
      </c>
      <c r="AD60" s="1" t="s">
        <v>26</v>
      </c>
      <c r="AE60" s="2">
        <v>10015337.5</v>
      </c>
      <c r="AF60" s="1">
        <v>1</v>
      </c>
      <c r="AG60" s="1" t="s">
        <v>26</v>
      </c>
      <c r="AH60" s="1" t="s">
        <v>26</v>
      </c>
      <c r="AI60" s="2" t="s">
        <v>26</v>
      </c>
      <c r="AJ60" s="1" t="s">
        <v>26</v>
      </c>
      <c r="AK60" s="1" t="s">
        <v>26</v>
      </c>
      <c r="AL60" s="1" t="s">
        <v>26</v>
      </c>
      <c r="AM60" s="2" t="s">
        <v>26</v>
      </c>
      <c r="AN60" s="1" t="s">
        <v>26</v>
      </c>
      <c r="AO60" s="1" t="s">
        <v>26</v>
      </c>
      <c r="AP60" s="1" t="s">
        <v>26</v>
      </c>
      <c r="AQ60" s="2" t="s">
        <v>26</v>
      </c>
      <c r="AR60" s="1" t="s">
        <v>26</v>
      </c>
      <c r="AS60" s="1" t="s">
        <v>26</v>
      </c>
      <c r="AT60" s="1" t="s">
        <v>26</v>
      </c>
      <c r="AU60" s="2" t="s">
        <v>26</v>
      </c>
      <c r="AV60" s="1" t="s">
        <v>26</v>
      </c>
      <c r="AW60" s="1" t="s">
        <v>26</v>
      </c>
      <c r="AX60" s="1" t="s">
        <v>26</v>
      </c>
      <c r="AY60" s="2">
        <v>10015337.5</v>
      </c>
      <c r="AZ60" s="1">
        <v>1</v>
      </c>
      <c r="BA60" s="1" t="s">
        <v>26</v>
      </c>
      <c r="BB60" s="1" t="s">
        <v>26</v>
      </c>
    </row>
    <row r="61" spans="1:54" s="7" customFormat="1">
      <c r="A61" s="5" t="s">
        <v>63</v>
      </c>
      <c r="B61" s="20" t="s">
        <v>25</v>
      </c>
      <c r="C61" s="9" t="s">
        <v>26</v>
      </c>
      <c r="D61" s="10" t="s">
        <v>26</v>
      </c>
      <c r="E61" s="10" t="s">
        <v>26</v>
      </c>
      <c r="F61" s="10" t="s">
        <v>26</v>
      </c>
      <c r="G61" s="9" t="s">
        <v>26</v>
      </c>
      <c r="H61" s="10" t="s">
        <v>26</v>
      </c>
      <c r="I61" s="10" t="s">
        <v>26</v>
      </c>
      <c r="J61" s="10" t="s">
        <v>26</v>
      </c>
      <c r="K61" s="9" t="s">
        <v>26</v>
      </c>
      <c r="L61" s="10" t="s">
        <v>26</v>
      </c>
      <c r="M61" s="10" t="s">
        <v>26</v>
      </c>
      <c r="N61" s="10" t="s">
        <v>26</v>
      </c>
      <c r="O61" s="9" t="s">
        <v>26</v>
      </c>
      <c r="P61" s="10" t="s">
        <v>26</v>
      </c>
      <c r="Q61" s="10" t="s">
        <v>26</v>
      </c>
      <c r="R61" s="10" t="s">
        <v>26</v>
      </c>
      <c r="S61" s="9" t="s">
        <v>26</v>
      </c>
      <c r="T61" s="10" t="s">
        <v>26</v>
      </c>
      <c r="U61" s="10" t="s">
        <v>26</v>
      </c>
      <c r="V61" s="10" t="s">
        <v>26</v>
      </c>
      <c r="W61" s="9" t="s">
        <v>26</v>
      </c>
      <c r="X61" s="10" t="s">
        <v>26</v>
      </c>
      <c r="Y61" s="10" t="s">
        <v>26</v>
      </c>
      <c r="Z61" s="10" t="s">
        <v>26</v>
      </c>
      <c r="AA61" s="9">
        <v>93185248.209999993</v>
      </c>
      <c r="AB61" s="10">
        <v>6.4702864883000005E-4</v>
      </c>
      <c r="AC61" s="10">
        <v>0.13500000000000001</v>
      </c>
      <c r="AD61" s="10">
        <v>0.13439999999999999</v>
      </c>
      <c r="AE61" s="9">
        <v>93185248.209999993</v>
      </c>
      <c r="AF61" s="10">
        <v>1.3954315713000001E-4</v>
      </c>
      <c r="AG61" s="10">
        <v>0.13500000000000001</v>
      </c>
      <c r="AH61" s="10">
        <v>0.13489999999999999</v>
      </c>
      <c r="AI61" s="9" t="s">
        <v>26</v>
      </c>
      <c r="AJ61" s="10" t="s">
        <v>26</v>
      </c>
      <c r="AK61" s="10" t="s">
        <v>26</v>
      </c>
      <c r="AL61" s="10" t="s">
        <v>26</v>
      </c>
      <c r="AM61" s="9" t="s">
        <v>26</v>
      </c>
      <c r="AN61" s="10" t="s">
        <v>26</v>
      </c>
      <c r="AO61" s="10" t="s">
        <v>26</v>
      </c>
      <c r="AP61" s="10" t="s">
        <v>26</v>
      </c>
      <c r="AQ61" s="9" t="s">
        <v>26</v>
      </c>
      <c r="AR61" s="10" t="s">
        <v>26</v>
      </c>
      <c r="AS61" s="10" t="s">
        <v>26</v>
      </c>
      <c r="AT61" s="10" t="s">
        <v>26</v>
      </c>
      <c r="AU61" s="9" t="s">
        <v>26</v>
      </c>
      <c r="AV61" s="10" t="s">
        <v>26</v>
      </c>
      <c r="AW61" s="10" t="s">
        <v>26</v>
      </c>
      <c r="AX61" s="10" t="s">
        <v>26</v>
      </c>
      <c r="AY61" s="9">
        <v>93185248.209999993</v>
      </c>
      <c r="AZ61" s="10">
        <v>1.2317788188999999E-4</v>
      </c>
      <c r="BA61" s="10">
        <v>0.13500000000000001</v>
      </c>
      <c r="BB61" s="10">
        <v>0.13489999999999999</v>
      </c>
    </row>
    <row r="62" spans="1:54" s="7" customFormat="1">
      <c r="A62" s="3" t="s">
        <v>41</v>
      </c>
      <c r="B62" s="23" t="s">
        <v>44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93185248.209999993</v>
      </c>
      <c r="AB62" s="1">
        <v>1</v>
      </c>
      <c r="AC62" s="1" t="s">
        <v>26</v>
      </c>
      <c r="AD62" s="1" t="s">
        <v>26</v>
      </c>
      <c r="AE62" s="2">
        <v>93185248.209999993</v>
      </c>
      <c r="AF62" s="1">
        <v>1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93185248.209999993</v>
      </c>
      <c r="AZ62" s="1">
        <v>1</v>
      </c>
      <c r="BA62" s="1" t="s">
        <v>26</v>
      </c>
      <c r="BB62" s="1" t="s">
        <v>26</v>
      </c>
    </row>
    <row r="63" spans="1:54" s="7" customFormat="1">
      <c r="A63" s="5" t="s">
        <v>64</v>
      </c>
      <c r="B63" s="20" t="s">
        <v>25</v>
      </c>
      <c r="C63" s="9">
        <v>22054616.100000001</v>
      </c>
      <c r="D63" s="10">
        <v>3.22479921179E-3</v>
      </c>
      <c r="E63" s="10">
        <v>0.12</v>
      </c>
      <c r="F63" s="10">
        <v>0.1168</v>
      </c>
      <c r="G63" s="9" t="s">
        <v>26</v>
      </c>
      <c r="H63" s="10" t="s">
        <v>26</v>
      </c>
      <c r="I63" s="10" t="s">
        <v>26</v>
      </c>
      <c r="J63" s="10" t="s">
        <v>26</v>
      </c>
      <c r="K63" s="9" t="s">
        <v>26</v>
      </c>
      <c r="L63" s="10" t="s">
        <v>26</v>
      </c>
      <c r="M63" s="10" t="s">
        <v>26</v>
      </c>
      <c r="N63" s="10" t="s">
        <v>26</v>
      </c>
      <c r="O63" s="9" t="s">
        <v>26</v>
      </c>
      <c r="P63" s="10" t="s">
        <v>26</v>
      </c>
      <c r="Q63" s="10" t="s">
        <v>26</v>
      </c>
      <c r="R63" s="10" t="s">
        <v>26</v>
      </c>
      <c r="S63" s="9" t="s">
        <v>26</v>
      </c>
      <c r="T63" s="10" t="s">
        <v>26</v>
      </c>
      <c r="U63" s="10" t="s">
        <v>26</v>
      </c>
      <c r="V63" s="10" t="s">
        <v>26</v>
      </c>
      <c r="W63" s="9" t="s">
        <v>26</v>
      </c>
      <c r="X63" s="10" t="s">
        <v>26</v>
      </c>
      <c r="Y63" s="10" t="s">
        <v>26</v>
      </c>
      <c r="Z63" s="10" t="s">
        <v>26</v>
      </c>
      <c r="AA63" s="9" t="s">
        <v>26</v>
      </c>
      <c r="AB63" s="10" t="s">
        <v>26</v>
      </c>
      <c r="AC63" s="10" t="s">
        <v>26</v>
      </c>
      <c r="AD63" s="10" t="s">
        <v>26</v>
      </c>
      <c r="AE63" s="9">
        <v>22054616.100000001</v>
      </c>
      <c r="AF63" s="10">
        <v>3.302637294E-5</v>
      </c>
      <c r="AG63" s="10">
        <v>0.12</v>
      </c>
      <c r="AH63" s="10">
        <v>0.12</v>
      </c>
      <c r="AI63" s="9" t="s">
        <v>26</v>
      </c>
      <c r="AJ63" s="10" t="s">
        <v>26</v>
      </c>
      <c r="AK63" s="10" t="s">
        <v>26</v>
      </c>
      <c r="AL63" s="10" t="s">
        <v>26</v>
      </c>
      <c r="AM63" s="9" t="s">
        <v>26</v>
      </c>
      <c r="AN63" s="10" t="s">
        <v>26</v>
      </c>
      <c r="AO63" s="10" t="s">
        <v>26</v>
      </c>
      <c r="AP63" s="10" t="s">
        <v>26</v>
      </c>
      <c r="AQ63" s="9" t="s">
        <v>26</v>
      </c>
      <c r="AR63" s="10" t="s">
        <v>26</v>
      </c>
      <c r="AS63" s="10" t="s">
        <v>26</v>
      </c>
      <c r="AT63" s="10" t="s">
        <v>26</v>
      </c>
      <c r="AU63" s="9" t="s">
        <v>26</v>
      </c>
      <c r="AV63" s="10" t="s">
        <v>26</v>
      </c>
      <c r="AW63" s="10" t="s">
        <v>26</v>
      </c>
      <c r="AX63" s="10" t="s">
        <v>26</v>
      </c>
      <c r="AY63" s="9">
        <v>22054616.100000001</v>
      </c>
      <c r="AZ63" s="10">
        <v>2.915312187E-5</v>
      </c>
      <c r="BA63" s="10">
        <v>0.12</v>
      </c>
      <c r="BB63" s="10">
        <v>0.12</v>
      </c>
    </row>
    <row r="64" spans="1:54" s="7" customFormat="1">
      <c r="A64" s="3" t="s">
        <v>39</v>
      </c>
      <c r="B64" s="23" t="s">
        <v>57</v>
      </c>
      <c r="C64" s="2">
        <v>22054616.100000001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22054616.100000001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22054616.100000001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65</v>
      </c>
      <c r="B65" s="20" t="s">
        <v>25</v>
      </c>
      <c r="C65" s="9" t="s">
        <v>26</v>
      </c>
      <c r="D65" s="10" t="s">
        <v>26</v>
      </c>
      <c r="E65" s="10" t="s">
        <v>26</v>
      </c>
      <c r="F65" s="10" t="s">
        <v>26</v>
      </c>
      <c r="G65" s="9" t="s">
        <v>26</v>
      </c>
      <c r="H65" s="10" t="s">
        <v>26</v>
      </c>
      <c r="I65" s="10" t="s">
        <v>26</v>
      </c>
      <c r="J65" s="10" t="s">
        <v>26</v>
      </c>
      <c r="K65" s="9">
        <v>85541785.010000005</v>
      </c>
      <c r="L65" s="10">
        <v>2.7464739171279999E-2</v>
      </c>
      <c r="M65" s="10">
        <v>0.13500000000000001</v>
      </c>
      <c r="N65" s="10">
        <v>0.1075</v>
      </c>
      <c r="O65" s="9">
        <v>101575427.09999999</v>
      </c>
      <c r="P65" s="10">
        <v>4.3424608456999999E-4</v>
      </c>
      <c r="Q65" s="10">
        <v>0.13500000000000001</v>
      </c>
      <c r="R65" s="10">
        <v>0.1346</v>
      </c>
      <c r="S65" s="9" t="s">
        <v>26</v>
      </c>
      <c r="T65" s="10" t="s">
        <v>26</v>
      </c>
      <c r="U65" s="10" t="s">
        <v>26</v>
      </c>
      <c r="V65" s="10" t="s">
        <v>26</v>
      </c>
      <c r="W65" s="9" t="s">
        <v>26</v>
      </c>
      <c r="X65" s="10" t="s">
        <v>26</v>
      </c>
      <c r="Y65" s="10" t="s">
        <v>26</v>
      </c>
      <c r="Z65" s="10" t="s">
        <v>26</v>
      </c>
      <c r="AA65" s="9">
        <v>45167674.200000003</v>
      </c>
      <c r="AB65" s="10">
        <v>3.1362023248999999E-4</v>
      </c>
      <c r="AC65" s="10">
        <v>0.13500000000000001</v>
      </c>
      <c r="AD65" s="10">
        <v>0.13469999999999999</v>
      </c>
      <c r="AE65" s="9">
        <v>232284886.31</v>
      </c>
      <c r="AF65" s="10">
        <v>3.4784224983999999E-4</v>
      </c>
      <c r="AG65" s="10">
        <v>0.13500000000000001</v>
      </c>
      <c r="AH65" s="10">
        <v>0.13469999999999999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>
        <v>63488977.920000002</v>
      </c>
      <c r="AV65" s="10">
        <v>1.3450994574399999E-3</v>
      </c>
      <c r="AW65" s="10">
        <v>0.13500000000000001</v>
      </c>
      <c r="AX65" s="10">
        <v>0.13370000000000001</v>
      </c>
      <c r="AY65" s="9">
        <v>295773864.23000002</v>
      </c>
      <c r="AZ65" s="10">
        <v>3.9097173442000002E-4</v>
      </c>
      <c r="BA65" s="10">
        <v>0.13500000000000001</v>
      </c>
      <c r="BB65" s="10">
        <v>0.1346</v>
      </c>
    </row>
    <row r="66" spans="1:54" s="7" customFormat="1">
      <c r="A66" s="3" t="s">
        <v>41</v>
      </c>
      <c r="B66" s="23" t="s">
        <v>44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>
        <v>85541785.010000005</v>
      </c>
      <c r="L66" s="1">
        <v>1</v>
      </c>
      <c r="M66" s="1" t="s">
        <v>26</v>
      </c>
      <c r="N66" s="1" t="s">
        <v>26</v>
      </c>
      <c r="O66" s="2">
        <v>101575427.09999999</v>
      </c>
      <c r="P66" s="1">
        <v>1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45167674.200000003</v>
      </c>
      <c r="AB66" s="1">
        <v>1</v>
      </c>
      <c r="AC66" s="1" t="s">
        <v>26</v>
      </c>
      <c r="AD66" s="1" t="s">
        <v>26</v>
      </c>
      <c r="AE66" s="2">
        <v>232284886.31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63488977.920000002</v>
      </c>
      <c r="AV66" s="1">
        <v>1</v>
      </c>
      <c r="AW66" s="1" t="s">
        <v>26</v>
      </c>
      <c r="AX66" s="1" t="s">
        <v>26</v>
      </c>
      <c r="AY66" s="2">
        <v>295773864.23000002</v>
      </c>
      <c r="AZ66" s="1">
        <v>1</v>
      </c>
      <c r="BA66" s="1" t="s">
        <v>26</v>
      </c>
      <c r="BB66" s="1" t="s">
        <v>26</v>
      </c>
    </row>
    <row r="67" spans="1:54" customFormat="1">
      <c r="A67" s="12" t="s">
        <v>66</v>
      </c>
      <c r="B67" s="27" t="s">
        <v>25</v>
      </c>
      <c r="C67" s="29">
        <v>1112732143.6600001</v>
      </c>
      <c r="D67" s="30">
        <v>0.16270234419591001</v>
      </c>
      <c r="E67" s="30" t="s">
        <v>26</v>
      </c>
      <c r="F67" s="30" t="s">
        <v>26</v>
      </c>
      <c r="G67" s="29">
        <v>6793571905.3100004</v>
      </c>
      <c r="H67" s="30">
        <v>4.3202626339839997E-2</v>
      </c>
      <c r="I67" s="30" t="s">
        <v>26</v>
      </c>
      <c r="J67" s="30" t="s">
        <v>26</v>
      </c>
      <c r="K67" s="29">
        <v>736013480.16999996</v>
      </c>
      <c r="L67" s="30">
        <v>0.23631045642845</v>
      </c>
      <c r="M67" s="30" t="s">
        <v>26</v>
      </c>
      <c r="N67" s="30" t="s">
        <v>26</v>
      </c>
      <c r="O67" s="29">
        <v>10830792321.719999</v>
      </c>
      <c r="P67" s="30">
        <v>4.6302824342610002E-2</v>
      </c>
      <c r="Q67" s="30" t="s">
        <v>26</v>
      </c>
      <c r="R67" s="30" t="s">
        <v>26</v>
      </c>
      <c r="S67" s="29">
        <v>6248589564.54</v>
      </c>
      <c r="T67" s="30">
        <v>5.382127062586E-2</v>
      </c>
      <c r="U67" s="30" t="s">
        <v>26</v>
      </c>
      <c r="V67" s="30" t="s">
        <v>26</v>
      </c>
      <c r="W67" s="29" t="s">
        <v>26</v>
      </c>
      <c r="X67" s="30" t="s">
        <v>26</v>
      </c>
      <c r="Y67" s="30" t="s">
        <v>26</v>
      </c>
      <c r="Z67" s="30" t="s">
        <v>26</v>
      </c>
      <c r="AA67" s="29">
        <v>5211090220.2700005</v>
      </c>
      <c r="AB67" s="30">
        <v>3.6183030349830003E-2</v>
      </c>
      <c r="AC67" s="30" t="s">
        <v>26</v>
      </c>
      <c r="AD67" s="30" t="s">
        <v>26</v>
      </c>
      <c r="AE67" s="29">
        <v>30932789635.669998</v>
      </c>
      <c r="AF67" s="30">
        <v>4.6321270882859998E-2</v>
      </c>
      <c r="AG67" s="30" t="s">
        <v>26</v>
      </c>
      <c r="AH67" s="30" t="s">
        <v>26</v>
      </c>
      <c r="AI67" s="29">
        <v>1086955642.05</v>
      </c>
      <c r="AJ67" s="30">
        <v>6.2508325324259997E-2</v>
      </c>
      <c r="AK67" s="30" t="s">
        <v>26</v>
      </c>
      <c r="AL67" s="30" t="s">
        <v>26</v>
      </c>
      <c r="AM67" s="29">
        <v>2203353754.3299999</v>
      </c>
      <c r="AN67" s="30">
        <v>9.1302786955960002E-2</v>
      </c>
      <c r="AO67" s="30" t="s">
        <v>26</v>
      </c>
      <c r="AP67" s="30" t="s">
        <v>26</v>
      </c>
      <c r="AQ67" s="29">
        <v>3290309396.3800001</v>
      </c>
      <c r="AR67" s="30">
        <v>7.9243784323880004E-2</v>
      </c>
      <c r="AS67" s="30" t="s">
        <v>26</v>
      </c>
      <c r="AT67" s="30" t="s">
        <v>26</v>
      </c>
      <c r="AU67" s="29">
        <v>1484924244.9100001</v>
      </c>
      <c r="AV67" s="30">
        <v>3.1460118930990003E-2</v>
      </c>
      <c r="AW67" s="30" t="s">
        <v>26</v>
      </c>
      <c r="AX67" s="30" t="s">
        <v>26</v>
      </c>
      <c r="AY67" s="29">
        <v>35708023276.959999</v>
      </c>
      <c r="AZ67" s="30">
        <v>4.7201019027769998E-2</v>
      </c>
      <c r="BA67" s="30" t="s">
        <v>26</v>
      </c>
      <c r="BB67" s="30" t="s">
        <v>26</v>
      </c>
    </row>
    <row r="68" spans="1:54" s="28" customFormat="1">
      <c r="A68" s="5" t="s">
        <v>67</v>
      </c>
      <c r="B68" s="20" t="s">
        <v>25</v>
      </c>
      <c r="C68" s="9">
        <v>289315214.04000002</v>
      </c>
      <c r="D68" s="10">
        <v>4.230331963002E-2</v>
      </c>
      <c r="E68" s="10">
        <v>0.08</v>
      </c>
      <c r="F68" s="10">
        <v>3.7699999999999997E-2</v>
      </c>
      <c r="G68" s="9" t="s">
        <v>26</v>
      </c>
      <c r="H68" s="10" t="s">
        <v>26</v>
      </c>
      <c r="I68" s="10" t="s">
        <v>26</v>
      </c>
      <c r="J68" s="10" t="s">
        <v>26</v>
      </c>
      <c r="K68" s="9">
        <v>189710302.87</v>
      </c>
      <c r="L68" s="10">
        <v>6.0909928239400002E-2</v>
      </c>
      <c r="M68" s="10">
        <v>0.08</v>
      </c>
      <c r="N68" s="10">
        <v>1.9099999999999999E-2</v>
      </c>
      <c r="O68" s="9" t="s">
        <v>26</v>
      </c>
      <c r="P68" s="10" t="s">
        <v>26</v>
      </c>
      <c r="Q68" s="10" t="s">
        <v>26</v>
      </c>
      <c r="R68" s="10" t="s">
        <v>26</v>
      </c>
      <c r="S68" s="9">
        <v>486459386.73000002</v>
      </c>
      <c r="T68" s="10">
        <v>4.19004353403E-3</v>
      </c>
      <c r="U68" s="10">
        <v>0.08</v>
      </c>
      <c r="V68" s="10">
        <v>7.5800000000000006E-2</v>
      </c>
      <c r="W68" s="9" t="s">
        <v>26</v>
      </c>
      <c r="X68" s="10" t="s">
        <v>26</v>
      </c>
      <c r="Y68" s="10" t="s">
        <v>26</v>
      </c>
      <c r="Z68" s="10" t="s">
        <v>26</v>
      </c>
      <c r="AA68" s="9" t="s">
        <v>26</v>
      </c>
      <c r="AB68" s="10" t="s">
        <v>26</v>
      </c>
      <c r="AC68" s="10" t="s">
        <v>26</v>
      </c>
      <c r="AD68" s="10" t="s">
        <v>26</v>
      </c>
      <c r="AE68" s="9">
        <v>965484903.63999999</v>
      </c>
      <c r="AF68" s="10">
        <v>1.4457954902099999E-3</v>
      </c>
      <c r="AG68" s="10">
        <v>0.08</v>
      </c>
      <c r="AH68" s="10">
        <v>7.8600000000000003E-2</v>
      </c>
      <c r="AI68" s="9" t="s">
        <v>26</v>
      </c>
      <c r="AJ68" s="10" t="s">
        <v>26</v>
      </c>
      <c r="AK68" s="10" t="s">
        <v>26</v>
      </c>
      <c r="AL68" s="10" t="s">
        <v>26</v>
      </c>
      <c r="AM68" s="9" t="s">
        <v>26</v>
      </c>
      <c r="AN68" s="10" t="s">
        <v>26</v>
      </c>
      <c r="AO68" s="10" t="s">
        <v>26</v>
      </c>
      <c r="AP68" s="10" t="s">
        <v>26</v>
      </c>
      <c r="AQ68" s="9" t="s">
        <v>26</v>
      </c>
      <c r="AR68" s="10" t="s">
        <v>26</v>
      </c>
      <c r="AS68" s="10" t="s">
        <v>26</v>
      </c>
      <c r="AT68" s="10" t="s">
        <v>26</v>
      </c>
      <c r="AU68" s="9" t="s">
        <v>26</v>
      </c>
      <c r="AV68" s="10" t="s">
        <v>26</v>
      </c>
      <c r="AW68" s="10" t="s">
        <v>26</v>
      </c>
      <c r="AX68" s="10" t="s">
        <v>26</v>
      </c>
      <c r="AY68" s="9">
        <v>965484903.63999999</v>
      </c>
      <c r="AZ68" s="10">
        <v>1.2762361823900001E-3</v>
      </c>
      <c r="BA68" s="10">
        <v>0.08</v>
      </c>
      <c r="BB68" s="10">
        <v>7.8700000000000006E-2</v>
      </c>
    </row>
    <row r="69" spans="1:54" s="7" customFormat="1">
      <c r="A69" s="3" t="s">
        <v>68</v>
      </c>
      <c r="B69" s="23" t="s">
        <v>57</v>
      </c>
      <c r="C69" s="2">
        <v>289315214.04000002</v>
      </c>
      <c r="D69" s="1">
        <v>1</v>
      </c>
      <c r="E69" s="1" t="s">
        <v>26</v>
      </c>
      <c r="F69" s="1" t="s">
        <v>26</v>
      </c>
      <c r="G69" s="2" t="s">
        <v>26</v>
      </c>
      <c r="H69" s="1" t="s">
        <v>26</v>
      </c>
      <c r="I69" s="1" t="s">
        <v>26</v>
      </c>
      <c r="J69" s="1" t="s">
        <v>26</v>
      </c>
      <c r="K69" s="2">
        <v>189710302.87</v>
      </c>
      <c r="L69" s="1">
        <v>1</v>
      </c>
      <c r="M69" s="1" t="s">
        <v>26</v>
      </c>
      <c r="N69" s="1" t="s">
        <v>26</v>
      </c>
      <c r="O69" s="2" t="s">
        <v>26</v>
      </c>
      <c r="P69" s="1" t="s">
        <v>26</v>
      </c>
      <c r="Q69" s="1" t="s">
        <v>26</v>
      </c>
      <c r="R69" s="1" t="s">
        <v>26</v>
      </c>
      <c r="S69" s="2">
        <v>486459386.73000002</v>
      </c>
      <c r="T69" s="1">
        <v>1</v>
      </c>
      <c r="U69" s="1" t="s">
        <v>26</v>
      </c>
      <c r="V69" s="1" t="s">
        <v>26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2">
        <v>965484903.63999999</v>
      </c>
      <c r="AF69" s="1">
        <v>1</v>
      </c>
      <c r="AG69" s="1" t="s">
        <v>26</v>
      </c>
      <c r="AH69" s="1" t="s">
        <v>26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2">
        <v>965484903.63999999</v>
      </c>
      <c r="AZ69" s="1">
        <v>1</v>
      </c>
      <c r="BA69" s="1" t="s">
        <v>26</v>
      </c>
      <c r="BB69" s="1" t="s">
        <v>26</v>
      </c>
    </row>
    <row r="70" spans="1:54" s="7" customFormat="1">
      <c r="A70" s="5" t="s">
        <v>69</v>
      </c>
      <c r="B70" s="20" t="s">
        <v>25</v>
      </c>
      <c r="C70" s="9" t="s">
        <v>26</v>
      </c>
      <c r="D70" s="10" t="s">
        <v>26</v>
      </c>
      <c r="E70" s="10" t="s">
        <v>26</v>
      </c>
      <c r="F70" s="10" t="s">
        <v>26</v>
      </c>
      <c r="G70" s="9">
        <v>608976982.63999999</v>
      </c>
      <c r="H70" s="10">
        <v>3.8726910375399999E-3</v>
      </c>
      <c r="I70" s="10">
        <v>0.08</v>
      </c>
      <c r="J70" s="10">
        <v>7.6100000000000001E-2</v>
      </c>
      <c r="K70" s="9">
        <v>82684293.760000005</v>
      </c>
      <c r="L70" s="10">
        <v>2.6547289858570002E-2</v>
      </c>
      <c r="M70" s="10">
        <v>0.08</v>
      </c>
      <c r="N70" s="10">
        <v>5.3499999999999999E-2</v>
      </c>
      <c r="O70" s="9">
        <v>459138544.56</v>
      </c>
      <c r="P70" s="10">
        <v>1.96286760434E-3</v>
      </c>
      <c r="Q70" s="10">
        <v>2.87E-2</v>
      </c>
      <c r="R70" s="10">
        <v>2.6700000000000002E-2</v>
      </c>
      <c r="S70" s="9">
        <v>101276242</v>
      </c>
      <c r="T70" s="10">
        <v>8.7232742243000005E-4</v>
      </c>
      <c r="U70" s="10">
        <v>0.08</v>
      </c>
      <c r="V70" s="10">
        <v>7.9100000000000004E-2</v>
      </c>
      <c r="W70" s="9" t="s">
        <v>26</v>
      </c>
      <c r="X70" s="10" t="s">
        <v>26</v>
      </c>
      <c r="Y70" s="10" t="s">
        <v>26</v>
      </c>
      <c r="Z70" s="10" t="s">
        <v>26</v>
      </c>
      <c r="AA70" s="9">
        <v>41858921.159999996</v>
      </c>
      <c r="AB70" s="10">
        <v>2.9064601662000001E-4</v>
      </c>
      <c r="AC70" s="10">
        <v>0.08</v>
      </c>
      <c r="AD70" s="10">
        <v>7.9699999999999993E-2</v>
      </c>
      <c r="AE70" s="9">
        <v>1293934984.1199999</v>
      </c>
      <c r="AF70" s="10">
        <v>1.9376433102300001E-3</v>
      </c>
      <c r="AG70" s="10">
        <v>6.1800000000000001E-2</v>
      </c>
      <c r="AH70" s="10">
        <v>5.9900000000000002E-2</v>
      </c>
      <c r="AI70" s="9" t="s">
        <v>26</v>
      </c>
      <c r="AJ70" s="10" t="s">
        <v>26</v>
      </c>
      <c r="AK70" s="10" t="s">
        <v>26</v>
      </c>
      <c r="AL70" s="10" t="s">
        <v>26</v>
      </c>
      <c r="AM70" s="9" t="s">
        <v>26</v>
      </c>
      <c r="AN70" s="10" t="s">
        <v>26</v>
      </c>
      <c r="AO70" s="10" t="s">
        <v>26</v>
      </c>
      <c r="AP70" s="10" t="s">
        <v>26</v>
      </c>
      <c r="AQ70" s="9" t="s">
        <v>26</v>
      </c>
      <c r="AR70" s="10" t="s">
        <v>26</v>
      </c>
      <c r="AS70" s="10" t="s">
        <v>26</v>
      </c>
      <c r="AT70" s="10" t="s">
        <v>26</v>
      </c>
      <c r="AU70" s="9">
        <v>101276242</v>
      </c>
      <c r="AV70" s="10">
        <v>2.1456735110400001E-3</v>
      </c>
      <c r="AW70" s="10">
        <v>0.08</v>
      </c>
      <c r="AX70" s="10">
        <v>7.7899999999999997E-2</v>
      </c>
      <c r="AY70" s="9">
        <v>1395211226.1199999</v>
      </c>
      <c r="AZ70" s="10">
        <v>1.8442743559600001E-3</v>
      </c>
      <c r="BA70" s="10">
        <v>6.3100000000000003E-2</v>
      </c>
      <c r="BB70" s="10">
        <v>6.13E-2</v>
      </c>
    </row>
    <row r="71" spans="1:54" s="7" customFormat="1">
      <c r="A71" s="3" t="s">
        <v>68</v>
      </c>
      <c r="B71" s="23" t="s">
        <v>57</v>
      </c>
      <c r="C71" s="2" t="s">
        <v>26</v>
      </c>
      <c r="D71" s="1" t="s">
        <v>26</v>
      </c>
      <c r="E71" s="1" t="s">
        <v>26</v>
      </c>
      <c r="F71" s="1" t="s">
        <v>26</v>
      </c>
      <c r="G71" s="2">
        <v>608976982.63999999</v>
      </c>
      <c r="H71" s="1">
        <v>1</v>
      </c>
      <c r="I71" s="1" t="s">
        <v>26</v>
      </c>
      <c r="J71" s="1" t="s">
        <v>26</v>
      </c>
      <c r="K71" s="2">
        <v>82684293.760000005</v>
      </c>
      <c r="L71" s="1">
        <v>1</v>
      </c>
      <c r="M71" s="1" t="s">
        <v>26</v>
      </c>
      <c r="N71" s="1" t="s">
        <v>26</v>
      </c>
      <c r="O71" s="2">
        <v>164712124.59999999</v>
      </c>
      <c r="P71" s="1">
        <v>0.35874166207903002</v>
      </c>
      <c r="Q71" s="1" t="s">
        <v>26</v>
      </c>
      <c r="R71" s="1" t="s">
        <v>26</v>
      </c>
      <c r="S71" s="2">
        <v>101276242</v>
      </c>
      <c r="T71" s="1">
        <v>1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>
        <v>41858921.159999996</v>
      </c>
      <c r="AB71" s="1">
        <v>1</v>
      </c>
      <c r="AC71" s="1" t="s">
        <v>26</v>
      </c>
      <c r="AD71" s="1" t="s">
        <v>26</v>
      </c>
      <c r="AE71" s="2">
        <v>999508564.15999997</v>
      </c>
      <c r="AF71" s="1">
        <v>0.77245655803932001</v>
      </c>
      <c r="AG71" s="1" t="s">
        <v>26</v>
      </c>
      <c r="AH71" s="1" t="s">
        <v>26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>
        <v>101276242</v>
      </c>
      <c r="AV71" s="1">
        <v>1</v>
      </c>
      <c r="AW71" s="1" t="s">
        <v>26</v>
      </c>
      <c r="AX71" s="1" t="s">
        <v>26</v>
      </c>
      <c r="AY71" s="2">
        <v>1100784806.1600001</v>
      </c>
      <c r="AZ71" s="1">
        <v>0.78897358733360001</v>
      </c>
      <c r="BA71" s="1" t="s">
        <v>26</v>
      </c>
      <c r="BB71" s="1" t="s">
        <v>26</v>
      </c>
    </row>
    <row r="72" spans="1:54" customFormat="1">
      <c r="A72" s="3" t="s">
        <v>68</v>
      </c>
      <c r="B72" s="23" t="s">
        <v>116</v>
      </c>
      <c r="C72" s="2" t="s">
        <v>26</v>
      </c>
      <c r="D72" s="1" t="s">
        <v>26</v>
      </c>
      <c r="E72" s="1" t="s">
        <v>26</v>
      </c>
      <c r="F72" s="1" t="s">
        <v>26</v>
      </c>
      <c r="G72" s="2" t="s">
        <v>26</v>
      </c>
      <c r="H72" s="1" t="s">
        <v>26</v>
      </c>
      <c r="I72" s="1" t="s">
        <v>26</v>
      </c>
      <c r="J72" s="1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294426419.95999998</v>
      </c>
      <c r="P72" s="1">
        <v>0.64125833792096998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294426419.95999998</v>
      </c>
      <c r="AF72" s="1">
        <v>0.22754344196067999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294426419.95999998</v>
      </c>
      <c r="AZ72" s="1">
        <v>0.21102641266639999</v>
      </c>
      <c r="BA72" s="1" t="s">
        <v>26</v>
      </c>
      <c r="BB72" s="1" t="s">
        <v>26</v>
      </c>
    </row>
    <row r="73" spans="1:54" s="7" customFormat="1">
      <c r="A73" s="5" t="s">
        <v>70</v>
      </c>
      <c r="B73" s="20" t="s">
        <v>25</v>
      </c>
      <c r="C73" s="9" t="s">
        <v>26</v>
      </c>
      <c r="D73" s="10" t="s">
        <v>26</v>
      </c>
      <c r="E73" s="10" t="s">
        <v>26</v>
      </c>
      <c r="F73" s="10" t="s">
        <v>26</v>
      </c>
      <c r="G73" s="9">
        <v>521753761.06999999</v>
      </c>
      <c r="H73" s="10">
        <v>3.3180090083800001E-3</v>
      </c>
      <c r="I73" s="10">
        <v>0.09</v>
      </c>
      <c r="J73" s="10">
        <v>8.6699999999999999E-2</v>
      </c>
      <c r="K73" s="9" t="s">
        <v>26</v>
      </c>
      <c r="L73" s="10" t="s">
        <v>26</v>
      </c>
      <c r="M73" s="10" t="s">
        <v>26</v>
      </c>
      <c r="N73" s="10" t="s">
        <v>26</v>
      </c>
      <c r="O73" s="9">
        <v>1146503154.5599999</v>
      </c>
      <c r="P73" s="10">
        <v>4.90142665439E-3</v>
      </c>
      <c r="Q73" s="10">
        <v>0.09</v>
      </c>
      <c r="R73" s="10">
        <v>8.5099999999999995E-2</v>
      </c>
      <c r="S73" s="9">
        <v>525085563.43000001</v>
      </c>
      <c r="T73" s="10">
        <v>4.52274419998E-3</v>
      </c>
      <c r="U73" s="10">
        <v>0.09</v>
      </c>
      <c r="V73" s="10">
        <v>8.5500000000000007E-2</v>
      </c>
      <c r="W73" s="9" t="s">
        <v>26</v>
      </c>
      <c r="X73" s="10" t="s">
        <v>26</v>
      </c>
      <c r="Y73" s="10" t="s">
        <v>26</v>
      </c>
      <c r="Z73" s="10" t="s">
        <v>26</v>
      </c>
      <c r="AA73" s="9">
        <v>1395128289.28</v>
      </c>
      <c r="AB73" s="10">
        <v>9.6870265336399999E-3</v>
      </c>
      <c r="AC73" s="10">
        <v>0.09</v>
      </c>
      <c r="AD73" s="10">
        <v>8.0299999999999996E-2</v>
      </c>
      <c r="AE73" s="9">
        <v>3588470768.3400002</v>
      </c>
      <c r="AF73" s="10">
        <v>5.3736675053699997E-3</v>
      </c>
      <c r="AG73" s="10">
        <v>0.09</v>
      </c>
      <c r="AH73" s="10">
        <v>8.4599999999999995E-2</v>
      </c>
      <c r="AI73" s="9">
        <v>97359059.480000004</v>
      </c>
      <c r="AJ73" s="10">
        <v>5.59889615345E-3</v>
      </c>
      <c r="AK73" s="10">
        <v>0.09</v>
      </c>
      <c r="AL73" s="10">
        <v>8.4400000000000003E-2</v>
      </c>
      <c r="AM73" s="9">
        <v>13684372.67</v>
      </c>
      <c r="AN73" s="10">
        <v>5.6705436431000002E-4</v>
      </c>
      <c r="AO73" s="10">
        <v>0.09</v>
      </c>
      <c r="AP73" s="10">
        <v>8.9399999999999993E-2</v>
      </c>
      <c r="AQ73" s="9">
        <v>111043432.15000001</v>
      </c>
      <c r="AR73" s="10">
        <v>2.6743691026600001E-3</v>
      </c>
      <c r="AS73" s="10">
        <v>0.09</v>
      </c>
      <c r="AT73" s="10">
        <v>8.7300000000000003E-2</v>
      </c>
      <c r="AU73" s="9">
        <v>188864839.19</v>
      </c>
      <c r="AV73" s="10">
        <v>4.0013558423399997E-3</v>
      </c>
      <c r="AW73" s="10">
        <v>0.09</v>
      </c>
      <c r="AX73" s="10">
        <v>8.5999999999999993E-2</v>
      </c>
      <c r="AY73" s="9">
        <v>3888379039.6799998</v>
      </c>
      <c r="AZ73" s="10">
        <v>5.1398939564799998E-3</v>
      </c>
      <c r="BA73" s="10">
        <v>0.09</v>
      </c>
      <c r="BB73" s="10">
        <v>8.4900000000000003E-2</v>
      </c>
    </row>
    <row r="74" spans="1:54" s="7" customFormat="1">
      <c r="A74" s="3" t="s">
        <v>68</v>
      </c>
      <c r="B74" s="23" t="s">
        <v>40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521753761.06999999</v>
      </c>
      <c r="H74" s="1">
        <v>1</v>
      </c>
      <c r="I74" s="1" t="s">
        <v>26</v>
      </c>
      <c r="J74" s="1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1146503154.5599999</v>
      </c>
      <c r="P74" s="1">
        <v>1</v>
      </c>
      <c r="Q74" s="1" t="s">
        <v>26</v>
      </c>
      <c r="R74" s="1" t="s">
        <v>26</v>
      </c>
      <c r="S74" s="2">
        <v>525085563.43000001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1395128289.28</v>
      </c>
      <c r="AB74" s="1">
        <v>1</v>
      </c>
      <c r="AC74" s="1" t="s">
        <v>26</v>
      </c>
      <c r="AD74" s="1" t="s">
        <v>26</v>
      </c>
      <c r="AE74" s="2">
        <v>3588470768.3400002</v>
      </c>
      <c r="AF74" s="1">
        <v>1</v>
      </c>
      <c r="AG74" s="1" t="s">
        <v>26</v>
      </c>
      <c r="AH74" s="1" t="s">
        <v>26</v>
      </c>
      <c r="AI74" s="2">
        <v>97359059.480000004</v>
      </c>
      <c r="AJ74" s="1">
        <v>1</v>
      </c>
      <c r="AK74" s="1" t="s">
        <v>26</v>
      </c>
      <c r="AL74" s="1" t="s">
        <v>26</v>
      </c>
      <c r="AM74" s="2">
        <v>13684372.67</v>
      </c>
      <c r="AN74" s="1">
        <v>1</v>
      </c>
      <c r="AO74" s="1" t="s">
        <v>26</v>
      </c>
      <c r="AP74" s="1" t="s">
        <v>26</v>
      </c>
      <c r="AQ74" s="2">
        <v>111043432.15000001</v>
      </c>
      <c r="AR74" s="1">
        <v>1</v>
      </c>
      <c r="AS74" s="1" t="s">
        <v>26</v>
      </c>
      <c r="AT74" s="1" t="s">
        <v>26</v>
      </c>
      <c r="AU74" s="2">
        <v>188864839.19</v>
      </c>
      <c r="AV74" s="1">
        <v>1</v>
      </c>
      <c r="AW74" s="1" t="s">
        <v>26</v>
      </c>
      <c r="AX74" s="1" t="s">
        <v>26</v>
      </c>
      <c r="AY74" s="2">
        <v>3888379039.6799998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71</v>
      </c>
      <c r="B75" s="20" t="s">
        <v>25</v>
      </c>
      <c r="C75" s="9">
        <v>351289265.74000001</v>
      </c>
      <c r="D75" s="10">
        <v>5.1365090289170003E-2</v>
      </c>
      <c r="E75" s="10">
        <v>0.08</v>
      </c>
      <c r="F75" s="10">
        <v>2.86E-2</v>
      </c>
      <c r="G75" s="9">
        <v>464027222.13999999</v>
      </c>
      <c r="H75" s="10">
        <v>2.9509063816600001E-3</v>
      </c>
      <c r="I75" s="10">
        <v>0.08</v>
      </c>
      <c r="J75" s="10">
        <v>7.6999999999999999E-2</v>
      </c>
      <c r="K75" s="9">
        <v>164923275.62</v>
      </c>
      <c r="L75" s="10">
        <v>5.2951604267399997E-2</v>
      </c>
      <c r="M75" s="10">
        <v>0.08</v>
      </c>
      <c r="N75" s="10">
        <v>2.7E-2</v>
      </c>
      <c r="O75" s="9">
        <v>1453645277.05</v>
      </c>
      <c r="P75" s="10">
        <v>6.2144928940000002E-3</v>
      </c>
      <c r="Q75" s="10">
        <v>0.08</v>
      </c>
      <c r="R75" s="10">
        <v>7.3800000000000004E-2</v>
      </c>
      <c r="S75" s="9">
        <v>317341931.82999998</v>
      </c>
      <c r="T75" s="10">
        <v>2.7333761991499999E-3</v>
      </c>
      <c r="U75" s="10">
        <v>0.08</v>
      </c>
      <c r="V75" s="10">
        <v>7.7299999999999994E-2</v>
      </c>
      <c r="W75" s="9" t="s">
        <v>26</v>
      </c>
      <c r="X75" s="10" t="s">
        <v>26</v>
      </c>
      <c r="Y75" s="10" t="s">
        <v>26</v>
      </c>
      <c r="Z75" s="10" t="s">
        <v>26</v>
      </c>
      <c r="AA75" s="9" t="s">
        <v>26</v>
      </c>
      <c r="AB75" s="10" t="s">
        <v>26</v>
      </c>
      <c r="AC75" s="10" t="s">
        <v>26</v>
      </c>
      <c r="AD75" s="10" t="s">
        <v>26</v>
      </c>
      <c r="AE75" s="9">
        <v>2751226972.3800001</v>
      </c>
      <c r="AF75" s="10">
        <v>4.1199106627300003E-3</v>
      </c>
      <c r="AG75" s="10">
        <v>0.08</v>
      </c>
      <c r="AH75" s="10">
        <v>7.5899999999999995E-2</v>
      </c>
      <c r="AI75" s="9" t="s">
        <v>26</v>
      </c>
      <c r="AJ75" s="10" t="s">
        <v>26</v>
      </c>
      <c r="AK75" s="10" t="s">
        <v>26</v>
      </c>
      <c r="AL75" s="10" t="s">
        <v>26</v>
      </c>
      <c r="AM75" s="9" t="s">
        <v>26</v>
      </c>
      <c r="AN75" s="10" t="s">
        <v>26</v>
      </c>
      <c r="AO75" s="10" t="s">
        <v>26</v>
      </c>
      <c r="AP75" s="10" t="s">
        <v>26</v>
      </c>
      <c r="AQ75" s="9" t="s">
        <v>26</v>
      </c>
      <c r="AR75" s="10" t="s">
        <v>26</v>
      </c>
      <c r="AS75" s="10" t="s">
        <v>26</v>
      </c>
      <c r="AT75" s="10" t="s">
        <v>26</v>
      </c>
      <c r="AU75" s="9" t="s">
        <v>26</v>
      </c>
      <c r="AV75" s="10" t="s">
        <v>26</v>
      </c>
      <c r="AW75" s="10" t="s">
        <v>26</v>
      </c>
      <c r="AX75" s="10" t="s">
        <v>26</v>
      </c>
      <c r="AY75" s="9">
        <v>2751226972.3800001</v>
      </c>
      <c r="AZ75" s="10">
        <v>3.6367377624299999E-3</v>
      </c>
      <c r="BA75" s="10">
        <v>0.08</v>
      </c>
      <c r="BB75" s="10">
        <v>7.6399999999999996E-2</v>
      </c>
    </row>
    <row r="76" spans="1:54" s="7" customFormat="1">
      <c r="A76" s="3" t="s">
        <v>68</v>
      </c>
      <c r="B76" s="23" t="s">
        <v>57</v>
      </c>
      <c r="C76" s="2">
        <v>351289265.74000001</v>
      </c>
      <c r="D76" s="1">
        <v>1</v>
      </c>
      <c r="E76" s="1" t="s">
        <v>26</v>
      </c>
      <c r="F76" s="1" t="s">
        <v>26</v>
      </c>
      <c r="G76" s="2">
        <v>464027222.13999999</v>
      </c>
      <c r="H76" s="1">
        <v>1</v>
      </c>
      <c r="I76" s="1" t="s">
        <v>26</v>
      </c>
      <c r="J76" s="1" t="s">
        <v>26</v>
      </c>
      <c r="K76" s="2">
        <v>164923275.62</v>
      </c>
      <c r="L76" s="1">
        <v>1</v>
      </c>
      <c r="M76" s="1" t="s">
        <v>26</v>
      </c>
      <c r="N76" s="1" t="s">
        <v>26</v>
      </c>
      <c r="O76" s="2">
        <v>1453645277.05</v>
      </c>
      <c r="P76" s="1">
        <v>1</v>
      </c>
      <c r="Q76" s="1" t="s">
        <v>26</v>
      </c>
      <c r="R76" s="1" t="s">
        <v>26</v>
      </c>
      <c r="S76" s="2">
        <v>317341931.82999998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2751226972.3800001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 t="s">
        <v>26</v>
      </c>
      <c r="AR76" s="1" t="s">
        <v>26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2751226972.3800001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72</v>
      </c>
      <c r="B77" s="20" t="s">
        <v>25</v>
      </c>
      <c r="C77" s="9" t="s">
        <v>26</v>
      </c>
      <c r="D77" s="10" t="s">
        <v>26</v>
      </c>
      <c r="E77" s="10" t="s">
        <v>26</v>
      </c>
      <c r="F77" s="10" t="s">
        <v>26</v>
      </c>
      <c r="G77" s="9">
        <v>2627984831.8899999</v>
      </c>
      <c r="H77" s="10">
        <v>1.671224626771E-2</v>
      </c>
      <c r="I77" s="10">
        <v>0.09</v>
      </c>
      <c r="J77" s="10">
        <v>7.3300000000000004E-2</v>
      </c>
      <c r="K77" s="9" t="s">
        <v>26</v>
      </c>
      <c r="L77" s="10" t="s">
        <v>26</v>
      </c>
      <c r="M77" s="10" t="s">
        <v>26</v>
      </c>
      <c r="N77" s="10" t="s">
        <v>26</v>
      </c>
      <c r="O77" s="9">
        <v>2224688266.75</v>
      </c>
      <c r="P77" s="10">
        <v>9.5107861892799999E-3</v>
      </c>
      <c r="Q77" s="10">
        <v>0.09</v>
      </c>
      <c r="R77" s="10">
        <v>8.0500000000000002E-2</v>
      </c>
      <c r="S77" s="9">
        <v>1390484672.8</v>
      </c>
      <c r="T77" s="10">
        <v>1.1976727084229999E-2</v>
      </c>
      <c r="U77" s="10">
        <v>0.09</v>
      </c>
      <c r="V77" s="10">
        <v>7.8E-2</v>
      </c>
      <c r="W77" s="9" t="s">
        <v>26</v>
      </c>
      <c r="X77" s="10" t="s">
        <v>26</v>
      </c>
      <c r="Y77" s="10" t="s">
        <v>26</v>
      </c>
      <c r="Z77" s="10" t="s">
        <v>26</v>
      </c>
      <c r="AA77" s="9">
        <v>1847740087.4300001</v>
      </c>
      <c r="AB77" s="10">
        <v>1.282972138959E-2</v>
      </c>
      <c r="AC77" s="10">
        <v>0.09</v>
      </c>
      <c r="AD77" s="10">
        <v>7.7200000000000005E-2</v>
      </c>
      <c r="AE77" s="9">
        <v>8090897858.8699999</v>
      </c>
      <c r="AF77" s="10">
        <v>1.211596741906E-2</v>
      </c>
      <c r="AG77" s="10">
        <v>0.09</v>
      </c>
      <c r="AH77" s="10">
        <v>7.7899999999999997E-2</v>
      </c>
      <c r="AI77" s="9">
        <v>16379383.890000001</v>
      </c>
      <c r="AJ77" s="10">
        <v>9.4194079058999998E-4</v>
      </c>
      <c r="AK77" s="10">
        <v>0.09</v>
      </c>
      <c r="AL77" s="10">
        <v>8.9099999999999999E-2</v>
      </c>
      <c r="AM77" s="9">
        <v>117070796.90000001</v>
      </c>
      <c r="AN77" s="10">
        <v>4.8511910568700004E-3</v>
      </c>
      <c r="AO77" s="10">
        <v>0.09</v>
      </c>
      <c r="AP77" s="10">
        <v>8.5099999999999995E-2</v>
      </c>
      <c r="AQ77" s="9">
        <v>133450180.79000001</v>
      </c>
      <c r="AR77" s="10">
        <v>3.2140130518200001E-3</v>
      </c>
      <c r="AS77" s="10">
        <v>0.09</v>
      </c>
      <c r="AT77" s="10">
        <v>8.6800000000000002E-2</v>
      </c>
      <c r="AU77" s="9">
        <v>485083099.22000003</v>
      </c>
      <c r="AV77" s="10">
        <v>1.027713840971E-2</v>
      </c>
      <c r="AW77" s="10">
        <v>0.09</v>
      </c>
      <c r="AX77" s="10">
        <v>7.9699999999999993E-2</v>
      </c>
      <c r="AY77" s="9">
        <v>8709431138.8799992</v>
      </c>
      <c r="AZ77" s="10">
        <v>1.151265142063E-2</v>
      </c>
      <c r="BA77" s="10">
        <v>0.09</v>
      </c>
      <c r="BB77" s="10">
        <v>7.85E-2</v>
      </c>
    </row>
    <row r="78" spans="1:54" s="7" customFormat="1">
      <c r="A78" s="3" t="s">
        <v>68</v>
      </c>
      <c r="B78" s="23" t="s">
        <v>40</v>
      </c>
      <c r="C78" s="2" t="s">
        <v>26</v>
      </c>
      <c r="D78" s="1" t="s">
        <v>26</v>
      </c>
      <c r="E78" s="1" t="s">
        <v>26</v>
      </c>
      <c r="F78" s="1" t="s">
        <v>26</v>
      </c>
      <c r="G78" s="2">
        <v>2627984831.8899999</v>
      </c>
      <c r="H78" s="1">
        <v>1</v>
      </c>
      <c r="I78" s="1" t="s">
        <v>26</v>
      </c>
      <c r="J78" s="1" t="s">
        <v>26</v>
      </c>
      <c r="K78" s="2" t="s">
        <v>26</v>
      </c>
      <c r="L78" s="1" t="s">
        <v>26</v>
      </c>
      <c r="M78" s="1" t="s">
        <v>26</v>
      </c>
      <c r="N78" s="1" t="s">
        <v>26</v>
      </c>
      <c r="O78" s="2">
        <v>2224688266.75</v>
      </c>
      <c r="P78" s="1">
        <v>1</v>
      </c>
      <c r="Q78" s="1" t="s">
        <v>26</v>
      </c>
      <c r="R78" s="1" t="s">
        <v>26</v>
      </c>
      <c r="S78" s="2">
        <v>1390484672.8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>
        <v>1847740087.4300001</v>
      </c>
      <c r="AB78" s="1">
        <v>1</v>
      </c>
      <c r="AC78" s="1" t="s">
        <v>26</v>
      </c>
      <c r="AD78" s="1" t="s">
        <v>26</v>
      </c>
      <c r="AE78" s="2">
        <v>8090897858.8699999</v>
      </c>
      <c r="AF78" s="1">
        <v>1</v>
      </c>
      <c r="AG78" s="1" t="s">
        <v>26</v>
      </c>
      <c r="AH78" s="1" t="s">
        <v>26</v>
      </c>
      <c r="AI78" s="2">
        <v>16379383.890000001</v>
      </c>
      <c r="AJ78" s="1">
        <v>1</v>
      </c>
      <c r="AK78" s="1" t="s">
        <v>26</v>
      </c>
      <c r="AL78" s="1" t="s">
        <v>26</v>
      </c>
      <c r="AM78" s="2">
        <v>117070796.90000001</v>
      </c>
      <c r="AN78" s="1">
        <v>1</v>
      </c>
      <c r="AO78" s="1" t="s">
        <v>26</v>
      </c>
      <c r="AP78" s="1" t="s">
        <v>26</v>
      </c>
      <c r="AQ78" s="2">
        <v>133450180.79000001</v>
      </c>
      <c r="AR78" s="1">
        <v>1</v>
      </c>
      <c r="AS78" s="1" t="s">
        <v>26</v>
      </c>
      <c r="AT78" s="1" t="s">
        <v>26</v>
      </c>
      <c r="AU78" s="2">
        <v>485083099.22000003</v>
      </c>
      <c r="AV78" s="1">
        <v>1</v>
      </c>
      <c r="AW78" s="1" t="s">
        <v>26</v>
      </c>
      <c r="AX78" s="1" t="s">
        <v>26</v>
      </c>
      <c r="AY78" s="2">
        <v>8709431138.8799992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73</v>
      </c>
      <c r="B79" s="20" t="s">
        <v>25</v>
      </c>
      <c r="C79" s="9">
        <v>87625888.659999996</v>
      </c>
      <c r="D79" s="10">
        <v>1.2812551141319999E-2</v>
      </c>
      <c r="E79" s="10">
        <v>0.08</v>
      </c>
      <c r="F79" s="10">
        <v>6.7199999999999996E-2</v>
      </c>
      <c r="G79" s="9">
        <v>222005114.69999999</v>
      </c>
      <c r="H79" s="10">
        <v>1.4118057701599999E-3</v>
      </c>
      <c r="I79" s="10">
        <v>0.08</v>
      </c>
      <c r="J79" s="10">
        <v>7.8600000000000003E-2</v>
      </c>
      <c r="K79" s="9">
        <v>105572163.42</v>
      </c>
      <c r="L79" s="10">
        <v>3.3895854894070002E-2</v>
      </c>
      <c r="M79" s="10">
        <v>0.08</v>
      </c>
      <c r="N79" s="10">
        <v>4.6100000000000002E-2</v>
      </c>
      <c r="O79" s="9">
        <v>2739806993.3499999</v>
      </c>
      <c r="P79" s="10">
        <v>1.1712975207860001E-2</v>
      </c>
      <c r="Q79" s="10">
        <v>0.08</v>
      </c>
      <c r="R79" s="10">
        <v>6.83E-2</v>
      </c>
      <c r="S79" s="9">
        <v>2891108649.5799999</v>
      </c>
      <c r="T79" s="10">
        <v>2.4902122219839999E-2</v>
      </c>
      <c r="U79" s="10">
        <v>0.08</v>
      </c>
      <c r="V79" s="10">
        <v>5.5100000000000003E-2</v>
      </c>
      <c r="W79" s="9" t="s">
        <v>26</v>
      </c>
      <c r="X79" s="10" t="s">
        <v>26</v>
      </c>
      <c r="Y79" s="10" t="s">
        <v>26</v>
      </c>
      <c r="Z79" s="10" t="s">
        <v>26</v>
      </c>
      <c r="AA79" s="9">
        <v>1885307195.2</v>
      </c>
      <c r="AB79" s="10">
        <v>1.309056734373E-2</v>
      </c>
      <c r="AC79" s="10">
        <v>0.08</v>
      </c>
      <c r="AD79" s="10">
        <v>6.6900000000000001E-2</v>
      </c>
      <c r="AE79" s="9">
        <v>7931426004.9099998</v>
      </c>
      <c r="AF79" s="10">
        <v>1.187716131613E-2</v>
      </c>
      <c r="AG79" s="10">
        <v>0.08</v>
      </c>
      <c r="AH79" s="10">
        <v>6.8099999999999994E-2</v>
      </c>
      <c r="AI79" s="9">
        <v>614465979.17999995</v>
      </c>
      <c r="AJ79" s="10">
        <v>3.5336528779439998E-2</v>
      </c>
      <c r="AK79" s="10">
        <v>0.08</v>
      </c>
      <c r="AL79" s="10">
        <v>4.4699999999999997E-2</v>
      </c>
      <c r="AM79" s="9">
        <v>1692336976.5799999</v>
      </c>
      <c r="AN79" s="10">
        <v>7.0127224067730004E-2</v>
      </c>
      <c r="AO79" s="10">
        <v>0.08</v>
      </c>
      <c r="AP79" s="10">
        <v>9.9000000000000008E-3</v>
      </c>
      <c r="AQ79" s="9">
        <v>2306802955.7600002</v>
      </c>
      <c r="AR79" s="10">
        <v>5.5557023331930001E-2</v>
      </c>
      <c r="AS79" s="10">
        <v>0.08</v>
      </c>
      <c r="AT79" s="10">
        <v>2.4400000000000002E-2</v>
      </c>
      <c r="AU79" s="9">
        <v>709700064.5</v>
      </c>
      <c r="AV79" s="10">
        <v>1.50359511679E-2</v>
      </c>
      <c r="AW79" s="10">
        <v>0.08</v>
      </c>
      <c r="AX79" s="10">
        <v>6.5000000000000002E-2</v>
      </c>
      <c r="AY79" s="9">
        <v>10947929025.17</v>
      </c>
      <c r="AZ79" s="10">
        <v>1.4471632949929999E-2</v>
      </c>
      <c r="BA79" s="10">
        <v>0.08</v>
      </c>
      <c r="BB79" s="10">
        <v>6.5500000000000003E-2</v>
      </c>
    </row>
    <row r="80" spans="1:54" s="7" customFormat="1">
      <c r="A80" s="3" t="s">
        <v>68</v>
      </c>
      <c r="B80" s="23" t="s">
        <v>57</v>
      </c>
      <c r="C80" s="2">
        <v>87625888.659999996</v>
      </c>
      <c r="D80" s="1">
        <v>1</v>
      </c>
      <c r="E80" s="1" t="s">
        <v>26</v>
      </c>
      <c r="F80" s="1" t="s">
        <v>26</v>
      </c>
      <c r="G80" s="2">
        <v>222005114.69999999</v>
      </c>
      <c r="H80" s="1">
        <v>1</v>
      </c>
      <c r="I80" s="1" t="s">
        <v>26</v>
      </c>
      <c r="J80" s="1" t="s">
        <v>26</v>
      </c>
      <c r="K80" s="2">
        <v>105572163.42</v>
      </c>
      <c r="L80" s="1">
        <v>1</v>
      </c>
      <c r="M80" s="1" t="s">
        <v>26</v>
      </c>
      <c r="N80" s="1" t="s">
        <v>26</v>
      </c>
      <c r="O80" s="2">
        <v>2739806993.3499999</v>
      </c>
      <c r="P80" s="1">
        <v>1</v>
      </c>
      <c r="Q80" s="1" t="s">
        <v>26</v>
      </c>
      <c r="R80" s="1" t="s">
        <v>26</v>
      </c>
      <c r="S80" s="2">
        <v>2891108649.5799999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>
        <v>1885307195.2</v>
      </c>
      <c r="AB80" s="1">
        <v>1</v>
      </c>
      <c r="AC80" s="1" t="s">
        <v>26</v>
      </c>
      <c r="AD80" s="1" t="s">
        <v>26</v>
      </c>
      <c r="AE80" s="2">
        <v>7931426004.9099998</v>
      </c>
      <c r="AF80" s="1">
        <v>1</v>
      </c>
      <c r="AG80" s="1" t="s">
        <v>26</v>
      </c>
      <c r="AH80" s="1" t="s">
        <v>26</v>
      </c>
      <c r="AI80" s="2">
        <v>614465979.17999995</v>
      </c>
      <c r="AJ80" s="1">
        <v>1</v>
      </c>
      <c r="AK80" s="1" t="s">
        <v>26</v>
      </c>
      <c r="AL80" s="1" t="s">
        <v>26</v>
      </c>
      <c r="AM80" s="2">
        <v>1692336976.5799999</v>
      </c>
      <c r="AN80" s="1">
        <v>1</v>
      </c>
      <c r="AO80" s="1" t="s">
        <v>26</v>
      </c>
      <c r="AP80" s="1" t="s">
        <v>26</v>
      </c>
      <c r="AQ80" s="2">
        <v>2306802955.7600002</v>
      </c>
      <c r="AR80" s="1">
        <v>1</v>
      </c>
      <c r="AS80" s="1" t="s">
        <v>26</v>
      </c>
      <c r="AT80" s="1" t="s">
        <v>26</v>
      </c>
      <c r="AU80" s="2">
        <v>709700064.5</v>
      </c>
      <c r="AV80" s="1">
        <v>1</v>
      </c>
      <c r="AW80" s="1" t="s">
        <v>26</v>
      </c>
      <c r="AX80" s="1" t="s">
        <v>26</v>
      </c>
      <c r="AY80" s="2">
        <v>10947929025.17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74</v>
      </c>
      <c r="B81" s="20" t="s">
        <v>25</v>
      </c>
      <c r="C81" s="9">
        <v>258794799.94999999</v>
      </c>
      <c r="D81" s="10">
        <v>3.7840661705949998E-2</v>
      </c>
      <c r="E81" s="10">
        <v>0.08</v>
      </c>
      <c r="F81" s="10">
        <v>4.2200000000000001E-2</v>
      </c>
      <c r="G81" s="9">
        <v>878375312.02999997</v>
      </c>
      <c r="H81" s="10">
        <v>5.58588632323E-3</v>
      </c>
      <c r="I81" s="10">
        <v>0.08</v>
      </c>
      <c r="J81" s="10">
        <v>7.4399999999999994E-2</v>
      </c>
      <c r="K81" s="9">
        <v>108546277.7</v>
      </c>
      <c r="L81" s="10">
        <v>3.4850748142509998E-2</v>
      </c>
      <c r="M81" s="10">
        <v>0.08</v>
      </c>
      <c r="N81" s="10">
        <v>4.5100000000000001E-2</v>
      </c>
      <c r="O81" s="9">
        <v>1875402320.6600001</v>
      </c>
      <c r="P81" s="10">
        <v>8.0175504843799997E-3</v>
      </c>
      <c r="Q81" s="10">
        <v>0.08</v>
      </c>
      <c r="R81" s="10">
        <v>7.1999999999999995E-2</v>
      </c>
      <c r="S81" s="9" t="s">
        <v>26</v>
      </c>
      <c r="T81" s="10" t="s">
        <v>26</v>
      </c>
      <c r="U81" s="10" t="s">
        <v>26</v>
      </c>
      <c r="V81" s="10" t="s">
        <v>26</v>
      </c>
      <c r="W81" s="9" t="s">
        <v>26</v>
      </c>
      <c r="X81" s="10" t="s">
        <v>26</v>
      </c>
      <c r="Y81" s="10" t="s">
        <v>26</v>
      </c>
      <c r="Z81" s="10" t="s">
        <v>26</v>
      </c>
      <c r="AA81" s="9" t="s">
        <v>26</v>
      </c>
      <c r="AB81" s="10" t="s">
        <v>26</v>
      </c>
      <c r="AC81" s="10" t="s">
        <v>26</v>
      </c>
      <c r="AD81" s="10" t="s">
        <v>26</v>
      </c>
      <c r="AE81" s="9">
        <v>3121118710.3400002</v>
      </c>
      <c r="AF81" s="10">
        <v>4.6738165856399999E-3</v>
      </c>
      <c r="AG81" s="10">
        <v>0.08</v>
      </c>
      <c r="AH81" s="10">
        <v>7.5300000000000006E-2</v>
      </c>
      <c r="AI81" s="9" t="s">
        <v>26</v>
      </c>
      <c r="AJ81" s="10" t="s">
        <v>26</v>
      </c>
      <c r="AK81" s="10" t="s">
        <v>26</v>
      </c>
      <c r="AL81" s="10" t="s">
        <v>26</v>
      </c>
      <c r="AM81" s="9">
        <v>380261608.18000001</v>
      </c>
      <c r="AN81" s="10">
        <v>1.5757317467049999E-2</v>
      </c>
      <c r="AO81" s="10">
        <v>0.08</v>
      </c>
      <c r="AP81" s="10">
        <v>6.4199999999999993E-2</v>
      </c>
      <c r="AQ81" s="9">
        <v>380261608.18000001</v>
      </c>
      <c r="AR81" s="10">
        <v>9.1582174303800005E-3</v>
      </c>
      <c r="AS81" s="10">
        <v>0.08</v>
      </c>
      <c r="AT81" s="10">
        <v>7.0800000000000002E-2</v>
      </c>
      <c r="AU81" s="9" t="s">
        <v>26</v>
      </c>
      <c r="AV81" s="10" t="s">
        <v>26</v>
      </c>
      <c r="AW81" s="10" t="s">
        <v>26</v>
      </c>
      <c r="AX81" s="10" t="s">
        <v>26</v>
      </c>
      <c r="AY81" s="9">
        <v>3501380318.52</v>
      </c>
      <c r="AZ81" s="10">
        <v>4.6283357036000002E-3</v>
      </c>
      <c r="BA81" s="10">
        <v>0.08</v>
      </c>
      <c r="BB81" s="10">
        <v>7.5399999999999995E-2</v>
      </c>
    </row>
    <row r="82" spans="1:54" s="7" customFormat="1">
      <c r="A82" s="3" t="s">
        <v>68</v>
      </c>
      <c r="B82" s="23" t="s">
        <v>57</v>
      </c>
      <c r="C82" s="2">
        <v>258794799.94999999</v>
      </c>
      <c r="D82" s="1">
        <v>1</v>
      </c>
      <c r="E82" s="1" t="s">
        <v>26</v>
      </c>
      <c r="F82" s="1" t="s">
        <v>26</v>
      </c>
      <c r="G82" s="2">
        <v>878375312.02999997</v>
      </c>
      <c r="H82" s="1">
        <v>1</v>
      </c>
      <c r="I82" s="1" t="s">
        <v>26</v>
      </c>
      <c r="J82" s="1" t="s">
        <v>26</v>
      </c>
      <c r="K82" s="2">
        <v>108546277.7</v>
      </c>
      <c r="L82" s="1">
        <v>1</v>
      </c>
      <c r="M82" s="1" t="s">
        <v>26</v>
      </c>
      <c r="N82" s="1" t="s">
        <v>26</v>
      </c>
      <c r="O82" s="2">
        <v>1875402320.6600001</v>
      </c>
      <c r="P82" s="1">
        <v>1</v>
      </c>
      <c r="Q82" s="1" t="s">
        <v>26</v>
      </c>
      <c r="R82" s="1" t="s">
        <v>26</v>
      </c>
      <c r="S82" s="2" t="s">
        <v>26</v>
      </c>
      <c r="T82" s="1" t="s">
        <v>26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3121118710.3400002</v>
      </c>
      <c r="AF82" s="1">
        <v>1</v>
      </c>
      <c r="AG82" s="1" t="s">
        <v>26</v>
      </c>
      <c r="AH82" s="1" t="s">
        <v>26</v>
      </c>
      <c r="AI82" s="2" t="s">
        <v>26</v>
      </c>
      <c r="AJ82" s="1" t="s">
        <v>26</v>
      </c>
      <c r="AK82" s="1" t="s">
        <v>26</v>
      </c>
      <c r="AL82" s="1" t="s">
        <v>26</v>
      </c>
      <c r="AM82" s="2">
        <v>380261608.18000001</v>
      </c>
      <c r="AN82" s="1">
        <v>1</v>
      </c>
      <c r="AO82" s="1" t="s">
        <v>26</v>
      </c>
      <c r="AP82" s="1" t="s">
        <v>26</v>
      </c>
      <c r="AQ82" s="2">
        <v>380261608.18000001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3501380318.52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75</v>
      </c>
      <c r="B83" s="20" t="s">
        <v>25</v>
      </c>
      <c r="C83" s="9">
        <v>88422113.170000002</v>
      </c>
      <c r="D83" s="10">
        <v>1.2928974123269999E-2</v>
      </c>
      <c r="E83" s="10">
        <v>0.06</v>
      </c>
      <c r="F83" s="10">
        <v>4.7100000000000003E-2</v>
      </c>
      <c r="G83" s="9">
        <v>657812609.74000001</v>
      </c>
      <c r="H83" s="10">
        <v>4.1832533424799997E-3</v>
      </c>
      <c r="I83" s="10">
        <v>0.06</v>
      </c>
      <c r="J83" s="10">
        <v>5.5800000000000002E-2</v>
      </c>
      <c r="K83" s="9">
        <v>33675930.299999997</v>
      </c>
      <c r="L83" s="10">
        <v>1.0812267267180001E-2</v>
      </c>
      <c r="M83" s="10">
        <v>0.06</v>
      </c>
      <c r="N83" s="10">
        <v>4.9200000000000001E-2</v>
      </c>
      <c r="O83" s="9">
        <v>504725136.05000001</v>
      </c>
      <c r="P83" s="10">
        <v>2.1577552797299999E-3</v>
      </c>
      <c r="Q83" s="10">
        <v>0.06</v>
      </c>
      <c r="R83" s="10">
        <v>5.7799999999999997E-2</v>
      </c>
      <c r="S83" s="9">
        <v>330213896.17000002</v>
      </c>
      <c r="T83" s="10">
        <v>2.8442468955E-3</v>
      </c>
      <c r="U83" s="10">
        <v>0.06</v>
      </c>
      <c r="V83" s="10">
        <v>5.7200000000000001E-2</v>
      </c>
      <c r="W83" s="9" t="s">
        <v>26</v>
      </c>
      <c r="X83" s="10" t="s">
        <v>26</v>
      </c>
      <c r="Y83" s="10" t="s">
        <v>26</v>
      </c>
      <c r="Z83" s="10" t="s">
        <v>26</v>
      </c>
      <c r="AA83" s="9">
        <v>41055727.200000003</v>
      </c>
      <c r="AB83" s="10">
        <v>2.8506906625999997E-4</v>
      </c>
      <c r="AC83" s="10">
        <v>0.06</v>
      </c>
      <c r="AD83" s="10">
        <v>5.9700000000000003E-2</v>
      </c>
      <c r="AE83" s="9">
        <v>1655905412.6300001</v>
      </c>
      <c r="AF83" s="10">
        <v>2.4796872211699998E-3</v>
      </c>
      <c r="AG83" s="10">
        <v>0.06</v>
      </c>
      <c r="AH83" s="10">
        <v>5.7500000000000002E-2</v>
      </c>
      <c r="AI83" s="9">
        <v>229897367.5</v>
      </c>
      <c r="AJ83" s="10">
        <v>1.322087018361E-2</v>
      </c>
      <c r="AK83" s="10">
        <v>0.06</v>
      </c>
      <c r="AL83" s="10">
        <v>4.6800000000000001E-2</v>
      </c>
      <c r="AM83" s="9" t="s">
        <v>26</v>
      </c>
      <c r="AN83" s="10" t="s">
        <v>26</v>
      </c>
      <c r="AO83" s="10" t="s">
        <v>26</v>
      </c>
      <c r="AP83" s="10" t="s">
        <v>26</v>
      </c>
      <c r="AQ83" s="9">
        <v>229897367.5</v>
      </c>
      <c r="AR83" s="10">
        <v>5.53684629988E-3</v>
      </c>
      <c r="AS83" s="10">
        <v>0.06</v>
      </c>
      <c r="AT83" s="10">
        <v>5.45E-2</v>
      </c>
      <c r="AU83" s="9" t="s">
        <v>26</v>
      </c>
      <c r="AV83" s="10" t="s">
        <v>26</v>
      </c>
      <c r="AW83" s="10" t="s">
        <v>26</v>
      </c>
      <c r="AX83" s="10" t="s">
        <v>26</v>
      </c>
      <c r="AY83" s="9">
        <v>1885802780.1300001</v>
      </c>
      <c r="AZ83" s="10">
        <v>2.49276786388E-3</v>
      </c>
      <c r="BA83" s="10">
        <v>0.06</v>
      </c>
      <c r="BB83" s="10">
        <v>5.7500000000000002E-2</v>
      </c>
    </row>
    <row r="84" spans="1:54" s="7" customFormat="1">
      <c r="A84" s="3" t="s">
        <v>68</v>
      </c>
      <c r="B84" s="23" t="s">
        <v>47</v>
      </c>
      <c r="C84" s="2">
        <v>88422113.170000002</v>
      </c>
      <c r="D84" s="1">
        <v>1</v>
      </c>
      <c r="E84" s="1" t="s">
        <v>26</v>
      </c>
      <c r="F84" s="1" t="s">
        <v>26</v>
      </c>
      <c r="G84" s="2">
        <v>657812609.74000001</v>
      </c>
      <c r="H84" s="1">
        <v>1</v>
      </c>
      <c r="I84" s="1" t="s">
        <v>26</v>
      </c>
      <c r="J84" s="1" t="s">
        <v>26</v>
      </c>
      <c r="K84" s="2">
        <v>33675930.299999997</v>
      </c>
      <c r="L84" s="1">
        <v>1</v>
      </c>
      <c r="M84" s="1" t="s">
        <v>26</v>
      </c>
      <c r="N84" s="1" t="s">
        <v>26</v>
      </c>
      <c r="O84" s="2">
        <v>504725136.05000001</v>
      </c>
      <c r="P84" s="1">
        <v>1</v>
      </c>
      <c r="Q84" s="1" t="s">
        <v>26</v>
      </c>
      <c r="R84" s="1" t="s">
        <v>26</v>
      </c>
      <c r="S84" s="2">
        <v>330213896.17000002</v>
      </c>
      <c r="T84" s="1">
        <v>1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>
        <v>41055727.200000003</v>
      </c>
      <c r="AB84" s="1">
        <v>1</v>
      </c>
      <c r="AC84" s="1" t="s">
        <v>26</v>
      </c>
      <c r="AD84" s="1" t="s">
        <v>26</v>
      </c>
      <c r="AE84" s="2">
        <v>1655905412.6300001</v>
      </c>
      <c r="AF84" s="1">
        <v>1</v>
      </c>
      <c r="AG84" s="1" t="s">
        <v>26</v>
      </c>
      <c r="AH84" s="1" t="s">
        <v>26</v>
      </c>
      <c r="AI84" s="2">
        <v>229897367.5</v>
      </c>
      <c r="AJ84" s="1">
        <v>1</v>
      </c>
      <c r="AK84" s="1" t="s">
        <v>26</v>
      </c>
      <c r="AL84" s="1" t="s">
        <v>26</v>
      </c>
      <c r="AM84" s="2" t="s">
        <v>26</v>
      </c>
      <c r="AN84" s="1" t="s">
        <v>26</v>
      </c>
      <c r="AO84" s="1" t="s">
        <v>26</v>
      </c>
      <c r="AP84" s="1" t="s">
        <v>26</v>
      </c>
      <c r="AQ84" s="2">
        <v>229897367.5</v>
      </c>
      <c r="AR84" s="1">
        <v>1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2">
        <v>1885802780.1300001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76</v>
      </c>
      <c r="B85" s="20" t="s">
        <v>25</v>
      </c>
      <c r="C85" s="9">
        <v>37284862.100000001</v>
      </c>
      <c r="D85" s="10">
        <v>5.4517473061699998E-3</v>
      </c>
      <c r="E85" s="10">
        <v>0.06</v>
      </c>
      <c r="F85" s="10">
        <v>5.45E-2</v>
      </c>
      <c r="G85" s="9">
        <v>812636071.10000002</v>
      </c>
      <c r="H85" s="10">
        <v>5.1678282086900004E-3</v>
      </c>
      <c r="I85" s="10">
        <v>0.06</v>
      </c>
      <c r="J85" s="10">
        <v>5.4800000000000001E-2</v>
      </c>
      <c r="K85" s="9">
        <v>50901236.5</v>
      </c>
      <c r="L85" s="10">
        <v>1.634276375931E-2</v>
      </c>
      <c r="M85" s="10">
        <v>0.06</v>
      </c>
      <c r="N85" s="10">
        <v>4.3700000000000003E-2</v>
      </c>
      <c r="O85" s="9">
        <v>426882628.74000001</v>
      </c>
      <c r="P85" s="10">
        <v>1.82497002863E-3</v>
      </c>
      <c r="Q85" s="10">
        <v>0.06</v>
      </c>
      <c r="R85" s="10">
        <v>5.8200000000000002E-2</v>
      </c>
      <c r="S85" s="9">
        <v>206619222</v>
      </c>
      <c r="T85" s="10">
        <v>1.7796830706999999E-3</v>
      </c>
      <c r="U85" s="10">
        <v>0.06</v>
      </c>
      <c r="V85" s="10">
        <v>5.8200000000000002E-2</v>
      </c>
      <c r="W85" s="9" t="s">
        <v>26</v>
      </c>
      <c r="X85" s="10" t="s">
        <v>26</v>
      </c>
      <c r="Y85" s="10" t="s">
        <v>26</v>
      </c>
      <c r="Z85" s="10" t="s">
        <v>26</v>
      </c>
      <c r="AA85" s="9" t="s">
        <v>26</v>
      </c>
      <c r="AB85" s="10" t="s">
        <v>26</v>
      </c>
      <c r="AC85" s="10" t="s">
        <v>26</v>
      </c>
      <c r="AD85" s="10" t="s">
        <v>26</v>
      </c>
      <c r="AE85" s="9">
        <v>1534324020.4400001</v>
      </c>
      <c r="AF85" s="10">
        <v>2.2976213723400001E-3</v>
      </c>
      <c r="AG85" s="10">
        <v>0.06</v>
      </c>
      <c r="AH85" s="10">
        <v>5.7700000000000001E-2</v>
      </c>
      <c r="AI85" s="9">
        <v>128853852</v>
      </c>
      <c r="AJ85" s="10">
        <v>7.4100894171799997E-3</v>
      </c>
      <c r="AK85" s="10">
        <v>0.06</v>
      </c>
      <c r="AL85" s="10">
        <v>5.2600000000000001E-2</v>
      </c>
      <c r="AM85" s="9" t="s">
        <v>26</v>
      </c>
      <c r="AN85" s="10" t="s">
        <v>26</v>
      </c>
      <c r="AO85" s="10" t="s">
        <v>26</v>
      </c>
      <c r="AP85" s="10" t="s">
        <v>26</v>
      </c>
      <c r="AQ85" s="9">
        <v>128853852</v>
      </c>
      <c r="AR85" s="10">
        <v>3.1033151072100001E-3</v>
      </c>
      <c r="AS85" s="10">
        <v>0.06</v>
      </c>
      <c r="AT85" s="10">
        <v>5.6899999999999999E-2</v>
      </c>
      <c r="AU85" s="9" t="s">
        <v>26</v>
      </c>
      <c r="AV85" s="10" t="s">
        <v>26</v>
      </c>
      <c r="AW85" s="10" t="s">
        <v>26</v>
      </c>
      <c r="AX85" s="10" t="s">
        <v>26</v>
      </c>
      <c r="AY85" s="9">
        <v>1663177872.4400001</v>
      </c>
      <c r="AZ85" s="10">
        <v>2.19848883246E-3</v>
      </c>
      <c r="BA85" s="10">
        <v>0.06</v>
      </c>
      <c r="BB85" s="10">
        <v>5.7799999999999997E-2</v>
      </c>
    </row>
    <row r="86" spans="1:54" s="7" customFormat="1">
      <c r="A86" s="3" t="s">
        <v>68</v>
      </c>
      <c r="B86" s="23" t="s">
        <v>47</v>
      </c>
      <c r="C86" s="2">
        <v>37284862.100000001</v>
      </c>
      <c r="D86" s="1">
        <v>1</v>
      </c>
      <c r="E86" s="1" t="s">
        <v>26</v>
      </c>
      <c r="F86" s="1" t="s">
        <v>26</v>
      </c>
      <c r="G86" s="2">
        <v>812636071.10000002</v>
      </c>
      <c r="H86" s="1">
        <v>1</v>
      </c>
      <c r="I86" s="1" t="s">
        <v>26</v>
      </c>
      <c r="J86" s="1" t="s">
        <v>26</v>
      </c>
      <c r="K86" s="2">
        <v>50901236.5</v>
      </c>
      <c r="L86" s="1">
        <v>1</v>
      </c>
      <c r="M86" s="1" t="s">
        <v>26</v>
      </c>
      <c r="N86" s="1" t="s">
        <v>26</v>
      </c>
      <c r="O86" s="2">
        <v>426882628.74000001</v>
      </c>
      <c r="P86" s="1">
        <v>1</v>
      </c>
      <c r="Q86" s="1" t="s">
        <v>26</v>
      </c>
      <c r="R86" s="1" t="s">
        <v>26</v>
      </c>
      <c r="S86" s="2">
        <v>206619222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1534324020.4400001</v>
      </c>
      <c r="AF86" s="1">
        <v>1</v>
      </c>
      <c r="AG86" s="1" t="s">
        <v>26</v>
      </c>
      <c r="AH86" s="1" t="s">
        <v>26</v>
      </c>
      <c r="AI86" s="2">
        <v>128853852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128853852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1663177872.4400001</v>
      </c>
      <c r="AZ86" s="1">
        <v>1</v>
      </c>
      <c r="BA86" s="1" t="s">
        <v>26</v>
      </c>
      <c r="BB86" s="1" t="s">
        <v>26</v>
      </c>
    </row>
    <row r="87" spans="1:54" customFormat="1">
      <c r="A87" s="12" t="s">
        <v>77</v>
      </c>
      <c r="B87" s="27" t="s">
        <v>25</v>
      </c>
      <c r="C87" s="29" t="s">
        <v>26</v>
      </c>
      <c r="D87" s="30" t="s">
        <v>26</v>
      </c>
      <c r="E87" s="30" t="s">
        <v>26</v>
      </c>
      <c r="F87" s="30" t="s">
        <v>26</v>
      </c>
      <c r="G87" s="29" t="s">
        <v>26</v>
      </c>
      <c r="H87" s="30" t="s">
        <v>26</v>
      </c>
      <c r="I87" s="30" t="s">
        <v>26</v>
      </c>
      <c r="J87" s="30" t="s">
        <v>26</v>
      </c>
      <c r="K87" s="29" t="s">
        <v>26</v>
      </c>
      <c r="L87" s="30" t="s">
        <v>26</v>
      </c>
      <c r="M87" s="30" t="s">
        <v>26</v>
      </c>
      <c r="N87" s="30" t="s">
        <v>26</v>
      </c>
      <c r="O87" s="29">
        <v>129509983.75</v>
      </c>
      <c r="P87" s="30">
        <v>5.5366937617E-4</v>
      </c>
      <c r="Q87" s="30" t="s">
        <v>26</v>
      </c>
      <c r="R87" s="30" t="s">
        <v>26</v>
      </c>
      <c r="S87" s="29">
        <v>224573413.08000001</v>
      </c>
      <c r="T87" s="30">
        <v>1.93432874986E-3</v>
      </c>
      <c r="U87" s="30" t="s">
        <v>26</v>
      </c>
      <c r="V87" s="30" t="s">
        <v>26</v>
      </c>
      <c r="W87" s="29" t="s">
        <v>26</v>
      </c>
      <c r="X87" s="30" t="s">
        <v>26</v>
      </c>
      <c r="Y87" s="30" t="s">
        <v>26</v>
      </c>
      <c r="Z87" s="30" t="s">
        <v>26</v>
      </c>
      <c r="AA87" s="29">
        <v>144015101.93000001</v>
      </c>
      <c r="AB87" s="30">
        <v>9.9996403511000008E-4</v>
      </c>
      <c r="AC87" s="30" t="s">
        <v>26</v>
      </c>
      <c r="AD87" s="30" t="s">
        <v>26</v>
      </c>
      <c r="AE87" s="29">
        <v>498098498.75999999</v>
      </c>
      <c r="AF87" s="30">
        <v>7.4589313667000005E-4</v>
      </c>
      <c r="AG87" s="30" t="s">
        <v>26</v>
      </c>
      <c r="AH87" s="30" t="s">
        <v>26</v>
      </c>
      <c r="AI87" s="29">
        <v>8645179.0700000003</v>
      </c>
      <c r="AJ87" s="30">
        <v>4.9716441488999999E-4</v>
      </c>
      <c r="AK87" s="30" t="s">
        <v>26</v>
      </c>
      <c r="AL87" s="30" t="s">
        <v>26</v>
      </c>
      <c r="AM87" s="29" t="s">
        <v>26</v>
      </c>
      <c r="AN87" s="30" t="s">
        <v>26</v>
      </c>
      <c r="AO87" s="30" t="s">
        <v>26</v>
      </c>
      <c r="AP87" s="30" t="s">
        <v>26</v>
      </c>
      <c r="AQ87" s="29">
        <v>8645179.0700000003</v>
      </c>
      <c r="AR87" s="30">
        <v>2.0821042131E-4</v>
      </c>
      <c r="AS87" s="30" t="s">
        <v>26</v>
      </c>
      <c r="AT87" s="30" t="s">
        <v>26</v>
      </c>
      <c r="AU87" s="29">
        <v>25935537.219999999</v>
      </c>
      <c r="AV87" s="30">
        <v>5.4947926688999997E-4</v>
      </c>
      <c r="AW87" s="30" t="s">
        <v>26</v>
      </c>
      <c r="AX87" s="30" t="s">
        <v>26</v>
      </c>
      <c r="AY87" s="29">
        <v>532679215.05000001</v>
      </c>
      <c r="AZ87" s="30">
        <v>7.0412751694999998E-4</v>
      </c>
      <c r="BA87" s="30" t="s">
        <v>26</v>
      </c>
      <c r="BB87" s="30" t="s">
        <v>26</v>
      </c>
    </row>
    <row r="88" spans="1:54" s="28" customFormat="1">
      <c r="A88" s="5" t="s">
        <v>78</v>
      </c>
      <c r="B88" s="20" t="s">
        <v>25</v>
      </c>
      <c r="C88" s="9" t="s">
        <v>26</v>
      </c>
      <c r="D88" s="10" t="s">
        <v>26</v>
      </c>
      <c r="E88" s="10" t="s">
        <v>26</v>
      </c>
      <c r="F88" s="10" t="s">
        <v>26</v>
      </c>
      <c r="G88" s="9" t="s">
        <v>26</v>
      </c>
      <c r="H88" s="10" t="s">
        <v>26</v>
      </c>
      <c r="I88" s="10" t="s">
        <v>26</v>
      </c>
      <c r="J88" s="10" t="s">
        <v>26</v>
      </c>
      <c r="K88" s="9" t="s">
        <v>26</v>
      </c>
      <c r="L88" s="10" t="s">
        <v>26</v>
      </c>
      <c r="M88" s="10" t="s">
        <v>26</v>
      </c>
      <c r="N88" s="10" t="s">
        <v>26</v>
      </c>
      <c r="O88" s="9" t="s">
        <v>26</v>
      </c>
      <c r="P88" s="10" t="s">
        <v>26</v>
      </c>
      <c r="Q88" s="10" t="s">
        <v>26</v>
      </c>
      <c r="R88" s="10" t="s">
        <v>26</v>
      </c>
      <c r="S88" s="9">
        <v>69161432.579999998</v>
      </c>
      <c r="T88" s="10">
        <v>5.9571142276000004E-4</v>
      </c>
      <c r="U88" s="10">
        <v>0.1</v>
      </c>
      <c r="V88" s="10">
        <v>9.9400000000000002E-2</v>
      </c>
      <c r="W88" s="9" t="s">
        <v>26</v>
      </c>
      <c r="X88" s="10" t="s">
        <v>26</v>
      </c>
      <c r="Y88" s="10" t="s">
        <v>26</v>
      </c>
      <c r="Z88" s="10" t="s">
        <v>26</v>
      </c>
      <c r="AA88" s="9" t="s">
        <v>26</v>
      </c>
      <c r="AB88" s="10" t="s">
        <v>26</v>
      </c>
      <c r="AC88" s="10" t="s">
        <v>26</v>
      </c>
      <c r="AD88" s="10" t="s">
        <v>26</v>
      </c>
      <c r="AE88" s="9">
        <v>69161432.579999998</v>
      </c>
      <c r="AF88" s="10">
        <v>1.0356794492E-4</v>
      </c>
      <c r="AG88" s="10">
        <v>0.1</v>
      </c>
      <c r="AH88" s="10">
        <v>9.9900000000000003E-2</v>
      </c>
      <c r="AI88" s="9">
        <v>8645179.0700000003</v>
      </c>
      <c r="AJ88" s="10">
        <v>4.9716441488999999E-4</v>
      </c>
      <c r="AK88" s="10">
        <v>0.1</v>
      </c>
      <c r="AL88" s="10">
        <v>9.9500000000000005E-2</v>
      </c>
      <c r="AM88" s="9" t="s">
        <v>26</v>
      </c>
      <c r="AN88" s="10" t="s">
        <v>26</v>
      </c>
      <c r="AO88" s="10" t="s">
        <v>26</v>
      </c>
      <c r="AP88" s="10" t="s">
        <v>26</v>
      </c>
      <c r="AQ88" s="9">
        <v>8645179.0700000003</v>
      </c>
      <c r="AR88" s="10">
        <v>2.0821042131E-4</v>
      </c>
      <c r="AS88" s="10">
        <v>0.1</v>
      </c>
      <c r="AT88" s="10">
        <v>9.98E-2</v>
      </c>
      <c r="AU88" s="9">
        <v>25935537.219999999</v>
      </c>
      <c r="AV88" s="10">
        <v>5.4947926688999997E-4</v>
      </c>
      <c r="AW88" s="10">
        <v>0.1</v>
      </c>
      <c r="AX88" s="10">
        <v>9.9500000000000005E-2</v>
      </c>
      <c r="AY88" s="9">
        <v>103742148.87</v>
      </c>
      <c r="AZ88" s="10">
        <v>1.3713262996000001E-4</v>
      </c>
      <c r="BA88" s="10">
        <v>0.1</v>
      </c>
      <c r="BB88" s="10">
        <v>9.9900000000000003E-2</v>
      </c>
    </row>
    <row r="89" spans="1:54" s="7" customFormat="1">
      <c r="A89" s="3" t="s">
        <v>79</v>
      </c>
      <c r="B89" s="23" t="s">
        <v>29</v>
      </c>
      <c r="C89" s="2" t="s">
        <v>26</v>
      </c>
      <c r="D89" s="1" t="s">
        <v>26</v>
      </c>
      <c r="E89" s="1" t="s">
        <v>26</v>
      </c>
      <c r="F89" s="1" t="s">
        <v>26</v>
      </c>
      <c r="G89" s="2" t="s">
        <v>26</v>
      </c>
      <c r="H89" s="1" t="s">
        <v>26</v>
      </c>
      <c r="I89" s="1" t="s">
        <v>26</v>
      </c>
      <c r="J89" s="1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2">
        <v>69161432.579999998</v>
      </c>
      <c r="T89" s="1">
        <v>1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2">
        <v>69161432.579999998</v>
      </c>
      <c r="AF89" s="1">
        <v>1</v>
      </c>
      <c r="AG89" s="1" t="s">
        <v>26</v>
      </c>
      <c r="AH89" s="1" t="s">
        <v>26</v>
      </c>
      <c r="AI89" s="2">
        <v>8645179.0700000003</v>
      </c>
      <c r="AJ89" s="1">
        <v>1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>
        <v>8645179.0700000003</v>
      </c>
      <c r="AR89" s="1">
        <v>1</v>
      </c>
      <c r="AS89" s="1" t="s">
        <v>26</v>
      </c>
      <c r="AT89" s="1" t="s">
        <v>26</v>
      </c>
      <c r="AU89" s="2">
        <v>25935537.219999999</v>
      </c>
      <c r="AV89" s="1">
        <v>1</v>
      </c>
      <c r="AW89" s="1" t="s">
        <v>26</v>
      </c>
      <c r="AX89" s="1" t="s">
        <v>26</v>
      </c>
      <c r="AY89" s="2">
        <v>103742148.87</v>
      </c>
      <c r="AZ89" s="1">
        <v>1</v>
      </c>
      <c r="BA89" s="1" t="s">
        <v>26</v>
      </c>
      <c r="BB89" s="1" t="s">
        <v>26</v>
      </c>
    </row>
    <row r="90" spans="1:54" s="7" customFormat="1">
      <c r="A90" s="5" t="s">
        <v>80</v>
      </c>
      <c r="B90" s="20" t="s">
        <v>25</v>
      </c>
      <c r="C90" s="9" t="s">
        <v>26</v>
      </c>
      <c r="D90" s="10" t="s">
        <v>26</v>
      </c>
      <c r="E90" s="10" t="s">
        <v>26</v>
      </c>
      <c r="F90" s="10" t="s">
        <v>26</v>
      </c>
      <c r="G90" s="9" t="s">
        <v>26</v>
      </c>
      <c r="H90" s="10" t="s">
        <v>26</v>
      </c>
      <c r="I90" s="10" t="s">
        <v>26</v>
      </c>
      <c r="J90" s="10" t="s">
        <v>26</v>
      </c>
      <c r="K90" s="9" t="s">
        <v>26</v>
      </c>
      <c r="L90" s="10" t="s">
        <v>26</v>
      </c>
      <c r="M90" s="10" t="s">
        <v>26</v>
      </c>
      <c r="N90" s="10" t="s">
        <v>26</v>
      </c>
      <c r="O90" s="9">
        <v>129509983.75</v>
      </c>
      <c r="P90" s="10">
        <v>5.5366937617E-4</v>
      </c>
      <c r="Q90" s="10">
        <v>0.09</v>
      </c>
      <c r="R90" s="10">
        <v>8.9399999999999993E-2</v>
      </c>
      <c r="S90" s="9">
        <v>155411980.5</v>
      </c>
      <c r="T90" s="10">
        <v>1.3386173270899999E-3</v>
      </c>
      <c r="U90" s="10">
        <v>0.09</v>
      </c>
      <c r="V90" s="10">
        <v>8.8700000000000001E-2</v>
      </c>
      <c r="W90" s="9" t="s">
        <v>26</v>
      </c>
      <c r="X90" s="10" t="s">
        <v>26</v>
      </c>
      <c r="Y90" s="10" t="s">
        <v>26</v>
      </c>
      <c r="Z90" s="10" t="s">
        <v>26</v>
      </c>
      <c r="AA90" s="9">
        <v>144015101.93000001</v>
      </c>
      <c r="AB90" s="10">
        <v>9.9996403511000008E-4</v>
      </c>
      <c r="AC90" s="10">
        <v>0.09</v>
      </c>
      <c r="AD90" s="10">
        <v>8.8999999999999996E-2</v>
      </c>
      <c r="AE90" s="9">
        <v>428937066.18000001</v>
      </c>
      <c r="AF90" s="10">
        <v>6.4232519175000001E-4</v>
      </c>
      <c r="AG90" s="10">
        <v>0.09</v>
      </c>
      <c r="AH90" s="10">
        <v>8.9399999999999993E-2</v>
      </c>
      <c r="AI90" s="9" t="s">
        <v>26</v>
      </c>
      <c r="AJ90" s="10" t="s">
        <v>26</v>
      </c>
      <c r="AK90" s="10" t="s">
        <v>26</v>
      </c>
      <c r="AL90" s="10" t="s">
        <v>26</v>
      </c>
      <c r="AM90" s="9" t="s">
        <v>26</v>
      </c>
      <c r="AN90" s="10" t="s">
        <v>26</v>
      </c>
      <c r="AO90" s="10" t="s">
        <v>26</v>
      </c>
      <c r="AP90" s="10" t="s">
        <v>26</v>
      </c>
      <c r="AQ90" s="9" t="s">
        <v>26</v>
      </c>
      <c r="AR90" s="10" t="s">
        <v>26</v>
      </c>
      <c r="AS90" s="10" t="s">
        <v>26</v>
      </c>
      <c r="AT90" s="10" t="s">
        <v>26</v>
      </c>
      <c r="AU90" s="9" t="s">
        <v>26</v>
      </c>
      <c r="AV90" s="10" t="s">
        <v>26</v>
      </c>
      <c r="AW90" s="10" t="s">
        <v>26</v>
      </c>
      <c r="AX90" s="10" t="s">
        <v>26</v>
      </c>
      <c r="AY90" s="9">
        <v>428937066.18000001</v>
      </c>
      <c r="AZ90" s="10">
        <v>5.6699488699000003E-4</v>
      </c>
      <c r="BA90" s="10">
        <v>0.09</v>
      </c>
      <c r="BB90" s="10">
        <v>8.9399999999999993E-2</v>
      </c>
    </row>
    <row r="91" spans="1:54" s="7" customFormat="1">
      <c r="A91" s="3" t="s">
        <v>79</v>
      </c>
      <c r="B91" s="23" t="s">
        <v>40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>
        <v>129509983.75</v>
      </c>
      <c r="P91" s="1">
        <v>1</v>
      </c>
      <c r="Q91" s="1" t="s">
        <v>26</v>
      </c>
      <c r="R91" s="1" t="s">
        <v>26</v>
      </c>
      <c r="S91" s="2">
        <v>155411980.5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144015101.93000001</v>
      </c>
      <c r="AB91" s="1">
        <v>1</v>
      </c>
      <c r="AC91" s="1" t="s">
        <v>26</v>
      </c>
      <c r="AD91" s="1" t="s">
        <v>26</v>
      </c>
      <c r="AE91" s="2">
        <v>428937066.18000001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428937066.18000001</v>
      </c>
      <c r="AZ91" s="1">
        <v>1</v>
      </c>
      <c r="BA91" s="1" t="s">
        <v>26</v>
      </c>
      <c r="BB91" s="1" t="s">
        <v>26</v>
      </c>
    </row>
    <row r="92" spans="1:54" customFormat="1">
      <c r="A92" s="12" t="s">
        <v>81</v>
      </c>
      <c r="B92" s="27" t="s">
        <v>25</v>
      </c>
      <c r="C92" s="29" t="s">
        <v>26</v>
      </c>
      <c r="D92" s="30" t="s">
        <v>26</v>
      </c>
      <c r="E92" s="30" t="s">
        <v>26</v>
      </c>
      <c r="F92" s="30" t="s">
        <v>26</v>
      </c>
      <c r="G92" s="29">
        <v>685822164.61000001</v>
      </c>
      <c r="H92" s="30">
        <v>4.3613755953699996E-3</v>
      </c>
      <c r="I92" s="30">
        <v>0.05</v>
      </c>
      <c r="J92" s="30">
        <f>I92-H92</f>
        <v>4.5638624404630006E-2</v>
      </c>
      <c r="K92" s="29">
        <v>23060860.969999999</v>
      </c>
      <c r="L92" s="30">
        <v>7.4041070283000004E-3</v>
      </c>
      <c r="M92" s="30">
        <v>0.05</v>
      </c>
      <c r="N92" s="30">
        <f>M92-L92</f>
        <v>4.2595892971700001E-2</v>
      </c>
      <c r="O92" s="29">
        <v>1786794250.3599999</v>
      </c>
      <c r="P92" s="30">
        <v>7.63874127148E-3</v>
      </c>
      <c r="Q92" s="30">
        <v>0.05</v>
      </c>
      <c r="R92" s="30">
        <f>Q92-P92</f>
        <v>4.236125872852E-2</v>
      </c>
      <c r="S92" s="29">
        <v>1576731489.04</v>
      </c>
      <c r="T92" s="30">
        <v>1.3580935553439999E-2</v>
      </c>
      <c r="U92" s="30">
        <v>0.05</v>
      </c>
      <c r="V92" s="30">
        <f>U92-T92</f>
        <v>3.6419064446560005E-2</v>
      </c>
      <c r="W92" s="29" t="s">
        <v>26</v>
      </c>
      <c r="X92" s="30" t="s">
        <v>26</v>
      </c>
      <c r="Y92" s="30" t="s">
        <v>26</v>
      </c>
      <c r="Z92" s="30" t="s">
        <v>26</v>
      </c>
      <c r="AA92" s="29">
        <v>363217554.04000002</v>
      </c>
      <c r="AB92" s="30">
        <v>2.5219889170799998E-3</v>
      </c>
      <c r="AC92" s="30">
        <v>0.05</v>
      </c>
      <c r="AD92" s="30">
        <f>AC92-AB92</f>
        <v>4.7478011082920005E-2</v>
      </c>
      <c r="AE92" s="29">
        <v>4435626319.0200005</v>
      </c>
      <c r="AF92" s="30">
        <v>6.64226701434E-3</v>
      </c>
      <c r="AG92" s="30">
        <v>0.05</v>
      </c>
      <c r="AH92" s="30">
        <f>AG92-AF92</f>
        <v>4.3357732985660001E-2</v>
      </c>
      <c r="AI92" s="29" t="s">
        <v>26</v>
      </c>
      <c r="AJ92" s="30" t="s">
        <v>26</v>
      </c>
      <c r="AK92" s="30" t="s">
        <v>26</v>
      </c>
      <c r="AL92" s="30" t="s">
        <v>26</v>
      </c>
      <c r="AM92" s="29" t="s">
        <v>26</v>
      </c>
      <c r="AN92" s="30" t="s">
        <v>26</v>
      </c>
      <c r="AO92" s="30" t="s">
        <v>26</v>
      </c>
      <c r="AP92" s="30" t="s">
        <v>26</v>
      </c>
      <c r="AQ92" s="29" t="s">
        <v>26</v>
      </c>
      <c r="AR92" s="30" t="s">
        <v>26</v>
      </c>
      <c r="AS92" s="30" t="s">
        <v>26</v>
      </c>
      <c r="AT92" s="30" t="s">
        <v>26</v>
      </c>
      <c r="AU92" s="29">
        <v>618327714</v>
      </c>
      <c r="AV92" s="30">
        <v>1.310010492956E-2</v>
      </c>
      <c r="AW92" s="30">
        <v>0.05</v>
      </c>
      <c r="AX92" s="30">
        <f>AW92-AV92</f>
        <v>3.6899895070440003E-2</v>
      </c>
      <c r="AY92" s="29">
        <v>5053954033.0200005</v>
      </c>
      <c r="AZ92" s="30">
        <v>6.6806212886000001E-3</v>
      </c>
      <c r="BA92" s="30">
        <v>0.05</v>
      </c>
      <c r="BB92" s="30">
        <f>BA92-AZ92</f>
        <v>4.33193787114E-2</v>
      </c>
    </row>
    <row r="93" spans="1:54" s="28" customFormat="1">
      <c r="A93" s="5" t="s">
        <v>82</v>
      </c>
      <c r="B93" s="20" t="s">
        <v>25</v>
      </c>
      <c r="C93" s="9" t="s">
        <v>26</v>
      </c>
      <c r="D93" s="10" t="s">
        <v>26</v>
      </c>
      <c r="E93" s="10" t="s">
        <v>26</v>
      </c>
      <c r="F93" s="10" t="s">
        <v>26</v>
      </c>
      <c r="G93" s="9" t="s">
        <v>26</v>
      </c>
      <c r="H93" s="10" t="s">
        <v>26</v>
      </c>
      <c r="I93" s="10" t="s">
        <v>26</v>
      </c>
      <c r="J93" s="10" t="s">
        <v>26</v>
      </c>
      <c r="K93" s="9" t="s">
        <v>26</v>
      </c>
      <c r="L93" s="10" t="s">
        <v>26</v>
      </c>
      <c r="M93" s="10" t="s">
        <v>26</v>
      </c>
      <c r="N93" s="10" t="s">
        <v>26</v>
      </c>
      <c r="O93" s="9" t="s">
        <v>26</v>
      </c>
      <c r="P93" s="10" t="s">
        <v>26</v>
      </c>
      <c r="Q93" s="10" t="s">
        <v>26</v>
      </c>
      <c r="R93" s="10" t="s">
        <v>26</v>
      </c>
      <c r="S93" s="9">
        <v>685313216.35000002</v>
      </c>
      <c r="T93" s="10">
        <v>5.90284058501E-3</v>
      </c>
      <c r="U93" s="10" t="s">
        <v>26</v>
      </c>
      <c r="V93" s="10" t="s">
        <v>26</v>
      </c>
      <c r="W93" s="9" t="s">
        <v>26</v>
      </c>
      <c r="X93" s="10" t="s">
        <v>26</v>
      </c>
      <c r="Y93" s="10" t="s">
        <v>26</v>
      </c>
      <c r="Z93" s="10" t="s">
        <v>26</v>
      </c>
      <c r="AA93" s="9" t="s">
        <v>26</v>
      </c>
      <c r="AB93" s="10" t="s">
        <v>26</v>
      </c>
      <c r="AC93" s="10" t="s">
        <v>26</v>
      </c>
      <c r="AD93" s="10" t="s">
        <v>26</v>
      </c>
      <c r="AE93" s="9">
        <v>685313216.35000002</v>
      </c>
      <c r="AF93" s="10">
        <v>1.0262436562599999E-3</v>
      </c>
      <c r="AG93" s="10" t="s">
        <v>26</v>
      </c>
      <c r="AH93" s="10" t="s">
        <v>26</v>
      </c>
      <c r="AI93" s="9" t="s">
        <v>26</v>
      </c>
      <c r="AJ93" s="10" t="s">
        <v>26</v>
      </c>
      <c r="AK93" s="10" t="s">
        <v>26</v>
      </c>
      <c r="AL93" s="10" t="s">
        <v>26</v>
      </c>
      <c r="AM93" s="9" t="s">
        <v>26</v>
      </c>
      <c r="AN93" s="10" t="s">
        <v>26</v>
      </c>
      <c r="AO93" s="10" t="s">
        <v>26</v>
      </c>
      <c r="AP93" s="10" t="s">
        <v>26</v>
      </c>
      <c r="AQ93" s="9" t="s">
        <v>26</v>
      </c>
      <c r="AR93" s="10" t="s">
        <v>26</v>
      </c>
      <c r="AS93" s="10" t="s">
        <v>26</v>
      </c>
      <c r="AT93" s="10" t="s">
        <v>26</v>
      </c>
      <c r="AU93" s="9">
        <v>618327714</v>
      </c>
      <c r="AV93" s="10">
        <v>1.310010492956E-2</v>
      </c>
      <c r="AW93" s="10" t="s">
        <v>26</v>
      </c>
      <c r="AX93" s="10" t="s">
        <v>26</v>
      </c>
      <c r="AY93" s="9">
        <v>1303640930.3499999</v>
      </c>
      <c r="AZ93" s="10">
        <v>1.7232312156199999E-3</v>
      </c>
      <c r="BA93" s="10" t="s">
        <v>26</v>
      </c>
      <c r="BB93" s="10" t="s">
        <v>26</v>
      </c>
    </row>
    <row r="94" spans="1:54" s="7" customFormat="1">
      <c r="A94" s="3" t="s">
        <v>83</v>
      </c>
      <c r="B94" s="23" t="s">
        <v>40</v>
      </c>
      <c r="C94" s="2" t="s">
        <v>26</v>
      </c>
      <c r="D94" s="1" t="s">
        <v>26</v>
      </c>
      <c r="E94" s="1" t="s">
        <v>26</v>
      </c>
      <c r="F94" s="1" t="s">
        <v>26</v>
      </c>
      <c r="G94" s="2" t="s">
        <v>26</v>
      </c>
      <c r="H94" s="1" t="s">
        <v>26</v>
      </c>
      <c r="I94" s="1" t="s">
        <v>26</v>
      </c>
      <c r="J94" s="1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2">
        <v>685313216.35000002</v>
      </c>
      <c r="T94" s="1">
        <v>1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2" t="s">
        <v>26</v>
      </c>
      <c r="AB94" s="1" t="s">
        <v>26</v>
      </c>
      <c r="AC94" s="1" t="s">
        <v>26</v>
      </c>
      <c r="AD94" s="1" t="s">
        <v>26</v>
      </c>
      <c r="AE94" s="2">
        <v>685313216.35000002</v>
      </c>
      <c r="AF94" s="1">
        <v>1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>
        <v>618327714</v>
      </c>
      <c r="AV94" s="1">
        <v>1</v>
      </c>
      <c r="AW94" s="1" t="s">
        <v>26</v>
      </c>
      <c r="AX94" s="1" t="s">
        <v>26</v>
      </c>
      <c r="AY94" s="2">
        <v>1303640930.3499999</v>
      </c>
      <c r="AZ94" s="1">
        <v>1</v>
      </c>
      <c r="BA94" s="1" t="s">
        <v>26</v>
      </c>
      <c r="BB94" s="1" t="s">
        <v>26</v>
      </c>
    </row>
    <row r="95" spans="1:54" s="7" customFormat="1">
      <c r="A95" s="5" t="s">
        <v>84</v>
      </c>
      <c r="B95" s="20" t="s">
        <v>25</v>
      </c>
      <c r="C95" s="9" t="s">
        <v>26</v>
      </c>
      <c r="D95" s="10" t="s">
        <v>26</v>
      </c>
      <c r="E95" s="10" t="s">
        <v>26</v>
      </c>
      <c r="F95" s="10" t="s">
        <v>26</v>
      </c>
      <c r="G95" s="9">
        <v>685822164.61000001</v>
      </c>
      <c r="H95" s="10">
        <v>4.3613755953699996E-3</v>
      </c>
      <c r="I95" s="10" t="s">
        <v>26</v>
      </c>
      <c r="J95" s="10" t="s">
        <v>26</v>
      </c>
      <c r="K95" s="9">
        <v>23060860.969999999</v>
      </c>
      <c r="L95" s="10">
        <v>7.4041070283000004E-3</v>
      </c>
      <c r="M95" s="10" t="s">
        <v>26</v>
      </c>
      <c r="N95" s="10" t="s">
        <v>26</v>
      </c>
      <c r="O95" s="9">
        <v>1786794250.3599999</v>
      </c>
      <c r="P95" s="10">
        <v>7.63874127148E-3</v>
      </c>
      <c r="Q95" s="10" t="s">
        <v>26</v>
      </c>
      <c r="R95" s="10" t="s">
        <v>26</v>
      </c>
      <c r="S95" s="9">
        <v>891418272.69000006</v>
      </c>
      <c r="T95" s="10">
        <v>7.6780949684300001E-3</v>
      </c>
      <c r="U95" s="10" t="s">
        <v>26</v>
      </c>
      <c r="V95" s="10" t="s">
        <v>26</v>
      </c>
      <c r="W95" s="9" t="s">
        <v>26</v>
      </c>
      <c r="X95" s="10" t="s">
        <v>26</v>
      </c>
      <c r="Y95" s="10" t="s">
        <v>26</v>
      </c>
      <c r="Z95" s="10" t="s">
        <v>26</v>
      </c>
      <c r="AA95" s="9">
        <v>363217554.04000002</v>
      </c>
      <c r="AB95" s="10">
        <v>2.5219889170799998E-3</v>
      </c>
      <c r="AC95" s="10" t="s">
        <v>26</v>
      </c>
      <c r="AD95" s="10" t="s">
        <v>26</v>
      </c>
      <c r="AE95" s="9">
        <v>3750313102.6700001</v>
      </c>
      <c r="AF95" s="10">
        <v>5.6160233580700002E-3</v>
      </c>
      <c r="AG95" s="10" t="s">
        <v>26</v>
      </c>
      <c r="AH95" s="10" t="s">
        <v>26</v>
      </c>
      <c r="AI95" s="9" t="s">
        <v>26</v>
      </c>
      <c r="AJ95" s="10" t="s">
        <v>26</v>
      </c>
      <c r="AK95" s="10" t="s">
        <v>26</v>
      </c>
      <c r="AL95" s="10" t="s">
        <v>26</v>
      </c>
      <c r="AM95" s="9" t="s">
        <v>26</v>
      </c>
      <c r="AN95" s="10" t="s">
        <v>26</v>
      </c>
      <c r="AO95" s="10" t="s">
        <v>26</v>
      </c>
      <c r="AP95" s="10" t="s">
        <v>26</v>
      </c>
      <c r="AQ95" s="9" t="s">
        <v>26</v>
      </c>
      <c r="AR95" s="10" t="s">
        <v>26</v>
      </c>
      <c r="AS95" s="10" t="s">
        <v>26</v>
      </c>
      <c r="AT95" s="10" t="s">
        <v>26</v>
      </c>
      <c r="AU95" s="9" t="s">
        <v>26</v>
      </c>
      <c r="AV95" s="10" t="s">
        <v>26</v>
      </c>
      <c r="AW95" s="10" t="s">
        <v>26</v>
      </c>
      <c r="AX95" s="10" t="s">
        <v>26</v>
      </c>
      <c r="AY95" s="9">
        <v>3750313102.6700001</v>
      </c>
      <c r="AZ95" s="10">
        <v>4.9573900729900002E-3</v>
      </c>
      <c r="BA95" s="10" t="s">
        <v>26</v>
      </c>
      <c r="BB95" s="10" t="s">
        <v>26</v>
      </c>
    </row>
    <row r="96" spans="1:54" s="7" customFormat="1">
      <c r="A96" s="3" t="s">
        <v>85</v>
      </c>
      <c r="B96" s="23" t="s">
        <v>40</v>
      </c>
      <c r="C96" s="2" t="s">
        <v>26</v>
      </c>
      <c r="D96" s="1" t="s">
        <v>26</v>
      </c>
      <c r="E96" s="1" t="s">
        <v>26</v>
      </c>
      <c r="F96" s="1" t="s">
        <v>26</v>
      </c>
      <c r="G96" s="2">
        <v>685822164.61000001</v>
      </c>
      <c r="H96" s="1">
        <v>1</v>
      </c>
      <c r="I96" s="1" t="s">
        <v>26</v>
      </c>
      <c r="J96" s="1" t="s">
        <v>26</v>
      </c>
      <c r="K96" s="2">
        <v>23060860.969999999</v>
      </c>
      <c r="L96" s="1">
        <v>1</v>
      </c>
      <c r="M96" s="1" t="s">
        <v>26</v>
      </c>
      <c r="N96" s="1" t="s">
        <v>26</v>
      </c>
      <c r="O96" s="2">
        <v>1786794250.3599999</v>
      </c>
      <c r="P96" s="1">
        <v>1</v>
      </c>
      <c r="Q96" s="1" t="s">
        <v>26</v>
      </c>
      <c r="R96" s="1" t="s">
        <v>26</v>
      </c>
      <c r="S96" s="2">
        <v>891418272.69000006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>
        <v>363217554.04000002</v>
      </c>
      <c r="AB96" s="1">
        <v>1</v>
      </c>
      <c r="AC96" s="1" t="s">
        <v>26</v>
      </c>
      <c r="AD96" s="1" t="s">
        <v>26</v>
      </c>
      <c r="AE96" s="2">
        <v>3750313102.6700001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2">
        <v>3750313102.6700001</v>
      </c>
      <c r="AZ96" s="1">
        <v>1</v>
      </c>
      <c r="BA96" s="1" t="s">
        <v>26</v>
      </c>
      <c r="BB96" s="1" t="s">
        <v>26</v>
      </c>
    </row>
    <row r="97" spans="1:54" customFormat="1">
      <c r="A97" s="12" t="s">
        <v>86</v>
      </c>
      <c r="B97" s="27" t="s">
        <v>25</v>
      </c>
      <c r="C97" s="29" t="s">
        <v>26</v>
      </c>
      <c r="D97" s="30" t="s">
        <v>26</v>
      </c>
      <c r="E97" s="30" t="s">
        <v>26</v>
      </c>
      <c r="F97" s="30" t="s">
        <v>26</v>
      </c>
      <c r="G97" s="29">
        <v>8339498312.3000002</v>
      </c>
      <c r="H97" s="30">
        <v>5.30336963338E-2</v>
      </c>
      <c r="I97" s="30">
        <v>0.15</v>
      </c>
      <c r="J97" s="30">
        <f>I97-H97</f>
        <v>9.6966303666199988E-2</v>
      </c>
      <c r="K97" s="29">
        <v>162377176.52000001</v>
      </c>
      <c r="L97" s="30">
        <v>5.2134133043519999E-2</v>
      </c>
      <c r="M97" s="30">
        <v>0.15</v>
      </c>
      <c r="N97" s="30">
        <f>M97-L97</f>
        <v>9.7865866956480002E-2</v>
      </c>
      <c r="O97" s="29">
        <v>25917145628.240002</v>
      </c>
      <c r="P97" s="30">
        <v>0.11079863834889001</v>
      </c>
      <c r="Q97" s="30">
        <v>0.15</v>
      </c>
      <c r="R97" s="30">
        <f>Q97-P97</f>
        <v>3.9201361651109989E-2</v>
      </c>
      <c r="S97" s="29">
        <v>5471624155.6499996</v>
      </c>
      <c r="T97" s="30">
        <v>4.7128997896650003E-2</v>
      </c>
      <c r="U97" s="30">
        <v>0.15</v>
      </c>
      <c r="V97" s="30">
        <f>U97-T97</f>
        <v>0.10287100210334998</v>
      </c>
      <c r="W97" s="29" t="s">
        <v>26</v>
      </c>
      <c r="X97" s="30" t="s">
        <v>26</v>
      </c>
      <c r="Y97" s="30" t="s">
        <v>26</v>
      </c>
      <c r="Z97" s="30" t="s">
        <v>26</v>
      </c>
      <c r="AA97" s="29">
        <v>6163694154.54</v>
      </c>
      <c r="AB97" s="30">
        <v>4.2797403850979999E-2</v>
      </c>
      <c r="AC97" s="30">
        <v>0.15</v>
      </c>
      <c r="AD97" s="30">
        <f>AC97-AB97</f>
        <v>0.10720259614902</v>
      </c>
      <c r="AE97" s="29">
        <v>46054339427.25</v>
      </c>
      <c r="AF97" s="30">
        <v>6.8965507381239993E-2</v>
      </c>
      <c r="AG97" s="30">
        <v>0.15</v>
      </c>
      <c r="AH97" s="30">
        <f>AG97-AF97</f>
        <v>8.1034492618760001E-2</v>
      </c>
      <c r="AI97" s="29" t="s">
        <v>26</v>
      </c>
      <c r="AJ97" s="30" t="s">
        <v>26</v>
      </c>
      <c r="AK97" s="30" t="s">
        <v>26</v>
      </c>
      <c r="AL97" s="30" t="s">
        <v>26</v>
      </c>
      <c r="AM97" s="29" t="s">
        <v>26</v>
      </c>
      <c r="AN97" s="30" t="s">
        <v>26</v>
      </c>
      <c r="AO97" s="30" t="s">
        <v>26</v>
      </c>
      <c r="AP97" s="30" t="s">
        <v>26</v>
      </c>
      <c r="AQ97" s="29" t="s">
        <v>26</v>
      </c>
      <c r="AR97" s="30" t="s">
        <v>26</v>
      </c>
      <c r="AS97" s="30" t="s">
        <v>26</v>
      </c>
      <c r="AT97" s="30" t="s">
        <v>26</v>
      </c>
      <c r="AU97" s="29">
        <v>1859024537.2</v>
      </c>
      <c r="AV97" s="30">
        <v>3.938593718596E-2</v>
      </c>
      <c r="AW97" s="30">
        <v>0.15</v>
      </c>
      <c r="AX97" s="30">
        <f>AW97-AV97</f>
        <v>0.11061406281403999</v>
      </c>
      <c r="AY97" s="29">
        <v>47913363964.449997</v>
      </c>
      <c r="AZ97" s="30">
        <v>6.3334774558339996E-2</v>
      </c>
      <c r="BA97" s="30">
        <v>0.15</v>
      </c>
      <c r="BB97" s="30">
        <f>BA97-AZ97</f>
        <v>8.6665225441659999E-2</v>
      </c>
    </row>
    <row r="98" spans="1:54" s="28" customFormat="1">
      <c r="A98" s="5" t="s">
        <v>87</v>
      </c>
      <c r="B98" s="20" t="s">
        <v>25</v>
      </c>
      <c r="C98" s="9" t="s">
        <v>26</v>
      </c>
      <c r="D98" s="10" t="s">
        <v>26</v>
      </c>
      <c r="E98" s="10" t="s">
        <v>26</v>
      </c>
      <c r="F98" s="10" t="s">
        <v>26</v>
      </c>
      <c r="G98" s="9">
        <v>544705118.60000002</v>
      </c>
      <c r="H98" s="10" t="s">
        <v>26</v>
      </c>
      <c r="I98" s="10" t="s">
        <v>26</v>
      </c>
      <c r="J98" s="10" t="s">
        <v>26</v>
      </c>
      <c r="K98" s="9">
        <v>64082955.130000003</v>
      </c>
      <c r="L98" s="10">
        <v>2.0574993235930001E-2</v>
      </c>
      <c r="M98" s="10" t="s">
        <v>26</v>
      </c>
      <c r="N98" s="10" t="s">
        <v>26</v>
      </c>
      <c r="O98" s="9" t="s">
        <v>26</v>
      </c>
      <c r="P98" s="10" t="s">
        <v>26</v>
      </c>
      <c r="Q98" s="10" t="s">
        <v>26</v>
      </c>
      <c r="R98" s="10" t="s">
        <v>26</v>
      </c>
      <c r="S98" s="9">
        <v>685978906.03999996</v>
      </c>
      <c r="T98" s="10">
        <v>5.9085744013499999E-3</v>
      </c>
      <c r="U98" s="10" t="s">
        <v>26</v>
      </c>
      <c r="V98" s="10" t="s">
        <v>26</v>
      </c>
      <c r="W98" s="9" t="s">
        <v>26</v>
      </c>
      <c r="X98" s="10" t="s">
        <v>26</v>
      </c>
      <c r="Y98" s="10" t="s">
        <v>26</v>
      </c>
      <c r="Z98" s="10" t="s">
        <v>26</v>
      </c>
      <c r="AA98" s="9">
        <v>425277793.12</v>
      </c>
      <c r="AB98" s="10">
        <v>2.9529021078399998E-3</v>
      </c>
      <c r="AC98" s="10" t="s">
        <v>26</v>
      </c>
      <c r="AD98" s="10" t="s">
        <v>26</v>
      </c>
      <c r="AE98" s="9">
        <v>1720044772.8900001</v>
      </c>
      <c r="AF98" s="10">
        <v>2.5757347072200001E-3</v>
      </c>
      <c r="AG98" s="10" t="s">
        <v>26</v>
      </c>
      <c r="AH98" s="10" t="s">
        <v>26</v>
      </c>
      <c r="AI98" s="9" t="s">
        <v>26</v>
      </c>
      <c r="AJ98" s="10" t="s">
        <v>26</v>
      </c>
      <c r="AK98" s="10" t="s">
        <v>26</v>
      </c>
      <c r="AL98" s="10" t="s">
        <v>26</v>
      </c>
      <c r="AM98" s="9" t="s">
        <v>26</v>
      </c>
      <c r="AN98" s="10" t="s">
        <v>26</v>
      </c>
      <c r="AO98" s="10" t="s">
        <v>26</v>
      </c>
      <c r="AP98" s="10" t="s">
        <v>26</v>
      </c>
      <c r="AQ98" s="9" t="s">
        <v>26</v>
      </c>
      <c r="AR98" s="10" t="s">
        <v>26</v>
      </c>
      <c r="AS98" s="10" t="s">
        <v>26</v>
      </c>
      <c r="AT98" s="10" t="s">
        <v>26</v>
      </c>
      <c r="AU98" s="9" t="s">
        <v>26</v>
      </c>
      <c r="AV98" s="10" t="s">
        <v>26</v>
      </c>
      <c r="AW98" s="10" t="s">
        <v>26</v>
      </c>
      <c r="AX98" s="10" t="s">
        <v>26</v>
      </c>
      <c r="AY98" s="9">
        <v>1720044772.8900001</v>
      </c>
      <c r="AZ98" s="10">
        <v>2.2736589316100001E-3</v>
      </c>
      <c r="BA98" s="10" t="s">
        <v>26</v>
      </c>
      <c r="BB98" s="10" t="s">
        <v>26</v>
      </c>
    </row>
    <row r="99" spans="1:54" s="7" customFormat="1">
      <c r="A99" s="3" t="s">
        <v>88</v>
      </c>
      <c r="B99" s="23" t="s">
        <v>47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544705118.60000002</v>
      </c>
      <c r="H99" s="1" t="s">
        <v>26</v>
      </c>
      <c r="I99" s="1" t="s">
        <v>26</v>
      </c>
      <c r="J99" s="1" t="s">
        <v>26</v>
      </c>
      <c r="K99" s="2">
        <v>64082955.130000003</v>
      </c>
      <c r="L99" s="1">
        <v>1</v>
      </c>
      <c r="M99" s="1" t="s">
        <v>26</v>
      </c>
      <c r="N99" s="1" t="s">
        <v>26</v>
      </c>
      <c r="O99" s="2" t="s">
        <v>26</v>
      </c>
      <c r="P99" s="1" t="s">
        <v>26</v>
      </c>
      <c r="Q99" s="1" t="s">
        <v>26</v>
      </c>
      <c r="R99" s="1" t="s">
        <v>26</v>
      </c>
      <c r="S99" s="2">
        <v>685978906.03999996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425277793.12</v>
      </c>
      <c r="AB99" s="1">
        <v>1</v>
      </c>
      <c r="AC99" s="1" t="s">
        <v>26</v>
      </c>
      <c r="AD99" s="1" t="s">
        <v>26</v>
      </c>
      <c r="AE99" s="2">
        <v>1720044772.8900001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1720044772.8900001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89</v>
      </c>
      <c r="B100" s="20" t="s">
        <v>25</v>
      </c>
      <c r="C100" s="9" t="s">
        <v>26</v>
      </c>
      <c r="D100" s="10" t="s">
        <v>26</v>
      </c>
      <c r="E100" s="10" t="s">
        <v>26</v>
      </c>
      <c r="F100" s="10" t="s">
        <v>26</v>
      </c>
      <c r="G100" s="9">
        <v>1930730845.53</v>
      </c>
      <c r="H100" s="10" t="s">
        <v>26</v>
      </c>
      <c r="I100" s="10" t="s">
        <v>26</v>
      </c>
      <c r="J100" s="10" t="s">
        <v>26</v>
      </c>
      <c r="K100" s="9" t="s">
        <v>26</v>
      </c>
      <c r="L100" s="10" t="s">
        <v>26</v>
      </c>
      <c r="M100" s="10" t="s">
        <v>26</v>
      </c>
      <c r="N100" s="10" t="s">
        <v>26</v>
      </c>
      <c r="O100" s="9">
        <v>3462297284.1799998</v>
      </c>
      <c r="P100" s="10">
        <v>1.480170039359E-2</v>
      </c>
      <c r="Q100" s="10" t="s">
        <v>26</v>
      </c>
      <c r="R100" s="10" t="s">
        <v>26</v>
      </c>
      <c r="S100" s="9">
        <v>1261815010.24</v>
      </c>
      <c r="T100" s="10">
        <v>1.086845062305E-2</v>
      </c>
      <c r="U100" s="10" t="s">
        <v>26</v>
      </c>
      <c r="V100" s="10" t="s">
        <v>26</v>
      </c>
      <c r="W100" s="9" t="s">
        <v>26</v>
      </c>
      <c r="X100" s="10" t="s">
        <v>26</v>
      </c>
      <c r="Y100" s="10" t="s">
        <v>26</v>
      </c>
      <c r="Z100" s="10" t="s">
        <v>26</v>
      </c>
      <c r="AA100" s="9">
        <v>1929499806.5</v>
      </c>
      <c r="AB100" s="10">
        <v>1.339741725964E-2</v>
      </c>
      <c r="AC100" s="10" t="s">
        <v>26</v>
      </c>
      <c r="AD100" s="10" t="s">
        <v>26</v>
      </c>
      <c r="AE100" s="9">
        <v>8584342946.4499998</v>
      </c>
      <c r="AF100" s="10">
        <v>1.2854892159979999E-2</v>
      </c>
      <c r="AG100" s="10" t="s">
        <v>26</v>
      </c>
      <c r="AH100" s="10" t="s">
        <v>26</v>
      </c>
      <c r="AI100" s="9" t="s">
        <v>26</v>
      </c>
      <c r="AJ100" s="10" t="s">
        <v>26</v>
      </c>
      <c r="AK100" s="10" t="s">
        <v>26</v>
      </c>
      <c r="AL100" s="10" t="s">
        <v>26</v>
      </c>
      <c r="AM100" s="9" t="s">
        <v>26</v>
      </c>
      <c r="AN100" s="10" t="s">
        <v>26</v>
      </c>
      <c r="AO100" s="10" t="s">
        <v>26</v>
      </c>
      <c r="AP100" s="10" t="s">
        <v>26</v>
      </c>
      <c r="AQ100" s="9" t="s">
        <v>26</v>
      </c>
      <c r="AR100" s="10" t="s">
        <v>26</v>
      </c>
      <c r="AS100" s="10" t="s">
        <v>26</v>
      </c>
      <c r="AT100" s="10" t="s">
        <v>26</v>
      </c>
      <c r="AU100" s="9">
        <v>316530911.72000003</v>
      </c>
      <c r="AV100" s="10">
        <v>6.7061334355500001E-3</v>
      </c>
      <c r="AW100" s="10" t="s">
        <v>26</v>
      </c>
      <c r="AX100" s="10" t="s">
        <v>26</v>
      </c>
      <c r="AY100" s="9">
        <v>8900873858.1700001</v>
      </c>
      <c r="AZ100" s="10">
        <v>1.176571195455E-2</v>
      </c>
      <c r="BA100" s="10" t="s">
        <v>26</v>
      </c>
      <c r="BB100" s="10" t="s">
        <v>26</v>
      </c>
    </row>
    <row r="101" spans="1:54" s="7" customFormat="1">
      <c r="A101" s="3" t="s">
        <v>88</v>
      </c>
      <c r="B101" s="23" t="s">
        <v>47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1930730845.53</v>
      </c>
      <c r="H101" s="1" t="s">
        <v>26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3462297284.1799998</v>
      </c>
      <c r="P101" s="1">
        <v>1</v>
      </c>
      <c r="Q101" s="1" t="s">
        <v>26</v>
      </c>
      <c r="R101" s="1" t="s">
        <v>26</v>
      </c>
      <c r="S101" s="2">
        <v>1261815010.24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1929499806.5</v>
      </c>
      <c r="AB101" s="1">
        <v>1</v>
      </c>
      <c r="AC101" s="1" t="s">
        <v>26</v>
      </c>
      <c r="AD101" s="1" t="s">
        <v>26</v>
      </c>
      <c r="AE101" s="2">
        <v>8584342946.4499998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316530911.72000003</v>
      </c>
      <c r="AV101" s="1">
        <v>1</v>
      </c>
      <c r="AW101" s="1" t="s">
        <v>26</v>
      </c>
      <c r="AX101" s="1" t="s">
        <v>26</v>
      </c>
      <c r="AY101" s="2">
        <v>8900873858.1700001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90</v>
      </c>
      <c r="B102" s="20" t="s">
        <v>25</v>
      </c>
      <c r="C102" s="9" t="s">
        <v>26</v>
      </c>
      <c r="D102" s="10" t="s">
        <v>26</v>
      </c>
      <c r="E102" s="10" t="s">
        <v>26</v>
      </c>
      <c r="F102" s="10" t="s">
        <v>26</v>
      </c>
      <c r="G102" s="9">
        <v>2070438037.1099999</v>
      </c>
      <c r="H102" s="10" t="s">
        <v>26</v>
      </c>
      <c r="I102" s="10" t="s">
        <v>26</v>
      </c>
      <c r="J102" s="10" t="s">
        <v>26</v>
      </c>
      <c r="K102" s="9" t="s">
        <v>26</v>
      </c>
      <c r="L102" s="10" t="s">
        <v>26</v>
      </c>
      <c r="M102" s="10" t="s">
        <v>26</v>
      </c>
      <c r="N102" s="10" t="s">
        <v>26</v>
      </c>
      <c r="O102" s="9">
        <v>1347941430.4100001</v>
      </c>
      <c r="P102" s="10">
        <v>5.7625973633700003E-3</v>
      </c>
      <c r="Q102" s="10" t="s">
        <v>26</v>
      </c>
      <c r="R102" s="10" t="s">
        <v>26</v>
      </c>
      <c r="S102" s="9">
        <v>1347941430.4100001</v>
      </c>
      <c r="T102" s="10">
        <v>1.161028737199E-2</v>
      </c>
      <c r="U102" s="10" t="s">
        <v>26</v>
      </c>
      <c r="V102" s="10" t="s">
        <v>26</v>
      </c>
      <c r="W102" s="9" t="s">
        <v>26</v>
      </c>
      <c r="X102" s="10" t="s">
        <v>26</v>
      </c>
      <c r="Y102" s="10" t="s">
        <v>26</v>
      </c>
      <c r="Z102" s="10" t="s">
        <v>26</v>
      </c>
      <c r="AA102" s="9">
        <v>1293215008.3299999</v>
      </c>
      <c r="AB102" s="10">
        <v>8.9793950819100007E-3</v>
      </c>
      <c r="AC102" s="10" t="s">
        <v>26</v>
      </c>
      <c r="AD102" s="10" t="s">
        <v>26</v>
      </c>
      <c r="AE102" s="9">
        <v>6059535906.2600002</v>
      </c>
      <c r="AF102" s="10">
        <v>9.07404108857E-3</v>
      </c>
      <c r="AG102" s="10" t="s">
        <v>26</v>
      </c>
      <c r="AH102" s="10" t="s">
        <v>26</v>
      </c>
      <c r="AI102" s="9" t="s">
        <v>26</v>
      </c>
      <c r="AJ102" s="10" t="s">
        <v>26</v>
      </c>
      <c r="AK102" s="10" t="s">
        <v>26</v>
      </c>
      <c r="AL102" s="10" t="s">
        <v>26</v>
      </c>
      <c r="AM102" s="9" t="s">
        <v>26</v>
      </c>
      <c r="AN102" s="10" t="s">
        <v>26</v>
      </c>
      <c r="AO102" s="10" t="s">
        <v>26</v>
      </c>
      <c r="AP102" s="10" t="s">
        <v>26</v>
      </c>
      <c r="AQ102" s="9" t="s">
        <v>26</v>
      </c>
      <c r="AR102" s="10" t="s">
        <v>26</v>
      </c>
      <c r="AS102" s="10" t="s">
        <v>26</v>
      </c>
      <c r="AT102" s="10" t="s">
        <v>26</v>
      </c>
      <c r="AU102" s="9" t="s">
        <v>26</v>
      </c>
      <c r="AV102" s="10" t="s">
        <v>26</v>
      </c>
      <c r="AW102" s="10" t="s">
        <v>26</v>
      </c>
      <c r="AX102" s="10" t="s">
        <v>26</v>
      </c>
      <c r="AY102" s="9">
        <v>6059535906.2600002</v>
      </c>
      <c r="AZ102" s="10">
        <v>8.0098600640099993E-3</v>
      </c>
      <c r="BA102" s="10" t="s">
        <v>26</v>
      </c>
      <c r="BB102" s="10" t="s">
        <v>26</v>
      </c>
    </row>
    <row r="103" spans="1:54" customFormat="1">
      <c r="A103" s="3" t="s">
        <v>88</v>
      </c>
      <c r="B103" s="23" t="s">
        <v>47</v>
      </c>
      <c r="C103" s="2" t="s">
        <v>26</v>
      </c>
      <c r="D103" s="1" t="s">
        <v>26</v>
      </c>
      <c r="E103" s="1" t="s">
        <v>26</v>
      </c>
      <c r="F103" s="1" t="s">
        <v>26</v>
      </c>
      <c r="G103" s="2">
        <v>2070438037.1099999</v>
      </c>
      <c r="H103" s="1" t="s">
        <v>26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1347941430.4100001</v>
      </c>
      <c r="P103" s="1">
        <v>1</v>
      </c>
      <c r="Q103" s="1" t="s">
        <v>26</v>
      </c>
      <c r="R103" s="1" t="s">
        <v>26</v>
      </c>
      <c r="S103" s="2">
        <v>1347941430.4100001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18">
        <v>1293215008.3299999</v>
      </c>
      <c r="AB103" s="19">
        <v>1</v>
      </c>
      <c r="AC103" s="1" t="s">
        <v>26</v>
      </c>
      <c r="AD103" s="1" t="s">
        <v>26</v>
      </c>
      <c r="AE103" s="2">
        <f>AE102</f>
        <v>6059535906.2600002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f>AY102</f>
        <v>6059535906.2600002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91</v>
      </c>
      <c r="B104" s="20" t="s">
        <v>25</v>
      </c>
      <c r="C104" s="9" t="s">
        <v>26</v>
      </c>
      <c r="D104" s="10" t="s">
        <v>26</v>
      </c>
      <c r="E104" s="10" t="s">
        <v>26</v>
      </c>
      <c r="F104" s="10" t="s">
        <v>26</v>
      </c>
      <c r="G104" s="9" t="s">
        <v>26</v>
      </c>
      <c r="H104" s="10" t="s">
        <v>26</v>
      </c>
      <c r="I104" s="10" t="s">
        <v>26</v>
      </c>
      <c r="J104" s="10" t="s">
        <v>26</v>
      </c>
      <c r="K104" s="9" t="s">
        <v>26</v>
      </c>
      <c r="L104" s="10" t="s">
        <v>26</v>
      </c>
      <c r="M104" s="10" t="s">
        <v>26</v>
      </c>
      <c r="N104" s="10" t="s">
        <v>26</v>
      </c>
      <c r="O104" s="9">
        <v>3675204793.0599999</v>
      </c>
      <c r="P104" s="10">
        <v>1.5711903330919999E-2</v>
      </c>
      <c r="Q104" s="10" t="s">
        <v>26</v>
      </c>
      <c r="R104" s="10" t="s">
        <v>26</v>
      </c>
      <c r="S104" s="9">
        <v>659729204.74000001</v>
      </c>
      <c r="T104" s="10">
        <v>5.6824766135399997E-3</v>
      </c>
      <c r="U104" s="10" t="s">
        <v>26</v>
      </c>
      <c r="V104" s="10" t="s">
        <v>26</v>
      </c>
      <c r="W104" s="9" t="s">
        <v>26</v>
      </c>
      <c r="X104" s="10" t="s">
        <v>26</v>
      </c>
      <c r="Y104" s="10" t="s">
        <v>26</v>
      </c>
      <c r="Z104" s="10" t="s">
        <v>26</v>
      </c>
      <c r="AA104" s="9">
        <v>1319116327.6500001</v>
      </c>
      <c r="AB104" s="10">
        <v>9.1592400247999996E-3</v>
      </c>
      <c r="AC104" s="10" t="s">
        <v>26</v>
      </c>
      <c r="AD104" s="10" t="s">
        <v>26</v>
      </c>
      <c r="AE104" s="9">
        <v>5654050325.4499998</v>
      </c>
      <c r="AF104" s="10">
        <v>8.4668340552300006E-3</v>
      </c>
      <c r="AG104" s="10" t="s">
        <v>26</v>
      </c>
      <c r="AH104" s="10" t="s">
        <v>26</v>
      </c>
      <c r="AI104" s="9" t="s">
        <v>26</v>
      </c>
      <c r="AJ104" s="10" t="s">
        <v>26</v>
      </c>
      <c r="AK104" s="10" t="s">
        <v>26</v>
      </c>
      <c r="AL104" s="10" t="s">
        <v>26</v>
      </c>
      <c r="AM104" s="9" t="s">
        <v>26</v>
      </c>
      <c r="AN104" s="10" t="s">
        <v>26</v>
      </c>
      <c r="AO104" s="10" t="s">
        <v>26</v>
      </c>
      <c r="AP104" s="10" t="s">
        <v>26</v>
      </c>
      <c r="AQ104" s="9" t="s">
        <v>26</v>
      </c>
      <c r="AR104" s="10" t="s">
        <v>26</v>
      </c>
      <c r="AS104" s="10" t="s">
        <v>26</v>
      </c>
      <c r="AT104" s="10" t="s">
        <v>26</v>
      </c>
      <c r="AU104" s="9">
        <v>366516224.85000002</v>
      </c>
      <c r="AV104" s="10">
        <v>7.7651395776200003E-3</v>
      </c>
      <c r="AW104" s="10" t="s">
        <v>26</v>
      </c>
      <c r="AX104" s="10" t="s">
        <v>26</v>
      </c>
      <c r="AY104" s="9">
        <v>6020566550.3000002</v>
      </c>
      <c r="AZ104" s="10">
        <v>7.95834801872E-3</v>
      </c>
      <c r="BA104" s="10" t="s">
        <v>26</v>
      </c>
      <c r="BB104" s="10" t="s">
        <v>26</v>
      </c>
    </row>
    <row r="105" spans="1:54" customFormat="1">
      <c r="A105" s="3" t="s">
        <v>88</v>
      </c>
      <c r="B105" s="23" t="s">
        <v>47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3675204793.0599999</v>
      </c>
      <c r="P105" s="1">
        <v>1</v>
      </c>
      <c r="Q105" s="1" t="s">
        <v>26</v>
      </c>
      <c r="R105" s="1" t="s">
        <v>26</v>
      </c>
      <c r="S105" s="2">
        <v>659729204.74000001</v>
      </c>
      <c r="T105" s="1">
        <v>1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1319116327.6500001</v>
      </c>
      <c r="AB105" s="1">
        <v>1</v>
      </c>
      <c r="AC105" s="1" t="s">
        <v>26</v>
      </c>
      <c r="AD105" s="1" t="s">
        <v>26</v>
      </c>
      <c r="AE105" s="2">
        <v>5654050325.4499998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366516224.85000002</v>
      </c>
      <c r="AV105" s="1">
        <v>1</v>
      </c>
      <c r="AW105" s="1" t="s">
        <v>26</v>
      </c>
      <c r="AX105" s="1" t="s">
        <v>26</v>
      </c>
      <c r="AY105" s="2">
        <v>6020566550.3000002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92</v>
      </c>
      <c r="B106" s="20" t="s">
        <v>25</v>
      </c>
      <c r="C106" s="9" t="s">
        <v>26</v>
      </c>
      <c r="D106" s="10" t="s">
        <v>26</v>
      </c>
      <c r="E106" s="10" t="s">
        <v>26</v>
      </c>
      <c r="F106" s="10" t="s">
        <v>26</v>
      </c>
      <c r="G106" s="9" t="s">
        <v>26</v>
      </c>
      <c r="H106" s="10" t="s">
        <v>26</v>
      </c>
      <c r="I106" s="10" t="s">
        <v>26</v>
      </c>
      <c r="J106" s="10" t="s">
        <v>26</v>
      </c>
      <c r="K106" s="9" t="s">
        <v>26</v>
      </c>
      <c r="L106" s="10" t="s">
        <v>26</v>
      </c>
      <c r="M106" s="10" t="s">
        <v>26</v>
      </c>
      <c r="N106" s="10" t="s">
        <v>26</v>
      </c>
      <c r="O106" s="9">
        <v>1546333087.5999999</v>
      </c>
      <c r="P106" s="10">
        <v>6.6107434436500001E-3</v>
      </c>
      <c r="Q106" s="10" t="s">
        <v>26</v>
      </c>
      <c r="R106" s="10" t="s">
        <v>26</v>
      </c>
      <c r="S106" s="9" t="s">
        <v>26</v>
      </c>
      <c r="T106" s="10" t="s">
        <v>26</v>
      </c>
      <c r="U106" s="10" t="s">
        <v>26</v>
      </c>
      <c r="V106" s="10" t="s">
        <v>26</v>
      </c>
      <c r="W106" s="9" t="s">
        <v>26</v>
      </c>
      <c r="X106" s="10" t="s">
        <v>26</v>
      </c>
      <c r="Y106" s="10" t="s">
        <v>26</v>
      </c>
      <c r="Z106" s="10" t="s">
        <v>26</v>
      </c>
      <c r="AA106" s="9" t="s">
        <v>26</v>
      </c>
      <c r="AB106" s="10" t="s">
        <v>26</v>
      </c>
      <c r="AC106" s="10" t="s">
        <v>26</v>
      </c>
      <c r="AD106" s="10" t="s">
        <v>26</v>
      </c>
      <c r="AE106" s="9">
        <v>1546333087.5999999</v>
      </c>
      <c r="AF106" s="10">
        <v>2.3156047246099998E-3</v>
      </c>
      <c r="AG106" s="10" t="s">
        <v>26</v>
      </c>
      <c r="AH106" s="10" t="s">
        <v>26</v>
      </c>
      <c r="AI106" s="9" t="s">
        <v>26</v>
      </c>
      <c r="AJ106" s="10" t="s">
        <v>26</v>
      </c>
      <c r="AK106" s="10" t="s">
        <v>26</v>
      </c>
      <c r="AL106" s="10" t="s">
        <v>26</v>
      </c>
      <c r="AM106" s="9" t="s">
        <v>26</v>
      </c>
      <c r="AN106" s="10" t="s">
        <v>26</v>
      </c>
      <c r="AO106" s="10" t="s">
        <v>26</v>
      </c>
      <c r="AP106" s="10" t="s">
        <v>26</v>
      </c>
      <c r="AQ106" s="9" t="s">
        <v>26</v>
      </c>
      <c r="AR106" s="10" t="s">
        <v>26</v>
      </c>
      <c r="AS106" s="10" t="s">
        <v>26</v>
      </c>
      <c r="AT106" s="10" t="s">
        <v>26</v>
      </c>
      <c r="AU106" s="9" t="s">
        <v>26</v>
      </c>
      <c r="AV106" s="10" t="s">
        <v>26</v>
      </c>
      <c r="AW106" s="10" t="s">
        <v>26</v>
      </c>
      <c r="AX106" s="10" t="s">
        <v>26</v>
      </c>
      <c r="AY106" s="9">
        <v>1546333087.5999999</v>
      </c>
      <c r="AZ106" s="10">
        <v>2.0440363479400001E-3</v>
      </c>
      <c r="BA106" s="10" t="s">
        <v>26</v>
      </c>
      <c r="BB106" s="10" t="s">
        <v>26</v>
      </c>
    </row>
    <row r="107" spans="1:54" customFormat="1">
      <c r="A107" s="3" t="s">
        <v>88</v>
      </c>
      <c r="B107" s="23" t="s">
        <v>47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1546333087.5999999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1546333087.5999999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1546333087.5999999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93</v>
      </c>
      <c r="B108" s="20" t="s">
        <v>25</v>
      </c>
      <c r="C108" s="9" t="s">
        <v>26</v>
      </c>
      <c r="D108" s="10" t="s">
        <v>26</v>
      </c>
      <c r="E108" s="10" t="s">
        <v>26</v>
      </c>
      <c r="F108" s="10" t="s">
        <v>26</v>
      </c>
      <c r="G108" s="9" t="s">
        <v>26</v>
      </c>
      <c r="H108" s="10" t="s">
        <v>26</v>
      </c>
      <c r="I108" s="10" t="s">
        <v>26</v>
      </c>
      <c r="J108" s="10" t="s">
        <v>26</v>
      </c>
      <c r="K108" s="9" t="s">
        <v>26</v>
      </c>
      <c r="L108" s="10" t="s">
        <v>26</v>
      </c>
      <c r="M108" s="10" t="s">
        <v>26</v>
      </c>
      <c r="N108" s="10" t="s">
        <v>26</v>
      </c>
      <c r="O108" s="9">
        <v>331082221.19</v>
      </c>
      <c r="P108" s="10">
        <v>1.4154127856399999E-3</v>
      </c>
      <c r="Q108" s="10" t="s">
        <v>26</v>
      </c>
      <c r="R108" s="10" t="s">
        <v>26</v>
      </c>
      <c r="S108" s="9" t="s">
        <v>26</v>
      </c>
      <c r="T108" s="10" t="s">
        <v>26</v>
      </c>
      <c r="U108" s="10" t="s">
        <v>26</v>
      </c>
      <c r="V108" s="10" t="s">
        <v>26</v>
      </c>
      <c r="W108" s="9" t="s">
        <v>26</v>
      </c>
      <c r="X108" s="10" t="s">
        <v>26</v>
      </c>
      <c r="Y108" s="10" t="s">
        <v>26</v>
      </c>
      <c r="Z108" s="10" t="s">
        <v>26</v>
      </c>
      <c r="AA108" s="9">
        <v>331082221.19</v>
      </c>
      <c r="AB108" s="10">
        <v>2.2988583101100002E-3</v>
      </c>
      <c r="AC108" s="10" t="s">
        <v>26</v>
      </c>
      <c r="AD108" s="10" t="s">
        <v>26</v>
      </c>
      <c r="AE108" s="9">
        <v>662164442.38</v>
      </c>
      <c r="AF108" s="10">
        <v>9.9157880248999992E-4</v>
      </c>
      <c r="AG108" s="10" t="s">
        <v>26</v>
      </c>
      <c r="AH108" s="10" t="s">
        <v>26</v>
      </c>
      <c r="AI108" s="9" t="s">
        <v>26</v>
      </c>
      <c r="AJ108" s="10" t="s">
        <v>26</v>
      </c>
      <c r="AK108" s="10" t="s">
        <v>26</v>
      </c>
      <c r="AL108" s="10" t="s">
        <v>26</v>
      </c>
      <c r="AM108" s="9" t="s">
        <v>26</v>
      </c>
      <c r="AN108" s="10" t="s">
        <v>26</v>
      </c>
      <c r="AO108" s="10" t="s">
        <v>26</v>
      </c>
      <c r="AP108" s="10" t="s">
        <v>26</v>
      </c>
      <c r="AQ108" s="9" t="s">
        <v>26</v>
      </c>
      <c r="AR108" s="10" t="s">
        <v>26</v>
      </c>
      <c r="AS108" s="10" t="s">
        <v>26</v>
      </c>
      <c r="AT108" s="10" t="s">
        <v>26</v>
      </c>
      <c r="AU108" s="9" t="s">
        <v>26</v>
      </c>
      <c r="AV108" s="10" t="s">
        <v>26</v>
      </c>
      <c r="AW108" s="10" t="s">
        <v>26</v>
      </c>
      <c r="AX108" s="10" t="s">
        <v>26</v>
      </c>
      <c r="AY108" s="9">
        <v>662164442.38</v>
      </c>
      <c r="AZ108" s="10">
        <v>8.7528890081000005E-4</v>
      </c>
      <c r="BA108" s="10" t="s">
        <v>26</v>
      </c>
      <c r="BB108" s="10" t="s">
        <v>26</v>
      </c>
    </row>
    <row r="109" spans="1:54" customFormat="1">
      <c r="A109" s="3" t="s">
        <v>88</v>
      </c>
      <c r="B109" s="23" t="s">
        <v>47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331082221.19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>
        <v>331082221.19</v>
      </c>
      <c r="AB109" s="1">
        <v>1</v>
      </c>
      <c r="AC109" s="1" t="s">
        <v>26</v>
      </c>
      <c r="AD109" s="1" t="s">
        <v>26</v>
      </c>
      <c r="AE109" s="2">
        <v>662164442.38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662164442.38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94</v>
      </c>
      <c r="B110" s="20" t="s">
        <v>25</v>
      </c>
      <c r="C110" s="9" t="s">
        <v>26</v>
      </c>
      <c r="D110" s="10" t="s">
        <v>26</v>
      </c>
      <c r="E110" s="10" t="s">
        <v>26</v>
      </c>
      <c r="F110" s="10" t="s">
        <v>26</v>
      </c>
      <c r="G110" s="9" t="s">
        <v>26</v>
      </c>
      <c r="H110" s="10" t="s">
        <v>26</v>
      </c>
      <c r="I110" s="10" t="s">
        <v>26</v>
      </c>
      <c r="J110" s="10" t="s">
        <v>26</v>
      </c>
      <c r="K110" s="9" t="s">
        <v>26</v>
      </c>
      <c r="L110" s="10" t="s">
        <v>26</v>
      </c>
      <c r="M110" s="10" t="s">
        <v>26</v>
      </c>
      <c r="N110" s="10" t="s">
        <v>26</v>
      </c>
      <c r="O110" s="9">
        <v>6172068090.5</v>
      </c>
      <c r="P110" s="10">
        <v>2.6386267609609999E-2</v>
      </c>
      <c r="Q110" s="10" t="s">
        <v>26</v>
      </c>
      <c r="R110" s="10" t="s">
        <v>26</v>
      </c>
      <c r="S110" s="9" t="s">
        <v>26</v>
      </c>
      <c r="T110" s="10" t="s">
        <v>26</v>
      </c>
      <c r="U110" s="10" t="s">
        <v>26</v>
      </c>
      <c r="V110" s="10" t="s">
        <v>26</v>
      </c>
      <c r="W110" s="9" t="s">
        <v>26</v>
      </c>
      <c r="X110" s="10" t="s">
        <v>26</v>
      </c>
      <c r="Y110" s="10" t="s">
        <v>26</v>
      </c>
      <c r="Z110" s="10" t="s">
        <v>26</v>
      </c>
      <c r="AA110" s="9" t="s">
        <v>26</v>
      </c>
      <c r="AB110" s="10" t="s">
        <v>26</v>
      </c>
      <c r="AC110" s="10" t="s">
        <v>26</v>
      </c>
      <c r="AD110" s="10" t="s">
        <v>26</v>
      </c>
      <c r="AE110" s="9">
        <v>6172068090.5</v>
      </c>
      <c r="AF110" s="10">
        <v>9.2425559186499993E-3</v>
      </c>
      <c r="AG110" s="10" t="s">
        <v>26</v>
      </c>
      <c r="AH110" s="10" t="s">
        <v>26</v>
      </c>
      <c r="AI110" s="9" t="s">
        <v>26</v>
      </c>
      <c r="AJ110" s="10" t="s">
        <v>26</v>
      </c>
      <c r="AK110" s="10" t="s">
        <v>26</v>
      </c>
      <c r="AL110" s="10" t="s">
        <v>26</v>
      </c>
      <c r="AM110" s="9" t="s">
        <v>26</v>
      </c>
      <c r="AN110" s="10" t="s">
        <v>26</v>
      </c>
      <c r="AO110" s="10" t="s">
        <v>26</v>
      </c>
      <c r="AP110" s="10" t="s">
        <v>26</v>
      </c>
      <c r="AQ110" s="9" t="s">
        <v>26</v>
      </c>
      <c r="AR110" s="10" t="s">
        <v>26</v>
      </c>
      <c r="AS110" s="10" t="s">
        <v>26</v>
      </c>
      <c r="AT110" s="10" t="s">
        <v>26</v>
      </c>
      <c r="AU110" s="9" t="s">
        <v>26</v>
      </c>
      <c r="AV110" s="10" t="s">
        <v>26</v>
      </c>
      <c r="AW110" s="10" t="s">
        <v>26</v>
      </c>
      <c r="AX110" s="10" t="s">
        <v>26</v>
      </c>
      <c r="AY110" s="9">
        <v>6172068090.5</v>
      </c>
      <c r="AZ110" s="10">
        <v>8.1586118929300004E-3</v>
      </c>
      <c r="BA110" s="10" t="s">
        <v>26</v>
      </c>
      <c r="BB110" s="10" t="s">
        <v>26</v>
      </c>
    </row>
    <row r="111" spans="1:54" customFormat="1">
      <c r="A111" s="3" t="s">
        <v>88</v>
      </c>
      <c r="B111" s="23" t="s">
        <v>47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6172068090.5</v>
      </c>
      <c r="P111" s="1">
        <v>1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6172068090.5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6172068090.5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95</v>
      </c>
      <c r="B112" s="20" t="s">
        <v>25</v>
      </c>
      <c r="C112" s="9" t="s">
        <v>26</v>
      </c>
      <c r="D112" s="10" t="s">
        <v>26</v>
      </c>
      <c r="E112" s="10" t="s">
        <v>26</v>
      </c>
      <c r="F112" s="10" t="s">
        <v>26</v>
      </c>
      <c r="G112" s="9" t="s">
        <v>26</v>
      </c>
      <c r="H112" s="10" t="s">
        <v>26</v>
      </c>
      <c r="I112" s="10" t="s">
        <v>26</v>
      </c>
      <c r="J112" s="10" t="s">
        <v>26</v>
      </c>
      <c r="K112" s="9" t="s">
        <v>26</v>
      </c>
      <c r="L112" s="10" t="s">
        <v>26</v>
      </c>
      <c r="M112" s="10" t="s">
        <v>26</v>
      </c>
      <c r="N112" s="10" t="s">
        <v>26</v>
      </c>
      <c r="O112" s="9" t="s">
        <v>26</v>
      </c>
      <c r="P112" s="10" t="s">
        <v>26</v>
      </c>
      <c r="Q112" s="10" t="s">
        <v>26</v>
      </c>
      <c r="R112" s="10" t="s">
        <v>26</v>
      </c>
      <c r="S112" s="9">
        <v>140085753.59</v>
      </c>
      <c r="T112" s="10">
        <v>1.2066072154199999E-3</v>
      </c>
      <c r="U112" s="10" t="s">
        <v>26</v>
      </c>
      <c r="V112" s="10" t="s">
        <v>26</v>
      </c>
      <c r="W112" s="9" t="s">
        <v>26</v>
      </c>
      <c r="X112" s="10" t="s">
        <v>26</v>
      </c>
      <c r="Y112" s="10" t="s">
        <v>26</v>
      </c>
      <c r="Z112" s="10" t="s">
        <v>26</v>
      </c>
      <c r="AA112" s="9" t="s">
        <v>26</v>
      </c>
      <c r="AB112" s="10" t="s">
        <v>26</v>
      </c>
      <c r="AC112" s="10" t="s">
        <v>26</v>
      </c>
      <c r="AD112" s="10" t="s">
        <v>26</v>
      </c>
      <c r="AE112" s="9">
        <v>140085753.59</v>
      </c>
      <c r="AF112" s="10">
        <v>2.0977578211999999E-4</v>
      </c>
      <c r="AG112" s="10" t="s">
        <v>26</v>
      </c>
      <c r="AH112" s="10" t="s">
        <v>26</v>
      </c>
      <c r="AI112" s="9" t="s">
        <v>26</v>
      </c>
      <c r="AJ112" s="10" t="s">
        <v>26</v>
      </c>
      <c r="AK112" s="10" t="s">
        <v>26</v>
      </c>
      <c r="AL112" s="10" t="s">
        <v>26</v>
      </c>
      <c r="AM112" s="9" t="s">
        <v>26</v>
      </c>
      <c r="AN112" s="10" t="s">
        <v>26</v>
      </c>
      <c r="AO112" s="10" t="s">
        <v>26</v>
      </c>
      <c r="AP112" s="10" t="s">
        <v>26</v>
      </c>
      <c r="AQ112" s="9" t="s">
        <v>26</v>
      </c>
      <c r="AR112" s="10" t="s">
        <v>26</v>
      </c>
      <c r="AS112" s="10" t="s">
        <v>26</v>
      </c>
      <c r="AT112" s="10" t="s">
        <v>26</v>
      </c>
      <c r="AU112" s="9">
        <v>179452917.91999999</v>
      </c>
      <c r="AV112" s="10">
        <v>3.8019516211900001E-3</v>
      </c>
      <c r="AW112" s="10" t="s">
        <v>26</v>
      </c>
      <c r="AX112" s="10" t="s">
        <v>26</v>
      </c>
      <c r="AY112" s="9">
        <v>319538671.50999999</v>
      </c>
      <c r="AZ112" s="10">
        <v>4.2238549015000002E-4</v>
      </c>
      <c r="BA112" s="10" t="s">
        <v>26</v>
      </c>
      <c r="BB112" s="10" t="s">
        <v>26</v>
      </c>
    </row>
    <row r="113" spans="1:54" customFormat="1">
      <c r="A113" s="3" t="s">
        <v>88</v>
      </c>
      <c r="B113" s="23" t="s">
        <v>47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140085753.59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140085753.59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>
        <v>179452917.91999999</v>
      </c>
      <c r="AV113" s="1">
        <v>1</v>
      </c>
      <c r="AW113" s="1" t="s">
        <v>26</v>
      </c>
      <c r="AX113" s="1" t="s">
        <v>26</v>
      </c>
      <c r="AY113" s="2">
        <v>319538671.50999999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96</v>
      </c>
      <c r="B114" s="20" t="s">
        <v>25</v>
      </c>
      <c r="C114" s="9" t="s">
        <v>26</v>
      </c>
      <c r="D114" s="10" t="s">
        <v>26</v>
      </c>
      <c r="E114" s="10" t="s">
        <v>26</v>
      </c>
      <c r="F114" s="10" t="s">
        <v>26</v>
      </c>
      <c r="G114" s="9" t="s">
        <v>26</v>
      </c>
      <c r="H114" s="10" t="s">
        <v>26</v>
      </c>
      <c r="I114" s="10" t="s">
        <v>26</v>
      </c>
      <c r="J114" s="10" t="s">
        <v>26</v>
      </c>
      <c r="K114" s="9">
        <v>60349491.5</v>
      </c>
      <c r="L114" s="10">
        <v>1.9376297127460002E-2</v>
      </c>
      <c r="M114" s="10" t="s">
        <v>26</v>
      </c>
      <c r="N114" s="10" t="s">
        <v>26</v>
      </c>
      <c r="O114" s="9" t="s">
        <v>26</v>
      </c>
      <c r="P114" s="10" t="s">
        <v>26</v>
      </c>
      <c r="Q114" s="10" t="s">
        <v>26</v>
      </c>
      <c r="R114" s="10" t="s">
        <v>26</v>
      </c>
      <c r="S114" s="9" t="s">
        <v>26</v>
      </c>
      <c r="T114" s="10" t="s">
        <v>26</v>
      </c>
      <c r="U114" s="10" t="s">
        <v>26</v>
      </c>
      <c r="V114" s="10" t="s">
        <v>26</v>
      </c>
      <c r="W114" s="9" t="s">
        <v>26</v>
      </c>
      <c r="X114" s="10" t="s">
        <v>26</v>
      </c>
      <c r="Y114" s="10" t="s">
        <v>26</v>
      </c>
      <c r="Z114" s="10" t="s">
        <v>26</v>
      </c>
      <c r="AA114" s="9" t="s">
        <v>26</v>
      </c>
      <c r="AB114" s="10" t="s">
        <v>26</v>
      </c>
      <c r="AC114" s="10" t="s">
        <v>26</v>
      </c>
      <c r="AD114" s="10" t="s">
        <v>26</v>
      </c>
      <c r="AE114" s="9">
        <v>60349491.5</v>
      </c>
      <c r="AF114" s="10">
        <v>9.0372228830000001E-5</v>
      </c>
      <c r="AG114" s="10" t="s">
        <v>26</v>
      </c>
      <c r="AH114" s="10" t="s">
        <v>26</v>
      </c>
      <c r="AI114" s="9" t="s">
        <v>26</v>
      </c>
      <c r="AJ114" s="10" t="s">
        <v>26</v>
      </c>
      <c r="AK114" s="10" t="s">
        <v>26</v>
      </c>
      <c r="AL114" s="10" t="s">
        <v>26</v>
      </c>
      <c r="AM114" s="9" t="s">
        <v>26</v>
      </c>
      <c r="AN114" s="10" t="s">
        <v>26</v>
      </c>
      <c r="AO114" s="10" t="s">
        <v>26</v>
      </c>
      <c r="AP114" s="10" t="s">
        <v>26</v>
      </c>
      <c r="AQ114" s="9" t="s">
        <v>26</v>
      </c>
      <c r="AR114" s="10" t="s">
        <v>26</v>
      </c>
      <c r="AS114" s="10" t="s">
        <v>26</v>
      </c>
      <c r="AT114" s="10" t="s">
        <v>26</v>
      </c>
      <c r="AU114" s="9" t="s">
        <v>26</v>
      </c>
      <c r="AV114" s="10" t="s">
        <v>26</v>
      </c>
      <c r="AW114" s="10" t="s">
        <v>26</v>
      </c>
      <c r="AX114" s="10" t="s">
        <v>26</v>
      </c>
      <c r="AY114" s="9">
        <v>60349491.5</v>
      </c>
      <c r="AZ114" s="10">
        <v>7.9773598070000001E-5</v>
      </c>
      <c r="BA114" s="10" t="s">
        <v>26</v>
      </c>
      <c r="BB114" s="10" t="s">
        <v>26</v>
      </c>
    </row>
    <row r="115" spans="1:54" customFormat="1">
      <c r="A115" s="3" t="s">
        <v>88</v>
      </c>
      <c r="B115" s="23" t="s">
        <v>47</v>
      </c>
      <c r="C115" s="2" t="s">
        <v>26</v>
      </c>
      <c r="D115" s="1" t="s">
        <v>26</v>
      </c>
      <c r="E115" s="1" t="s">
        <v>26</v>
      </c>
      <c r="F115" s="1" t="s">
        <v>26</v>
      </c>
      <c r="G115" s="2" t="s">
        <v>26</v>
      </c>
      <c r="H115" s="1" t="s">
        <v>26</v>
      </c>
      <c r="I115" s="1" t="s">
        <v>26</v>
      </c>
      <c r="J115" s="1" t="s">
        <v>26</v>
      </c>
      <c r="K115" s="2">
        <v>60349491.5</v>
      </c>
      <c r="L115" s="1">
        <v>1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60349491.5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60349491.5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117</v>
      </c>
      <c r="B116" s="20" t="s">
        <v>25</v>
      </c>
      <c r="C116" s="9" t="s">
        <v>26</v>
      </c>
      <c r="D116" s="10" t="s">
        <v>26</v>
      </c>
      <c r="E116" s="10" t="s">
        <v>26</v>
      </c>
      <c r="F116" s="10" t="s">
        <v>26</v>
      </c>
      <c r="G116" s="9">
        <v>981005384.70000005</v>
      </c>
      <c r="H116" s="10" t="s">
        <v>26</v>
      </c>
      <c r="I116" s="10" t="s">
        <v>26</v>
      </c>
      <c r="J116" s="10" t="s">
        <v>26</v>
      </c>
      <c r="K116" s="9" t="s">
        <v>26</v>
      </c>
      <c r="L116" s="10" t="s">
        <v>26</v>
      </c>
      <c r="M116" s="10" t="s">
        <v>26</v>
      </c>
      <c r="N116" s="10" t="s">
        <v>26</v>
      </c>
      <c r="O116" s="9" t="s">
        <v>26</v>
      </c>
      <c r="P116" s="10" t="s">
        <v>26</v>
      </c>
      <c r="Q116" s="10" t="s">
        <v>26</v>
      </c>
      <c r="R116" s="10" t="s">
        <v>26</v>
      </c>
      <c r="S116" s="9" t="s">
        <v>26</v>
      </c>
      <c r="T116" s="10" t="s">
        <v>26</v>
      </c>
      <c r="U116" s="10" t="s">
        <v>26</v>
      </c>
      <c r="V116" s="10" t="s">
        <v>26</v>
      </c>
      <c r="W116" s="9" t="s">
        <v>26</v>
      </c>
      <c r="X116" s="10" t="s">
        <v>26</v>
      </c>
      <c r="Y116" s="10" t="s">
        <v>26</v>
      </c>
      <c r="Z116" s="10" t="s">
        <v>26</v>
      </c>
      <c r="AA116" s="9" t="s">
        <v>26</v>
      </c>
      <c r="AB116" s="10" t="s">
        <v>26</v>
      </c>
      <c r="AC116" s="10" t="s">
        <v>26</v>
      </c>
      <c r="AD116" s="10" t="s">
        <v>26</v>
      </c>
      <c r="AE116" s="9">
        <v>981005384.70000005</v>
      </c>
      <c r="AF116" s="10">
        <v>1.46903711878E-3</v>
      </c>
      <c r="AG116" s="10" t="s">
        <v>26</v>
      </c>
      <c r="AH116" s="10" t="s">
        <v>26</v>
      </c>
      <c r="AI116" s="9" t="s">
        <v>26</v>
      </c>
      <c r="AJ116" s="10" t="s">
        <v>26</v>
      </c>
      <c r="AK116" s="10" t="s">
        <v>26</v>
      </c>
      <c r="AL116" s="10" t="s">
        <v>26</v>
      </c>
      <c r="AM116" s="9" t="s">
        <v>26</v>
      </c>
      <c r="AN116" s="10" t="s">
        <v>26</v>
      </c>
      <c r="AO116" s="10" t="s">
        <v>26</v>
      </c>
      <c r="AP116" s="10" t="s">
        <v>26</v>
      </c>
      <c r="AQ116" s="9" t="s">
        <v>26</v>
      </c>
      <c r="AR116" s="10" t="s">
        <v>26</v>
      </c>
      <c r="AS116" s="10" t="s">
        <v>26</v>
      </c>
      <c r="AT116" s="10" t="s">
        <v>26</v>
      </c>
      <c r="AU116" s="9" t="s">
        <v>26</v>
      </c>
      <c r="AV116" s="10" t="s">
        <v>26</v>
      </c>
      <c r="AW116" s="10" t="s">
        <v>26</v>
      </c>
      <c r="AX116" s="10" t="s">
        <v>26</v>
      </c>
      <c r="AY116" s="9">
        <v>981005384.70000005</v>
      </c>
      <c r="AZ116" s="10">
        <v>1.2967520904300001E-3</v>
      </c>
      <c r="BA116" s="10" t="s">
        <v>26</v>
      </c>
      <c r="BB116" s="10" t="s">
        <v>26</v>
      </c>
    </row>
    <row r="117" spans="1:54" customFormat="1">
      <c r="A117" s="3" t="s">
        <v>88</v>
      </c>
      <c r="B117" s="23" t="s">
        <v>47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981005384.70000005</v>
      </c>
      <c r="H117" s="1" t="s">
        <v>26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 t="s">
        <v>26</v>
      </c>
      <c r="P117" s="1" t="s">
        <v>26</v>
      </c>
      <c r="Q117" s="1" t="s">
        <v>26</v>
      </c>
      <c r="R117" s="1" t="s">
        <v>26</v>
      </c>
      <c r="S117" s="2" t="s">
        <v>26</v>
      </c>
      <c r="T117" s="1" t="s">
        <v>26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981005384.70000005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981005384.70000005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97</v>
      </c>
      <c r="B118" s="20" t="s">
        <v>25</v>
      </c>
      <c r="C118" s="9" t="s">
        <v>26</v>
      </c>
      <c r="D118" s="10" t="s">
        <v>26</v>
      </c>
      <c r="E118" s="10" t="s">
        <v>26</v>
      </c>
      <c r="F118" s="10" t="s">
        <v>26</v>
      </c>
      <c r="G118" s="9">
        <v>741847065.50999999</v>
      </c>
      <c r="H118" s="10" t="s">
        <v>26</v>
      </c>
      <c r="I118" s="10" t="s">
        <v>26</v>
      </c>
      <c r="J118" s="10" t="s">
        <v>26</v>
      </c>
      <c r="K118" s="9" t="s">
        <v>26</v>
      </c>
      <c r="L118" s="10" t="s">
        <v>26</v>
      </c>
      <c r="M118" s="10" t="s">
        <v>26</v>
      </c>
      <c r="N118" s="10" t="s">
        <v>26</v>
      </c>
      <c r="O118" s="9">
        <v>2138157234.0999999</v>
      </c>
      <c r="P118" s="10">
        <v>9.1408565400000006E-3</v>
      </c>
      <c r="Q118" s="10" t="s">
        <v>26</v>
      </c>
      <c r="R118" s="10" t="s">
        <v>26</v>
      </c>
      <c r="S118" s="9">
        <v>112743643.81</v>
      </c>
      <c r="T118" s="10">
        <v>9.7110013422999997E-4</v>
      </c>
      <c r="U118" s="10" t="s">
        <v>26</v>
      </c>
      <c r="V118" s="10" t="s">
        <v>26</v>
      </c>
      <c r="W118" s="9" t="s">
        <v>26</v>
      </c>
      <c r="X118" s="10" t="s">
        <v>26</v>
      </c>
      <c r="Y118" s="10" t="s">
        <v>26</v>
      </c>
      <c r="Z118" s="10" t="s">
        <v>26</v>
      </c>
      <c r="AA118" s="9" t="s">
        <v>26</v>
      </c>
      <c r="AB118" s="10" t="s">
        <v>26</v>
      </c>
      <c r="AC118" s="10" t="s">
        <v>26</v>
      </c>
      <c r="AD118" s="10" t="s">
        <v>26</v>
      </c>
      <c r="AE118" s="9">
        <v>2992747943.4200001</v>
      </c>
      <c r="AF118" s="10">
        <v>4.4815837757899999E-3</v>
      </c>
      <c r="AG118" s="10" t="s">
        <v>26</v>
      </c>
      <c r="AH118" s="10" t="s">
        <v>26</v>
      </c>
      <c r="AI118" s="9" t="s">
        <v>26</v>
      </c>
      <c r="AJ118" s="10" t="s">
        <v>26</v>
      </c>
      <c r="AK118" s="10" t="s">
        <v>26</v>
      </c>
      <c r="AL118" s="10" t="s">
        <v>26</v>
      </c>
      <c r="AM118" s="9" t="s">
        <v>26</v>
      </c>
      <c r="AN118" s="10" t="s">
        <v>26</v>
      </c>
      <c r="AO118" s="10" t="s">
        <v>26</v>
      </c>
      <c r="AP118" s="10" t="s">
        <v>26</v>
      </c>
      <c r="AQ118" s="9" t="s">
        <v>26</v>
      </c>
      <c r="AR118" s="10" t="s">
        <v>26</v>
      </c>
      <c r="AS118" s="10" t="s">
        <v>26</v>
      </c>
      <c r="AT118" s="10" t="s">
        <v>26</v>
      </c>
      <c r="AU118" s="9" t="s">
        <v>26</v>
      </c>
      <c r="AV118" s="10" t="s">
        <v>26</v>
      </c>
      <c r="AW118" s="10" t="s">
        <v>26</v>
      </c>
      <c r="AX118" s="10" t="s">
        <v>26</v>
      </c>
      <c r="AY118" s="9">
        <v>2992747943.4200001</v>
      </c>
      <c r="AZ118" s="10">
        <v>3.9559947501699999E-3</v>
      </c>
      <c r="BA118" s="10" t="s">
        <v>26</v>
      </c>
      <c r="BB118" s="10" t="s">
        <v>26</v>
      </c>
    </row>
    <row r="119" spans="1:54" customFormat="1">
      <c r="A119" s="3" t="s">
        <v>88</v>
      </c>
      <c r="B119" s="23" t="s">
        <v>47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741847065.50999999</v>
      </c>
      <c r="H119" s="1" t="s">
        <v>26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2138157234.0999999</v>
      </c>
      <c r="P119" s="1">
        <v>1</v>
      </c>
      <c r="Q119" s="1" t="s">
        <v>26</v>
      </c>
      <c r="R119" s="1" t="s">
        <v>26</v>
      </c>
      <c r="S119" s="2">
        <v>112743643.81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2992747943.4200001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" t="s">
        <v>26</v>
      </c>
      <c r="AX119" s="1" t="s">
        <v>26</v>
      </c>
      <c r="AY119" s="2">
        <v>2992747943.4200001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98</v>
      </c>
      <c r="B120" s="20" t="s">
        <v>25</v>
      </c>
      <c r="C120" s="9" t="s">
        <v>26</v>
      </c>
      <c r="D120" s="10" t="s">
        <v>26</v>
      </c>
      <c r="E120" s="10" t="s">
        <v>26</v>
      </c>
      <c r="F120" s="10" t="s">
        <v>26</v>
      </c>
      <c r="G120" s="9">
        <v>1493769862.3499999</v>
      </c>
      <c r="H120" s="10" t="s">
        <v>26</v>
      </c>
      <c r="I120" s="10" t="s">
        <v>26</v>
      </c>
      <c r="J120" s="10" t="s">
        <v>26</v>
      </c>
      <c r="K120" s="9" t="s">
        <v>26</v>
      </c>
      <c r="L120" s="10" t="s">
        <v>26</v>
      </c>
      <c r="M120" s="10" t="s">
        <v>26</v>
      </c>
      <c r="N120" s="10" t="s">
        <v>26</v>
      </c>
      <c r="O120" s="9">
        <v>3559016009.6799998</v>
      </c>
      <c r="P120" s="10">
        <v>1.521518354648E-2</v>
      </c>
      <c r="Q120" s="10" t="s">
        <v>26</v>
      </c>
      <c r="R120" s="10" t="s">
        <v>26</v>
      </c>
      <c r="S120" s="9">
        <v>996524482.71000004</v>
      </c>
      <c r="T120" s="10">
        <v>8.5834112346899992E-3</v>
      </c>
      <c r="U120" s="10" t="s">
        <v>26</v>
      </c>
      <c r="V120" s="10" t="s">
        <v>26</v>
      </c>
      <c r="W120" s="9" t="s">
        <v>26</v>
      </c>
      <c r="X120" s="10" t="s">
        <v>26</v>
      </c>
      <c r="Y120" s="10" t="s">
        <v>26</v>
      </c>
      <c r="Z120" s="10" t="s">
        <v>26</v>
      </c>
      <c r="AA120" s="9" t="s">
        <v>26</v>
      </c>
      <c r="AB120" s="10" t="s">
        <v>26</v>
      </c>
      <c r="AC120" s="10" t="s">
        <v>26</v>
      </c>
      <c r="AD120" s="10" t="s">
        <v>26</v>
      </c>
      <c r="AE120" s="9">
        <v>6049310354.7399998</v>
      </c>
      <c r="AF120" s="10">
        <v>9.0587285174300002E-3</v>
      </c>
      <c r="AG120" s="10" t="s">
        <v>26</v>
      </c>
      <c r="AH120" s="10" t="s">
        <v>26</v>
      </c>
      <c r="AI120" s="9" t="s">
        <v>26</v>
      </c>
      <c r="AJ120" s="10" t="s">
        <v>26</v>
      </c>
      <c r="AK120" s="10" t="s">
        <v>26</v>
      </c>
      <c r="AL120" s="10" t="s">
        <v>26</v>
      </c>
      <c r="AM120" s="9" t="s">
        <v>26</v>
      </c>
      <c r="AN120" s="10" t="s">
        <v>26</v>
      </c>
      <c r="AO120" s="10" t="s">
        <v>26</v>
      </c>
      <c r="AP120" s="10" t="s">
        <v>26</v>
      </c>
      <c r="AQ120" s="9" t="s">
        <v>26</v>
      </c>
      <c r="AR120" s="10" t="s">
        <v>26</v>
      </c>
      <c r="AS120" s="10" t="s">
        <v>26</v>
      </c>
      <c r="AT120" s="10" t="s">
        <v>26</v>
      </c>
      <c r="AU120" s="9">
        <v>996524482.71000004</v>
      </c>
      <c r="AV120" s="10">
        <v>2.1112712551609999E-2</v>
      </c>
      <c r="AW120" s="10" t="s">
        <v>26</v>
      </c>
      <c r="AX120" s="10" t="s">
        <v>26</v>
      </c>
      <c r="AY120" s="9">
        <v>7045834837.4499998</v>
      </c>
      <c r="AZ120" s="10">
        <v>9.3136094834900002E-3</v>
      </c>
      <c r="BA120" s="10" t="s">
        <v>26</v>
      </c>
      <c r="BB120" s="10" t="s">
        <v>26</v>
      </c>
    </row>
    <row r="121" spans="1:54" customFormat="1">
      <c r="A121" s="3" t="s">
        <v>88</v>
      </c>
      <c r="B121" s="23" t="s">
        <v>40</v>
      </c>
      <c r="C121" s="2" t="s">
        <v>26</v>
      </c>
      <c r="D121" s="1" t="s">
        <v>26</v>
      </c>
      <c r="E121" s="1" t="s">
        <v>26</v>
      </c>
      <c r="F121" s="1" t="s">
        <v>26</v>
      </c>
      <c r="G121" s="2">
        <v>1493769862.3499999</v>
      </c>
      <c r="H121" s="1" t="s">
        <v>26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3559016009.6799998</v>
      </c>
      <c r="P121" s="1">
        <v>1</v>
      </c>
      <c r="Q121" s="1" t="s">
        <v>26</v>
      </c>
      <c r="R121" s="1" t="s">
        <v>26</v>
      </c>
      <c r="S121" s="2">
        <v>996524482.71000004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6049310354.7399998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>
        <v>996524482.71000004</v>
      </c>
      <c r="AV121" s="1">
        <v>1</v>
      </c>
      <c r="AW121" s="1" t="s">
        <v>26</v>
      </c>
      <c r="AX121" s="1" t="s">
        <v>26</v>
      </c>
      <c r="AY121" s="2">
        <v>7045834837.4499998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99</v>
      </c>
      <c r="B122" s="20" t="s">
        <v>25</v>
      </c>
      <c r="C122" s="9" t="s">
        <v>26</v>
      </c>
      <c r="D122" s="10" t="s">
        <v>26</v>
      </c>
      <c r="E122" s="10" t="s">
        <v>26</v>
      </c>
      <c r="F122" s="10" t="s">
        <v>26</v>
      </c>
      <c r="G122" s="9">
        <v>577001998.5</v>
      </c>
      <c r="H122" s="10" t="s">
        <v>26</v>
      </c>
      <c r="I122" s="10" t="s">
        <v>26</v>
      </c>
      <c r="J122" s="10" t="s">
        <v>26</v>
      </c>
      <c r="K122" s="9" t="s">
        <v>26</v>
      </c>
      <c r="L122" s="10" t="s">
        <v>26</v>
      </c>
      <c r="M122" s="10" t="s">
        <v>26</v>
      </c>
      <c r="N122" s="10" t="s">
        <v>26</v>
      </c>
      <c r="O122" s="9">
        <v>800059431.08000004</v>
      </c>
      <c r="P122" s="10">
        <v>3.4203417626799998E-3</v>
      </c>
      <c r="Q122" s="10" t="s">
        <v>26</v>
      </c>
      <c r="R122" s="10" t="s">
        <v>26</v>
      </c>
      <c r="S122" s="9">
        <v>266805724.11000001</v>
      </c>
      <c r="T122" s="10">
        <v>2.29809030238E-3</v>
      </c>
      <c r="U122" s="10" t="s">
        <v>26</v>
      </c>
      <c r="V122" s="10" t="s">
        <v>26</v>
      </c>
      <c r="W122" s="9" t="s">
        <v>26</v>
      </c>
      <c r="X122" s="10" t="s">
        <v>26</v>
      </c>
      <c r="Y122" s="10" t="s">
        <v>26</v>
      </c>
      <c r="Z122" s="10" t="s">
        <v>26</v>
      </c>
      <c r="AA122" s="9">
        <v>865502997.75</v>
      </c>
      <c r="AB122" s="10">
        <v>6.0095910666899998E-3</v>
      </c>
      <c r="AC122" s="10" t="s">
        <v>26</v>
      </c>
      <c r="AD122" s="10" t="s">
        <v>26</v>
      </c>
      <c r="AE122" s="9">
        <v>2509370151.4400001</v>
      </c>
      <c r="AF122" s="10">
        <v>3.75773462075E-3</v>
      </c>
      <c r="AG122" s="10" t="s">
        <v>26</v>
      </c>
      <c r="AH122" s="10" t="s">
        <v>26</v>
      </c>
      <c r="AI122" s="9" t="s">
        <v>26</v>
      </c>
      <c r="AJ122" s="10" t="s">
        <v>26</v>
      </c>
      <c r="AK122" s="10" t="s">
        <v>26</v>
      </c>
      <c r="AL122" s="10" t="s">
        <v>26</v>
      </c>
      <c r="AM122" s="9" t="s">
        <v>26</v>
      </c>
      <c r="AN122" s="10" t="s">
        <v>26</v>
      </c>
      <c r="AO122" s="10" t="s">
        <v>26</v>
      </c>
      <c r="AP122" s="10" t="s">
        <v>26</v>
      </c>
      <c r="AQ122" s="9" t="s">
        <v>26</v>
      </c>
      <c r="AR122" s="10" t="s">
        <v>26</v>
      </c>
      <c r="AS122" s="10" t="s">
        <v>26</v>
      </c>
      <c r="AT122" s="10" t="s">
        <v>26</v>
      </c>
      <c r="AU122" s="9" t="s">
        <v>26</v>
      </c>
      <c r="AV122" s="10" t="s">
        <v>26</v>
      </c>
      <c r="AW122" s="10" t="s">
        <v>26</v>
      </c>
      <c r="AX122" s="10" t="s">
        <v>26</v>
      </c>
      <c r="AY122" s="9">
        <v>2509370151.4400001</v>
      </c>
      <c r="AZ122" s="10">
        <v>3.3170368280299998E-3</v>
      </c>
      <c r="BA122" s="10" t="s">
        <v>26</v>
      </c>
      <c r="BB122" s="10" t="s">
        <v>26</v>
      </c>
    </row>
    <row r="123" spans="1:54" s="7" customFormat="1">
      <c r="A123" s="3" t="s">
        <v>88</v>
      </c>
      <c r="B123" s="23" t="s">
        <v>47</v>
      </c>
      <c r="C123" s="2" t="s">
        <v>26</v>
      </c>
      <c r="D123" s="1" t="s">
        <v>26</v>
      </c>
      <c r="E123" s="1" t="s">
        <v>26</v>
      </c>
      <c r="F123" s="1" t="s">
        <v>26</v>
      </c>
      <c r="G123" s="2">
        <v>577001998.5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800059431.08000004</v>
      </c>
      <c r="P123" s="1">
        <v>1</v>
      </c>
      <c r="Q123" s="1" t="s">
        <v>26</v>
      </c>
      <c r="R123" s="1" t="s">
        <v>26</v>
      </c>
      <c r="S123" s="2">
        <v>266805724.11000001</v>
      </c>
      <c r="T123" s="1">
        <v>1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18">
        <v>865502997.75</v>
      </c>
      <c r="AB123" s="19">
        <v>1</v>
      </c>
      <c r="AC123" s="1" t="s">
        <v>26</v>
      </c>
      <c r="AD123" s="1" t="s">
        <v>26</v>
      </c>
      <c r="AE123" s="2">
        <v>2509370151.4400001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2509370151.4400001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100</v>
      </c>
      <c r="B124" s="20" t="s">
        <v>25</v>
      </c>
      <c r="C124" s="9" t="s">
        <v>26</v>
      </c>
      <c r="D124" s="10" t="s">
        <v>26</v>
      </c>
      <c r="E124" s="10" t="s">
        <v>26</v>
      </c>
      <c r="F124" s="10" t="s">
        <v>26</v>
      </c>
      <c r="G124" s="9" t="s">
        <v>26</v>
      </c>
      <c r="H124" s="10" t="s">
        <v>26</v>
      </c>
      <c r="I124" s="10" t="s">
        <v>26</v>
      </c>
      <c r="J124" s="10" t="s">
        <v>26</v>
      </c>
      <c r="K124" s="9" t="s">
        <v>26</v>
      </c>
      <c r="L124" s="10" t="s">
        <v>26</v>
      </c>
      <c r="M124" s="10" t="s">
        <v>26</v>
      </c>
      <c r="N124" s="10" t="s">
        <v>26</v>
      </c>
      <c r="O124" s="9">
        <v>370205092.12</v>
      </c>
      <c r="P124" s="10">
        <v>1.5826673471299999E-3</v>
      </c>
      <c r="Q124" s="10" t="s">
        <v>26</v>
      </c>
      <c r="R124" s="10" t="s">
        <v>26</v>
      </c>
      <c r="S124" s="9" t="s">
        <v>26</v>
      </c>
      <c r="T124" s="10" t="s">
        <v>26</v>
      </c>
      <c r="U124" s="10" t="s">
        <v>26</v>
      </c>
      <c r="V124" s="10" t="s">
        <v>26</v>
      </c>
      <c r="W124" s="9" t="s">
        <v>26</v>
      </c>
      <c r="X124" s="10" t="s">
        <v>26</v>
      </c>
      <c r="Y124" s="10" t="s">
        <v>26</v>
      </c>
      <c r="Z124" s="10" t="s">
        <v>26</v>
      </c>
      <c r="AA124" s="9" t="s">
        <v>26</v>
      </c>
      <c r="AB124" s="10" t="s">
        <v>26</v>
      </c>
      <c r="AC124" s="10" t="s">
        <v>26</v>
      </c>
      <c r="AD124" s="10" t="s">
        <v>26</v>
      </c>
      <c r="AE124" s="9">
        <v>370205092.12</v>
      </c>
      <c r="AF124" s="10">
        <v>5.5437516486999999E-4</v>
      </c>
      <c r="AG124" s="10" t="s">
        <v>26</v>
      </c>
      <c r="AH124" s="10" t="s">
        <v>26</v>
      </c>
      <c r="AI124" s="9" t="s">
        <v>26</v>
      </c>
      <c r="AJ124" s="10" t="s">
        <v>26</v>
      </c>
      <c r="AK124" s="10" t="s">
        <v>26</v>
      </c>
      <c r="AL124" s="10" t="s">
        <v>26</v>
      </c>
      <c r="AM124" s="9" t="s">
        <v>26</v>
      </c>
      <c r="AN124" s="10" t="s">
        <v>26</v>
      </c>
      <c r="AO124" s="10" t="s">
        <v>26</v>
      </c>
      <c r="AP124" s="10" t="s">
        <v>26</v>
      </c>
      <c r="AQ124" s="9" t="s">
        <v>26</v>
      </c>
      <c r="AR124" s="10" t="s">
        <v>26</v>
      </c>
      <c r="AS124" s="10" t="s">
        <v>26</v>
      </c>
      <c r="AT124" s="10" t="s">
        <v>26</v>
      </c>
      <c r="AU124" s="9" t="s">
        <v>26</v>
      </c>
      <c r="AV124" s="10" t="s">
        <v>26</v>
      </c>
      <c r="AW124" s="10" t="s">
        <v>26</v>
      </c>
      <c r="AX124" s="10" t="s">
        <v>26</v>
      </c>
      <c r="AY124" s="9">
        <v>370205092.12</v>
      </c>
      <c r="AZ124" s="10">
        <v>4.8935942104000004E-4</v>
      </c>
      <c r="BA124" s="10" t="s">
        <v>26</v>
      </c>
      <c r="BB124" s="10" t="s">
        <v>26</v>
      </c>
    </row>
    <row r="125" spans="1:54" s="7" customFormat="1">
      <c r="A125" s="3" t="s">
        <v>88</v>
      </c>
      <c r="B125" s="23" t="s">
        <v>57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370205092.12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370205092.12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370205092.12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101</v>
      </c>
      <c r="B126" s="20" t="s">
        <v>25</v>
      </c>
      <c r="C126" s="9" t="s">
        <v>26</v>
      </c>
      <c r="D126" s="10" t="s">
        <v>26</v>
      </c>
      <c r="E126" s="10" t="s">
        <v>26</v>
      </c>
      <c r="F126" s="10" t="s">
        <v>26</v>
      </c>
      <c r="G126" s="9" t="s">
        <v>26</v>
      </c>
      <c r="H126" s="10" t="s">
        <v>26</v>
      </c>
      <c r="I126" s="10" t="s">
        <v>26</v>
      </c>
      <c r="J126" s="10" t="s">
        <v>26</v>
      </c>
      <c r="K126" s="9" t="s">
        <v>26</v>
      </c>
      <c r="L126" s="10" t="s">
        <v>26</v>
      </c>
      <c r="M126" s="10" t="s">
        <v>26</v>
      </c>
      <c r="N126" s="10" t="s">
        <v>26</v>
      </c>
      <c r="O126" s="9">
        <v>32431266.640000001</v>
      </c>
      <c r="P126" s="10">
        <v>1.3864721969000001E-4</v>
      </c>
      <c r="Q126" s="10" t="s">
        <v>26</v>
      </c>
      <c r="R126" s="10" t="s">
        <v>26</v>
      </c>
      <c r="S126" s="9" t="s">
        <v>26</v>
      </c>
      <c r="T126" s="10" t="s">
        <v>26</v>
      </c>
      <c r="U126" s="10" t="s">
        <v>26</v>
      </c>
      <c r="V126" s="10" t="s">
        <v>26</v>
      </c>
      <c r="W126" s="9" t="s">
        <v>26</v>
      </c>
      <c r="X126" s="10" t="s">
        <v>26</v>
      </c>
      <c r="Y126" s="10" t="s">
        <v>26</v>
      </c>
      <c r="Z126" s="10" t="s">
        <v>26</v>
      </c>
      <c r="AA126" s="9" t="s">
        <v>26</v>
      </c>
      <c r="AB126" s="10" t="s">
        <v>26</v>
      </c>
      <c r="AC126" s="10" t="s">
        <v>26</v>
      </c>
      <c r="AD126" s="10" t="s">
        <v>26</v>
      </c>
      <c r="AE126" s="9">
        <v>32431266.640000001</v>
      </c>
      <c r="AF126" s="10">
        <v>4.856521202E-5</v>
      </c>
      <c r="AG126" s="10" t="s">
        <v>26</v>
      </c>
      <c r="AH126" s="10" t="s">
        <v>26</v>
      </c>
      <c r="AI126" s="9" t="s">
        <v>26</v>
      </c>
      <c r="AJ126" s="10" t="s">
        <v>26</v>
      </c>
      <c r="AK126" s="10" t="s">
        <v>26</v>
      </c>
      <c r="AL126" s="10" t="s">
        <v>26</v>
      </c>
      <c r="AM126" s="9" t="s">
        <v>26</v>
      </c>
      <c r="AN126" s="10" t="s">
        <v>26</v>
      </c>
      <c r="AO126" s="10" t="s">
        <v>26</v>
      </c>
      <c r="AP126" s="10" t="s">
        <v>26</v>
      </c>
      <c r="AQ126" s="9" t="s">
        <v>26</v>
      </c>
      <c r="AR126" s="10" t="s">
        <v>26</v>
      </c>
      <c r="AS126" s="10" t="s">
        <v>26</v>
      </c>
      <c r="AT126" s="10" t="s">
        <v>26</v>
      </c>
      <c r="AU126" s="9" t="s">
        <v>26</v>
      </c>
      <c r="AV126" s="10" t="s">
        <v>26</v>
      </c>
      <c r="AW126" s="10" t="s">
        <v>26</v>
      </c>
      <c r="AX126" s="10" t="s">
        <v>26</v>
      </c>
      <c r="AY126" s="9">
        <v>32431266.640000001</v>
      </c>
      <c r="AZ126" s="10">
        <v>4.2869604460000003E-5</v>
      </c>
      <c r="BA126" s="10" t="s">
        <v>26</v>
      </c>
      <c r="BB126" s="10" t="s">
        <v>26</v>
      </c>
    </row>
    <row r="127" spans="1:54" s="7" customFormat="1">
      <c r="A127" s="3" t="s">
        <v>88</v>
      </c>
      <c r="B127" s="23" t="s">
        <v>57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32431266.640000001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32431266.640000001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32431266.640000001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102</v>
      </c>
      <c r="B128" s="20" t="s">
        <v>25</v>
      </c>
      <c r="C128" s="9" t="s">
        <v>26</v>
      </c>
      <c r="D128" s="10" t="s">
        <v>26</v>
      </c>
      <c r="E128" s="10" t="s">
        <v>26</v>
      </c>
      <c r="F128" s="10" t="s">
        <v>26</v>
      </c>
      <c r="G128" s="9" t="s">
        <v>26</v>
      </c>
      <c r="H128" s="10" t="s">
        <v>26</v>
      </c>
      <c r="I128" s="10" t="s">
        <v>26</v>
      </c>
      <c r="J128" s="10" t="s">
        <v>26</v>
      </c>
      <c r="K128" s="9" t="s">
        <v>26</v>
      </c>
      <c r="L128" s="10" t="s">
        <v>26</v>
      </c>
      <c r="M128" s="10" t="s">
        <v>26</v>
      </c>
      <c r="N128" s="10" t="s">
        <v>26</v>
      </c>
      <c r="O128" s="9">
        <v>1863979535.6800001</v>
      </c>
      <c r="P128" s="10">
        <v>7.9687168265400003E-3</v>
      </c>
      <c r="Q128" s="10" t="s">
        <v>26</v>
      </c>
      <c r="R128" s="10" t="s">
        <v>26</v>
      </c>
      <c r="S128" s="9" t="s">
        <v>26</v>
      </c>
      <c r="T128" s="10" t="s">
        <v>26</v>
      </c>
      <c r="U128" s="10" t="s">
        <v>26</v>
      </c>
      <c r="V128" s="10" t="s">
        <v>26</v>
      </c>
      <c r="W128" s="9" t="s">
        <v>26</v>
      </c>
      <c r="X128" s="10" t="s">
        <v>26</v>
      </c>
      <c r="Y128" s="10" t="s">
        <v>26</v>
      </c>
      <c r="Z128" s="10" t="s">
        <v>26</v>
      </c>
      <c r="AA128" s="9" t="s">
        <v>26</v>
      </c>
      <c r="AB128" s="10" t="s">
        <v>26</v>
      </c>
      <c r="AC128" s="10" t="s">
        <v>26</v>
      </c>
      <c r="AD128" s="10" t="s">
        <v>26</v>
      </c>
      <c r="AE128" s="9">
        <v>1863979535.6800001</v>
      </c>
      <c r="AF128" s="10">
        <v>2.7912743082400002E-3</v>
      </c>
      <c r="AG128" s="10" t="s">
        <v>26</v>
      </c>
      <c r="AH128" s="10" t="s">
        <v>26</v>
      </c>
      <c r="AI128" s="9" t="s">
        <v>26</v>
      </c>
      <c r="AJ128" s="10" t="s">
        <v>26</v>
      </c>
      <c r="AK128" s="10" t="s">
        <v>26</v>
      </c>
      <c r="AL128" s="10" t="s">
        <v>26</v>
      </c>
      <c r="AM128" s="9" t="s">
        <v>26</v>
      </c>
      <c r="AN128" s="10" t="s">
        <v>26</v>
      </c>
      <c r="AO128" s="10" t="s">
        <v>26</v>
      </c>
      <c r="AP128" s="10" t="s">
        <v>26</v>
      </c>
      <c r="AQ128" s="9" t="s">
        <v>26</v>
      </c>
      <c r="AR128" s="10" t="s">
        <v>26</v>
      </c>
      <c r="AS128" s="10" t="s">
        <v>26</v>
      </c>
      <c r="AT128" s="10" t="s">
        <v>26</v>
      </c>
      <c r="AU128" s="9" t="s">
        <v>26</v>
      </c>
      <c r="AV128" s="10" t="s">
        <v>26</v>
      </c>
      <c r="AW128" s="10" t="s">
        <v>26</v>
      </c>
      <c r="AX128" s="10" t="s">
        <v>26</v>
      </c>
      <c r="AY128" s="9">
        <v>1863979535.6800001</v>
      </c>
      <c r="AZ128" s="10">
        <v>2.46392058302E-3</v>
      </c>
      <c r="BA128" s="10" t="s">
        <v>26</v>
      </c>
      <c r="BB128" s="10" t="s">
        <v>26</v>
      </c>
    </row>
    <row r="129" spans="1:54" s="7" customFormat="1">
      <c r="A129" s="3" t="s">
        <v>88</v>
      </c>
      <c r="B129" s="23" t="s">
        <v>47</v>
      </c>
      <c r="C129" s="2" t="s">
        <v>26</v>
      </c>
      <c r="D129" s="1" t="s">
        <v>26</v>
      </c>
      <c r="E129" s="1" t="s">
        <v>26</v>
      </c>
      <c r="F129" s="1" t="s">
        <v>26</v>
      </c>
      <c r="G129" s="2" t="s">
        <v>26</v>
      </c>
      <c r="H129" s="1" t="s">
        <v>26</v>
      </c>
      <c r="I129" s="1" t="s">
        <v>26</v>
      </c>
      <c r="J129" s="1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1863979535.6800001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1863979535.6800001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1863979535.6800001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103</v>
      </c>
      <c r="B130" s="20" t="s">
        <v>25</v>
      </c>
      <c r="C130" s="9" t="s">
        <v>26</v>
      </c>
      <c r="D130" s="10" t="s">
        <v>26</v>
      </c>
      <c r="E130" s="10" t="s">
        <v>26</v>
      </c>
      <c r="F130" s="10" t="s">
        <v>26</v>
      </c>
      <c r="G130" s="9" t="s">
        <v>26</v>
      </c>
      <c r="H130" s="10" t="s">
        <v>26</v>
      </c>
      <c r="I130" s="10" t="s">
        <v>26</v>
      </c>
      <c r="J130" s="10" t="s">
        <v>26</v>
      </c>
      <c r="K130" s="9" t="s">
        <v>26</v>
      </c>
      <c r="L130" s="10" t="s">
        <v>26</v>
      </c>
      <c r="M130" s="10" t="s">
        <v>26</v>
      </c>
      <c r="N130" s="10" t="s">
        <v>26</v>
      </c>
      <c r="O130" s="9">
        <v>618370152</v>
      </c>
      <c r="P130" s="10">
        <v>2.6436001795899998E-3</v>
      </c>
      <c r="Q130" s="10" t="s">
        <v>26</v>
      </c>
      <c r="R130" s="10" t="s">
        <v>26</v>
      </c>
      <c r="S130" s="9" t="s">
        <v>26</v>
      </c>
      <c r="T130" s="10" t="s">
        <v>26</v>
      </c>
      <c r="U130" s="10" t="s">
        <v>26</v>
      </c>
      <c r="V130" s="10" t="s">
        <v>26</v>
      </c>
      <c r="W130" s="9" t="s">
        <v>26</v>
      </c>
      <c r="X130" s="10" t="s">
        <v>26</v>
      </c>
      <c r="Y130" s="10" t="s">
        <v>26</v>
      </c>
      <c r="Z130" s="10" t="s">
        <v>26</v>
      </c>
      <c r="AA130" s="9" t="s">
        <v>26</v>
      </c>
      <c r="AB130" s="10" t="s">
        <v>26</v>
      </c>
      <c r="AC130" s="10" t="s">
        <v>26</v>
      </c>
      <c r="AD130" s="10" t="s">
        <v>26</v>
      </c>
      <c r="AE130" s="9">
        <v>618370152</v>
      </c>
      <c r="AF130" s="10">
        <v>9.2599767605999999E-4</v>
      </c>
      <c r="AG130" s="10" t="s">
        <v>26</v>
      </c>
      <c r="AH130" s="10" t="s">
        <v>26</v>
      </c>
      <c r="AI130" s="9" t="s">
        <v>26</v>
      </c>
      <c r="AJ130" s="10" t="s">
        <v>26</v>
      </c>
      <c r="AK130" s="10" t="s">
        <v>26</v>
      </c>
      <c r="AL130" s="10" t="s">
        <v>26</v>
      </c>
      <c r="AM130" s="9" t="s">
        <v>26</v>
      </c>
      <c r="AN130" s="10" t="s">
        <v>26</v>
      </c>
      <c r="AO130" s="10" t="s">
        <v>26</v>
      </c>
      <c r="AP130" s="10" t="s">
        <v>26</v>
      </c>
      <c r="AQ130" s="9" t="s">
        <v>26</v>
      </c>
      <c r="AR130" s="10" t="s">
        <v>26</v>
      </c>
      <c r="AS130" s="10" t="s">
        <v>26</v>
      </c>
      <c r="AT130" s="10" t="s">
        <v>26</v>
      </c>
      <c r="AU130" s="9" t="s">
        <v>26</v>
      </c>
      <c r="AV130" s="10" t="s">
        <v>26</v>
      </c>
      <c r="AW130" s="10" t="s">
        <v>26</v>
      </c>
      <c r="AX130" s="10" t="s">
        <v>26</v>
      </c>
      <c r="AY130" s="9">
        <v>618370152</v>
      </c>
      <c r="AZ130" s="10">
        <v>8.1739896618000004E-4</v>
      </c>
      <c r="BA130" s="10" t="s">
        <v>26</v>
      </c>
      <c r="BB130" s="10" t="s">
        <v>26</v>
      </c>
    </row>
    <row r="131" spans="1:54" s="25" customFormat="1">
      <c r="A131" s="3" t="s">
        <v>88</v>
      </c>
      <c r="B131" s="21" t="s">
        <v>104</v>
      </c>
      <c r="C131" s="2" t="s">
        <v>26</v>
      </c>
      <c r="D131" s="1" t="s">
        <v>26</v>
      </c>
      <c r="E131" s="1" t="s">
        <v>26</v>
      </c>
      <c r="F131" s="1" t="s">
        <v>26</v>
      </c>
      <c r="G131" s="2" t="s">
        <v>26</v>
      </c>
      <c r="H131" s="1" t="s">
        <v>26</v>
      </c>
      <c r="I131" s="1" t="s">
        <v>26</v>
      </c>
      <c r="J131" s="1" t="s">
        <v>26</v>
      </c>
      <c r="K131" s="2" t="s">
        <v>26</v>
      </c>
      <c r="L131" s="1" t="s">
        <v>26</v>
      </c>
      <c r="M131" s="1" t="s">
        <v>26</v>
      </c>
      <c r="N131" s="1" t="s">
        <v>26</v>
      </c>
      <c r="O131" s="2">
        <v>618370152</v>
      </c>
      <c r="P131" s="1">
        <v>1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618370152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618370152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105</v>
      </c>
      <c r="B132" s="20" t="s">
        <v>25</v>
      </c>
      <c r="C132" s="9" t="s">
        <v>26</v>
      </c>
      <c r="D132" s="10" t="s">
        <v>26</v>
      </c>
      <c r="E132" s="10" t="s">
        <v>26</v>
      </c>
      <c r="F132" s="10" t="s">
        <v>26</v>
      </c>
      <c r="G132" s="9" t="s">
        <v>26</v>
      </c>
      <c r="H132" s="10" t="s">
        <v>26</v>
      </c>
      <c r="I132" s="10" t="s">
        <v>26</v>
      </c>
      <c r="J132" s="10" t="s">
        <v>26</v>
      </c>
      <c r="K132" s="9">
        <v>37944729.890000001</v>
      </c>
      <c r="L132" s="10">
        <v>1.218284268012E-2</v>
      </c>
      <c r="M132" s="10" t="s">
        <v>26</v>
      </c>
      <c r="N132" s="10" t="s">
        <v>26</v>
      </c>
      <c r="O132" s="9" t="s">
        <v>26</v>
      </c>
      <c r="P132" s="10" t="s">
        <v>26</v>
      </c>
      <c r="Q132" s="10" t="s">
        <v>26</v>
      </c>
      <c r="R132" s="10" t="s">
        <v>26</v>
      </c>
      <c r="S132" s="9" t="s">
        <v>26</v>
      </c>
      <c r="T132" s="10" t="s">
        <v>26</v>
      </c>
      <c r="U132" s="10" t="s">
        <v>26</v>
      </c>
      <c r="V132" s="10" t="s">
        <v>26</v>
      </c>
      <c r="W132" s="9" t="s">
        <v>26</v>
      </c>
      <c r="X132" s="10" t="s">
        <v>26</v>
      </c>
      <c r="Y132" s="10" t="s">
        <v>26</v>
      </c>
      <c r="Z132" s="10" t="s">
        <v>26</v>
      </c>
      <c r="AA132" s="9" t="s">
        <v>26</v>
      </c>
      <c r="AB132" s="10" t="s">
        <v>26</v>
      </c>
      <c r="AC132" s="10" t="s">
        <v>26</v>
      </c>
      <c r="AD132" s="10" t="s">
        <v>26</v>
      </c>
      <c r="AE132" s="9">
        <v>37944729.890000001</v>
      </c>
      <c r="AF132" s="10">
        <v>5.682151958E-5</v>
      </c>
      <c r="AG132" s="10" t="s">
        <v>26</v>
      </c>
      <c r="AH132" s="10" t="s">
        <v>26</v>
      </c>
      <c r="AI132" s="9" t="s">
        <v>26</v>
      </c>
      <c r="AJ132" s="10" t="s">
        <v>26</v>
      </c>
      <c r="AK132" s="10" t="s">
        <v>26</v>
      </c>
      <c r="AL132" s="10" t="s">
        <v>26</v>
      </c>
      <c r="AM132" s="9" t="s">
        <v>26</v>
      </c>
      <c r="AN132" s="10" t="s">
        <v>26</v>
      </c>
      <c r="AO132" s="10" t="s">
        <v>26</v>
      </c>
      <c r="AP132" s="10" t="s">
        <v>26</v>
      </c>
      <c r="AQ132" s="9" t="s">
        <v>26</v>
      </c>
      <c r="AR132" s="10" t="s">
        <v>26</v>
      </c>
      <c r="AS132" s="10" t="s">
        <v>26</v>
      </c>
      <c r="AT132" s="10" t="s">
        <v>26</v>
      </c>
      <c r="AU132" s="9" t="s">
        <v>26</v>
      </c>
      <c r="AV132" s="10" t="s">
        <v>26</v>
      </c>
      <c r="AW132" s="10" t="s">
        <v>26</v>
      </c>
      <c r="AX132" s="10" t="s">
        <v>26</v>
      </c>
      <c r="AY132" s="9">
        <v>37944729.890000001</v>
      </c>
      <c r="AZ132" s="10">
        <v>5.0157632739999997E-5</v>
      </c>
      <c r="BA132" s="10" t="s">
        <v>26</v>
      </c>
      <c r="BB132" s="10" t="s">
        <v>26</v>
      </c>
    </row>
    <row r="133" spans="1:54" customFormat="1">
      <c r="A133" s="3" t="s">
        <v>88</v>
      </c>
      <c r="B133" s="23" t="s">
        <v>47</v>
      </c>
      <c r="C133" s="2" t="s">
        <v>26</v>
      </c>
      <c r="D133" s="1" t="s">
        <v>26</v>
      </c>
      <c r="E133" s="1" t="s">
        <v>26</v>
      </c>
      <c r="F133" s="1" t="s">
        <v>26</v>
      </c>
      <c r="G133" s="2" t="s">
        <v>26</v>
      </c>
      <c r="H133" s="1" t="s">
        <v>26</v>
      </c>
      <c r="I133" s="1" t="s">
        <v>26</v>
      </c>
      <c r="J133" s="1" t="s">
        <v>26</v>
      </c>
      <c r="K133" s="2">
        <v>37944729.890000001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37944729.890000001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37944729.890000001</v>
      </c>
      <c r="AZ133" s="1">
        <v>1</v>
      </c>
      <c r="BA133" s="1" t="s">
        <v>26</v>
      </c>
      <c r="BB133" s="1" t="s">
        <v>26</v>
      </c>
    </row>
    <row r="134" spans="1:54" s="25" customFormat="1">
      <c r="A134" s="12" t="s">
        <v>106</v>
      </c>
      <c r="B134" s="27" t="s">
        <v>25</v>
      </c>
      <c r="C134" s="29" t="s">
        <v>26</v>
      </c>
      <c r="D134" s="30" t="s">
        <v>26</v>
      </c>
      <c r="E134" s="30" t="s">
        <v>26</v>
      </c>
      <c r="F134" s="30" t="s">
        <v>26</v>
      </c>
      <c r="G134" s="29">
        <v>161991082.77000001</v>
      </c>
      <c r="H134" s="30">
        <v>1.03015620013E-3</v>
      </c>
      <c r="I134" s="30">
        <v>0.05</v>
      </c>
      <c r="J134" s="30">
        <f>I134-H134</f>
        <v>4.8969843799870003E-2</v>
      </c>
      <c r="K134" s="29" t="s">
        <v>26</v>
      </c>
      <c r="L134" s="30" t="s">
        <v>26</v>
      </c>
      <c r="M134" s="30" t="s">
        <v>26</v>
      </c>
      <c r="N134" s="30" t="s">
        <v>26</v>
      </c>
      <c r="O134" s="29" t="s">
        <v>26</v>
      </c>
      <c r="P134" s="30" t="s">
        <v>26</v>
      </c>
      <c r="Q134" s="30" t="s">
        <v>26</v>
      </c>
      <c r="R134" s="30" t="s">
        <v>26</v>
      </c>
      <c r="S134" s="29">
        <v>161991082.77000001</v>
      </c>
      <c r="T134" s="30">
        <v>1.3952854183600001E-3</v>
      </c>
      <c r="U134" s="30">
        <v>0.05</v>
      </c>
      <c r="V134" s="30">
        <f>U134-T134</f>
        <v>4.860471458164E-2</v>
      </c>
      <c r="W134" s="29" t="s">
        <v>26</v>
      </c>
      <c r="X134" s="30" t="s">
        <v>26</v>
      </c>
      <c r="Y134" s="30" t="s">
        <v>26</v>
      </c>
      <c r="Z134" s="30" t="s">
        <v>26</v>
      </c>
      <c r="AA134" s="29">
        <v>161991082.77000001</v>
      </c>
      <c r="AB134" s="30">
        <v>1.12477965579E-3</v>
      </c>
      <c r="AC134" s="30">
        <v>0.05</v>
      </c>
      <c r="AD134" s="30">
        <f>AC134-AB134</f>
        <v>4.8875220344210005E-2</v>
      </c>
      <c r="AE134" s="29">
        <v>485973248.31</v>
      </c>
      <c r="AF134" s="30">
        <v>7.277358021E-4</v>
      </c>
      <c r="AG134" s="30">
        <v>0.05</v>
      </c>
      <c r="AH134" s="30">
        <f>AG134-AF134</f>
        <v>4.9272264197900005E-2</v>
      </c>
      <c r="AI134" s="29" t="s">
        <v>26</v>
      </c>
      <c r="AJ134" s="30" t="s">
        <v>26</v>
      </c>
      <c r="AK134" s="30" t="s">
        <v>26</v>
      </c>
      <c r="AL134" s="30" t="s">
        <v>26</v>
      </c>
      <c r="AM134" s="29" t="s">
        <v>26</v>
      </c>
      <c r="AN134" s="30" t="s">
        <v>26</v>
      </c>
      <c r="AO134" s="30" t="s">
        <v>26</v>
      </c>
      <c r="AP134" s="30" t="s">
        <v>26</v>
      </c>
      <c r="AQ134" s="29" t="s">
        <v>26</v>
      </c>
      <c r="AR134" s="30" t="s">
        <v>26</v>
      </c>
      <c r="AS134" s="30" t="s">
        <v>26</v>
      </c>
      <c r="AT134" s="30" t="s">
        <v>26</v>
      </c>
      <c r="AU134" s="29" t="s">
        <v>26</v>
      </c>
      <c r="AV134" s="30" t="s">
        <v>26</v>
      </c>
      <c r="AW134" s="30" t="s">
        <v>26</v>
      </c>
      <c r="AX134" s="30" t="s">
        <v>26</v>
      </c>
      <c r="AY134" s="29">
        <v>485973248.31</v>
      </c>
      <c r="AZ134" s="30">
        <v>6.4238875286999999E-4</v>
      </c>
      <c r="BA134" s="30">
        <v>0.05</v>
      </c>
      <c r="BB134" s="30">
        <f>BA134-AZ134</f>
        <v>4.935761124713E-2</v>
      </c>
    </row>
    <row r="135" spans="1:54" s="7" customFormat="1">
      <c r="A135" s="5" t="s">
        <v>107</v>
      </c>
      <c r="B135" s="20" t="s">
        <v>25</v>
      </c>
      <c r="C135" s="9" t="s">
        <v>26</v>
      </c>
      <c r="D135" s="10" t="s">
        <v>26</v>
      </c>
      <c r="E135" s="10" t="s">
        <v>26</v>
      </c>
      <c r="F135" s="10" t="s">
        <v>26</v>
      </c>
      <c r="G135" s="9">
        <v>161991082.77000001</v>
      </c>
      <c r="H135" s="10">
        <v>1.03015620013E-3</v>
      </c>
      <c r="I135" s="10" t="s">
        <v>26</v>
      </c>
      <c r="J135" s="10" t="s">
        <v>26</v>
      </c>
      <c r="K135" s="9" t="s">
        <v>26</v>
      </c>
      <c r="L135" s="10" t="s">
        <v>26</v>
      </c>
      <c r="M135" s="10" t="s">
        <v>26</v>
      </c>
      <c r="N135" s="10" t="s">
        <v>26</v>
      </c>
      <c r="O135" s="9" t="s">
        <v>26</v>
      </c>
      <c r="P135" s="10" t="s">
        <v>26</v>
      </c>
      <c r="Q135" s="10" t="s">
        <v>26</v>
      </c>
      <c r="R135" s="10" t="s">
        <v>26</v>
      </c>
      <c r="S135" s="9">
        <v>161991082.77000001</v>
      </c>
      <c r="T135" s="10">
        <v>1.3952854183600001E-3</v>
      </c>
      <c r="U135" s="10" t="s">
        <v>26</v>
      </c>
      <c r="V135" s="10" t="s">
        <v>26</v>
      </c>
      <c r="W135" s="9" t="s">
        <v>26</v>
      </c>
      <c r="X135" s="10" t="s">
        <v>26</v>
      </c>
      <c r="Y135" s="10" t="s">
        <v>26</v>
      </c>
      <c r="Z135" s="10" t="s">
        <v>26</v>
      </c>
      <c r="AA135" s="9">
        <v>161991082.77000001</v>
      </c>
      <c r="AB135" s="10">
        <v>1.12477965579E-3</v>
      </c>
      <c r="AC135" s="10" t="s">
        <v>26</v>
      </c>
      <c r="AD135" s="10" t="s">
        <v>26</v>
      </c>
      <c r="AE135" s="9">
        <v>485973248.31</v>
      </c>
      <c r="AF135" s="10">
        <v>7.277358021E-4</v>
      </c>
      <c r="AG135" s="10" t="s">
        <v>26</v>
      </c>
      <c r="AH135" s="10" t="s">
        <v>26</v>
      </c>
      <c r="AI135" s="9" t="s">
        <v>26</v>
      </c>
      <c r="AJ135" s="10" t="s">
        <v>26</v>
      </c>
      <c r="AK135" s="10" t="s">
        <v>26</v>
      </c>
      <c r="AL135" s="10" t="s">
        <v>26</v>
      </c>
      <c r="AM135" s="9" t="s">
        <v>26</v>
      </c>
      <c r="AN135" s="10" t="s">
        <v>26</v>
      </c>
      <c r="AO135" s="10" t="s">
        <v>26</v>
      </c>
      <c r="AP135" s="10" t="s">
        <v>26</v>
      </c>
      <c r="AQ135" s="9" t="s">
        <v>26</v>
      </c>
      <c r="AR135" s="10" t="s">
        <v>26</v>
      </c>
      <c r="AS135" s="10" t="s">
        <v>26</v>
      </c>
      <c r="AT135" s="10" t="s">
        <v>26</v>
      </c>
      <c r="AU135" s="9" t="s">
        <v>26</v>
      </c>
      <c r="AV135" s="10" t="s">
        <v>26</v>
      </c>
      <c r="AW135" s="10" t="s">
        <v>26</v>
      </c>
      <c r="AX135" s="10" t="s">
        <v>26</v>
      </c>
      <c r="AY135" s="9">
        <v>485973248.31</v>
      </c>
      <c r="AZ135" s="10">
        <v>6.4238875286999999E-4</v>
      </c>
      <c r="BA135" s="10" t="s">
        <v>26</v>
      </c>
      <c r="BB135" s="10" t="s">
        <v>26</v>
      </c>
    </row>
    <row r="136" spans="1:54" s="25" customFormat="1">
      <c r="A136" s="3" t="s">
        <v>108</v>
      </c>
      <c r="B136" s="23" t="s">
        <v>40</v>
      </c>
      <c r="C136" s="2" t="s">
        <v>26</v>
      </c>
      <c r="D136" s="1" t="s">
        <v>26</v>
      </c>
      <c r="E136" s="1" t="s">
        <v>26</v>
      </c>
      <c r="F136" s="1" t="s">
        <v>26</v>
      </c>
      <c r="G136" s="2">
        <v>161991082.77000001</v>
      </c>
      <c r="H136" s="1">
        <v>1</v>
      </c>
      <c r="I136" s="1" t="s">
        <v>26</v>
      </c>
      <c r="J136" s="1" t="s">
        <v>26</v>
      </c>
      <c r="K136" s="2" t="s">
        <v>26</v>
      </c>
      <c r="L136" s="1" t="s">
        <v>26</v>
      </c>
      <c r="M136" s="1" t="s">
        <v>26</v>
      </c>
      <c r="N136" s="1" t="s">
        <v>26</v>
      </c>
      <c r="O136" s="2" t="s">
        <v>26</v>
      </c>
      <c r="P136" s="1" t="s">
        <v>26</v>
      </c>
      <c r="Q136" s="1" t="s">
        <v>26</v>
      </c>
      <c r="R136" s="1" t="s">
        <v>26</v>
      </c>
      <c r="S136" s="2">
        <v>161991082.77000001</v>
      </c>
      <c r="T136" s="1">
        <v>1</v>
      </c>
      <c r="U136" s="1" t="s">
        <v>26</v>
      </c>
      <c r="V136" s="1" t="s">
        <v>26</v>
      </c>
      <c r="W136" s="2" t="s">
        <v>26</v>
      </c>
      <c r="X136" s="1" t="s">
        <v>26</v>
      </c>
      <c r="Y136" s="1" t="s">
        <v>26</v>
      </c>
      <c r="Z136" s="1" t="s">
        <v>26</v>
      </c>
      <c r="AA136" s="2">
        <v>161991082.77000001</v>
      </c>
      <c r="AB136" s="1">
        <v>1</v>
      </c>
      <c r="AC136" s="1" t="s">
        <v>26</v>
      </c>
      <c r="AD136" s="1" t="s">
        <v>26</v>
      </c>
      <c r="AE136" s="2">
        <v>485973248.31</v>
      </c>
      <c r="AF136" s="1">
        <v>1</v>
      </c>
      <c r="AG136" s="1" t="s">
        <v>26</v>
      </c>
      <c r="AH136" s="1" t="s">
        <v>26</v>
      </c>
      <c r="AI136" s="2" t="s">
        <v>26</v>
      </c>
      <c r="AJ136" s="1" t="s">
        <v>26</v>
      </c>
      <c r="AK136" s="1" t="s">
        <v>26</v>
      </c>
      <c r="AL136" s="1" t="s">
        <v>26</v>
      </c>
      <c r="AM136" s="2" t="s">
        <v>26</v>
      </c>
      <c r="AN136" s="1" t="s">
        <v>26</v>
      </c>
      <c r="AO136" s="1" t="s">
        <v>26</v>
      </c>
      <c r="AP136" s="1" t="s">
        <v>26</v>
      </c>
      <c r="AQ136" s="2" t="s">
        <v>26</v>
      </c>
      <c r="AR136" s="1" t="s">
        <v>26</v>
      </c>
      <c r="AS136" s="1" t="s">
        <v>26</v>
      </c>
      <c r="AT136" s="1" t="s">
        <v>26</v>
      </c>
      <c r="AU136" s="2" t="s">
        <v>26</v>
      </c>
      <c r="AV136" s="1" t="s">
        <v>26</v>
      </c>
      <c r="AW136" s="1" t="s">
        <v>26</v>
      </c>
      <c r="AX136" s="1" t="s">
        <v>26</v>
      </c>
      <c r="AY136" s="2">
        <v>485973248.31</v>
      </c>
      <c r="AZ136" s="1">
        <v>1</v>
      </c>
      <c r="BA136" s="1" t="s">
        <v>26</v>
      </c>
      <c r="BB136" s="1" t="s">
        <v>26</v>
      </c>
    </row>
    <row r="137" spans="1:54">
      <c r="A137" s="12" t="s">
        <v>109</v>
      </c>
      <c r="B137" s="27" t="s">
        <v>25</v>
      </c>
      <c r="C137" s="29">
        <v>6838487001.4499998</v>
      </c>
      <c r="D137" s="30">
        <v>0.99990000000000001</v>
      </c>
      <c r="E137" s="30" t="s">
        <v>26</v>
      </c>
      <c r="F137" s="30" t="s">
        <v>26</v>
      </c>
      <c r="G137" s="29">
        <v>157248064190.32001</v>
      </c>
      <c r="H137" s="30">
        <v>1</v>
      </c>
      <c r="I137" s="30" t="s">
        <v>26</v>
      </c>
      <c r="J137" s="30" t="s">
        <v>26</v>
      </c>
      <c r="K137" s="29">
        <v>3113737146.1700001</v>
      </c>
      <c r="L137" s="30">
        <v>0.99970000000000003</v>
      </c>
      <c r="M137" s="30" t="s">
        <v>26</v>
      </c>
      <c r="N137" s="30" t="s">
        <v>26</v>
      </c>
      <c r="O137" s="29">
        <v>233911917990.29999</v>
      </c>
      <c r="P137" s="30">
        <v>1</v>
      </c>
      <c r="Q137" s="30" t="s">
        <v>26</v>
      </c>
      <c r="R137" s="30" t="s">
        <v>26</v>
      </c>
      <c r="S137" s="29">
        <v>116098762775.35001</v>
      </c>
      <c r="T137" s="30">
        <v>1</v>
      </c>
      <c r="U137" s="30" t="s">
        <v>26</v>
      </c>
      <c r="V137" s="30" t="s">
        <v>26</v>
      </c>
      <c r="W137" s="29">
        <v>6545938040.3500004</v>
      </c>
      <c r="X137" s="30">
        <v>0.99880000000000002</v>
      </c>
      <c r="Y137" s="30" t="s">
        <v>26</v>
      </c>
      <c r="Z137" s="30" t="s">
        <v>26</v>
      </c>
      <c r="AA137" s="29">
        <v>144020077416.34</v>
      </c>
      <c r="AB137" s="30">
        <v>1</v>
      </c>
      <c r="AC137" s="30" t="s">
        <v>26</v>
      </c>
      <c r="AD137" s="30" t="s">
        <v>26</v>
      </c>
      <c r="AE137" s="29">
        <v>667776984560.28003</v>
      </c>
      <c r="AF137" s="30">
        <v>1</v>
      </c>
      <c r="AG137" s="30" t="s">
        <v>26</v>
      </c>
      <c r="AH137" s="30" t="s">
        <v>26</v>
      </c>
      <c r="AI137" s="29">
        <v>17388953699.34</v>
      </c>
      <c r="AJ137" s="30">
        <v>1</v>
      </c>
      <c r="AK137" s="30" t="s">
        <v>26</v>
      </c>
      <c r="AL137" s="30" t="s">
        <v>26</v>
      </c>
      <c r="AM137" s="29">
        <v>24132024605.529999</v>
      </c>
      <c r="AN137" s="30">
        <v>1</v>
      </c>
      <c r="AO137" s="30" t="s">
        <v>26</v>
      </c>
      <c r="AP137" s="30" t="s">
        <v>26</v>
      </c>
      <c r="AQ137" s="29">
        <v>41520978304.870003</v>
      </c>
      <c r="AR137" s="30">
        <v>1</v>
      </c>
      <c r="AS137" s="30" t="s">
        <v>26</v>
      </c>
      <c r="AT137" s="30" t="s">
        <v>26</v>
      </c>
      <c r="AU137" s="29">
        <v>47200189324.790001</v>
      </c>
      <c r="AV137" s="30">
        <v>1</v>
      </c>
      <c r="AW137" s="30" t="s">
        <v>26</v>
      </c>
      <c r="AX137" s="30" t="s">
        <v>26</v>
      </c>
      <c r="AY137" s="29">
        <v>756498152189.93994</v>
      </c>
      <c r="AZ137" s="30">
        <v>1</v>
      </c>
      <c r="BA137" s="30" t="s">
        <v>26</v>
      </c>
      <c r="BB137" s="30" t="s">
        <v>26</v>
      </c>
    </row>
    <row r="138" spans="1:54">
      <c r="A138" s="3" t="s">
        <v>110</v>
      </c>
      <c r="B138" s="23" t="s">
        <v>25</v>
      </c>
      <c r="C138" s="2">
        <v>579449.37</v>
      </c>
      <c r="D138" s="1">
        <v>1E-4</v>
      </c>
      <c r="E138" s="1" t="s">
        <v>26</v>
      </c>
      <c r="F138" s="1" t="s">
        <v>26</v>
      </c>
      <c r="G138" s="2">
        <v>984788.1</v>
      </c>
      <c r="H138" s="1">
        <v>0</v>
      </c>
      <c r="I138" s="1" t="s">
        <v>26</v>
      </c>
      <c r="J138" s="1" t="s">
        <v>26</v>
      </c>
      <c r="K138" s="2">
        <v>866800.24</v>
      </c>
      <c r="L138" s="1">
        <v>2.9999999999999997E-4</v>
      </c>
      <c r="M138" s="1" t="s">
        <v>26</v>
      </c>
      <c r="N138" s="1" t="s">
        <v>26</v>
      </c>
      <c r="O138" s="2">
        <v>213191.58</v>
      </c>
      <c r="P138" s="1">
        <v>0</v>
      </c>
      <c r="Q138" s="1" t="s">
        <v>26</v>
      </c>
      <c r="R138" s="1" t="s">
        <v>26</v>
      </c>
      <c r="S138" s="2">
        <v>123257.59</v>
      </c>
      <c r="T138" s="1">
        <v>0</v>
      </c>
      <c r="U138" s="1" t="s">
        <v>26</v>
      </c>
      <c r="V138" s="1" t="s">
        <v>26</v>
      </c>
      <c r="W138" s="2">
        <v>8060935.3099999996</v>
      </c>
      <c r="X138" s="1">
        <v>1.1999999999999999E-3</v>
      </c>
      <c r="Y138" s="1" t="s">
        <v>26</v>
      </c>
      <c r="Z138" s="1" t="s">
        <v>26</v>
      </c>
      <c r="AA138" s="2">
        <v>204187.69</v>
      </c>
      <c r="AB138" s="1">
        <v>0</v>
      </c>
      <c r="AC138" s="1" t="s">
        <v>26</v>
      </c>
      <c r="AD138" s="1" t="s">
        <v>26</v>
      </c>
      <c r="AE138" s="2">
        <v>11032609.880000001</v>
      </c>
      <c r="AF138" s="1">
        <v>0</v>
      </c>
      <c r="AG138" s="1" t="s">
        <v>26</v>
      </c>
      <c r="AH138" s="1" t="s">
        <v>26</v>
      </c>
      <c r="AI138" s="2">
        <v>20271.91</v>
      </c>
      <c r="AJ138" s="1">
        <v>0</v>
      </c>
      <c r="AK138" s="1" t="s">
        <v>26</v>
      </c>
      <c r="AL138" s="1" t="s">
        <v>26</v>
      </c>
      <c r="AM138" s="2">
        <v>357633.72</v>
      </c>
      <c r="AN138" s="1">
        <v>0</v>
      </c>
      <c r="AO138" s="1" t="s">
        <v>26</v>
      </c>
      <c r="AP138" s="1" t="s">
        <v>26</v>
      </c>
      <c r="AQ138" s="2">
        <v>377905.63</v>
      </c>
      <c r="AR138" s="1">
        <v>0</v>
      </c>
      <c r="AS138" s="1" t="s">
        <v>26</v>
      </c>
      <c r="AT138" s="1" t="s">
        <v>26</v>
      </c>
      <c r="AU138" s="2">
        <v>21461.68</v>
      </c>
      <c r="AV138" s="1">
        <v>0</v>
      </c>
      <c r="AW138" s="1" t="s">
        <v>26</v>
      </c>
      <c r="AX138" s="1" t="s">
        <v>26</v>
      </c>
      <c r="AY138" s="2">
        <v>11431977.189999999</v>
      </c>
      <c r="AZ138" s="1">
        <v>0</v>
      </c>
      <c r="BA138" s="1" t="s">
        <v>26</v>
      </c>
      <c r="BB138" s="1" t="s">
        <v>26</v>
      </c>
    </row>
    <row r="139" spans="1:54">
      <c r="A139" s="12" t="s">
        <v>111</v>
      </c>
      <c r="B139" s="27" t="s">
        <v>25</v>
      </c>
      <c r="C139" s="29">
        <v>6839066450.8199997</v>
      </c>
      <c r="D139" s="30">
        <v>1</v>
      </c>
      <c r="E139" s="30" t="s">
        <v>26</v>
      </c>
      <c r="F139" s="30" t="s">
        <v>26</v>
      </c>
      <c r="G139" s="29">
        <v>157249048978.42001</v>
      </c>
      <c r="H139" s="30">
        <v>1</v>
      </c>
      <c r="I139" s="30" t="s">
        <v>26</v>
      </c>
      <c r="J139" s="30" t="s">
        <v>26</v>
      </c>
      <c r="K139" s="29">
        <v>3114603946.4099998</v>
      </c>
      <c r="L139" s="30">
        <v>1</v>
      </c>
      <c r="M139" s="30" t="s">
        <v>26</v>
      </c>
      <c r="N139" s="30" t="s">
        <v>26</v>
      </c>
      <c r="O139" s="29">
        <v>233912131181.88</v>
      </c>
      <c r="P139" s="30">
        <v>1</v>
      </c>
      <c r="Q139" s="30" t="s">
        <v>26</v>
      </c>
      <c r="R139" s="30" t="s">
        <v>26</v>
      </c>
      <c r="S139" s="29">
        <v>116098886032.94</v>
      </c>
      <c r="T139" s="30">
        <v>1</v>
      </c>
      <c r="U139" s="30" t="s">
        <v>26</v>
      </c>
      <c r="V139" s="30" t="s">
        <v>26</v>
      </c>
      <c r="W139" s="29">
        <v>6553998975.6599998</v>
      </c>
      <c r="X139" s="30">
        <v>1</v>
      </c>
      <c r="Y139" s="30" t="s">
        <v>26</v>
      </c>
      <c r="Z139" s="30" t="s">
        <v>26</v>
      </c>
      <c r="AA139" s="29">
        <v>144020281604.03</v>
      </c>
      <c r="AB139" s="30">
        <v>1</v>
      </c>
      <c r="AC139" s="30" t="s">
        <v>26</v>
      </c>
      <c r="AD139" s="30" t="s">
        <v>26</v>
      </c>
      <c r="AE139" s="29">
        <v>667788017170.16003</v>
      </c>
      <c r="AF139" s="30">
        <v>1</v>
      </c>
      <c r="AG139" s="30" t="s">
        <v>26</v>
      </c>
      <c r="AH139" s="30" t="s">
        <v>26</v>
      </c>
      <c r="AI139" s="29">
        <v>17388973971.25</v>
      </c>
      <c r="AJ139" s="30">
        <v>1</v>
      </c>
      <c r="AK139" s="30" t="s">
        <v>26</v>
      </c>
      <c r="AL139" s="30" t="s">
        <v>26</v>
      </c>
      <c r="AM139" s="29">
        <v>24132382239.25</v>
      </c>
      <c r="AN139" s="30">
        <v>1</v>
      </c>
      <c r="AO139" s="30" t="s">
        <v>26</v>
      </c>
      <c r="AP139" s="30" t="s">
        <v>26</v>
      </c>
      <c r="AQ139" s="29">
        <v>41521356210.5</v>
      </c>
      <c r="AR139" s="30">
        <v>1</v>
      </c>
      <c r="AS139" s="30" t="s">
        <v>26</v>
      </c>
      <c r="AT139" s="30" t="s">
        <v>26</v>
      </c>
      <c r="AU139" s="29">
        <v>47200210786.470001</v>
      </c>
      <c r="AV139" s="30">
        <v>1</v>
      </c>
      <c r="AW139" s="30" t="s">
        <v>26</v>
      </c>
      <c r="AX139" s="30" t="s">
        <v>26</v>
      </c>
      <c r="AY139" s="29">
        <v>756509584167.13</v>
      </c>
      <c r="AZ139" s="30">
        <v>1</v>
      </c>
      <c r="BA139" s="30" t="s">
        <v>26</v>
      </c>
      <c r="BB139" s="30" t="s">
        <v>26</v>
      </c>
    </row>
    <row r="140" spans="1:54">
      <c r="A140" s="24"/>
    </row>
    <row r="141" spans="1:54">
      <c r="A141" s="17" t="s">
        <v>112</v>
      </c>
    </row>
    <row r="142" spans="1:54">
      <c r="A142" s="24" t="s">
        <v>113</v>
      </c>
    </row>
    <row r="143" spans="1:54">
      <c r="A143" s="24" t="s">
        <v>114</v>
      </c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"/>
  <sheetViews>
    <sheetView zoomScaleNormal="100" workbookViewId="0">
      <pane xSplit="2" ySplit="7" topLeftCell="AU128" activePane="bottomRight" state="frozen"/>
      <selection pane="topRight" activeCell="C1" sqref="C1"/>
      <selection pane="bottomLeft" activeCell="A8" sqref="A8"/>
      <selection pane="bottomRight" activeCell="A135" sqref="A135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" style="13" bestFit="1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4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118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27" t="s">
        <v>25</v>
      </c>
      <c r="C8" s="29">
        <v>2566888979.54</v>
      </c>
      <c r="D8" s="30">
        <v>0.37049734435604997</v>
      </c>
      <c r="E8" s="30" t="s">
        <v>26</v>
      </c>
      <c r="F8" s="30" t="s">
        <v>26</v>
      </c>
      <c r="G8" s="29">
        <v>82206456391.959991</v>
      </c>
      <c r="H8" s="30">
        <v>0.51707197287071727</v>
      </c>
      <c r="I8" s="30" t="s">
        <v>26</v>
      </c>
      <c r="J8" s="30" t="s">
        <v>26</v>
      </c>
      <c r="K8" s="29">
        <v>954764513.57000005</v>
      </c>
      <c r="L8" s="30">
        <v>0.30003027321439002</v>
      </c>
      <c r="M8" s="30" t="s">
        <v>26</v>
      </c>
      <c r="N8" s="30" t="s">
        <v>26</v>
      </c>
      <c r="O8" s="29">
        <v>106433084916.96001</v>
      </c>
      <c r="P8" s="30">
        <v>0.45010055520873998</v>
      </c>
      <c r="Q8" s="30" t="s">
        <v>26</v>
      </c>
      <c r="R8" s="30" t="s">
        <v>26</v>
      </c>
      <c r="S8" s="29">
        <v>63923620523.239998</v>
      </c>
      <c r="T8" s="30">
        <v>0.54678959973455998</v>
      </c>
      <c r="U8" s="30" t="s">
        <v>26</v>
      </c>
      <c r="V8" s="30" t="s">
        <v>26</v>
      </c>
      <c r="W8" s="29">
        <v>2285948907.5</v>
      </c>
      <c r="X8" s="30">
        <v>0.34285656257137997</v>
      </c>
      <c r="Y8" s="30" t="s">
        <v>26</v>
      </c>
      <c r="Z8" s="30" t="s">
        <v>26</v>
      </c>
      <c r="AA8" s="29">
        <v>74346047701.710007</v>
      </c>
      <c r="AB8" s="30">
        <v>0.51040406422083995</v>
      </c>
      <c r="AC8" s="30" t="s">
        <v>26</v>
      </c>
      <c r="AD8" s="30" t="s">
        <v>26</v>
      </c>
      <c r="AE8" s="29">
        <v>332716811934.47998</v>
      </c>
      <c r="AF8" s="30">
        <v>0.49308597303713542</v>
      </c>
      <c r="AG8" s="30" t="s">
        <v>26</v>
      </c>
      <c r="AH8" s="30" t="s">
        <v>26</v>
      </c>
      <c r="AI8" s="29">
        <v>7194935224.29</v>
      </c>
      <c r="AJ8" s="30">
        <v>0.41169555040453998</v>
      </c>
      <c r="AK8" s="30" t="s">
        <v>26</v>
      </c>
      <c r="AL8" s="30" t="s">
        <v>26</v>
      </c>
      <c r="AM8" s="29">
        <v>8305491338.8999996</v>
      </c>
      <c r="AN8" s="30">
        <v>0.34052358353713003</v>
      </c>
      <c r="AO8" s="30" t="s">
        <v>26</v>
      </c>
      <c r="AP8" s="30" t="s">
        <v>26</v>
      </c>
      <c r="AQ8" s="29">
        <v>15500426563.190001</v>
      </c>
      <c r="AR8" s="30">
        <v>0.37023277966999002</v>
      </c>
      <c r="AS8" s="30" t="s">
        <v>26</v>
      </c>
      <c r="AT8" s="30" t="s">
        <v>26</v>
      </c>
      <c r="AU8" s="29">
        <v>24862461273.869999</v>
      </c>
      <c r="AV8" s="30">
        <v>0.52002450780388998</v>
      </c>
      <c r="AW8" s="30" t="s">
        <v>26</v>
      </c>
      <c r="AX8" s="30" t="s">
        <v>26</v>
      </c>
      <c r="AY8" s="29">
        <v>373079699771.53998</v>
      </c>
      <c r="AZ8" s="30">
        <v>0.48804310232999559</v>
      </c>
      <c r="BA8" s="30" t="s">
        <v>26</v>
      </c>
      <c r="BB8" s="30" t="s">
        <v>26</v>
      </c>
    </row>
    <row r="9" spans="1:54" s="7" customFormat="1">
      <c r="A9" s="5" t="s">
        <v>27</v>
      </c>
      <c r="B9" s="20" t="s">
        <v>25</v>
      </c>
      <c r="C9" s="9">
        <v>2566888979.54</v>
      </c>
      <c r="D9" s="10">
        <v>0.37049734435604997</v>
      </c>
      <c r="E9" s="10">
        <v>0.6</v>
      </c>
      <c r="F9" s="10">
        <v>0.22950265564395</v>
      </c>
      <c r="G9" s="9">
        <v>76401615581.559998</v>
      </c>
      <c r="H9" s="10">
        <v>0.48055999289042545</v>
      </c>
      <c r="I9" s="10">
        <v>0.6</v>
      </c>
      <c r="J9" s="10">
        <v>0.11944000710957453</v>
      </c>
      <c r="K9" s="9">
        <v>954764513.57000005</v>
      </c>
      <c r="L9" s="10">
        <v>0.30003027321439002</v>
      </c>
      <c r="M9" s="10">
        <v>0.5</v>
      </c>
      <c r="N9" s="10">
        <v>0.2</v>
      </c>
      <c r="O9" s="9">
        <v>104890025967.36</v>
      </c>
      <c r="P9" s="10">
        <v>0.44357538671677393</v>
      </c>
      <c r="Q9" s="10">
        <v>0.6</v>
      </c>
      <c r="R9" s="10">
        <v>0.15642461328322604</v>
      </c>
      <c r="S9" s="9">
        <v>62409316748.239998</v>
      </c>
      <c r="T9" s="10">
        <v>0.53383839489157525</v>
      </c>
      <c r="U9" s="10">
        <v>0.6</v>
      </c>
      <c r="V9" s="10">
        <v>6.6161605108424726E-2</v>
      </c>
      <c r="W9" s="9">
        <v>2285948907.5</v>
      </c>
      <c r="X9" s="10">
        <v>0.34285656257137997</v>
      </c>
      <c r="Y9" s="10">
        <v>0.6</v>
      </c>
      <c r="Z9" s="10">
        <v>0.25714343742862</v>
      </c>
      <c r="AA9" s="9">
        <v>72998932745.710007</v>
      </c>
      <c r="AB9" s="10">
        <v>0.5012196715811531</v>
      </c>
      <c r="AC9" s="10">
        <v>0.6</v>
      </c>
      <c r="AD9" s="10">
        <v>9.8780328418846874E-2</v>
      </c>
      <c r="AE9" s="9">
        <v>322507493443.47998</v>
      </c>
      <c r="AF9" s="10">
        <v>0.47795577353530777</v>
      </c>
      <c r="AG9" s="10">
        <v>0.6</v>
      </c>
      <c r="AH9" s="10">
        <v>0.12204422646469221</v>
      </c>
      <c r="AI9" s="9">
        <v>7194935224.29</v>
      </c>
      <c r="AJ9" s="10">
        <v>0.41169555040453998</v>
      </c>
      <c r="AK9" s="10">
        <v>0.6</v>
      </c>
      <c r="AL9" s="10">
        <v>0.18830444959546</v>
      </c>
      <c r="AM9" s="9">
        <v>8305491338.8999996</v>
      </c>
      <c r="AN9" s="10">
        <v>0.34052358353713003</v>
      </c>
      <c r="AO9" s="10">
        <v>0.6</v>
      </c>
      <c r="AP9" s="10">
        <v>0.25947641646286995</v>
      </c>
      <c r="AQ9" s="9">
        <v>15500426563.190001</v>
      </c>
      <c r="AR9" s="10">
        <v>0.37023277966999002</v>
      </c>
      <c r="AS9" s="10">
        <v>0.6</v>
      </c>
      <c r="AT9" s="10">
        <v>0.22976722033000996</v>
      </c>
      <c r="AU9" s="9">
        <v>24862461273.869999</v>
      </c>
      <c r="AV9" s="10">
        <v>0.52002450780388998</v>
      </c>
      <c r="AW9" s="10">
        <v>0.6</v>
      </c>
      <c r="AX9" s="10">
        <v>7.9975492196109998E-2</v>
      </c>
      <c r="AY9" s="9">
        <v>362870381280.53998</v>
      </c>
      <c r="AZ9" s="10">
        <v>0.4746878126370056</v>
      </c>
      <c r="BA9" s="10">
        <v>0.6</v>
      </c>
      <c r="BB9" s="10">
        <v>0.12531218736299438</v>
      </c>
    </row>
    <row r="10" spans="1:54" ht="17.25">
      <c r="A10" s="3" t="s">
        <v>28</v>
      </c>
      <c r="B10" s="23" t="s">
        <v>29</v>
      </c>
      <c r="C10" s="2">
        <v>2566888979.54</v>
      </c>
      <c r="D10" s="1">
        <v>1</v>
      </c>
      <c r="E10" s="1" t="s">
        <v>26</v>
      </c>
      <c r="F10" s="1" t="s">
        <v>26</v>
      </c>
      <c r="G10" s="38">
        <v>76401615581.559998</v>
      </c>
      <c r="H10" s="1">
        <v>1</v>
      </c>
      <c r="I10" s="1" t="s">
        <v>26</v>
      </c>
      <c r="J10" s="1" t="s">
        <v>26</v>
      </c>
      <c r="K10" s="2">
        <v>954764513.57000005</v>
      </c>
      <c r="L10" s="1">
        <v>1</v>
      </c>
      <c r="M10" s="1" t="s">
        <v>26</v>
      </c>
      <c r="N10" s="1" t="s">
        <v>26</v>
      </c>
      <c r="O10" s="2">
        <v>104890025967.36</v>
      </c>
      <c r="P10" s="1">
        <v>1</v>
      </c>
      <c r="Q10" s="1" t="s">
        <v>26</v>
      </c>
      <c r="R10" s="1" t="s">
        <v>26</v>
      </c>
      <c r="S10" s="2">
        <v>62409316748.239998</v>
      </c>
      <c r="T10" s="1">
        <v>1</v>
      </c>
      <c r="U10" s="1" t="s">
        <v>26</v>
      </c>
      <c r="V10" s="1" t="s">
        <v>26</v>
      </c>
      <c r="W10" s="2">
        <v>2285948907.5</v>
      </c>
      <c r="X10" s="1">
        <v>1</v>
      </c>
      <c r="Y10" s="1" t="s">
        <v>26</v>
      </c>
      <c r="Z10" s="1" t="s">
        <v>26</v>
      </c>
      <c r="AA10" s="2">
        <v>72998932745.710007</v>
      </c>
      <c r="AB10" s="1">
        <v>1</v>
      </c>
      <c r="AC10" s="1" t="s">
        <v>26</v>
      </c>
      <c r="AD10" s="1" t="s">
        <v>26</v>
      </c>
      <c r="AE10" s="38">
        <v>322507493443.47998</v>
      </c>
      <c r="AF10" s="1">
        <v>1</v>
      </c>
      <c r="AG10" s="1" t="s">
        <v>26</v>
      </c>
      <c r="AH10" s="1" t="s">
        <v>26</v>
      </c>
      <c r="AI10" s="2">
        <v>7194935224.29</v>
      </c>
      <c r="AJ10" s="1">
        <v>1</v>
      </c>
      <c r="AK10" s="1" t="s">
        <v>26</v>
      </c>
      <c r="AL10" s="1" t="s">
        <v>26</v>
      </c>
      <c r="AM10" s="2">
        <v>8305491338.8999996</v>
      </c>
      <c r="AN10" s="1">
        <v>1</v>
      </c>
      <c r="AO10" s="1" t="s">
        <v>26</v>
      </c>
      <c r="AP10" s="1" t="s">
        <v>26</v>
      </c>
      <c r="AQ10" s="2">
        <v>15500426563.190001</v>
      </c>
      <c r="AR10" s="1">
        <v>1</v>
      </c>
      <c r="AS10" s="1" t="s">
        <v>26</v>
      </c>
      <c r="AT10" s="1" t="s">
        <v>26</v>
      </c>
      <c r="AU10" s="2">
        <v>24862461273.869999</v>
      </c>
      <c r="AV10" s="1">
        <v>1</v>
      </c>
      <c r="AW10" s="1" t="s">
        <v>26</v>
      </c>
      <c r="AX10" s="1" t="s">
        <v>26</v>
      </c>
      <c r="AY10" s="38">
        <v>362870381280.53998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v>5804840810.3999996</v>
      </c>
      <c r="H11" s="10">
        <v>3.6511979980291889E-2</v>
      </c>
      <c r="I11" s="10">
        <v>0.1</v>
      </c>
      <c r="J11" s="10">
        <v>6.3488020019708116E-2</v>
      </c>
      <c r="K11" s="9" t="s">
        <v>26</v>
      </c>
      <c r="L11" s="10" t="s">
        <v>26</v>
      </c>
      <c r="M11" s="10" t="s">
        <v>26</v>
      </c>
      <c r="N11" s="10" t="s">
        <v>26</v>
      </c>
      <c r="O11" s="9">
        <v>1543058949.5999999</v>
      </c>
      <c r="P11" s="10">
        <v>6.5255296104950169E-3</v>
      </c>
      <c r="Q11" s="10">
        <v>0.1</v>
      </c>
      <c r="R11" s="10">
        <v>9.3474470389504988E-2</v>
      </c>
      <c r="S11" s="9">
        <v>1514303775</v>
      </c>
      <c r="T11" s="10">
        <v>1.2953089999131428E-2</v>
      </c>
      <c r="U11" s="10">
        <v>0.1</v>
      </c>
      <c r="V11" s="10">
        <v>8.7046910000868574E-2</v>
      </c>
      <c r="W11" s="2" t="s">
        <v>26</v>
      </c>
      <c r="X11" s="1" t="s">
        <v>26</v>
      </c>
      <c r="Y11" s="1" t="s">
        <v>26</v>
      </c>
      <c r="Z11" s="1" t="s">
        <v>26</v>
      </c>
      <c r="AA11" s="9">
        <v>1347114956</v>
      </c>
      <c r="AB11" s="10">
        <v>9.2494573609784667E-3</v>
      </c>
      <c r="AC11" s="10">
        <v>0.1</v>
      </c>
      <c r="AD11" s="10">
        <v>9.0750542639021534E-2</v>
      </c>
      <c r="AE11" s="9">
        <v>10209318491</v>
      </c>
      <c r="AF11" s="10">
        <v>1.5130199501827653E-2</v>
      </c>
      <c r="AG11" s="10">
        <v>0.1</v>
      </c>
      <c r="AH11" s="10">
        <v>8.486980049817236E-2</v>
      </c>
      <c r="AI11" s="2" t="s">
        <v>26</v>
      </c>
      <c r="AJ11" s="1" t="s">
        <v>26</v>
      </c>
      <c r="AK11" s="1" t="s">
        <v>26</v>
      </c>
      <c r="AL11" s="1" t="s">
        <v>26</v>
      </c>
      <c r="AM11" s="2" t="s">
        <v>26</v>
      </c>
      <c r="AN11" s="1" t="s">
        <v>26</v>
      </c>
      <c r="AO11" s="1" t="s">
        <v>26</v>
      </c>
      <c r="AP11" s="1" t="s">
        <v>26</v>
      </c>
      <c r="AQ11" s="2" t="s">
        <v>26</v>
      </c>
      <c r="AR11" s="1" t="s">
        <v>26</v>
      </c>
      <c r="AS11" s="1" t="s">
        <v>26</v>
      </c>
      <c r="AT11" s="1" t="s">
        <v>26</v>
      </c>
      <c r="AU11" s="2" t="s">
        <v>26</v>
      </c>
      <c r="AV11" s="1" t="s">
        <v>26</v>
      </c>
      <c r="AW11" s="1" t="s">
        <v>26</v>
      </c>
      <c r="AX11" s="1" t="s">
        <v>26</v>
      </c>
      <c r="AY11" s="9">
        <v>10209318491</v>
      </c>
      <c r="AZ11" s="10">
        <v>1.3355289692989939E-2</v>
      </c>
      <c r="BA11" s="10">
        <v>0.1</v>
      </c>
      <c r="BB11" s="10">
        <v>8.664471030701007E-2</v>
      </c>
    </row>
    <row r="12" spans="1:54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5804840810.3999996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1543058949.5999999</v>
      </c>
      <c r="P12" s="1">
        <v>1</v>
      </c>
      <c r="Q12" s="1" t="s">
        <v>26</v>
      </c>
      <c r="R12" s="1" t="s">
        <v>26</v>
      </c>
      <c r="S12" s="2">
        <v>1514303775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1347114956</v>
      </c>
      <c r="AB12" s="1">
        <v>1</v>
      </c>
      <c r="AC12" s="1" t="s">
        <v>26</v>
      </c>
      <c r="AD12" s="1" t="s">
        <v>26</v>
      </c>
      <c r="AE12" s="2">
        <v>10209318491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10209318491</v>
      </c>
      <c r="AZ12" s="1">
        <v>1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27" t="s">
        <v>25</v>
      </c>
      <c r="C13" s="29">
        <v>2853888723.7800002</v>
      </c>
      <c r="D13" s="30">
        <v>0.41192205883312</v>
      </c>
      <c r="E13" s="30" t="s">
        <v>26</v>
      </c>
      <c r="F13" s="30" t="s">
        <v>26</v>
      </c>
      <c r="G13" s="29">
        <v>51550893334.440002</v>
      </c>
      <c r="H13" s="30">
        <v>0.32425095655009628</v>
      </c>
      <c r="I13" s="30" t="s">
        <v>26</v>
      </c>
      <c r="J13" s="30" t="s">
        <v>26</v>
      </c>
      <c r="K13" s="29">
        <v>1090530440.9300001</v>
      </c>
      <c r="L13" s="30">
        <v>0.34269407952482001</v>
      </c>
      <c r="M13" s="30" t="s">
        <v>26</v>
      </c>
      <c r="N13" s="30" t="s">
        <v>26</v>
      </c>
      <c r="O13" s="29">
        <v>74431054757.259995</v>
      </c>
      <c r="P13" s="30">
        <v>0.31476546129573002</v>
      </c>
      <c r="Q13" s="30" t="s">
        <v>26</v>
      </c>
      <c r="R13" s="30" t="s">
        <v>26</v>
      </c>
      <c r="S13" s="29">
        <v>33104185180.299999</v>
      </c>
      <c r="T13" s="30">
        <v>0.283166441702</v>
      </c>
      <c r="U13" s="30" t="s">
        <v>26</v>
      </c>
      <c r="V13" s="30" t="s">
        <v>26</v>
      </c>
      <c r="W13" s="29">
        <v>3248631060.5799999</v>
      </c>
      <c r="X13" s="30">
        <v>0.48724382020906998</v>
      </c>
      <c r="Y13" s="30" t="s">
        <v>26</v>
      </c>
      <c r="Z13" s="30" t="s">
        <v>26</v>
      </c>
      <c r="AA13" s="29">
        <v>45924612245.339996</v>
      </c>
      <c r="AB13" s="30">
        <v>0.31528385788351998</v>
      </c>
      <c r="AC13" s="30" t="s">
        <v>26</v>
      </c>
      <c r="AD13" s="30" t="s">
        <v>26</v>
      </c>
      <c r="AE13" s="29">
        <v>212203795742.63</v>
      </c>
      <c r="AF13" s="30">
        <v>0.31448580700675072</v>
      </c>
      <c r="AG13" s="30" t="s">
        <v>26</v>
      </c>
      <c r="AH13" s="30" t="s">
        <v>26</v>
      </c>
      <c r="AI13" s="29">
        <v>8127759219.29</v>
      </c>
      <c r="AJ13" s="30">
        <v>0.46507191531684</v>
      </c>
      <c r="AK13" s="30" t="s">
        <v>26</v>
      </c>
      <c r="AL13" s="30" t="s">
        <v>26</v>
      </c>
      <c r="AM13" s="29">
        <v>11956145888.07</v>
      </c>
      <c r="AN13" s="30">
        <v>0.49019973376283998</v>
      </c>
      <c r="AO13" s="30" t="s">
        <v>26</v>
      </c>
      <c r="AP13" s="30" t="s">
        <v>26</v>
      </c>
      <c r="AQ13" s="29">
        <v>20083905107.360001</v>
      </c>
      <c r="AR13" s="30">
        <v>0.47971067016855001</v>
      </c>
      <c r="AS13" s="30" t="s">
        <v>26</v>
      </c>
      <c r="AT13" s="30" t="s">
        <v>26</v>
      </c>
      <c r="AU13" s="29">
        <v>15385823335.049999</v>
      </c>
      <c r="AV13" s="30">
        <v>0.32181066543786002</v>
      </c>
      <c r="AW13" s="30" t="s">
        <v>26</v>
      </c>
      <c r="AX13" s="30" t="s">
        <v>26</v>
      </c>
      <c r="AY13" s="29">
        <v>247673524185.04001</v>
      </c>
      <c r="AZ13" s="30">
        <v>0.3239933858161933</v>
      </c>
      <c r="BA13" s="30" t="s">
        <v>26</v>
      </c>
      <c r="BB13" s="30" t="s">
        <v>26</v>
      </c>
    </row>
    <row r="14" spans="1:54" s="25" customFormat="1">
      <c r="A14" s="5" t="s">
        <v>32</v>
      </c>
      <c r="B14" s="20" t="s">
        <v>25</v>
      </c>
      <c r="C14" s="9">
        <v>2853888723.7800002</v>
      </c>
      <c r="D14" s="10">
        <v>0.41192205883312</v>
      </c>
      <c r="E14" s="10">
        <v>0.5</v>
      </c>
      <c r="F14" s="10">
        <v>8.8099999999999998E-2</v>
      </c>
      <c r="G14" s="9">
        <v>51550893334.440002</v>
      </c>
      <c r="H14" s="10">
        <v>0.32412935005246002</v>
      </c>
      <c r="I14" s="10">
        <v>0.5</v>
      </c>
      <c r="J14" s="10">
        <v>0.1759</v>
      </c>
      <c r="K14" s="9">
        <v>1090530440.9300001</v>
      </c>
      <c r="L14" s="10">
        <v>0.34269407952482001</v>
      </c>
      <c r="M14" s="10">
        <v>0.50009999999999999</v>
      </c>
      <c r="N14" s="10">
        <v>0.15740000000000001</v>
      </c>
      <c r="O14" s="9">
        <v>74431054757.259995</v>
      </c>
      <c r="P14" s="10">
        <v>0.31476546129573002</v>
      </c>
      <c r="Q14" s="10">
        <v>0.5</v>
      </c>
      <c r="R14" s="10">
        <v>0.1852</v>
      </c>
      <c r="S14" s="9">
        <v>33104185180.299999</v>
      </c>
      <c r="T14" s="10">
        <v>0.283166441702</v>
      </c>
      <c r="U14" s="10">
        <v>0.5</v>
      </c>
      <c r="V14" s="10">
        <v>0.21679999999999999</v>
      </c>
      <c r="W14" s="9">
        <v>3248631060.5799999</v>
      </c>
      <c r="X14" s="10">
        <v>0.48724382020906998</v>
      </c>
      <c r="Y14" s="10">
        <v>0.5</v>
      </c>
      <c r="Z14" s="10">
        <v>1.2800000000000001E-2</v>
      </c>
      <c r="AA14" s="9">
        <v>45924612245.339996</v>
      </c>
      <c r="AB14" s="10">
        <v>0.31528385788351998</v>
      </c>
      <c r="AC14" s="10">
        <v>0.5</v>
      </c>
      <c r="AD14" s="10">
        <v>0.1847</v>
      </c>
      <c r="AE14" s="9">
        <v>212203795742.63</v>
      </c>
      <c r="AF14" s="10">
        <v>0.31444332478863002</v>
      </c>
      <c r="AG14" s="10">
        <v>0.5</v>
      </c>
      <c r="AH14" s="10">
        <v>0.18559999999999999</v>
      </c>
      <c r="AI14" s="9">
        <v>8127759219.29</v>
      </c>
      <c r="AJ14" s="10">
        <v>0.46507191531684</v>
      </c>
      <c r="AK14" s="10">
        <v>0.5</v>
      </c>
      <c r="AL14" s="10">
        <v>3.49E-2</v>
      </c>
      <c r="AM14" s="9">
        <v>11956145888.07</v>
      </c>
      <c r="AN14" s="10">
        <v>0.49019973376283998</v>
      </c>
      <c r="AO14" s="10">
        <v>0.5</v>
      </c>
      <c r="AP14" s="10">
        <v>9.7999999999999997E-3</v>
      </c>
      <c r="AQ14" s="9">
        <v>20083905107.360001</v>
      </c>
      <c r="AR14" s="10">
        <v>0.47971067016855001</v>
      </c>
      <c r="AS14" s="10">
        <v>0.5</v>
      </c>
      <c r="AT14" s="10">
        <v>2.0299999999999999E-2</v>
      </c>
      <c r="AU14" s="9">
        <v>15385823335.049999</v>
      </c>
      <c r="AV14" s="10">
        <v>0.32181066543786002</v>
      </c>
      <c r="AW14" s="10">
        <v>0.5</v>
      </c>
      <c r="AX14" s="10">
        <v>0.1782</v>
      </c>
      <c r="AY14" s="9">
        <v>247673524185.04001</v>
      </c>
      <c r="AZ14" s="10">
        <v>0.32395428021817002</v>
      </c>
      <c r="BA14" s="10">
        <v>0.5</v>
      </c>
      <c r="BB14" s="10">
        <v>0.17599999999999999</v>
      </c>
    </row>
    <row r="15" spans="1:54" s="7" customFormat="1">
      <c r="A15" s="3" t="s">
        <v>33</v>
      </c>
      <c r="B15" s="23" t="s">
        <v>29</v>
      </c>
      <c r="C15" s="2">
        <v>990679932.36000001</v>
      </c>
      <c r="D15" s="1">
        <v>0.34713334269314</v>
      </c>
      <c r="E15" s="1" t="s">
        <v>26</v>
      </c>
      <c r="F15" s="1" t="s">
        <v>26</v>
      </c>
      <c r="G15" s="2">
        <v>17804767780.509998</v>
      </c>
      <c r="H15" s="1">
        <v>0.34538233246513</v>
      </c>
      <c r="I15" s="1" t="s">
        <v>26</v>
      </c>
      <c r="J15" s="1" t="s">
        <v>26</v>
      </c>
      <c r="K15" s="2">
        <v>253947522.55000001</v>
      </c>
      <c r="L15" s="1">
        <v>0.23286605583740999</v>
      </c>
      <c r="M15" s="1" t="s">
        <v>26</v>
      </c>
      <c r="N15" s="1" t="s">
        <v>26</v>
      </c>
      <c r="O15" s="2">
        <v>20886333697.040001</v>
      </c>
      <c r="P15" s="1">
        <v>0.28061316294866001</v>
      </c>
      <c r="Q15" s="1" t="s">
        <v>26</v>
      </c>
      <c r="R15" s="1" t="s">
        <v>26</v>
      </c>
      <c r="S15" s="2">
        <v>11631078019.559999</v>
      </c>
      <c r="T15" s="1">
        <v>0.35134766061185002</v>
      </c>
      <c r="U15" s="1" t="s">
        <v>26</v>
      </c>
      <c r="V15" s="1" t="s">
        <v>26</v>
      </c>
      <c r="W15" s="2">
        <v>1124950707.04</v>
      </c>
      <c r="X15" s="1">
        <v>0.34628453833694001</v>
      </c>
      <c r="Y15" s="1" t="s">
        <v>26</v>
      </c>
      <c r="Z15" s="1" t="s">
        <v>26</v>
      </c>
      <c r="AA15" s="2">
        <v>17280492486.900002</v>
      </c>
      <c r="AB15" s="1">
        <v>0.37627955124766999</v>
      </c>
      <c r="AC15" s="1" t="s">
        <v>26</v>
      </c>
      <c r="AD15" s="1" t="s">
        <v>26</v>
      </c>
      <c r="AE15" s="2">
        <v>69972250145.960007</v>
      </c>
      <c r="AF15" s="1">
        <v>0.32974080365095998</v>
      </c>
      <c r="AG15" s="1" t="s">
        <v>26</v>
      </c>
      <c r="AH15" s="1" t="s">
        <v>26</v>
      </c>
      <c r="AI15" s="2">
        <v>1967741032.04</v>
      </c>
      <c r="AJ15" s="1">
        <v>0.242101294951</v>
      </c>
      <c r="AK15" s="1" t="s">
        <v>26</v>
      </c>
      <c r="AL15" s="1" t="s">
        <v>26</v>
      </c>
      <c r="AM15" s="2">
        <v>6248737171.4899998</v>
      </c>
      <c r="AN15" s="1">
        <v>0.52263808337477002</v>
      </c>
      <c r="AO15" s="1" t="s">
        <v>26</v>
      </c>
      <c r="AP15" s="1" t="s">
        <v>26</v>
      </c>
      <c r="AQ15" s="2">
        <v>8216478203.5299997</v>
      </c>
      <c r="AR15" s="1">
        <v>0.40910759932433999</v>
      </c>
      <c r="AS15" s="1" t="s">
        <v>26</v>
      </c>
      <c r="AT15" s="1" t="s">
        <v>26</v>
      </c>
      <c r="AU15" s="2">
        <v>7826735231.29</v>
      </c>
      <c r="AV15" s="1">
        <v>0.50869784871766999</v>
      </c>
      <c r="AW15" s="1" t="s">
        <v>26</v>
      </c>
      <c r="AX15" s="1" t="s">
        <v>26</v>
      </c>
      <c r="AY15" s="2">
        <v>86015463580.779999</v>
      </c>
      <c r="AZ15" s="1">
        <v>0.34729373623526999</v>
      </c>
      <c r="BA15" s="1" t="s">
        <v>26</v>
      </c>
      <c r="BB15" s="1" t="s">
        <v>26</v>
      </c>
    </row>
    <row r="16" spans="1:54" s="28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418984292.06999999</v>
      </c>
      <c r="H16" s="1">
        <v>8.12758547853E-3</v>
      </c>
      <c r="I16" s="1" t="s">
        <v>26</v>
      </c>
      <c r="J16" s="1" t="s">
        <v>26</v>
      </c>
      <c r="K16" s="2">
        <v>158309763.65000001</v>
      </c>
      <c r="L16" s="1">
        <v>0.14516767043659001</v>
      </c>
      <c r="M16" s="1" t="s">
        <v>26</v>
      </c>
      <c r="N16" s="1" t="s">
        <v>26</v>
      </c>
      <c r="O16" s="2">
        <v>2882650716.1999998</v>
      </c>
      <c r="P16" s="1">
        <v>3.8729139679680002E-2</v>
      </c>
      <c r="Q16" s="1" t="s">
        <v>26</v>
      </c>
      <c r="R16" s="1" t="s">
        <v>26</v>
      </c>
      <c r="S16" s="2">
        <v>148743499.5</v>
      </c>
      <c r="T16" s="1">
        <v>4.4931931926399998E-3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6847797448.9399996</v>
      </c>
      <c r="AB16" s="1">
        <v>0.14910953221243001</v>
      </c>
      <c r="AC16" s="1" t="s">
        <v>26</v>
      </c>
      <c r="AD16" s="1" t="s">
        <v>26</v>
      </c>
      <c r="AE16" s="2">
        <v>10456485720.360001</v>
      </c>
      <c r="AF16" s="1">
        <v>4.92756771092E-2</v>
      </c>
      <c r="AG16" s="1" t="s">
        <v>26</v>
      </c>
      <c r="AH16" s="1" t="s">
        <v>26</v>
      </c>
      <c r="AI16" s="2">
        <v>99162333</v>
      </c>
      <c r="AJ16" s="1">
        <v>1.2200451603520001E-2</v>
      </c>
      <c r="AK16" s="1" t="s">
        <v>26</v>
      </c>
      <c r="AL16" s="1" t="s">
        <v>26</v>
      </c>
      <c r="AM16" s="2">
        <v>853236860.23000002</v>
      </c>
      <c r="AN16" s="1">
        <v>7.1363871620319999E-2</v>
      </c>
      <c r="AO16" s="1" t="s">
        <v>26</v>
      </c>
      <c r="AP16" s="1" t="s">
        <v>26</v>
      </c>
      <c r="AQ16" s="2">
        <v>952399193.23000002</v>
      </c>
      <c r="AR16" s="1">
        <v>4.7421016387940003E-2</v>
      </c>
      <c r="AS16" s="1" t="s">
        <v>26</v>
      </c>
      <c r="AT16" s="1" t="s">
        <v>26</v>
      </c>
      <c r="AU16" s="2">
        <v>99162333</v>
      </c>
      <c r="AV16" s="1">
        <v>6.4450456007800003E-3</v>
      </c>
      <c r="AW16" s="1" t="s">
        <v>26</v>
      </c>
      <c r="AX16" s="1" t="s">
        <v>26</v>
      </c>
      <c r="AY16" s="2">
        <v>11508047246.59</v>
      </c>
      <c r="AZ16" s="1">
        <v>4.6464583909230001E-2</v>
      </c>
      <c r="BA16" s="1" t="s">
        <v>26</v>
      </c>
      <c r="BB16" s="1" t="s">
        <v>26</v>
      </c>
    </row>
    <row r="17" spans="1:55" s="7" customFormat="1">
      <c r="A17" s="3" t="s">
        <v>36</v>
      </c>
      <c r="B17" s="23" t="s">
        <v>29</v>
      </c>
      <c r="C17" s="2">
        <v>1863208791.4200001</v>
      </c>
      <c r="D17" s="1">
        <v>0.65286665730686</v>
      </c>
      <c r="E17" s="1" t="s">
        <v>26</v>
      </c>
      <c r="F17" s="1" t="s">
        <v>26</v>
      </c>
      <c r="G17" s="2">
        <v>33327141261.860001</v>
      </c>
      <c r="H17" s="1">
        <v>0.64649008205633995</v>
      </c>
      <c r="I17" s="1" t="s">
        <v>26</v>
      </c>
      <c r="J17" s="1" t="s">
        <v>26</v>
      </c>
      <c r="K17" s="2">
        <v>678273154.73000002</v>
      </c>
      <c r="L17" s="1">
        <v>0.621966273726</v>
      </c>
      <c r="M17" s="1" t="s">
        <v>26</v>
      </c>
      <c r="N17" s="1" t="s">
        <v>26</v>
      </c>
      <c r="O17" s="2">
        <v>50662070344.019997</v>
      </c>
      <c r="P17" s="1">
        <v>0.68065769737165005</v>
      </c>
      <c r="Q17" s="1" t="s">
        <v>26</v>
      </c>
      <c r="R17" s="1" t="s">
        <v>26</v>
      </c>
      <c r="S17" s="2">
        <v>21324363661.240002</v>
      </c>
      <c r="T17" s="1">
        <v>0.64415914619550996</v>
      </c>
      <c r="U17" s="1" t="s">
        <v>26</v>
      </c>
      <c r="V17" s="1" t="s">
        <v>26</v>
      </c>
      <c r="W17" s="2">
        <v>2123680353.54</v>
      </c>
      <c r="X17" s="1">
        <v>0.65371546166306005</v>
      </c>
      <c r="Y17" s="1" t="s">
        <v>26</v>
      </c>
      <c r="Z17" s="1" t="s">
        <v>26</v>
      </c>
      <c r="AA17" s="2">
        <v>21796322309.5</v>
      </c>
      <c r="AB17" s="1">
        <v>0.47461091653989002</v>
      </c>
      <c r="AC17" s="1" t="s">
        <v>26</v>
      </c>
      <c r="AD17" s="1" t="s">
        <v>26</v>
      </c>
      <c r="AE17" s="2">
        <v>131775059876.31</v>
      </c>
      <c r="AF17" s="1">
        <v>0.62098351923983997</v>
      </c>
      <c r="AG17" s="1" t="s">
        <v>26</v>
      </c>
      <c r="AH17" s="1" t="s">
        <v>26</v>
      </c>
      <c r="AI17" s="2">
        <v>6060855854.25</v>
      </c>
      <c r="AJ17" s="1">
        <v>0.74569825344549001</v>
      </c>
      <c r="AK17" s="1" t="s">
        <v>26</v>
      </c>
      <c r="AL17" s="1" t="s">
        <v>26</v>
      </c>
      <c r="AM17" s="2">
        <v>4854171856.3500004</v>
      </c>
      <c r="AN17" s="1">
        <v>0.40599804500491998</v>
      </c>
      <c r="AO17" s="1" t="s">
        <v>26</v>
      </c>
      <c r="AP17" s="1" t="s">
        <v>26</v>
      </c>
      <c r="AQ17" s="2">
        <v>10915027710.6</v>
      </c>
      <c r="AR17" s="1">
        <v>0.54347138428771002</v>
      </c>
      <c r="AS17" s="1" t="s">
        <v>26</v>
      </c>
      <c r="AT17" s="1" t="s">
        <v>26</v>
      </c>
      <c r="AU17" s="2">
        <v>7459925770.7600002</v>
      </c>
      <c r="AV17" s="1">
        <v>0.48485710568154999</v>
      </c>
      <c r="AW17" s="1" t="s">
        <v>26</v>
      </c>
      <c r="AX17" s="1" t="s">
        <v>26</v>
      </c>
      <c r="AY17" s="2">
        <v>150150013357.67001</v>
      </c>
      <c r="AZ17" s="1">
        <v>0.60624167985550004</v>
      </c>
      <c r="BA17" s="1" t="s">
        <v>26</v>
      </c>
      <c r="BB17" s="1" t="s">
        <v>26</v>
      </c>
    </row>
    <row r="18" spans="1:55" customFormat="1">
      <c r="A18" s="12" t="s">
        <v>37</v>
      </c>
      <c r="B18" s="27" t="s">
        <v>25</v>
      </c>
      <c r="C18" s="29">
        <v>290777651.82999998</v>
      </c>
      <c r="D18" s="30">
        <v>4.197000675129E-2</v>
      </c>
      <c r="E18" s="30" t="s">
        <v>26</v>
      </c>
      <c r="F18" s="30" t="s">
        <v>26</v>
      </c>
      <c r="G18" s="29">
        <v>8631785478.5900002</v>
      </c>
      <c r="H18" s="30">
        <v>5.4293233679001615E-2</v>
      </c>
      <c r="I18" s="30" t="s">
        <v>26</v>
      </c>
      <c r="J18" s="30" t="s">
        <v>26</v>
      </c>
      <c r="K18" s="29">
        <v>82055362.170000002</v>
      </c>
      <c r="L18" s="30">
        <v>2.5785512951790001E-2</v>
      </c>
      <c r="M18" s="30" t="s">
        <v>26</v>
      </c>
      <c r="N18" s="30" t="s">
        <v>26</v>
      </c>
      <c r="O18" s="29">
        <v>13117684630.209999</v>
      </c>
      <c r="P18" s="30">
        <v>5.5474076878610001E-2</v>
      </c>
      <c r="Q18" s="30" t="s">
        <v>26</v>
      </c>
      <c r="R18" s="30" t="s">
        <v>26</v>
      </c>
      <c r="S18" s="29">
        <v>4792689578.8800001</v>
      </c>
      <c r="T18" s="30">
        <v>4.0995688214110003E-2</v>
      </c>
      <c r="U18" s="30" t="s">
        <v>26</v>
      </c>
      <c r="V18" s="30" t="s">
        <v>26</v>
      </c>
      <c r="W18" s="29">
        <v>1054942655.28</v>
      </c>
      <c r="X18" s="30">
        <v>0.15822488915326999</v>
      </c>
      <c r="Y18" s="30" t="s">
        <v>26</v>
      </c>
      <c r="Z18" s="30" t="s">
        <v>26</v>
      </c>
      <c r="AA18" s="29">
        <v>10828026921.889999</v>
      </c>
      <c r="AB18" s="30">
        <v>7.4337091469869998E-2</v>
      </c>
      <c r="AC18" s="30" t="s">
        <v>26</v>
      </c>
      <c r="AD18" s="30" t="s">
        <v>26</v>
      </c>
      <c r="AE18" s="29">
        <v>38797962278.849998</v>
      </c>
      <c r="AF18" s="30">
        <v>5.7498540187660048E-2</v>
      </c>
      <c r="AG18" s="30" t="s">
        <v>26</v>
      </c>
      <c r="AH18" s="30" t="s">
        <v>26</v>
      </c>
      <c r="AI18" s="29">
        <v>859950521.20000005</v>
      </c>
      <c r="AJ18" s="30">
        <v>4.9206530998479998E-2</v>
      </c>
      <c r="AK18" s="30" t="s">
        <v>26</v>
      </c>
      <c r="AL18" s="30" t="s">
        <v>26</v>
      </c>
      <c r="AM18" s="29">
        <v>1711828647.3199999</v>
      </c>
      <c r="AN18" s="30">
        <v>7.0184652731709998E-2</v>
      </c>
      <c r="AO18" s="30" t="s">
        <v>26</v>
      </c>
      <c r="AP18" s="30" t="s">
        <v>26</v>
      </c>
      <c r="AQ18" s="29">
        <v>2571779168.52</v>
      </c>
      <c r="AR18" s="30">
        <v>6.1427790156409999E-2</v>
      </c>
      <c r="AS18" s="30" t="s">
        <v>26</v>
      </c>
      <c r="AT18" s="30" t="s">
        <v>26</v>
      </c>
      <c r="AU18" s="29">
        <v>3013292400.6399999</v>
      </c>
      <c r="AV18" s="30">
        <v>6.3026177507170003E-2</v>
      </c>
      <c r="AW18" s="30" t="s">
        <v>26</v>
      </c>
      <c r="AX18" s="30" t="s">
        <v>26</v>
      </c>
      <c r="AY18" s="29">
        <v>44383033848.010002</v>
      </c>
      <c r="AZ18" s="30">
        <v>5.8059534043970455E-2</v>
      </c>
      <c r="BA18" s="30" t="s">
        <v>26</v>
      </c>
      <c r="BB18" s="30" t="s">
        <v>26</v>
      </c>
    </row>
    <row r="19" spans="1:55" s="25" customFormat="1">
      <c r="A19" s="5" t="s">
        <v>38</v>
      </c>
      <c r="B19" s="20" t="s">
        <v>25</v>
      </c>
      <c r="C19" s="9">
        <v>63761709.460000001</v>
      </c>
      <c r="D19" s="10">
        <v>9.2031810549000007E-3</v>
      </c>
      <c r="E19" s="10">
        <v>0.15</v>
      </c>
      <c r="F19" s="10">
        <v>0.14080000000000001</v>
      </c>
      <c r="G19" s="9">
        <v>3672116513.9000001</v>
      </c>
      <c r="H19" s="10">
        <v>2.308865398792E-2</v>
      </c>
      <c r="I19" s="10">
        <v>0.15</v>
      </c>
      <c r="J19" s="10">
        <v>0.12690000000000001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5188234326.4399996</v>
      </c>
      <c r="P19" s="10">
        <v>2.194080114004E-2</v>
      </c>
      <c r="Q19" s="10">
        <v>0.13819999999999999</v>
      </c>
      <c r="R19" s="10">
        <v>0.1163</v>
      </c>
      <c r="S19" s="9">
        <v>1462097848.6300001</v>
      </c>
      <c r="T19" s="10">
        <v>1.250648650501E-2</v>
      </c>
      <c r="U19" s="10">
        <v>0.05</v>
      </c>
      <c r="V19" s="10">
        <v>3.7499999999999999E-2</v>
      </c>
      <c r="W19" s="9">
        <v>129967004.40000001</v>
      </c>
      <c r="X19" s="10">
        <v>1.9493016764320002E-2</v>
      </c>
      <c r="Y19" s="10">
        <v>0.15</v>
      </c>
      <c r="Z19" s="10">
        <v>0.1305</v>
      </c>
      <c r="AA19" s="9">
        <v>4121229814.1599998</v>
      </c>
      <c r="AB19" s="10">
        <v>2.8293265234149999E-2</v>
      </c>
      <c r="AC19" s="10">
        <v>0.13519999999999999</v>
      </c>
      <c r="AD19" s="10">
        <v>0.1069</v>
      </c>
      <c r="AE19" s="9">
        <v>14637407216.99</v>
      </c>
      <c r="AF19" s="10">
        <v>2.168969209758E-2</v>
      </c>
      <c r="AG19" s="10">
        <v>0.1406</v>
      </c>
      <c r="AH19" s="10">
        <v>0.11890000000000001</v>
      </c>
      <c r="AI19" s="9">
        <v>496047556.93000001</v>
      </c>
      <c r="AJ19" s="10">
        <v>2.838393475562E-2</v>
      </c>
      <c r="AK19" s="10">
        <v>0.05</v>
      </c>
      <c r="AL19" s="10">
        <v>2.1600000000000001E-2</v>
      </c>
      <c r="AM19" s="9" t="s">
        <v>26</v>
      </c>
      <c r="AN19" s="10" t="s">
        <v>26</v>
      </c>
      <c r="AO19" s="10" t="s">
        <v>26</v>
      </c>
      <c r="AP19" s="10" t="s">
        <v>26</v>
      </c>
      <c r="AQ19" s="9">
        <v>496047556.93000001</v>
      </c>
      <c r="AR19" s="10">
        <v>1.184825882707E-2</v>
      </c>
      <c r="AS19" s="10">
        <v>0.13900000000000001</v>
      </c>
      <c r="AT19" s="10">
        <v>0.12720000000000001</v>
      </c>
      <c r="AU19" s="9">
        <v>783890092.28999996</v>
      </c>
      <c r="AV19" s="10">
        <v>1.6395885142869999E-2</v>
      </c>
      <c r="AW19" s="10">
        <v>0.05</v>
      </c>
      <c r="AX19" s="10">
        <v>3.3599999999999998E-2</v>
      </c>
      <c r="AY19" s="9">
        <v>15917344866.209999</v>
      </c>
      <c r="AZ19" s="10">
        <v>2.081971424311E-2</v>
      </c>
      <c r="BA19" s="10">
        <v>0.1404</v>
      </c>
      <c r="BB19" s="10">
        <v>0.1196</v>
      </c>
    </row>
    <row r="20" spans="1:55" s="7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4069417300</v>
      </c>
      <c r="P20" s="1">
        <v>0.78435495468307004</v>
      </c>
      <c r="Q20" s="1" t="s">
        <v>26</v>
      </c>
      <c r="R20" s="1" t="s">
        <v>26</v>
      </c>
      <c r="S20" s="2">
        <v>1005371606.76</v>
      </c>
      <c r="T20" s="1">
        <v>0.68762265651512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4069417300</v>
      </c>
      <c r="AB20" s="1">
        <v>0.98742789980263002</v>
      </c>
      <c r="AC20" s="1" t="s">
        <v>26</v>
      </c>
      <c r="AD20" s="1" t="s">
        <v>26</v>
      </c>
      <c r="AE20" s="2">
        <v>9144206206.7600002</v>
      </c>
      <c r="AF20" s="1">
        <v>0.62471488776688</v>
      </c>
      <c r="AG20" s="1" t="s">
        <v>26</v>
      </c>
      <c r="AH20" s="1" t="s">
        <v>26</v>
      </c>
      <c r="AI20" s="2">
        <v>363392192.42000002</v>
      </c>
      <c r="AJ20" s="1">
        <v>0.73257530924859005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363392192.42000002</v>
      </c>
      <c r="AR20" s="1">
        <v>0.73257530924859005</v>
      </c>
      <c r="AS20" s="1" t="s">
        <v>26</v>
      </c>
      <c r="AT20" s="1" t="s">
        <v>26</v>
      </c>
      <c r="AU20" s="2">
        <v>648624611.61000001</v>
      </c>
      <c r="AV20" s="1">
        <v>0.82744330868521998</v>
      </c>
      <c r="AW20" s="1" t="s">
        <v>26</v>
      </c>
      <c r="AX20" s="1" t="s">
        <v>26</v>
      </c>
      <c r="AY20" s="2">
        <v>10156223010.790001</v>
      </c>
      <c r="AZ20" s="1">
        <v>0.63806012222240005</v>
      </c>
      <c r="BA20" s="1" t="s">
        <v>26</v>
      </c>
      <c r="BB20" s="1" t="s">
        <v>26</v>
      </c>
    </row>
    <row r="21" spans="1:55" s="28" customFormat="1">
      <c r="A21" s="3" t="s">
        <v>41</v>
      </c>
      <c r="B21" s="23" t="s">
        <v>35</v>
      </c>
      <c r="C21" s="2">
        <v>63761709.460000001</v>
      </c>
      <c r="D21" s="1">
        <v>1</v>
      </c>
      <c r="E21" s="1" t="s">
        <v>26</v>
      </c>
      <c r="F21" s="1" t="s">
        <v>26</v>
      </c>
      <c r="G21" s="2">
        <v>3672116513.9000001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1118817026.4400001</v>
      </c>
      <c r="P21" s="1">
        <v>0.21564504531692999</v>
      </c>
      <c r="Q21" s="1" t="s">
        <v>26</v>
      </c>
      <c r="R21" s="1" t="s">
        <v>26</v>
      </c>
      <c r="S21" s="2">
        <v>456726241.87</v>
      </c>
      <c r="T21" s="1">
        <v>0.31237734348488</v>
      </c>
      <c r="U21" s="1" t="s">
        <v>26</v>
      </c>
      <c r="V21" s="1" t="s">
        <v>26</v>
      </c>
      <c r="W21" s="2">
        <v>129967004.40000001</v>
      </c>
      <c r="X21" s="1">
        <v>1</v>
      </c>
      <c r="Y21" s="1" t="s">
        <v>26</v>
      </c>
      <c r="Z21" s="1" t="s">
        <v>26</v>
      </c>
      <c r="AA21" s="2">
        <v>51812514.159999996</v>
      </c>
      <c r="AB21" s="1">
        <v>1.257210019737E-2</v>
      </c>
      <c r="AC21" s="1" t="s">
        <v>26</v>
      </c>
      <c r="AD21" s="1" t="s">
        <v>26</v>
      </c>
      <c r="AE21" s="2">
        <v>5493201010.2299995</v>
      </c>
      <c r="AF21" s="1">
        <v>0.37528511223312</v>
      </c>
      <c r="AG21" s="1" t="s">
        <v>26</v>
      </c>
      <c r="AH21" s="1" t="s">
        <v>26</v>
      </c>
      <c r="AI21" s="2">
        <v>132655364.51000001</v>
      </c>
      <c r="AJ21" s="1">
        <v>0.26742469075141001</v>
      </c>
      <c r="AK21" s="1" t="s">
        <v>26</v>
      </c>
      <c r="AL21" s="1" t="s">
        <v>26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132655364.51000001</v>
      </c>
      <c r="AR21" s="1">
        <v>0.26742469075141001</v>
      </c>
      <c r="AS21" s="1" t="s">
        <v>26</v>
      </c>
      <c r="AT21" s="1" t="s">
        <v>26</v>
      </c>
      <c r="AU21" s="2">
        <v>135265480.68000001</v>
      </c>
      <c r="AV21" s="1">
        <v>0.17255669131477999</v>
      </c>
      <c r="AW21" s="1" t="s">
        <v>26</v>
      </c>
      <c r="AX21" s="1" t="s">
        <v>26</v>
      </c>
      <c r="AY21" s="2">
        <v>5761121855.4200001</v>
      </c>
      <c r="AZ21" s="1">
        <v>0.36193987777760001</v>
      </c>
      <c r="BA21" s="1" t="s">
        <v>26</v>
      </c>
      <c r="BB21" s="1" t="s">
        <v>26</v>
      </c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>
        <v>18689765.539999999</v>
      </c>
      <c r="L22" s="10">
        <v>5.8731712182200002E-3</v>
      </c>
      <c r="M22" s="10">
        <v>0.15</v>
      </c>
      <c r="N22" s="10">
        <v>0.14410000000000001</v>
      </c>
      <c r="O22" s="9" t="s">
        <v>26</v>
      </c>
      <c r="P22" s="10" t="s">
        <v>26</v>
      </c>
      <c r="Q22" s="10" t="s">
        <v>26</v>
      </c>
      <c r="R22" s="10" t="s">
        <v>26</v>
      </c>
      <c r="S22" s="9" t="s">
        <v>26</v>
      </c>
      <c r="T22" s="10" t="s">
        <v>26</v>
      </c>
      <c r="U22" s="10" t="s">
        <v>26</v>
      </c>
      <c r="V22" s="10" t="s">
        <v>26</v>
      </c>
      <c r="W22" s="9">
        <v>52632377.670000002</v>
      </c>
      <c r="X22" s="10">
        <v>7.8940329893999999E-3</v>
      </c>
      <c r="Y22" s="10">
        <v>0.15</v>
      </c>
      <c r="Z22" s="10">
        <v>0.1421</v>
      </c>
      <c r="AA22" s="9">
        <v>151466125.68000001</v>
      </c>
      <c r="AB22" s="10">
        <v>1.03985253458E-3</v>
      </c>
      <c r="AC22" s="10">
        <v>0.15</v>
      </c>
      <c r="AD22" s="10">
        <v>0.14899999999999999</v>
      </c>
      <c r="AE22" s="9">
        <v>222788268.88999999</v>
      </c>
      <c r="AF22" s="10">
        <v>3.3012738414000002E-4</v>
      </c>
      <c r="AG22" s="10">
        <v>0.15</v>
      </c>
      <c r="AH22" s="10">
        <v>0.1497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 t="s">
        <v>26</v>
      </c>
      <c r="AV22" s="10" t="s">
        <v>26</v>
      </c>
      <c r="AW22" s="10" t="s">
        <v>26</v>
      </c>
      <c r="AX22" s="10" t="s">
        <v>26</v>
      </c>
      <c r="AY22" s="9">
        <v>222788268.88999999</v>
      </c>
      <c r="AZ22" s="10">
        <v>2.9140463651000003E-4</v>
      </c>
      <c r="BA22" s="10">
        <v>0.15</v>
      </c>
      <c r="BB22" s="10">
        <v>0.1497</v>
      </c>
    </row>
    <row r="23" spans="1:55" s="7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>
        <v>18689765.539999999</v>
      </c>
      <c r="L23" s="1">
        <v>1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52632377.670000002</v>
      </c>
      <c r="X23" s="1">
        <v>1</v>
      </c>
      <c r="Y23" s="1" t="s">
        <v>26</v>
      </c>
      <c r="Z23" s="1" t="s">
        <v>26</v>
      </c>
      <c r="AA23" s="2">
        <v>151466125.68000001</v>
      </c>
      <c r="AB23" s="1">
        <v>1</v>
      </c>
      <c r="AC23" s="1" t="s">
        <v>26</v>
      </c>
      <c r="AD23" s="1" t="s">
        <v>26</v>
      </c>
      <c r="AE23" s="2">
        <v>222788268.88999999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222788268.88999999</v>
      </c>
      <c r="AZ23" s="1">
        <v>1</v>
      </c>
      <c r="BA23" s="1" t="s">
        <v>26</v>
      </c>
      <c r="BB23" s="1" t="s">
        <v>26</v>
      </c>
      <c r="BC23" s="31"/>
    </row>
    <row r="24" spans="1:55" s="7" customFormat="1">
      <c r="A24" s="5" t="s">
        <v>43</v>
      </c>
      <c r="B24" s="20" t="s">
        <v>25</v>
      </c>
      <c r="C24" s="9">
        <v>140059485.34</v>
      </c>
      <c r="D24" s="10">
        <v>2.0215781743569999E-2</v>
      </c>
      <c r="E24" s="10">
        <v>0.13500000000000001</v>
      </c>
      <c r="F24" s="10">
        <v>0.1148</v>
      </c>
      <c r="G24" s="9" t="s">
        <v>26</v>
      </c>
      <c r="H24" s="10" t="s">
        <v>26</v>
      </c>
      <c r="I24" s="10" t="s">
        <v>26</v>
      </c>
      <c r="J24" s="10" t="s">
        <v>26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140059485.34</v>
      </c>
      <c r="AF24" s="10">
        <v>2.0753997394000001E-4</v>
      </c>
      <c r="AG24" s="10">
        <v>0.13500000000000001</v>
      </c>
      <c r="AH24" s="10">
        <v>0.1348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140059485.34</v>
      </c>
      <c r="AZ24" s="10">
        <v>1.8319628596000001E-4</v>
      </c>
      <c r="BA24" s="10">
        <v>0.13500000000000001</v>
      </c>
      <c r="BB24" s="10">
        <v>0.1348</v>
      </c>
    </row>
    <row r="25" spans="1:55" s="7" customFormat="1">
      <c r="A25" s="3" t="s">
        <v>41</v>
      </c>
      <c r="B25" s="23" t="s">
        <v>44</v>
      </c>
      <c r="C25" s="2">
        <v>140059485.34</v>
      </c>
      <c r="D25" s="1">
        <v>1</v>
      </c>
      <c r="E25" s="1" t="s">
        <v>26</v>
      </c>
      <c r="F25" s="1" t="s">
        <v>26</v>
      </c>
      <c r="G25" s="2" t="s">
        <v>26</v>
      </c>
      <c r="H25" s="1" t="s">
        <v>26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140059485.34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140059485.34</v>
      </c>
      <c r="AZ25" s="1">
        <v>1</v>
      </c>
      <c r="BA25" s="1" t="s">
        <v>26</v>
      </c>
      <c r="BB25" s="1" t="s">
        <v>26</v>
      </c>
    </row>
    <row r="26" spans="1:55" s="7" customFormat="1">
      <c r="A26" s="5" t="s">
        <v>45</v>
      </c>
      <c r="B26" s="20" t="s">
        <v>25</v>
      </c>
      <c r="C26" s="9">
        <v>20283541</v>
      </c>
      <c r="D26" s="10">
        <v>2.9276677466500002E-3</v>
      </c>
      <c r="E26" s="10">
        <v>0.13500000000000001</v>
      </c>
      <c r="F26" s="10">
        <v>0.1321</v>
      </c>
      <c r="G26" s="9">
        <v>1461690955.5</v>
      </c>
      <c r="H26" s="10">
        <v>9.1904700139699997E-3</v>
      </c>
      <c r="I26" s="10">
        <v>0.13500000000000001</v>
      </c>
      <c r="J26" s="10">
        <v>0.1258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1625660621.5</v>
      </c>
      <c r="P26" s="10">
        <v>6.8748429953799997E-3</v>
      </c>
      <c r="Q26" s="10">
        <v>0.13500000000000001</v>
      </c>
      <c r="R26" s="10">
        <v>0.12809999999999999</v>
      </c>
      <c r="S26" s="9">
        <v>812192309</v>
      </c>
      <c r="T26" s="10">
        <v>6.9473271994100003E-3</v>
      </c>
      <c r="U26" s="10">
        <v>0.13500000000000001</v>
      </c>
      <c r="V26" s="10">
        <v>0.12809999999999999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1910050918.8299999</v>
      </c>
      <c r="AB26" s="10">
        <v>1.3112973479789999E-2</v>
      </c>
      <c r="AC26" s="10">
        <v>0.05</v>
      </c>
      <c r="AD26" s="10">
        <v>3.6900000000000002E-2</v>
      </c>
      <c r="AE26" s="9">
        <v>5829878345.8299999</v>
      </c>
      <c r="AF26" s="10">
        <v>8.6387065969299997E-3</v>
      </c>
      <c r="AG26" s="10">
        <v>0.13569999999999999</v>
      </c>
      <c r="AH26" s="10">
        <v>0.12709999999999999</v>
      </c>
      <c r="AI26" s="9" t="s">
        <v>26</v>
      </c>
      <c r="AJ26" s="10" t="s">
        <v>26</v>
      </c>
      <c r="AK26" s="10" t="s">
        <v>26</v>
      </c>
      <c r="AL26" s="10" t="s">
        <v>26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 t="s">
        <v>26</v>
      </c>
      <c r="AR26" s="10" t="s">
        <v>26</v>
      </c>
      <c r="AS26" s="10" t="s">
        <v>26</v>
      </c>
      <c r="AT26" s="10" t="s">
        <v>26</v>
      </c>
      <c r="AU26" s="9">
        <v>966870873.5</v>
      </c>
      <c r="AV26" s="10">
        <v>2.0223120493310001E-2</v>
      </c>
      <c r="AW26" s="10">
        <v>0.13500000000000001</v>
      </c>
      <c r="AX26" s="10">
        <v>0.1148</v>
      </c>
      <c r="AY26" s="9">
        <v>6796749219.3299999</v>
      </c>
      <c r="AZ26" s="10">
        <v>8.8900741749300006E-3</v>
      </c>
      <c r="BA26" s="10">
        <v>0.1356</v>
      </c>
      <c r="BB26" s="10">
        <v>0.12670000000000001</v>
      </c>
    </row>
    <row r="27" spans="1:55" s="7" customFormat="1">
      <c r="A27" s="3" t="s">
        <v>39</v>
      </c>
      <c r="B27" s="23" t="s">
        <v>40</v>
      </c>
      <c r="C27" s="2">
        <v>20283541</v>
      </c>
      <c r="D27" s="1">
        <v>1</v>
      </c>
      <c r="E27" s="1" t="s">
        <v>26</v>
      </c>
      <c r="F27" s="1" t="s">
        <v>26</v>
      </c>
      <c r="G27" s="2">
        <v>1461690955.5</v>
      </c>
      <c r="H27" s="1">
        <v>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1625660621.5</v>
      </c>
      <c r="P27" s="1">
        <v>1</v>
      </c>
      <c r="Q27" s="1" t="s">
        <v>26</v>
      </c>
      <c r="R27" s="1" t="s">
        <v>26</v>
      </c>
      <c r="S27" s="2">
        <v>812192309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1651276874.2</v>
      </c>
      <c r="AB27" s="1">
        <v>0.86451981877607997</v>
      </c>
      <c r="AC27" s="1" t="s">
        <v>26</v>
      </c>
      <c r="AD27" s="1" t="s">
        <v>26</v>
      </c>
      <c r="AE27" s="2">
        <v>5571104301.1999998</v>
      </c>
      <c r="AF27" s="1">
        <v>0.95561244518677002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966870873.5</v>
      </c>
      <c r="AV27" s="1">
        <v>1</v>
      </c>
      <c r="AW27" s="1" t="s">
        <v>26</v>
      </c>
      <c r="AX27" s="1" t="s">
        <v>26</v>
      </c>
      <c r="AY27" s="2">
        <v>6537975174.6999998</v>
      </c>
      <c r="AZ27" s="1">
        <v>0.96192679231211997</v>
      </c>
      <c r="BA27" s="1" t="s">
        <v>26</v>
      </c>
      <c r="BB27" s="1" t="s">
        <v>26</v>
      </c>
    </row>
    <row r="28" spans="1:55" s="7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258774044.63</v>
      </c>
      <c r="AB28" s="1">
        <v>0.13548018122392</v>
      </c>
      <c r="AC28" s="1" t="s">
        <v>26</v>
      </c>
      <c r="AD28" s="1" t="s">
        <v>26</v>
      </c>
      <c r="AE28" s="2">
        <v>258774044.63</v>
      </c>
      <c r="AF28" s="1">
        <v>4.438755481323E-2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258774044.63</v>
      </c>
      <c r="AZ28" s="1">
        <v>3.8073207687880001E-2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>
        <v>32898059.350000001</v>
      </c>
      <c r="D29" s="10">
        <v>4.7484109055000003E-3</v>
      </c>
      <c r="E29" s="10">
        <v>0.09</v>
      </c>
      <c r="F29" s="10">
        <v>8.5300000000000001E-2</v>
      </c>
      <c r="G29" s="9">
        <v>39983795.210000001</v>
      </c>
      <c r="H29" s="10">
        <v>2.5140052316999998E-4</v>
      </c>
      <c r="I29" s="10">
        <v>0.09</v>
      </c>
      <c r="J29" s="10">
        <v>8.9700000000000002E-2</v>
      </c>
      <c r="K29" s="9" t="s">
        <v>26</v>
      </c>
      <c r="L29" s="10" t="s">
        <v>26</v>
      </c>
      <c r="M29" s="10" t="s">
        <v>26</v>
      </c>
      <c r="N29" s="10" t="s">
        <v>26</v>
      </c>
      <c r="O29" s="9" t="s">
        <v>26</v>
      </c>
      <c r="P29" s="10" t="s">
        <v>26</v>
      </c>
      <c r="Q29" s="10" t="s">
        <v>26</v>
      </c>
      <c r="R29" s="10" t="s">
        <v>26</v>
      </c>
      <c r="S29" s="9">
        <v>43686254.729999997</v>
      </c>
      <c r="T29" s="10">
        <v>3.7368330427000002E-4</v>
      </c>
      <c r="U29" s="10">
        <v>0.1089</v>
      </c>
      <c r="V29" s="10">
        <v>0.1085</v>
      </c>
      <c r="W29" s="9" t="s">
        <v>26</v>
      </c>
      <c r="X29" s="10" t="s">
        <v>26</v>
      </c>
      <c r="Y29" s="10" t="s">
        <v>26</v>
      </c>
      <c r="Z29" s="10" t="s">
        <v>26</v>
      </c>
      <c r="AA29" s="9">
        <v>35428679.299999997</v>
      </c>
      <c r="AB29" s="10">
        <v>2.4322667396000001E-4</v>
      </c>
      <c r="AC29" s="10">
        <v>0.09</v>
      </c>
      <c r="AD29" s="10">
        <v>8.9800000000000005E-2</v>
      </c>
      <c r="AE29" s="9">
        <v>151996788.59</v>
      </c>
      <c r="AF29" s="10">
        <v>2.2522865528E-4</v>
      </c>
      <c r="AG29" s="10">
        <v>9.5399999999999999E-2</v>
      </c>
      <c r="AH29" s="10">
        <v>9.5200000000000007E-2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242947893.37</v>
      </c>
      <c r="AN29" s="10">
        <v>9.9608179561499997E-3</v>
      </c>
      <c r="AO29" s="10">
        <v>0.13500000000000001</v>
      </c>
      <c r="AP29" s="10">
        <v>0.125</v>
      </c>
      <c r="AQ29" s="9">
        <v>242947893.37</v>
      </c>
      <c r="AR29" s="10">
        <v>5.8028902308399997E-3</v>
      </c>
      <c r="AS29" s="10">
        <v>0.13500000000000001</v>
      </c>
      <c r="AT29" s="10">
        <v>0.12920000000000001</v>
      </c>
      <c r="AU29" s="9" t="s">
        <v>26</v>
      </c>
      <c r="AV29" s="10" t="s">
        <v>26</v>
      </c>
      <c r="AW29" s="10" t="s">
        <v>26</v>
      </c>
      <c r="AX29" s="10" t="s">
        <v>26</v>
      </c>
      <c r="AY29" s="9">
        <v>394944681.95999998</v>
      </c>
      <c r="AZ29" s="10">
        <v>5.1658335540999997E-4</v>
      </c>
      <c r="BA29" s="10">
        <v>0.1198</v>
      </c>
      <c r="BB29" s="10">
        <v>0.1193</v>
      </c>
    </row>
    <row r="30" spans="1:55" s="7" customFormat="1">
      <c r="A30" s="3" t="s">
        <v>39</v>
      </c>
      <c r="B30" s="23" t="s">
        <v>47</v>
      </c>
      <c r="C30" s="2">
        <v>32898059.350000001</v>
      </c>
      <c r="D30" s="1">
        <v>1</v>
      </c>
      <c r="E30" s="1" t="s">
        <v>26</v>
      </c>
      <c r="F30" s="1" t="s">
        <v>26</v>
      </c>
      <c r="G30" s="2">
        <v>39983795.210000001</v>
      </c>
      <c r="H30" s="1">
        <v>1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25306199.5</v>
      </c>
      <c r="T30" s="1">
        <v>0.57927143575029005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>
        <v>35428679.299999997</v>
      </c>
      <c r="AB30" s="1">
        <v>1</v>
      </c>
      <c r="AC30" s="1" t="s">
        <v>26</v>
      </c>
      <c r="AD30" s="1" t="s">
        <v>26</v>
      </c>
      <c r="AE30" s="2">
        <v>133616733.36</v>
      </c>
      <c r="AF30" s="1">
        <v>0.87907602916810001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 t="s">
        <v>26</v>
      </c>
      <c r="AN30" s="1" t="s">
        <v>26</v>
      </c>
      <c r="AO30" s="1" t="s">
        <v>26</v>
      </c>
      <c r="AP30" s="1" t="s">
        <v>26</v>
      </c>
      <c r="AQ30" s="2" t="s">
        <v>26</v>
      </c>
      <c r="AR30" s="1" t="s">
        <v>26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133616733.36</v>
      </c>
      <c r="AZ30" s="1">
        <v>0.33831759095197</v>
      </c>
      <c r="BA30" s="1" t="s">
        <v>26</v>
      </c>
      <c r="BB30" s="1" t="s">
        <v>26</v>
      </c>
    </row>
    <row r="31" spans="1:55" s="7" customFormat="1">
      <c r="A31" s="3" t="s">
        <v>41</v>
      </c>
      <c r="B31" s="23" t="s">
        <v>44</v>
      </c>
      <c r="C31" s="2" t="s">
        <v>26</v>
      </c>
      <c r="D31" s="1" t="s">
        <v>26</v>
      </c>
      <c r="E31" s="1" t="s">
        <v>26</v>
      </c>
      <c r="F31" s="1" t="s">
        <v>26</v>
      </c>
      <c r="G31" s="2" t="s">
        <v>26</v>
      </c>
      <c r="H31" s="1" t="s">
        <v>26</v>
      </c>
      <c r="I31" s="1" t="s">
        <v>26</v>
      </c>
      <c r="J31" s="1" t="s">
        <v>26</v>
      </c>
      <c r="K31" s="2" t="s">
        <v>26</v>
      </c>
      <c r="L31" s="1" t="s">
        <v>26</v>
      </c>
      <c r="M31" s="1" t="s">
        <v>26</v>
      </c>
      <c r="N31" s="1" t="s">
        <v>26</v>
      </c>
      <c r="O31" s="2" t="s">
        <v>26</v>
      </c>
      <c r="P31" s="1" t="s">
        <v>26</v>
      </c>
      <c r="Q31" s="1" t="s">
        <v>26</v>
      </c>
      <c r="R31" s="1" t="s">
        <v>26</v>
      </c>
      <c r="S31" s="2">
        <v>18380055.23</v>
      </c>
      <c r="T31" s="1">
        <v>0.42072856424971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2">
        <v>18380055.23</v>
      </c>
      <c r="AF31" s="1">
        <v>0.1209239708319</v>
      </c>
      <c r="AG31" s="1" t="s">
        <v>26</v>
      </c>
      <c r="AH31" s="1" t="s">
        <v>26</v>
      </c>
      <c r="AI31" s="2" t="s">
        <v>26</v>
      </c>
      <c r="AJ31" s="1" t="s">
        <v>26</v>
      </c>
      <c r="AK31" s="1" t="s">
        <v>26</v>
      </c>
      <c r="AL31" s="1" t="s">
        <v>26</v>
      </c>
      <c r="AM31" s="2">
        <v>242947893.37</v>
      </c>
      <c r="AN31" s="1">
        <v>1</v>
      </c>
      <c r="AO31" s="1" t="s">
        <v>26</v>
      </c>
      <c r="AP31" s="1" t="s">
        <v>26</v>
      </c>
      <c r="AQ31" s="2">
        <v>242947893.37</v>
      </c>
      <c r="AR31" s="1">
        <v>1</v>
      </c>
      <c r="AS31" s="1" t="s">
        <v>26</v>
      </c>
      <c r="AT31" s="1" t="s">
        <v>26</v>
      </c>
      <c r="AU31" s="2" t="s">
        <v>26</v>
      </c>
      <c r="AV31" s="1" t="s">
        <v>26</v>
      </c>
      <c r="AW31" s="1" t="s">
        <v>26</v>
      </c>
      <c r="AX31" s="1" t="s">
        <v>26</v>
      </c>
      <c r="AY31" s="2">
        <v>261327948.59999999</v>
      </c>
      <c r="AZ31" s="1">
        <v>0.66168240904803</v>
      </c>
      <c r="BA31" s="1" t="s">
        <v>26</v>
      </c>
      <c r="BB31" s="1" t="s">
        <v>26</v>
      </c>
    </row>
    <row r="32" spans="1:55" s="7" customFormat="1">
      <c r="A32" s="5" t="s">
        <v>48</v>
      </c>
      <c r="B32" s="20" t="s">
        <v>25</v>
      </c>
      <c r="C32" s="9" t="s">
        <v>26</v>
      </c>
      <c r="D32" s="10" t="s">
        <v>26</v>
      </c>
      <c r="E32" s="10" t="s">
        <v>26</v>
      </c>
      <c r="F32" s="10" t="s">
        <v>26</v>
      </c>
      <c r="G32" s="9" t="s">
        <v>26</v>
      </c>
      <c r="H32" s="10" t="s">
        <v>26</v>
      </c>
      <c r="I32" s="10" t="s">
        <v>26</v>
      </c>
      <c r="J32" s="10" t="s">
        <v>26</v>
      </c>
      <c r="K32" s="9">
        <v>30961799.16</v>
      </c>
      <c r="L32" s="10">
        <v>9.7296002617999998E-3</v>
      </c>
      <c r="M32" s="10">
        <v>0.13500000000000001</v>
      </c>
      <c r="N32" s="10">
        <v>0.12529999999999999</v>
      </c>
      <c r="O32" s="9" t="s">
        <v>26</v>
      </c>
      <c r="P32" s="10" t="s">
        <v>26</v>
      </c>
      <c r="Q32" s="10" t="s">
        <v>26</v>
      </c>
      <c r="R32" s="10" t="s">
        <v>26</v>
      </c>
      <c r="S32" s="9" t="s">
        <v>26</v>
      </c>
      <c r="T32" s="10" t="s">
        <v>26</v>
      </c>
      <c r="U32" s="10" t="s">
        <v>26</v>
      </c>
      <c r="V32" s="10" t="s">
        <v>26</v>
      </c>
      <c r="W32" s="9" t="s">
        <v>26</v>
      </c>
      <c r="X32" s="10" t="s">
        <v>26</v>
      </c>
      <c r="Y32" s="10" t="s">
        <v>26</v>
      </c>
      <c r="Z32" s="10" t="s">
        <v>26</v>
      </c>
      <c r="AA32" s="9" t="s">
        <v>26</v>
      </c>
      <c r="AB32" s="10" t="s">
        <v>26</v>
      </c>
      <c r="AC32" s="10" t="s">
        <v>26</v>
      </c>
      <c r="AD32" s="10" t="s">
        <v>26</v>
      </c>
      <c r="AE32" s="9">
        <v>30961799.16</v>
      </c>
      <c r="AF32" s="10">
        <v>4.5879156099999997E-5</v>
      </c>
      <c r="AG32" s="10">
        <v>0.13500000000000001</v>
      </c>
      <c r="AH32" s="10">
        <v>0.13500000000000001</v>
      </c>
      <c r="AI32" s="9">
        <v>5037217.38</v>
      </c>
      <c r="AJ32" s="10">
        <v>2.8823052843999998E-4</v>
      </c>
      <c r="AK32" s="10">
        <v>0.13500000000000001</v>
      </c>
      <c r="AL32" s="10">
        <v>0.13469999999999999</v>
      </c>
      <c r="AM32" s="9" t="s">
        <v>26</v>
      </c>
      <c r="AN32" s="10" t="s">
        <v>26</v>
      </c>
      <c r="AO32" s="10" t="s">
        <v>26</v>
      </c>
      <c r="AP32" s="10" t="s">
        <v>26</v>
      </c>
      <c r="AQ32" s="9">
        <v>5037217.38</v>
      </c>
      <c r="AR32" s="10">
        <v>1.2031559163E-4</v>
      </c>
      <c r="AS32" s="10">
        <v>0.13500000000000001</v>
      </c>
      <c r="AT32" s="10">
        <v>0.13489999999999999</v>
      </c>
      <c r="AU32" s="9" t="s">
        <v>26</v>
      </c>
      <c r="AV32" s="10" t="s">
        <v>26</v>
      </c>
      <c r="AW32" s="10" t="s">
        <v>26</v>
      </c>
      <c r="AX32" s="10" t="s">
        <v>26</v>
      </c>
      <c r="AY32" s="9">
        <v>35999016.539999999</v>
      </c>
      <c r="AZ32" s="10">
        <v>4.7086322730000001E-5</v>
      </c>
      <c r="BA32" s="10">
        <v>0.13500000000000001</v>
      </c>
      <c r="BB32" s="10">
        <v>0.13500000000000001</v>
      </c>
    </row>
    <row r="33" spans="1:54" s="7" customFormat="1">
      <c r="A33" s="3" t="s">
        <v>41</v>
      </c>
      <c r="B33" s="23" t="s">
        <v>44</v>
      </c>
      <c r="C33" s="2" t="s">
        <v>26</v>
      </c>
      <c r="D33" s="1" t="s">
        <v>26</v>
      </c>
      <c r="E33" s="1" t="s">
        <v>26</v>
      </c>
      <c r="F33" s="1" t="s">
        <v>26</v>
      </c>
      <c r="G33" s="2" t="s">
        <v>26</v>
      </c>
      <c r="H33" s="1" t="s">
        <v>26</v>
      </c>
      <c r="I33" s="1" t="s">
        <v>26</v>
      </c>
      <c r="J33" s="1" t="s">
        <v>26</v>
      </c>
      <c r="K33" s="2">
        <v>30961799.16</v>
      </c>
      <c r="L33" s="1">
        <v>1</v>
      </c>
      <c r="M33" s="1" t="s">
        <v>26</v>
      </c>
      <c r="N33" s="1" t="s">
        <v>26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2" t="s">
        <v>26</v>
      </c>
      <c r="AB33" s="1" t="s">
        <v>26</v>
      </c>
      <c r="AC33" s="1" t="s">
        <v>26</v>
      </c>
      <c r="AD33" s="1" t="s">
        <v>26</v>
      </c>
      <c r="AE33" s="2">
        <v>30961799.16</v>
      </c>
      <c r="AF33" s="1">
        <v>1</v>
      </c>
      <c r="AG33" s="1" t="s">
        <v>26</v>
      </c>
      <c r="AH33" s="1" t="s">
        <v>26</v>
      </c>
      <c r="AI33" s="2">
        <v>5037217.38</v>
      </c>
      <c r="AJ33" s="1">
        <v>1</v>
      </c>
      <c r="AK33" s="1" t="s">
        <v>26</v>
      </c>
      <c r="AL33" s="1" t="s">
        <v>26</v>
      </c>
      <c r="AM33" s="2" t="s">
        <v>26</v>
      </c>
      <c r="AN33" s="1" t="s">
        <v>26</v>
      </c>
      <c r="AO33" s="1" t="s">
        <v>26</v>
      </c>
      <c r="AP33" s="1" t="s">
        <v>26</v>
      </c>
      <c r="AQ33" s="2">
        <v>5037217.38</v>
      </c>
      <c r="AR33" s="1">
        <v>1</v>
      </c>
      <c r="AS33" s="1" t="s">
        <v>26</v>
      </c>
      <c r="AT33" s="1" t="s">
        <v>26</v>
      </c>
      <c r="AU33" s="2" t="s">
        <v>26</v>
      </c>
      <c r="AV33" s="1" t="s">
        <v>26</v>
      </c>
      <c r="AW33" s="1" t="s">
        <v>26</v>
      </c>
      <c r="AX33" s="1" t="s">
        <v>26</v>
      </c>
      <c r="AY33" s="2">
        <v>35999016.539999999</v>
      </c>
      <c r="AZ33" s="1">
        <v>1</v>
      </c>
      <c r="BA33" s="1" t="s">
        <v>26</v>
      </c>
      <c r="BB33" s="1" t="s">
        <v>26</v>
      </c>
    </row>
    <row r="34" spans="1:54" s="7" customFormat="1">
      <c r="A34" s="5" t="s">
        <v>49</v>
      </c>
      <c r="B34" s="20" t="s">
        <v>25</v>
      </c>
      <c r="C34" s="9" t="s">
        <v>26</v>
      </c>
      <c r="D34" s="10" t="s">
        <v>26</v>
      </c>
      <c r="E34" s="10" t="s">
        <v>26</v>
      </c>
      <c r="F34" s="10" t="s">
        <v>26</v>
      </c>
      <c r="G34" s="9" t="s">
        <v>26</v>
      </c>
      <c r="H34" s="10" t="s">
        <v>26</v>
      </c>
      <c r="I34" s="10" t="s">
        <v>26</v>
      </c>
      <c r="J34" s="10" t="s">
        <v>26</v>
      </c>
      <c r="K34" s="9">
        <v>32403797.469999999</v>
      </c>
      <c r="L34" s="10">
        <v>1.018274147177E-2</v>
      </c>
      <c r="M34" s="10">
        <v>0.13500000000000001</v>
      </c>
      <c r="N34" s="10">
        <v>0.12479999999999999</v>
      </c>
      <c r="O34" s="9" t="s">
        <v>26</v>
      </c>
      <c r="P34" s="10" t="s">
        <v>26</v>
      </c>
      <c r="Q34" s="10" t="s">
        <v>26</v>
      </c>
      <c r="R34" s="10" t="s">
        <v>26</v>
      </c>
      <c r="S34" s="9" t="s">
        <v>26</v>
      </c>
      <c r="T34" s="10" t="s">
        <v>26</v>
      </c>
      <c r="U34" s="10" t="s">
        <v>26</v>
      </c>
      <c r="V34" s="10" t="s">
        <v>26</v>
      </c>
      <c r="W34" s="9" t="s">
        <v>26</v>
      </c>
      <c r="X34" s="10" t="s">
        <v>26</v>
      </c>
      <c r="Y34" s="10" t="s">
        <v>26</v>
      </c>
      <c r="Z34" s="10" t="s">
        <v>26</v>
      </c>
      <c r="AA34" s="9" t="s">
        <v>26</v>
      </c>
      <c r="AB34" s="10" t="s">
        <v>26</v>
      </c>
      <c r="AC34" s="10" t="s">
        <v>26</v>
      </c>
      <c r="AD34" s="10" t="s">
        <v>26</v>
      </c>
      <c r="AE34" s="9">
        <v>32403797.469999999</v>
      </c>
      <c r="AF34" s="10">
        <v>4.8015907429999997E-5</v>
      </c>
      <c r="AG34" s="10">
        <v>0.13500000000000001</v>
      </c>
      <c r="AH34" s="10">
        <v>0.13500000000000001</v>
      </c>
      <c r="AI34" s="9">
        <v>19999999.93</v>
      </c>
      <c r="AJ34" s="10">
        <v>1.14440376773E-3</v>
      </c>
      <c r="AK34" s="10">
        <v>0.13500000000000001</v>
      </c>
      <c r="AL34" s="10">
        <v>0.13389999999999999</v>
      </c>
      <c r="AM34" s="9" t="s">
        <v>26</v>
      </c>
      <c r="AN34" s="10" t="s">
        <v>26</v>
      </c>
      <c r="AO34" s="10" t="s">
        <v>26</v>
      </c>
      <c r="AP34" s="10" t="s">
        <v>26</v>
      </c>
      <c r="AQ34" s="9">
        <v>19999999.93</v>
      </c>
      <c r="AR34" s="10">
        <v>4.7770656745000002E-4</v>
      </c>
      <c r="AS34" s="10">
        <v>0.13500000000000001</v>
      </c>
      <c r="AT34" s="10">
        <v>0.13450000000000001</v>
      </c>
      <c r="AU34" s="9" t="s">
        <v>26</v>
      </c>
      <c r="AV34" s="10" t="s">
        <v>26</v>
      </c>
      <c r="AW34" s="10" t="s">
        <v>26</v>
      </c>
      <c r="AX34" s="10" t="s">
        <v>26</v>
      </c>
      <c r="AY34" s="9">
        <v>52403797.399999999</v>
      </c>
      <c r="AZ34" s="10">
        <v>6.8543597959999994E-5</v>
      </c>
      <c r="BA34" s="10">
        <v>0.13500000000000001</v>
      </c>
      <c r="BB34" s="10">
        <v>0.13489999999999999</v>
      </c>
    </row>
    <row r="35" spans="1:54" s="7" customFormat="1">
      <c r="A35" s="3" t="s">
        <v>41</v>
      </c>
      <c r="B35" s="23" t="s">
        <v>44</v>
      </c>
      <c r="C35" s="2" t="s">
        <v>26</v>
      </c>
      <c r="D35" s="1" t="s">
        <v>26</v>
      </c>
      <c r="E35" s="1" t="s">
        <v>26</v>
      </c>
      <c r="F35" s="1" t="s">
        <v>26</v>
      </c>
      <c r="G35" s="2" t="s">
        <v>26</v>
      </c>
      <c r="H35" s="1" t="s">
        <v>26</v>
      </c>
      <c r="I35" s="1" t="s">
        <v>26</v>
      </c>
      <c r="J35" s="1" t="s">
        <v>26</v>
      </c>
      <c r="K35" s="2">
        <v>32403797.469999999</v>
      </c>
      <c r="L35" s="1">
        <v>1</v>
      </c>
      <c r="M35" s="1" t="s">
        <v>26</v>
      </c>
      <c r="N35" s="1" t="s">
        <v>26</v>
      </c>
      <c r="O35" s="2" t="s">
        <v>26</v>
      </c>
      <c r="P35" s="1" t="s">
        <v>26</v>
      </c>
      <c r="Q35" s="1" t="s">
        <v>26</v>
      </c>
      <c r="R35" s="1" t="s">
        <v>26</v>
      </c>
      <c r="S35" s="2" t="s">
        <v>26</v>
      </c>
      <c r="T35" s="1" t="s">
        <v>26</v>
      </c>
      <c r="U35" s="1" t="s">
        <v>26</v>
      </c>
      <c r="V35" s="1" t="s">
        <v>26</v>
      </c>
      <c r="W35" s="2" t="s">
        <v>26</v>
      </c>
      <c r="X35" s="1" t="s">
        <v>26</v>
      </c>
      <c r="Y35" s="1" t="s">
        <v>26</v>
      </c>
      <c r="Z35" s="1" t="s">
        <v>26</v>
      </c>
      <c r="AA35" s="2" t="s">
        <v>26</v>
      </c>
      <c r="AB35" s="1" t="s">
        <v>26</v>
      </c>
      <c r="AC35" s="1" t="s">
        <v>26</v>
      </c>
      <c r="AD35" s="1" t="s">
        <v>26</v>
      </c>
      <c r="AE35" s="2">
        <v>32403797.469999999</v>
      </c>
      <c r="AF35" s="1">
        <v>1</v>
      </c>
      <c r="AG35" s="1" t="s">
        <v>26</v>
      </c>
      <c r="AH35" s="1" t="s">
        <v>26</v>
      </c>
      <c r="AI35" s="2">
        <v>19999999.93</v>
      </c>
      <c r="AJ35" s="1">
        <v>1</v>
      </c>
      <c r="AK35" s="1" t="s">
        <v>26</v>
      </c>
      <c r="AL35" s="1" t="s">
        <v>26</v>
      </c>
      <c r="AM35" s="2" t="s">
        <v>26</v>
      </c>
      <c r="AN35" s="1" t="s">
        <v>26</v>
      </c>
      <c r="AO35" s="1" t="s">
        <v>26</v>
      </c>
      <c r="AP35" s="1" t="s">
        <v>26</v>
      </c>
      <c r="AQ35" s="2">
        <v>19999999.93</v>
      </c>
      <c r="AR35" s="1">
        <v>1</v>
      </c>
      <c r="AS35" s="1" t="s">
        <v>26</v>
      </c>
      <c r="AT35" s="1" t="s">
        <v>26</v>
      </c>
      <c r="AU35" s="2" t="s">
        <v>26</v>
      </c>
      <c r="AV35" s="1" t="s">
        <v>26</v>
      </c>
      <c r="AW35" s="1" t="s">
        <v>26</v>
      </c>
      <c r="AX35" s="1" t="s">
        <v>26</v>
      </c>
      <c r="AY35" s="2">
        <v>52403797.399999999</v>
      </c>
      <c r="AZ35" s="1">
        <v>1</v>
      </c>
      <c r="BA35" s="1" t="s">
        <v>26</v>
      </c>
      <c r="BB35" s="1" t="s">
        <v>26</v>
      </c>
    </row>
    <row r="36" spans="1:54" s="7" customFormat="1">
      <c r="A36" s="5" t="s">
        <v>50</v>
      </c>
      <c r="B36" s="20" t="s">
        <v>25</v>
      </c>
      <c r="C36" s="9">
        <v>9124870.2100000009</v>
      </c>
      <c r="D36" s="10">
        <v>1.3170574213900001E-3</v>
      </c>
      <c r="E36" s="10">
        <v>0.13500000000000001</v>
      </c>
      <c r="F36" s="10">
        <v>0.13370000000000001</v>
      </c>
      <c r="G36" s="9">
        <v>752896182.98000002</v>
      </c>
      <c r="H36" s="10">
        <v>4.7338801456500001E-3</v>
      </c>
      <c r="I36" s="10">
        <v>0.1003</v>
      </c>
      <c r="J36" s="10">
        <v>9.5600000000000004E-2</v>
      </c>
      <c r="K36" s="9" t="s">
        <v>26</v>
      </c>
      <c r="L36" s="10" t="s">
        <v>26</v>
      </c>
      <c r="M36" s="10" t="s">
        <v>26</v>
      </c>
      <c r="N36" s="10" t="s">
        <v>26</v>
      </c>
      <c r="O36" s="9">
        <v>1163804517.8399999</v>
      </c>
      <c r="P36" s="10">
        <v>4.9216750603700002E-3</v>
      </c>
      <c r="Q36" s="10">
        <v>0.1132</v>
      </c>
      <c r="R36" s="10">
        <v>0.10829999999999999</v>
      </c>
      <c r="S36" s="9">
        <v>310227957</v>
      </c>
      <c r="T36" s="10">
        <v>2.6536266101000001E-3</v>
      </c>
      <c r="U36" s="10">
        <v>0.09</v>
      </c>
      <c r="V36" s="10">
        <v>8.7300000000000003E-2</v>
      </c>
      <c r="W36" s="9" t="s">
        <v>26</v>
      </c>
      <c r="X36" s="10" t="s">
        <v>26</v>
      </c>
      <c r="Y36" s="10" t="s">
        <v>26</v>
      </c>
      <c r="Z36" s="10" t="s">
        <v>26</v>
      </c>
      <c r="AA36" s="9">
        <v>563056967.85000002</v>
      </c>
      <c r="AB36" s="10">
        <v>3.8655257900399999E-3</v>
      </c>
      <c r="AC36" s="10">
        <v>0.09</v>
      </c>
      <c r="AD36" s="10">
        <v>8.6099999999999996E-2</v>
      </c>
      <c r="AE36" s="9">
        <v>2799110495.8800001</v>
      </c>
      <c r="AF36" s="10">
        <v>4.1477185066100004E-3</v>
      </c>
      <c r="AG36" s="10">
        <v>0.1026</v>
      </c>
      <c r="AH36" s="10">
        <v>9.8500000000000004E-2</v>
      </c>
      <c r="AI36" s="9">
        <v>71802314.599999994</v>
      </c>
      <c r="AJ36" s="10">
        <v>4.1085419823900004E-3</v>
      </c>
      <c r="AK36" s="10">
        <v>0.10340000000000001</v>
      </c>
      <c r="AL36" s="10">
        <v>9.9299999999999999E-2</v>
      </c>
      <c r="AM36" s="9">
        <v>764533732.07000005</v>
      </c>
      <c r="AN36" s="10">
        <v>3.1345739289400001E-2</v>
      </c>
      <c r="AO36" s="10">
        <v>0.13500000000000001</v>
      </c>
      <c r="AP36" s="10">
        <v>0.1037</v>
      </c>
      <c r="AQ36" s="9">
        <v>836336046.66999996</v>
      </c>
      <c r="AR36" s="10">
        <v>1.997616117431E-2</v>
      </c>
      <c r="AS36" s="10">
        <v>0.1323</v>
      </c>
      <c r="AT36" s="10">
        <v>0.1123</v>
      </c>
      <c r="AU36" s="9">
        <v>152273882.37</v>
      </c>
      <c r="AV36" s="10">
        <v>3.1849682884800001E-3</v>
      </c>
      <c r="AW36" s="10">
        <v>0.13500000000000001</v>
      </c>
      <c r="AX36" s="10">
        <v>0.1318</v>
      </c>
      <c r="AY36" s="9">
        <v>3787720424.9200001</v>
      </c>
      <c r="AZ36" s="10">
        <v>4.9542971860199996E-3</v>
      </c>
      <c r="BA36" s="10">
        <v>0.1104</v>
      </c>
      <c r="BB36" s="10">
        <v>0.10539999999999999</v>
      </c>
    </row>
    <row r="37" spans="1:54" s="7" customFormat="1">
      <c r="A37" s="3" t="s">
        <v>39</v>
      </c>
      <c r="B37" s="23" t="s">
        <v>47</v>
      </c>
      <c r="C37" s="2" t="s">
        <v>26</v>
      </c>
      <c r="D37" s="1" t="s">
        <v>26</v>
      </c>
      <c r="E37" s="1" t="s">
        <v>26</v>
      </c>
      <c r="F37" s="1" t="s">
        <v>26</v>
      </c>
      <c r="G37" s="2">
        <v>581275453.90999997</v>
      </c>
      <c r="H37" s="1">
        <v>0.77205259775561996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563056967.85000002</v>
      </c>
      <c r="P37" s="1">
        <v>0.48380716797270001</v>
      </c>
      <c r="Q37" s="1" t="s">
        <v>26</v>
      </c>
      <c r="R37" s="1" t="s">
        <v>26</v>
      </c>
      <c r="S37" s="2">
        <v>310227957</v>
      </c>
      <c r="T37" s="1">
        <v>1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563056967.85000002</v>
      </c>
      <c r="AB37" s="1">
        <v>1</v>
      </c>
      <c r="AC37" s="1" t="s">
        <v>26</v>
      </c>
      <c r="AD37" s="1" t="s">
        <v>26</v>
      </c>
      <c r="AE37" s="2">
        <v>2017617346.6099999</v>
      </c>
      <c r="AF37" s="1">
        <v>0.72080660966393995</v>
      </c>
      <c r="AG37" s="1" t="s">
        <v>26</v>
      </c>
      <c r="AH37" s="1" t="s">
        <v>26</v>
      </c>
      <c r="AI37" s="2">
        <v>50415076.5</v>
      </c>
      <c r="AJ37" s="1">
        <v>0.70213720519811995</v>
      </c>
      <c r="AK37" s="1" t="s">
        <v>26</v>
      </c>
      <c r="AL37" s="1" t="s">
        <v>26</v>
      </c>
      <c r="AM37" s="2" t="s">
        <v>26</v>
      </c>
      <c r="AN37" s="1" t="s">
        <v>26</v>
      </c>
      <c r="AO37" s="1" t="s">
        <v>26</v>
      </c>
      <c r="AP37" s="1" t="s">
        <v>26</v>
      </c>
      <c r="AQ37" s="2">
        <v>50415076.5</v>
      </c>
      <c r="AR37" s="1">
        <v>6.0280884341570001E-2</v>
      </c>
      <c r="AS37" s="1" t="s">
        <v>26</v>
      </c>
      <c r="AT37" s="1" t="s">
        <v>26</v>
      </c>
      <c r="AU37" s="2" t="s">
        <v>26</v>
      </c>
      <c r="AV37" s="1" t="s">
        <v>26</v>
      </c>
      <c r="AW37" s="1" t="s">
        <v>26</v>
      </c>
      <c r="AX37" s="1" t="s">
        <v>26</v>
      </c>
      <c r="AY37" s="2">
        <v>2068032423.1099999</v>
      </c>
      <c r="AZ37" s="1">
        <v>0.54598338607677999</v>
      </c>
      <c r="BA37" s="1" t="s">
        <v>26</v>
      </c>
      <c r="BB37" s="1" t="s">
        <v>26</v>
      </c>
    </row>
    <row r="38" spans="1:54" s="7" customFormat="1">
      <c r="A38" s="3" t="s">
        <v>41</v>
      </c>
      <c r="B38" s="23" t="s">
        <v>44</v>
      </c>
      <c r="C38" s="2">
        <v>9124870.2100000009</v>
      </c>
      <c r="D38" s="1">
        <v>1</v>
      </c>
      <c r="E38" s="1" t="s">
        <v>26</v>
      </c>
      <c r="F38" s="1" t="s">
        <v>26</v>
      </c>
      <c r="G38" s="2">
        <v>171620729.06999999</v>
      </c>
      <c r="H38" s="1">
        <v>0.22794740224438001</v>
      </c>
      <c r="I38" s="1" t="s">
        <v>26</v>
      </c>
      <c r="J38" s="1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2">
        <v>600747549.99000001</v>
      </c>
      <c r="P38" s="1">
        <v>0.51619283202730004</v>
      </c>
      <c r="Q38" s="1" t="s">
        <v>26</v>
      </c>
      <c r="R38" s="1" t="s">
        <v>26</v>
      </c>
      <c r="S38" s="2" t="s">
        <v>26</v>
      </c>
      <c r="T38" s="1" t="s">
        <v>26</v>
      </c>
      <c r="U38" s="1" t="s">
        <v>26</v>
      </c>
      <c r="V38" s="1" t="s">
        <v>26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2">
        <v>781493149.26999998</v>
      </c>
      <c r="AF38" s="1">
        <v>0.27919339033606</v>
      </c>
      <c r="AG38" s="1" t="s">
        <v>26</v>
      </c>
      <c r="AH38" s="1" t="s">
        <v>26</v>
      </c>
      <c r="AI38" s="2">
        <v>21387238.100000001</v>
      </c>
      <c r="AJ38" s="1">
        <v>0.29786279480187999</v>
      </c>
      <c r="AK38" s="1" t="s">
        <v>26</v>
      </c>
      <c r="AL38" s="1" t="s">
        <v>26</v>
      </c>
      <c r="AM38" s="2">
        <v>764533732.07000005</v>
      </c>
      <c r="AN38" s="1">
        <v>1</v>
      </c>
      <c r="AO38" s="1" t="s">
        <v>26</v>
      </c>
      <c r="AP38" s="1" t="s">
        <v>26</v>
      </c>
      <c r="AQ38" s="2">
        <v>785920970.16999996</v>
      </c>
      <c r="AR38" s="1">
        <v>0.93971911565843003</v>
      </c>
      <c r="AS38" s="1" t="s">
        <v>26</v>
      </c>
      <c r="AT38" s="1" t="s">
        <v>26</v>
      </c>
      <c r="AU38" s="2">
        <v>152273882.37</v>
      </c>
      <c r="AV38" s="1">
        <v>1</v>
      </c>
      <c r="AW38" s="1" t="s">
        <v>26</v>
      </c>
      <c r="AX38" s="1" t="s">
        <v>26</v>
      </c>
      <c r="AY38" s="2">
        <v>1719688001.8099999</v>
      </c>
      <c r="AZ38" s="1">
        <v>0.45401661392322001</v>
      </c>
      <c r="BA38" s="1" t="s">
        <v>26</v>
      </c>
      <c r="BB38" s="1" t="s">
        <v>26</v>
      </c>
    </row>
    <row r="39" spans="1:54" s="7" customFormat="1">
      <c r="A39" s="5" t="s">
        <v>51</v>
      </c>
      <c r="B39" s="20" t="s">
        <v>25</v>
      </c>
      <c r="C39" s="9" t="s">
        <v>26</v>
      </c>
      <c r="D39" s="10" t="s">
        <v>26</v>
      </c>
      <c r="E39" s="10" t="s">
        <v>26</v>
      </c>
      <c r="F39" s="10" t="s">
        <v>26</v>
      </c>
      <c r="G39" s="9" t="s">
        <v>26</v>
      </c>
      <c r="H39" s="10" t="s">
        <v>26</v>
      </c>
      <c r="I39" s="10" t="s">
        <v>26</v>
      </c>
      <c r="J39" s="10" t="s">
        <v>26</v>
      </c>
      <c r="K39" s="9" t="s">
        <v>26</v>
      </c>
      <c r="L39" s="10" t="s">
        <v>26</v>
      </c>
      <c r="M39" s="10" t="s">
        <v>26</v>
      </c>
      <c r="N39" s="10" t="s">
        <v>26</v>
      </c>
      <c r="O39" s="9">
        <v>100405795.59999999</v>
      </c>
      <c r="P39" s="10">
        <v>4.2461142961999998E-4</v>
      </c>
      <c r="Q39" s="10">
        <v>0.13500000000000001</v>
      </c>
      <c r="R39" s="10">
        <v>0.1346</v>
      </c>
      <c r="S39" s="9" t="s">
        <v>26</v>
      </c>
      <c r="T39" s="10" t="s">
        <v>26</v>
      </c>
      <c r="U39" s="10" t="s">
        <v>26</v>
      </c>
      <c r="V39" s="10" t="s">
        <v>26</v>
      </c>
      <c r="W39" s="9" t="s">
        <v>26</v>
      </c>
      <c r="X39" s="10" t="s">
        <v>26</v>
      </c>
      <c r="Y39" s="10" t="s">
        <v>26</v>
      </c>
      <c r="Z39" s="10" t="s">
        <v>26</v>
      </c>
      <c r="AA39" s="9" t="s">
        <v>26</v>
      </c>
      <c r="AB39" s="10" t="s">
        <v>26</v>
      </c>
      <c r="AC39" s="10" t="s">
        <v>26</v>
      </c>
      <c r="AD39" s="10" t="s">
        <v>26</v>
      </c>
      <c r="AE39" s="9">
        <v>100405795.59999999</v>
      </c>
      <c r="AF39" s="10">
        <v>1.4878118502000001E-4</v>
      </c>
      <c r="AG39" s="10">
        <v>0.13500000000000001</v>
      </c>
      <c r="AH39" s="10">
        <v>0.13489999999999999</v>
      </c>
      <c r="AI39" s="9">
        <v>26958447.359999999</v>
      </c>
      <c r="AJ39" s="10">
        <v>1.5425674419499999E-3</v>
      </c>
      <c r="AK39" s="10">
        <v>0.13500000000000001</v>
      </c>
      <c r="AL39" s="10">
        <v>0.13350000000000001</v>
      </c>
      <c r="AM39" s="9" t="s">
        <v>26</v>
      </c>
      <c r="AN39" s="10" t="s">
        <v>26</v>
      </c>
      <c r="AO39" s="10" t="s">
        <v>26</v>
      </c>
      <c r="AP39" s="10" t="s">
        <v>26</v>
      </c>
      <c r="AQ39" s="9">
        <v>26958447.359999999</v>
      </c>
      <c r="AR39" s="10">
        <v>6.4391136985999999E-4</v>
      </c>
      <c r="AS39" s="10">
        <v>0.13500000000000001</v>
      </c>
      <c r="AT39" s="10">
        <v>0.13439999999999999</v>
      </c>
      <c r="AU39" s="9" t="s">
        <v>26</v>
      </c>
      <c r="AV39" s="10" t="s">
        <v>26</v>
      </c>
      <c r="AW39" s="10" t="s">
        <v>26</v>
      </c>
      <c r="AX39" s="10" t="s">
        <v>26</v>
      </c>
      <c r="AY39" s="9">
        <v>127364242.95999999</v>
      </c>
      <c r="AZ39" s="10">
        <v>1.6659104677999999E-4</v>
      </c>
      <c r="BA39" s="10">
        <v>0.13500000000000001</v>
      </c>
      <c r="BB39" s="10">
        <v>0.1348</v>
      </c>
    </row>
    <row r="40" spans="1:54" s="7" customFormat="1">
      <c r="A40" s="3" t="s">
        <v>41</v>
      </c>
      <c r="B40" s="23" t="s">
        <v>44</v>
      </c>
      <c r="C40" s="2" t="s">
        <v>26</v>
      </c>
      <c r="D40" s="1" t="s">
        <v>26</v>
      </c>
      <c r="E40" s="1" t="s">
        <v>26</v>
      </c>
      <c r="F40" s="1" t="s">
        <v>26</v>
      </c>
      <c r="G40" s="2" t="s">
        <v>26</v>
      </c>
      <c r="H40" s="1" t="s">
        <v>26</v>
      </c>
      <c r="I40" s="1" t="s">
        <v>26</v>
      </c>
      <c r="J40" s="1" t="s">
        <v>26</v>
      </c>
      <c r="K40" s="2" t="s">
        <v>26</v>
      </c>
      <c r="L40" s="1" t="s">
        <v>26</v>
      </c>
      <c r="M40" s="1" t="s">
        <v>26</v>
      </c>
      <c r="N40" s="1" t="s">
        <v>26</v>
      </c>
      <c r="O40" s="2">
        <v>100405795.59999999</v>
      </c>
      <c r="P40" s="1">
        <v>1</v>
      </c>
      <c r="Q40" s="1" t="s">
        <v>26</v>
      </c>
      <c r="R40" s="1" t="s">
        <v>26</v>
      </c>
      <c r="S40" s="2" t="s">
        <v>26</v>
      </c>
      <c r="T40" s="1" t="s">
        <v>26</v>
      </c>
      <c r="U40" s="1" t="s">
        <v>26</v>
      </c>
      <c r="V40" s="1" t="s">
        <v>26</v>
      </c>
      <c r="W40" s="2" t="s">
        <v>26</v>
      </c>
      <c r="X40" s="1" t="s">
        <v>26</v>
      </c>
      <c r="Y40" s="1" t="s">
        <v>26</v>
      </c>
      <c r="Z40" s="1" t="s">
        <v>26</v>
      </c>
      <c r="AA40" s="2" t="s">
        <v>26</v>
      </c>
      <c r="AB40" s="1" t="s">
        <v>26</v>
      </c>
      <c r="AC40" s="1" t="s">
        <v>26</v>
      </c>
      <c r="AD40" s="1" t="s">
        <v>26</v>
      </c>
      <c r="AE40" s="2">
        <v>100405795.59999999</v>
      </c>
      <c r="AF40" s="1">
        <v>1</v>
      </c>
      <c r="AG40" s="1" t="s">
        <v>26</v>
      </c>
      <c r="AH40" s="1" t="s">
        <v>26</v>
      </c>
      <c r="AI40" s="2">
        <v>26958447.359999999</v>
      </c>
      <c r="AJ40" s="1">
        <v>1</v>
      </c>
      <c r="AK40" s="1" t="s">
        <v>26</v>
      </c>
      <c r="AL40" s="1" t="s">
        <v>26</v>
      </c>
      <c r="AM40" s="2" t="s">
        <v>26</v>
      </c>
      <c r="AN40" s="1" t="s">
        <v>26</v>
      </c>
      <c r="AO40" s="1" t="s">
        <v>26</v>
      </c>
      <c r="AP40" s="1" t="s">
        <v>26</v>
      </c>
      <c r="AQ40" s="2">
        <v>26958447.359999999</v>
      </c>
      <c r="AR40" s="1">
        <v>1</v>
      </c>
      <c r="AS40" s="1" t="s">
        <v>26</v>
      </c>
      <c r="AT40" s="1" t="s">
        <v>26</v>
      </c>
      <c r="AU40" s="2" t="s">
        <v>26</v>
      </c>
      <c r="AV40" s="1" t="s">
        <v>26</v>
      </c>
      <c r="AW40" s="1" t="s">
        <v>26</v>
      </c>
      <c r="AX40" s="1" t="s">
        <v>26</v>
      </c>
      <c r="AY40" s="2">
        <v>127364242.95999999</v>
      </c>
      <c r="AZ40" s="1">
        <v>1</v>
      </c>
      <c r="BA40" s="1" t="s">
        <v>26</v>
      </c>
      <c r="BB40" s="1" t="s">
        <v>26</v>
      </c>
    </row>
    <row r="41" spans="1:54" s="7" customFormat="1">
      <c r="A41" s="5" t="s">
        <v>52</v>
      </c>
      <c r="B41" s="20" t="s">
        <v>25</v>
      </c>
      <c r="C41" s="9">
        <v>24649986.469999999</v>
      </c>
      <c r="D41" s="10">
        <v>3.5579078792799998E-3</v>
      </c>
      <c r="E41" s="10">
        <v>0.13500000000000001</v>
      </c>
      <c r="F41" s="10">
        <v>0.13139999999999999</v>
      </c>
      <c r="G41" s="9">
        <v>2705098031</v>
      </c>
      <c r="H41" s="10">
        <v>1.7008466971229999E-2</v>
      </c>
      <c r="I41" s="10">
        <v>0.13500000000000001</v>
      </c>
      <c r="J41" s="10">
        <v>0.11799999999999999</v>
      </c>
      <c r="K41" s="9" t="s">
        <v>26</v>
      </c>
      <c r="L41" s="10" t="s">
        <v>26</v>
      </c>
      <c r="M41" s="10" t="s">
        <v>26</v>
      </c>
      <c r="N41" s="10" t="s">
        <v>26</v>
      </c>
      <c r="O41" s="9">
        <v>5004551881.1000004</v>
      </c>
      <c r="P41" s="10">
        <v>2.1164016640230002E-2</v>
      </c>
      <c r="Q41" s="10">
        <v>0.05</v>
      </c>
      <c r="R41" s="10">
        <v>2.8799999999999999E-2</v>
      </c>
      <c r="S41" s="9">
        <v>2164485209.52</v>
      </c>
      <c r="T41" s="10">
        <v>1.8514564595330001E-2</v>
      </c>
      <c r="U41" s="10">
        <v>0.13500000000000001</v>
      </c>
      <c r="V41" s="10">
        <v>0.11650000000000001</v>
      </c>
      <c r="W41" s="9">
        <v>872343273.21000004</v>
      </c>
      <c r="X41" s="10">
        <v>0.13083783939954</v>
      </c>
      <c r="Y41" s="10">
        <v>0.15</v>
      </c>
      <c r="Z41" s="10">
        <v>1.9199999999999998E-2</v>
      </c>
      <c r="AA41" s="9">
        <v>3955887449</v>
      </c>
      <c r="AB41" s="10">
        <v>2.715814887256E-2</v>
      </c>
      <c r="AC41" s="10">
        <v>0.13500000000000001</v>
      </c>
      <c r="AD41" s="10">
        <v>0.10780000000000001</v>
      </c>
      <c r="AE41" s="9">
        <v>14727015830.299999</v>
      </c>
      <c r="AF41" s="10">
        <v>2.1822474031099999E-2</v>
      </c>
      <c r="AG41" s="10">
        <v>0.13619999999999999</v>
      </c>
      <c r="AH41" s="10">
        <v>0.1144</v>
      </c>
      <c r="AI41" s="9">
        <v>240104985</v>
      </c>
      <c r="AJ41" s="10">
        <v>1.373885252236E-2</v>
      </c>
      <c r="AK41" s="10">
        <v>0.13500000000000001</v>
      </c>
      <c r="AL41" s="10">
        <v>0.12130000000000001</v>
      </c>
      <c r="AM41" s="9" t="s">
        <v>26</v>
      </c>
      <c r="AN41" s="10" t="s">
        <v>26</v>
      </c>
      <c r="AO41" s="10" t="s">
        <v>26</v>
      </c>
      <c r="AP41" s="10" t="s">
        <v>26</v>
      </c>
      <c r="AQ41" s="9">
        <v>240104985</v>
      </c>
      <c r="AR41" s="10">
        <v>5.7349864306500001E-3</v>
      </c>
      <c r="AS41" s="10">
        <v>0.13500000000000001</v>
      </c>
      <c r="AT41" s="10">
        <v>0.1293</v>
      </c>
      <c r="AU41" s="9">
        <v>1110257552.48</v>
      </c>
      <c r="AV41" s="10">
        <v>2.3222203582509999E-2</v>
      </c>
      <c r="AW41" s="10">
        <v>0.13500000000000001</v>
      </c>
      <c r="AX41" s="10">
        <v>0.1118</v>
      </c>
      <c r="AY41" s="9">
        <v>16077378367.780001</v>
      </c>
      <c r="AZ41" s="10">
        <v>2.1029036325409999E-2</v>
      </c>
      <c r="BA41" s="10">
        <v>0.1361</v>
      </c>
      <c r="BB41" s="10">
        <v>0.11509999999999999</v>
      </c>
    </row>
    <row r="42" spans="1:54" s="7" customFormat="1">
      <c r="A42" s="3" t="s">
        <v>39</v>
      </c>
      <c r="B42" s="23" t="s">
        <v>40</v>
      </c>
      <c r="C42" s="2">
        <v>24649986.469999999</v>
      </c>
      <c r="D42" s="1">
        <v>1</v>
      </c>
      <c r="E42" s="1" t="s">
        <v>26</v>
      </c>
      <c r="F42" s="1" t="s">
        <v>26</v>
      </c>
      <c r="G42" s="2">
        <v>2705098031</v>
      </c>
      <c r="H42" s="1">
        <v>1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4699453465.0299997</v>
      </c>
      <c r="P42" s="1">
        <v>0.93903581712836004</v>
      </c>
      <c r="Q42" s="1" t="s">
        <v>26</v>
      </c>
      <c r="R42" s="1" t="s">
        <v>26</v>
      </c>
      <c r="S42" s="2">
        <v>2164485209.52</v>
      </c>
      <c r="T42" s="1">
        <v>1</v>
      </c>
      <c r="U42" s="1" t="s">
        <v>26</v>
      </c>
      <c r="V42" s="1" t="s">
        <v>26</v>
      </c>
      <c r="W42" s="2" t="s">
        <v>26</v>
      </c>
      <c r="X42" s="1" t="s">
        <v>26</v>
      </c>
      <c r="Y42" s="1" t="s">
        <v>26</v>
      </c>
      <c r="Z42" s="1" t="s">
        <v>26</v>
      </c>
      <c r="AA42" s="2">
        <v>3955887449</v>
      </c>
      <c r="AB42" s="1">
        <v>1</v>
      </c>
      <c r="AC42" s="1" t="s">
        <v>26</v>
      </c>
      <c r="AD42" s="1" t="s">
        <v>26</v>
      </c>
      <c r="AE42" s="2">
        <v>13549574141.02</v>
      </c>
      <c r="AF42" s="1">
        <v>0.92004886102876005</v>
      </c>
      <c r="AG42" s="1" t="s">
        <v>26</v>
      </c>
      <c r="AH42" s="1" t="s">
        <v>26</v>
      </c>
      <c r="AI42" s="2">
        <v>240104985</v>
      </c>
      <c r="AJ42" s="1">
        <v>1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>
        <v>240104985</v>
      </c>
      <c r="AR42" s="1">
        <v>1</v>
      </c>
      <c r="AS42" s="1" t="s">
        <v>26</v>
      </c>
      <c r="AT42" s="1" t="s">
        <v>26</v>
      </c>
      <c r="AU42" s="2">
        <v>1110257552.48</v>
      </c>
      <c r="AV42" s="1">
        <v>1</v>
      </c>
      <c r="AW42" s="1" t="s">
        <v>26</v>
      </c>
      <c r="AX42" s="1" t="s">
        <v>26</v>
      </c>
      <c r="AY42" s="2">
        <v>14899936678.5</v>
      </c>
      <c r="AZ42" s="1">
        <v>0.92676407419509998</v>
      </c>
      <c r="BA42" s="1" t="s">
        <v>26</v>
      </c>
      <c r="BB42" s="1" t="s">
        <v>26</v>
      </c>
    </row>
    <row r="43" spans="1:54" s="7" customFormat="1">
      <c r="A43" s="3" t="s">
        <v>41</v>
      </c>
      <c r="B43" s="23" t="s">
        <v>35</v>
      </c>
      <c r="C43" s="2" t="s">
        <v>26</v>
      </c>
      <c r="D43" s="1" t="s">
        <v>26</v>
      </c>
      <c r="E43" s="1" t="s">
        <v>26</v>
      </c>
      <c r="F43" s="1" t="s">
        <v>26</v>
      </c>
      <c r="G43" s="2" t="s">
        <v>26</v>
      </c>
      <c r="H43" s="1" t="s">
        <v>26</v>
      </c>
      <c r="I43" s="1" t="s">
        <v>26</v>
      </c>
      <c r="J43" s="1" t="s">
        <v>26</v>
      </c>
      <c r="K43" s="2" t="s">
        <v>26</v>
      </c>
      <c r="L43" s="1" t="s">
        <v>26</v>
      </c>
      <c r="M43" s="1" t="s">
        <v>26</v>
      </c>
      <c r="N43" s="1" t="s">
        <v>26</v>
      </c>
      <c r="O43" s="2">
        <v>305098416.06999999</v>
      </c>
      <c r="P43" s="1">
        <v>6.0964182871640002E-2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>
        <v>872343273.21000004</v>
      </c>
      <c r="X43" s="1">
        <v>1</v>
      </c>
      <c r="Y43" s="1" t="s">
        <v>26</v>
      </c>
      <c r="Z43" s="1" t="s">
        <v>26</v>
      </c>
      <c r="AA43" s="2" t="s">
        <v>26</v>
      </c>
      <c r="AB43" s="1" t="s">
        <v>26</v>
      </c>
      <c r="AC43" s="1" t="s">
        <v>26</v>
      </c>
      <c r="AD43" s="1" t="s">
        <v>26</v>
      </c>
      <c r="AE43" s="2">
        <v>1177441689.28</v>
      </c>
      <c r="AF43" s="1">
        <v>7.9951138971239996E-2</v>
      </c>
      <c r="AG43" s="1" t="s">
        <v>26</v>
      </c>
      <c r="AH43" s="1" t="s">
        <v>26</v>
      </c>
      <c r="AI43" s="2" t="s">
        <v>26</v>
      </c>
      <c r="AJ43" s="1" t="s">
        <v>26</v>
      </c>
      <c r="AK43" s="1" t="s">
        <v>26</v>
      </c>
      <c r="AL43" s="1" t="s">
        <v>26</v>
      </c>
      <c r="AM43" s="2" t="s">
        <v>26</v>
      </c>
      <c r="AN43" s="1" t="s">
        <v>26</v>
      </c>
      <c r="AO43" s="1" t="s">
        <v>26</v>
      </c>
      <c r="AP43" s="1" t="s">
        <v>26</v>
      </c>
      <c r="AQ43" s="2" t="s">
        <v>26</v>
      </c>
      <c r="AR43" s="1" t="s">
        <v>26</v>
      </c>
      <c r="AS43" s="1" t="s">
        <v>26</v>
      </c>
      <c r="AT43" s="1" t="s">
        <v>26</v>
      </c>
      <c r="AU43" s="2" t="s">
        <v>26</v>
      </c>
      <c r="AV43" s="1" t="s">
        <v>26</v>
      </c>
      <c r="AW43" s="1" t="s">
        <v>26</v>
      </c>
      <c r="AX43" s="1" t="s">
        <v>26</v>
      </c>
      <c r="AY43" s="2">
        <v>1177441689.28</v>
      </c>
      <c r="AZ43" s="1">
        <v>7.3235925804900001E-2</v>
      </c>
      <c r="BA43" s="1" t="s">
        <v>26</v>
      </c>
      <c r="BB43" s="1" t="s">
        <v>26</v>
      </c>
    </row>
    <row r="44" spans="1:54" s="7" customFormat="1">
      <c r="A44" s="5" t="s">
        <v>53</v>
      </c>
      <c r="B44" s="20" t="s">
        <v>25</v>
      </c>
      <c r="C44" s="9" t="s">
        <v>26</v>
      </c>
      <c r="D44" s="10" t="s">
        <v>26</v>
      </c>
      <c r="E44" s="10" t="s">
        <v>26</v>
      </c>
      <c r="F44" s="10" t="s">
        <v>26</v>
      </c>
      <c r="G44" s="9" t="s">
        <v>26</v>
      </c>
      <c r="H44" s="10" t="s">
        <v>26</v>
      </c>
      <c r="I44" s="10" t="s">
        <v>26</v>
      </c>
      <c r="J44" s="10" t="s">
        <v>26</v>
      </c>
      <c r="K44" s="9" t="s">
        <v>26</v>
      </c>
      <c r="L44" s="10" t="s">
        <v>26</v>
      </c>
      <c r="M44" s="10" t="s">
        <v>26</v>
      </c>
      <c r="N44" s="10" t="s">
        <v>26</v>
      </c>
      <c r="O44" s="9" t="s">
        <v>26</v>
      </c>
      <c r="P44" s="10" t="s">
        <v>26</v>
      </c>
      <c r="Q44" s="10" t="s">
        <v>26</v>
      </c>
      <c r="R44" s="10" t="s">
        <v>26</v>
      </c>
      <c r="S44" s="9" t="s">
        <v>26</v>
      </c>
      <c r="T44" s="10" t="s">
        <v>26</v>
      </c>
      <c r="U44" s="10" t="s">
        <v>26</v>
      </c>
      <c r="V44" s="10" t="s">
        <v>26</v>
      </c>
      <c r="W44" s="9" t="s">
        <v>26</v>
      </c>
      <c r="X44" s="10" t="s">
        <v>26</v>
      </c>
      <c r="Y44" s="10" t="s">
        <v>26</v>
      </c>
      <c r="Z44" s="10" t="s">
        <v>26</v>
      </c>
      <c r="AA44" s="9">
        <v>90906967.069999993</v>
      </c>
      <c r="AB44" s="10">
        <v>6.2409888478000004E-4</v>
      </c>
      <c r="AC44" s="10">
        <v>0.15</v>
      </c>
      <c r="AD44" s="10">
        <v>0.14940000000000001</v>
      </c>
      <c r="AE44" s="9">
        <v>90906967.069999993</v>
      </c>
      <c r="AF44" s="10">
        <v>1.3470583253000001E-4</v>
      </c>
      <c r="AG44" s="10">
        <v>0.15</v>
      </c>
      <c r="AH44" s="10">
        <v>0.14990000000000001</v>
      </c>
      <c r="AI44" s="9" t="s">
        <v>26</v>
      </c>
      <c r="AJ44" s="10" t="s">
        <v>26</v>
      </c>
      <c r="AK44" s="10" t="s">
        <v>26</v>
      </c>
      <c r="AL44" s="10" t="s">
        <v>26</v>
      </c>
      <c r="AM44" s="9">
        <v>704347021.88</v>
      </c>
      <c r="AN44" s="10">
        <v>2.887809548617E-2</v>
      </c>
      <c r="AO44" s="10">
        <v>0.15</v>
      </c>
      <c r="AP44" s="10">
        <v>0.1211</v>
      </c>
      <c r="AQ44" s="9">
        <v>704347021.88</v>
      </c>
      <c r="AR44" s="10">
        <v>1.6823559964610001E-2</v>
      </c>
      <c r="AS44" s="10">
        <v>0.15</v>
      </c>
      <c r="AT44" s="10">
        <v>0.13320000000000001</v>
      </c>
      <c r="AU44" s="9" t="s">
        <v>26</v>
      </c>
      <c r="AV44" s="10" t="s">
        <v>26</v>
      </c>
      <c r="AW44" s="10" t="s">
        <v>26</v>
      </c>
      <c r="AX44" s="10" t="s">
        <v>26</v>
      </c>
      <c r="AY44" s="9">
        <v>795253988.95000005</v>
      </c>
      <c r="AZ44" s="10">
        <v>1.04018358211E-3</v>
      </c>
      <c r="BA44" s="10">
        <v>0.15</v>
      </c>
      <c r="BB44" s="10">
        <v>0.14899999999999999</v>
      </c>
    </row>
    <row r="45" spans="1:54" s="7" customFormat="1">
      <c r="A45" s="3" t="s">
        <v>41</v>
      </c>
      <c r="B45" s="23" t="s">
        <v>35</v>
      </c>
      <c r="C45" s="2" t="s">
        <v>26</v>
      </c>
      <c r="D45" s="1" t="s">
        <v>26</v>
      </c>
      <c r="E45" s="1" t="s">
        <v>26</v>
      </c>
      <c r="F45" s="1" t="s">
        <v>26</v>
      </c>
      <c r="G45" s="2" t="s">
        <v>26</v>
      </c>
      <c r="H45" s="1" t="s">
        <v>26</v>
      </c>
      <c r="I45" s="1" t="s">
        <v>26</v>
      </c>
      <c r="J45" s="1" t="s">
        <v>26</v>
      </c>
      <c r="K45" s="2" t="s">
        <v>26</v>
      </c>
      <c r="L45" s="1" t="s">
        <v>26</v>
      </c>
      <c r="M45" s="1" t="s">
        <v>26</v>
      </c>
      <c r="N45" s="1" t="s">
        <v>26</v>
      </c>
      <c r="O45" s="2" t="s">
        <v>26</v>
      </c>
      <c r="P45" s="1" t="s">
        <v>26</v>
      </c>
      <c r="Q45" s="1" t="s">
        <v>26</v>
      </c>
      <c r="R45" s="1" t="s">
        <v>26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>
        <v>90906967.069999993</v>
      </c>
      <c r="AB45" s="1">
        <v>1</v>
      </c>
      <c r="AC45" s="1" t="s">
        <v>26</v>
      </c>
      <c r="AD45" s="1" t="s">
        <v>26</v>
      </c>
      <c r="AE45" s="2">
        <v>90906967.069999993</v>
      </c>
      <c r="AF45" s="1">
        <v>1</v>
      </c>
      <c r="AG45" s="1" t="s">
        <v>26</v>
      </c>
      <c r="AH45" s="1" t="s">
        <v>26</v>
      </c>
      <c r="AI45" s="2" t="s">
        <v>26</v>
      </c>
      <c r="AJ45" s="1" t="s">
        <v>26</v>
      </c>
      <c r="AK45" s="1" t="s">
        <v>26</v>
      </c>
      <c r="AL45" s="1" t="s">
        <v>26</v>
      </c>
      <c r="AM45" s="2">
        <v>704347021.88</v>
      </c>
      <c r="AN45" s="1">
        <v>1</v>
      </c>
      <c r="AO45" s="1" t="s">
        <v>26</v>
      </c>
      <c r="AP45" s="1" t="s">
        <v>26</v>
      </c>
      <c r="AQ45" s="2">
        <v>704347021.88</v>
      </c>
      <c r="AR45" s="1">
        <v>1</v>
      </c>
      <c r="AS45" s="1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2">
        <v>795253988.95000005</v>
      </c>
      <c r="AZ45" s="1">
        <v>1</v>
      </c>
      <c r="BA45" s="1" t="s">
        <v>26</v>
      </c>
      <c r="BB45" s="1" t="s">
        <v>26</v>
      </c>
    </row>
    <row r="46" spans="1:54" s="7" customFormat="1">
      <c r="A46" s="5" t="s">
        <v>54</v>
      </c>
      <c r="B46" s="20" t="s">
        <v>25</v>
      </c>
      <c r="C46" s="9" t="s">
        <v>26</v>
      </c>
      <c r="D46" s="10" t="s">
        <v>26</v>
      </c>
      <c r="E46" s="10" t="s">
        <v>26</v>
      </c>
      <c r="F46" s="10" t="s">
        <v>26</v>
      </c>
      <c r="G46" s="9" t="s">
        <v>26</v>
      </c>
      <c r="H46" s="10" t="s">
        <v>26</v>
      </c>
      <c r="I46" s="10" t="s">
        <v>26</v>
      </c>
      <c r="J46" s="10" t="s">
        <v>26</v>
      </c>
      <c r="K46" s="9" t="s">
        <v>26</v>
      </c>
      <c r="L46" s="10" t="s">
        <v>26</v>
      </c>
      <c r="M46" s="10" t="s">
        <v>26</v>
      </c>
      <c r="N46" s="10" t="s">
        <v>26</v>
      </c>
      <c r="O46" s="9">
        <v>35027487.729999997</v>
      </c>
      <c r="P46" s="10">
        <v>1.4812961295999999E-4</v>
      </c>
      <c r="Q46" s="10">
        <v>0.15</v>
      </c>
      <c r="R46" s="10">
        <v>0.14990000000000001</v>
      </c>
      <c r="S46" s="9" t="s">
        <v>26</v>
      </c>
      <c r="T46" s="10" t="s">
        <v>26</v>
      </c>
      <c r="U46" s="10" t="s">
        <v>26</v>
      </c>
      <c r="V46" s="10" t="s">
        <v>26</v>
      </c>
      <c r="W46" s="9" t="s">
        <v>26</v>
      </c>
      <c r="X46" s="10" t="s">
        <v>26</v>
      </c>
      <c r="Y46" s="10" t="s">
        <v>26</v>
      </c>
      <c r="Z46" s="10" t="s">
        <v>26</v>
      </c>
      <c r="AA46" s="9" t="s">
        <v>26</v>
      </c>
      <c r="AB46" s="10" t="s">
        <v>26</v>
      </c>
      <c r="AC46" s="10" t="s">
        <v>26</v>
      </c>
      <c r="AD46" s="10" t="s">
        <v>26</v>
      </c>
      <c r="AE46" s="9">
        <v>35027487.729999997</v>
      </c>
      <c r="AF46" s="10">
        <v>5.1903688440000002E-5</v>
      </c>
      <c r="AG46" s="10">
        <v>0.15</v>
      </c>
      <c r="AH46" s="10">
        <v>0.14990000000000001</v>
      </c>
      <c r="AI46" s="9" t="s">
        <v>26</v>
      </c>
      <c r="AJ46" s="10" t="s">
        <v>26</v>
      </c>
      <c r="AK46" s="10" t="s">
        <v>26</v>
      </c>
      <c r="AL46" s="10" t="s">
        <v>26</v>
      </c>
      <c r="AM46" s="9" t="s">
        <v>26</v>
      </c>
      <c r="AN46" s="10" t="s">
        <v>26</v>
      </c>
      <c r="AO46" s="10" t="s">
        <v>26</v>
      </c>
      <c r="AP46" s="10" t="s">
        <v>26</v>
      </c>
      <c r="AQ46" s="9" t="s">
        <v>26</v>
      </c>
      <c r="AR46" s="10" t="s">
        <v>26</v>
      </c>
      <c r="AS46" s="10" t="s">
        <v>26</v>
      </c>
      <c r="AT46" s="10" t="s">
        <v>26</v>
      </c>
      <c r="AU46" s="9" t="s">
        <v>26</v>
      </c>
      <c r="AV46" s="10" t="s">
        <v>26</v>
      </c>
      <c r="AW46" s="10" t="s">
        <v>26</v>
      </c>
      <c r="AX46" s="10" t="s">
        <v>26</v>
      </c>
      <c r="AY46" s="9">
        <v>35027487.729999997</v>
      </c>
      <c r="AZ46" s="10">
        <v>4.5815573599999998E-5</v>
      </c>
      <c r="BA46" s="10">
        <v>0.15</v>
      </c>
      <c r="BB46" s="10">
        <v>0.15</v>
      </c>
    </row>
    <row r="47" spans="1:54" s="7" customFormat="1">
      <c r="A47" s="3" t="s">
        <v>41</v>
      </c>
      <c r="B47" s="23" t="s">
        <v>35</v>
      </c>
      <c r="C47" s="2" t="s">
        <v>26</v>
      </c>
      <c r="D47" s="1" t="s">
        <v>26</v>
      </c>
      <c r="E47" s="1" t="s">
        <v>26</v>
      </c>
      <c r="F47" s="1" t="s">
        <v>26</v>
      </c>
      <c r="G47" s="2" t="s">
        <v>26</v>
      </c>
      <c r="H47" s="1" t="s">
        <v>26</v>
      </c>
      <c r="I47" s="1" t="s">
        <v>26</v>
      </c>
      <c r="J47" s="1" t="s">
        <v>26</v>
      </c>
      <c r="K47" s="2" t="s">
        <v>26</v>
      </c>
      <c r="L47" s="1" t="s">
        <v>26</v>
      </c>
      <c r="M47" s="1" t="s">
        <v>26</v>
      </c>
      <c r="N47" s="1" t="s">
        <v>26</v>
      </c>
      <c r="O47" s="2">
        <v>35027487.729999997</v>
      </c>
      <c r="P47" s="1">
        <v>1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2">
        <v>35027487.729999997</v>
      </c>
      <c r="AF47" s="1">
        <v>1</v>
      </c>
      <c r="AG47" s="1" t="s">
        <v>26</v>
      </c>
      <c r="AH47" s="1" t="s">
        <v>26</v>
      </c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1" t="s">
        <v>26</v>
      </c>
      <c r="AT47" s="1" t="s">
        <v>26</v>
      </c>
      <c r="AU47" s="2" t="s">
        <v>26</v>
      </c>
      <c r="AV47" s="1" t="s">
        <v>26</v>
      </c>
      <c r="AW47" s="1" t="s">
        <v>26</v>
      </c>
      <c r="AX47" s="1" t="s">
        <v>26</v>
      </c>
      <c r="AY47" s="2">
        <v>35027487.729999997</v>
      </c>
      <c r="AZ47" s="1">
        <v>1</v>
      </c>
      <c r="BA47" s="1" t="s">
        <v>26</v>
      </c>
      <c r="BB47" s="1" t="s">
        <v>26</v>
      </c>
    </row>
    <row r="48" spans="1:54" s="7" customFormat="1">
      <c r="A48" s="12" t="s">
        <v>55</v>
      </c>
      <c r="B48" s="27" t="s">
        <v>25</v>
      </c>
      <c r="C48" s="29">
        <v>73618625.430000007</v>
      </c>
      <c r="D48" s="30">
        <v>1.062589984778E-2</v>
      </c>
      <c r="E48" s="30" t="s">
        <v>26</v>
      </c>
      <c r="F48" s="30" t="s">
        <v>26</v>
      </c>
      <c r="G48" s="29">
        <v>300961104</v>
      </c>
      <c r="H48" s="30">
        <v>1.8930210427833139E-3</v>
      </c>
      <c r="I48" s="30" t="s">
        <v>26</v>
      </c>
      <c r="J48" s="30" t="s">
        <v>26</v>
      </c>
      <c r="K48" s="29">
        <v>99145788.140000001</v>
      </c>
      <c r="L48" s="30">
        <v>3.115609920657E-2</v>
      </c>
      <c r="M48" s="30" t="s">
        <v>26</v>
      </c>
      <c r="N48" s="30" t="s">
        <v>26</v>
      </c>
      <c r="O48" s="29">
        <v>3450606967.8499999</v>
      </c>
      <c r="P48" s="30">
        <v>1.459245603233E-2</v>
      </c>
      <c r="Q48" s="30" t="s">
        <v>26</v>
      </c>
      <c r="R48" s="30" t="s">
        <v>26</v>
      </c>
      <c r="S48" s="29">
        <v>1210742462.4300001</v>
      </c>
      <c r="T48" s="30">
        <v>1.03564438465E-2</v>
      </c>
      <c r="U48" s="30" t="s">
        <v>26</v>
      </c>
      <c r="V48" s="30" t="s">
        <v>26</v>
      </c>
      <c r="W48" s="29">
        <v>70763830.620000005</v>
      </c>
      <c r="X48" s="30">
        <v>1.0613467186930001E-2</v>
      </c>
      <c r="Y48" s="30" t="s">
        <v>26</v>
      </c>
      <c r="Z48" s="30" t="s">
        <v>26</v>
      </c>
      <c r="AA48" s="29">
        <v>2498078217.3800001</v>
      </c>
      <c r="AB48" s="30">
        <v>1.7149926785719999E-2</v>
      </c>
      <c r="AC48" s="30" t="s">
        <v>26</v>
      </c>
      <c r="AD48" s="30" t="s">
        <v>26</v>
      </c>
      <c r="AE48" s="29">
        <v>7703916995.8500004</v>
      </c>
      <c r="AF48" s="30">
        <v>1.1417197063201235E-2</v>
      </c>
      <c r="AG48" s="30" t="s">
        <v>26</v>
      </c>
      <c r="AH48" s="30" t="s">
        <v>26</v>
      </c>
      <c r="AI48" s="29">
        <v>207961630</v>
      </c>
      <c r="AJ48" s="30">
        <v>1.1899603687440001E-2</v>
      </c>
      <c r="AK48" s="30" t="s">
        <v>26</v>
      </c>
      <c r="AL48" s="30" t="s">
        <v>26</v>
      </c>
      <c r="AM48" s="29">
        <v>225326426.11000001</v>
      </c>
      <c r="AN48" s="30">
        <v>9.2383411111699992E-3</v>
      </c>
      <c r="AO48" s="30" t="s">
        <v>26</v>
      </c>
      <c r="AP48" s="30" t="s">
        <v>26</v>
      </c>
      <c r="AQ48" s="29">
        <v>433288056.11000001</v>
      </c>
      <c r="AR48" s="30">
        <v>1.034922753625E-2</v>
      </c>
      <c r="AS48" s="30" t="s">
        <v>26</v>
      </c>
      <c r="AT48" s="30" t="s">
        <v>26</v>
      </c>
      <c r="AU48" s="29">
        <v>519574609</v>
      </c>
      <c r="AV48" s="30">
        <v>1.086744901626E-2</v>
      </c>
      <c r="AW48" s="30" t="s">
        <v>26</v>
      </c>
      <c r="AX48" s="30" t="s">
        <v>26</v>
      </c>
      <c r="AY48" s="29">
        <v>8656779660.9599991</v>
      </c>
      <c r="AZ48" s="30">
        <v>1.1324340628850307E-2</v>
      </c>
      <c r="BA48" s="30" t="s">
        <v>26</v>
      </c>
      <c r="BB48" s="30" t="s">
        <v>26</v>
      </c>
    </row>
    <row r="49" spans="1:54" s="28" customFormat="1">
      <c r="A49" s="5" t="s">
        <v>56</v>
      </c>
      <c r="B49" s="20" t="s">
        <v>25</v>
      </c>
      <c r="C49" s="9">
        <v>36335628.700000003</v>
      </c>
      <c r="D49" s="10">
        <v>5.2445797407499996E-3</v>
      </c>
      <c r="E49" s="10">
        <v>0.12</v>
      </c>
      <c r="F49" s="10">
        <v>0.1148</v>
      </c>
      <c r="G49" s="9" t="s">
        <v>26</v>
      </c>
      <c r="H49" s="10" t="s">
        <v>26</v>
      </c>
      <c r="I49" s="10" t="s">
        <v>26</v>
      </c>
      <c r="J49" s="10" t="s">
        <v>26</v>
      </c>
      <c r="K49" s="9">
        <v>31144824.600000001</v>
      </c>
      <c r="L49" s="10">
        <v>9.7871151484400006E-3</v>
      </c>
      <c r="M49" s="10">
        <v>0.12</v>
      </c>
      <c r="N49" s="10">
        <v>0.11020000000000001</v>
      </c>
      <c r="O49" s="9">
        <v>833643138.46000004</v>
      </c>
      <c r="P49" s="10">
        <v>3.5254379759800001E-3</v>
      </c>
      <c r="Q49" s="10">
        <v>0.12</v>
      </c>
      <c r="R49" s="10">
        <v>0.11650000000000001</v>
      </c>
      <c r="S49" s="9">
        <v>311448246</v>
      </c>
      <c r="T49" s="10">
        <v>2.6640647130799998E-3</v>
      </c>
      <c r="U49" s="10">
        <v>0.12</v>
      </c>
      <c r="V49" s="10">
        <v>0.1173</v>
      </c>
      <c r="W49" s="9" t="s">
        <v>26</v>
      </c>
      <c r="X49" s="10" t="s">
        <v>26</v>
      </c>
      <c r="Y49" s="10" t="s">
        <v>26</v>
      </c>
      <c r="Z49" s="10" t="s">
        <v>26</v>
      </c>
      <c r="AA49" s="9">
        <v>913581521.60000002</v>
      </c>
      <c r="AB49" s="10">
        <v>6.2719638237200004E-3</v>
      </c>
      <c r="AC49" s="10">
        <v>0.12</v>
      </c>
      <c r="AD49" s="10">
        <v>0.1137</v>
      </c>
      <c r="AE49" s="9">
        <v>2126153359.3599999</v>
      </c>
      <c r="AF49" s="10">
        <v>3.15053144543E-3</v>
      </c>
      <c r="AG49" s="10">
        <v>0.12</v>
      </c>
      <c r="AH49" s="10">
        <v>0.1168</v>
      </c>
      <c r="AI49" s="9" t="s">
        <v>26</v>
      </c>
      <c r="AJ49" s="10" t="s">
        <v>26</v>
      </c>
      <c r="AK49" s="10" t="s">
        <v>26</v>
      </c>
      <c r="AL49" s="10" t="s">
        <v>26</v>
      </c>
      <c r="AM49" s="9" t="s">
        <v>26</v>
      </c>
      <c r="AN49" s="10" t="s">
        <v>26</v>
      </c>
      <c r="AO49" s="10" t="s">
        <v>26</v>
      </c>
      <c r="AP49" s="10" t="s">
        <v>26</v>
      </c>
      <c r="AQ49" s="9" t="s">
        <v>26</v>
      </c>
      <c r="AR49" s="10" t="s">
        <v>26</v>
      </c>
      <c r="AS49" s="10" t="s">
        <v>26</v>
      </c>
      <c r="AT49" s="10" t="s">
        <v>26</v>
      </c>
      <c r="AU49" s="9">
        <v>207632164</v>
      </c>
      <c r="AV49" s="10">
        <v>4.3428449299099999E-3</v>
      </c>
      <c r="AW49" s="10">
        <v>0.12</v>
      </c>
      <c r="AX49" s="10">
        <v>0.1157</v>
      </c>
      <c r="AY49" s="9">
        <v>2333785523.3600001</v>
      </c>
      <c r="AZ49" s="10">
        <v>3.05256612265E-3</v>
      </c>
      <c r="BA49" s="10">
        <v>0.12</v>
      </c>
      <c r="BB49" s="10">
        <v>0.1169</v>
      </c>
    </row>
    <row r="50" spans="1:54" s="7" customFormat="1">
      <c r="A50" s="3" t="s">
        <v>39</v>
      </c>
      <c r="B50" s="23" t="s">
        <v>57</v>
      </c>
      <c r="C50" s="2">
        <v>36335628.700000003</v>
      </c>
      <c r="D50" s="1">
        <v>1</v>
      </c>
      <c r="E50" s="1" t="s">
        <v>26</v>
      </c>
      <c r="F50" s="1" t="s">
        <v>26</v>
      </c>
      <c r="G50" s="2" t="s">
        <v>26</v>
      </c>
      <c r="H50" s="1" t="s">
        <v>26</v>
      </c>
      <c r="I50" s="1" t="s">
        <v>26</v>
      </c>
      <c r="J50" s="1" t="s">
        <v>26</v>
      </c>
      <c r="K50" s="2">
        <v>31144824.600000001</v>
      </c>
      <c r="L50" s="1">
        <v>1</v>
      </c>
      <c r="M50" s="1" t="s">
        <v>26</v>
      </c>
      <c r="N50" s="1" t="s">
        <v>26</v>
      </c>
      <c r="O50" s="2">
        <v>833643138.46000004</v>
      </c>
      <c r="P50" s="1">
        <v>1</v>
      </c>
      <c r="Q50" s="1" t="s">
        <v>26</v>
      </c>
      <c r="R50" s="1" t="s">
        <v>26</v>
      </c>
      <c r="S50" s="2">
        <v>311448246</v>
      </c>
      <c r="T50" s="1">
        <v>1</v>
      </c>
      <c r="U50" s="1" t="s">
        <v>26</v>
      </c>
      <c r="V50" s="1" t="s">
        <v>26</v>
      </c>
      <c r="W50" s="2" t="s">
        <v>26</v>
      </c>
      <c r="X50" s="1" t="s">
        <v>26</v>
      </c>
      <c r="Y50" s="1" t="s">
        <v>26</v>
      </c>
      <c r="Z50" s="1" t="s">
        <v>26</v>
      </c>
      <c r="AA50" s="2">
        <v>913581521.60000002</v>
      </c>
      <c r="AB50" s="1">
        <v>1</v>
      </c>
      <c r="AC50" s="1" t="s">
        <v>26</v>
      </c>
      <c r="AD50" s="1" t="s">
        <v>26</v>
      </c>
      <c r="AE50" s="2">
        <v>2126153359.3599999</v>
      </c>
      <c r="AF50" s="1">
        <v>1</v>
      </c>
      <c r="AG50" s="1" t="s">
        <v>26</v>
      </c>
      <c r="AH50" s="1" t="s">
        <v>26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2">
        <v>207632164</v>
      </c>
      <c r="AV50" s="1">
        <v>1</v>
      </c>
      <c r="AW50" s="1" t="s">
        <v>26</v>
      </c>
      <c r="AX50" s="1" t="s">
        <v>26</v>
      </c>
      <c r="AY50" s="2">
        <v>2333785523.3600001</v>
      </c>
      <c r="AZ50" s="1">
        <v>1</v>
      </c>
      <c r="BA50" s="1" t="s">
        <v>26</v>
      </c>
      <c r="BB50" s="1" t="s">
        <v>26</v>
      </c>
    </row>
    <row r="51" spans="1:54" s="28" customFormat="1">
      <c r="A51" s="5" t="s">
        <v>58</v>
      </c>
      <c r="B51" s="20" t="s">
        <v>25</v>
      </c>
      <c r="C51" s="9">
        <v>32274997.23</v>
      </c>
      <c r="D51" s="10">
        <v>4.6584799179599998E-3</v>
      </c>
      <c r="E51" s="10">
        <v>0.09</v>
      </c>
      <c r="F51" s="10">
        <v>8.5300000000000001E-2</v>
      </c>
      <c r="G51" s="9" t="s">
        <v>26</v>
      </c>
      <c r="H51" s="10" t="s">
        <v>26</v>
      </c>
      <c r="I51" s="10" t="s">
        <v>26</v>
      </c>
      <c r="J51" s="10" t="s">
        <v>26</v>
      </c>
      <c r="K51" s="9">
        <v>16010556.039999999</v>
      </c>
      <c r="L51" s="10">
        <v>5.0312421908499999E-3</v>
      </c>
      <c r="M51" s="10">
        <v>0.09</v>
      </c>
      <c r="N51" s="10">
        <v>8.5000000000000006E-2</v>
      </c>
      <c r="O51" s="9">
        <v>373479785.38999999</v>
      </c>
      <c r="P51" s="10">
        <v>1.57942860431E-3</v>
      </c>
      <c r="Q51" s="10">
        <v>0.09</v>
      </c>
      <c r="R51" s="10">
        <v>8.8400000000000006E-2</v>
      </c>
      <c r="S51" s="9">
        <v>282709820.93000001</v>
      </c>
      <c r="T51" s="10">
        <v>2.41824209208E-3</v>
      </c>
      <c r="U51" s="10">
        <v>0.09</v>
      </c>
      <c r="V51" s="10">
        <v>8.7599999999999997E-2</v>
      </c>
      <c r="W51" s="9" t="s">
        <v>26</v>
      </c>
      <c r="X51" s="10" t="s">
        <v>26</v>
      </c>
      <c r="Y51" s="10" t="s">
        <v>26</v>
      </c>
      <c r="Z51" s="10" t="s">
        <v>26</v>
      </c>
      <c r="AA51" s="9">
        <v>102145669.93000001</v>
      </c>
      <c r="AB51" s="10">
        <v>7.0125536846000005E-4</v>
      </c>
      <c r="AC51" s="10">
        <v>0.09</v>
      </c>
      <c r="AD51" s="10">
        <v>8.9300000000000004E-2</v>
      </c>
      <c r="AE51" s="9">
        <v>806620829.51999998</v>
      </c>
      <c r="AF51" s="10">
        <v>1.19524975786E-3</v>
      </c>
      <c r="AG51" s="10">
        <v>0.09</v>
      </c>
      <c r="AH51" s="10">
        <v>8.8800000000000004E-2</v>
      </c>
      <c r="AI51" s="9" t="s">
        <v>26</v>
      </c>
      <c r="AJ51" s="10" t="s">
        <v>26</v>
      </c>
      <c r="AK51" s="10" t="s">
        <v>26</v>
      </c>
      <c r="AL51" s="10" t="s">
        <v>26</v>
      </c>
      <c r="AM51" s="9" t="s">
        <v>26</v>
      </c>
      <c r="AN51" s="10" t="s">
        <v>26</v>
      </c>
      <c r="AO51" s="10" t="s">
        <v>26</v>
      </c>
      <c r="AP51" s="10" t="s">
        <v>26</v>
      </c>
      <c r="AQ51" s="9" t="s">
        <v>26</v>
      </c>
      <c r="AR51" s="10" t="s">
        <v>26</v>
      </c>
      <c r="AS51" s="10" t="s">
        <v>26</v>
      </c>
      <c r="AT51" s="10" t="s">
        <v>26</v>
      </c>
      <c r="AU51" s="9" t="s">
        <v>26</v>
      </c>
      <c r="AV51" s="10" t="s">
        <v>26</v>
      </c>
      <c r="AW51" s="10" t="s">
        <v>26</v>
      </c>
      <c r="AX51" s="10" t="s">
        <v>26</v>
      </c>
      <c r="AY51" s="9">
        <v>806620829.51999998</v>
      </c>
      <c r="AZ51" s="10">
        <v>1.05505128615E-3</v>
      </c>
      <c r="BA51" s="10">
        <v>0.09</v>
      </c>
      <c r="BB51" s="10">
        <v>8.8900000000000007E-2</v>
      </c>
    </row>
    <row r="52" spans="1:54" s="7" customFormat="1">
      <c r="A52" s="3" t="s">
        <v>39</v>
      </c>
      <c r="B52" s="23" t="s">
        <v>47</v>
      </c>
      <c r="C52" s="2">
        <v>32274997.23</v>
      </c>
      <c r="D52" s="1">
        <v>1</v>
      </c>
      <c r="E52" s="1" t="s">
        <v>26</v>
      </c>
      <c r="F52" s="1" t="s">
        <v>26</v>
      </c>
      <c r="G52" s="2" t="s">
        <v>26</v>
      </c>
      <c r="H52" s="1" t="s">
        <v>26</v>
      </c>
      <c r="I52" s="1" t="s">
        <v>26</v>
      </c>
      <c r="J52" s="1" t="s">
        <v>26</v>
      </c>
      <c r="K52" s="2">
        <v>16010556.039999999</v>
      </c>
      <c r="L52" s="1">
        <v>1</v>
      </c>
      <c r="M52" s="1" t="s">
        <v>26</v>
      </c>
      <c r="N52" s="1" t="s">
        <v>26</v>
      </c>
      <c r="O52" s="2">
        <v>373479785.38999999</v>
      </c>
      <c r="P52" s="1">
        <v>1</v>
      </c>
      <c r="Q52" s="1" t="s">
        <v>26</v>
      </c>
      <c r="R52" s="1" t="s">
        <v>26</v>
      </c>
      <c r="S52" s="2">
        <v>282709820.93000001</v>
      </c>
      <c r="T52" s="1">
        <v>1</v>
      </c>
      <c r="U52" s="1" t="s">
        <v>26</v>
      </c>
      <c r="V52" s="1" t="s">
        <v>26</v>
      </c>
      <c r="W52" s="2" t="s">
        <v>26</v>
      </c>
      <c r="X52" s="1" t="s">
        <v>26</v>
      </c>
      <c r="Y52" s="1" t="s">
        <v>26</v>
      </c>
      <c r="Z52" s="1" t="s">
        <v>26</v>
      </c>
      <c r="AA52" s="2">
        <v>102145669.93000001</v>
      </c>
      <c r="AB52" s="1">
        <v>1</v>
      </c>
      <c r="AC52" s="1" t="s">
        <v>26</v>
      </c>
      <c r="AD52" s="1" t="s">
        <v>26</v>
      </c>
      <c r="AE52" s="2">
        <v>806620829.51999998</v>
      </c>
      <c r="AF52" s="1">
        <v>1</v>
      </c>
      <c r="AG52" s="1" t="s">
        <v>26</v>
      </c>
      <c r="AH52" s="1" t="s">
        <v>26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2">
        <v>806620829.51999998</v>
      </c>
      <c r="AZ52" s="1">
        <v>1</v>
      </c>
      <c r="BA52" s="1" t="s">
        <v>26</v>
      </c>
      <c r="BB52" s="1" t="s">
        <v>26</v>
      </c>
    </row>
    <row r="53" spans="1:54" s="7" customFormat="1">
      <c r="A53" s="5" t="s">
        <v>59</v>
      </c>
      <c r="B53" s="20" t="s">
        <v>25</v>
      </c>
      <c r="C53" s="9">
        <v>5007999.5</v>
      </c>
      <c r="D53" s="10">
        <v>7.2284018906999998E-4</v>
      </c>
      <c r="E53" s="10">
        <v>0.12</v>
      </c>
      <c r="F53" s="10">
        <v>0.1193</v>
      </c>
      <c r="G53" s="9" t="s">
        <v>26</v>
      </c>
      <c r="H53" s="10" t="s">
        <v>26</v>
      </c>
      <c r="I53" s="10" t="s">
        <v>26</v>
      </c>
      <c r="J53" s="10" t="s">
        <v>26</v>
      </c>
      <c r="K53" s="9" t="s">
        <v>26</v>
      </c>
      <c r="L53" s="10" t="s">
        <v>26</v>
      </c>
      <c r="M53" s="10" t="s">
        <v>26</v>
      </c>
      <c r="N53" s="10" t="s">
        <v>26</v>
      </c>
      <c r="O53" s="9" t="s">
        <v>26</v>
      </c>
      <c r="P53" s="10" t="s">
        <v>26</v>
      </c>
      <c r="Q53" s="10" t="s">
        <v>26</v>
      </c>
      <c r="R53" s="10" t="s">
        <v>26</v>
      </c>
      <c r="S53" s="9">
        <v>55087994.5</v>
      </c>
      <c r="T53" s="10">
        <v>4.7121145855000003E-4</v>
      </c>
      <c r="U53" s="10">
        <v>0.12</v>
      </c>
      <c r="V53" s="10">
        <v>0.1195</v>
      </c>
      <c r="W53" s="9" t="s">
        <v>26</v>
      </c>
      <c r="X53" s="10" t="s">
        <v>26</v>
      </c>
      <c r="Y53" s="10" t="s">
        <v>26</v>
      </c>
      <c r="Z53" s="10" t="s">
        <v>26</v>
      </c>
      <c r="AA53" s="9">
        <v>50079995</v>
      </c>
      <c r="AB53" s="10">
        <v>3.4381159153000002E-4</v>
      </c>
      <c r="AC53" s="10">
        <v>0.12</v>
      </c>
      <c r="AD53" s="10">
        <v>0.1197</v>
      </c>
      <c r="AE53" s="9">
        <v>110175989</v>
      </c>
      <c r="AF53" s="10">
        <v>1.6325864563999999E-4</v>
      </c>
      <c r="AG53" s="10">
        <v>0.12</v>
      </c>
      <c r="AH53" s="10">
        <v>0.1198</v>
      </c>
      <c r="AI53" s="9" t="s">
        <v>26</v>
      </c>
      <c r="AJ53" s="10" t="s">
        <v>26</v>
      </c>
      <c r="AK53" s="10" t="s">
        <v>26</v>
      </c>
      <c r="AL53" s="10" t="s">
        <v>26</v>
      </c>
      <c r="AM53" s="9" t="s">
        <v>26</v>
      </c>
      <c r="AN53" s="10" t="s">
        <v>26</v>
      </c>
      <c r="AO53" s="10" t="s">
        <v>26</v>
      </c>
      <c r="AP53" s="10" t="s">
        <v>26</v>
      </c>
      <c r="AQ53" s="9" t="s">
        <v>26</v>
      </c>
      <c r="AR53" s="10" t="s">
        <v>26</v>
      </c>
      <c r="AS53" s="10" t="s">
        <v>26</v>
      </c>
      <c r="AT53" s="10" t="s">
        <v>26</v>
      </c>
      <c r="AU53" s="9" t="s">
        <v>26</v>
      </c>
      <c r="AV53" s="10" t="s">
        <v>26</v>
      </c>
      <c r="AW53" s="10" t="s">
        <v>26</v>
      </c>
      <c r="AX53" s="10" t="s">
        <v>26</v>
      </c>
      <c r="AY53" s="9">
        <v>110175989</v>
      </c>
      <c r="AZ53" s="10">
        <v>1.4410899723999999E-4</v>
      </c>
      <c r="BA53" s="10">
        <v>0.12</v>
      </c>
      <c r="BB53" s="10">
        <v>0.11990000000000001</v>
      </c>
    </row>
    <row r="54" spans="1:54" s="7" customFormat="1">
      <c r="A54" s="3" t="s">
        <v>39</v>
      </c>
      <c r="B54" s="23" t="s">
        <v>57</v>
      </c>
      <c r="C54" s="2">
        <v>5007999.5</v>
      </c>
      <c r="D54" s="1">
        <v>1</v>
      </c>
      <c r="E54" s="1" t="s">
        <v>26</v>
      </c>
      <c r="F54" s="1" t="s">
        <v>26</v>
      </c>
      <c r="G54" s="2" t="s">
        <v>26</v>
      </c>
      <c r="H54" s="1" t="s">
        <v>26</v>
      </c>
      <c r="I54" s="1" t="s">
        <v>26</v>
      </c>
      <c r="J54" s="1" t="s">
        <v>26</v>
      </c>
      <c r="K54" s="2" t="s">
        <v>26</v>
      </c>
      <c r="L54" s="1" t="s">
        <v>26</v>
      </c>
      <c r="M54" s="1" t="s">
        <v>26</v>
      </c>
      <c r="N54" s="1" t="s">
        <v>26</v>
      </c>
      <c r="O54" s="2" t="s">
        <v>26</v>
      </c>
      <c r="P54" s="1" t="s">
        <v>26</v>
      </c>
      <c r="Q54" s="1" t="s">
        <v>26</v>
      </c>
      <c r="R54" s="1" t="s">
        <v>26</v>
      </c>
      <c r="S54" s="2">
        <v>55087994.5</v>
      </c>
      <c r="T54" s="1">
        <v>1</v>
      </c>
      <c r="U54" s="1" t="s">
        <v>26</v>
      </c>
      <c r="V54" s="1" t="s">
        <v>26</v>
      </c>
      <c r="W54" s="2" t="s">
        <v>26</v>
      </c>
      <c r="X54" s="1" t="s">
        <v>26</v>
      </c>
      <c r="Y54" s="1" t="s">
        <v>26</v>
      </c>
      <c r="Z54" s="1" t="s">
        <v>26</v>
      </c>
      <c r="AA54" s="2">
        <v>50079995</v>
      </c>
      <c r="AB54" s="1">
        <v>1</v>
      </c>
      <c r="AC54" s="1" t="s">
        <v>26</v>
      </c>
      <c r="AD54" s="1" t="s">
        <v>26</v>
      </c>
      <c r="AE54" s="2">
        <v>110175989</v>
      </c>
      <c r="AF54" s="1">
        <v>1</v>
      </c>
      <c r="AG54" s="1" t="s">
        <v>26</v>
      </c>
      <c r="AH54" s="1" t="s">
        <v>26</v>
      </c>
      <c r="AI54" s="2" t="s">
        <v>26</v>
      </c>
      <c r="AJ54" s="1" t="s">
        <v>26</v>
      </c>
      <c r="AK54" s="1" t="s">
        <v>26</v>
      </c>
      <c r="AL54" s="1" t="s">
        <v>26</v>
      </c>
      <c r="AM54" s="2" t="s">
        <v>26</v>
      </c>
      <c r="AN54" s="1" t="s">
        <v>26</v>
      </c>
      <c r="AO54" s="1" t="s">
        <v>26</v>
      </c>
      <c r="AP54" s="1" t="s">
        <v>26</v>
      </c>
      <c r="AQ54" s="2" t="s">
        <v>26</v>
      </c>
      <c r="AR54" s="1" t="s">
        <v>26</v>
      </c>
      <c r="AS54" s="1" t="s">
        <v>26</v>
      </c>
      <c r="AT54" s="1" t="s">
        <v>26</v>
      </c>
      <c r="AU54" s="2" t="s">
        <v>26</v>
      </c>
      <c r="AV54" s="1" t="s">
        <v>26</v>
      </c>
      <c r="AW54" s="1" t="s">
        <v>26</v>
      </c>
      <c r="AX54" s="1" t="s">
        <v>26</v>
      </c>
      <c r="AY54" s="2">
        <v>110175989</v>
      </c>
      <c r="AZ54" s="1">
        <v>1</v>
      </c>
      <c r="BA54" s="1" t="s">
        <v>26</v>
      </c>
      <c r="BB54" s="1" t="s">
        <v>26</v>
      </c>
    </row>
    <row r="55" spans="1:54" s="7" customFormat="1">
      <c r="A55" s="5" t="s">
        <v>60</v>
      </c>
      <c r="B55" s="20" t="s">
        <v>25</v>
      </c>
      <c r="C55" s="9" t="s">
        <v>26</v>
      </c>
      <c r="D55" s="10" t="s">
        <v>26</v>
      </c>
      <c r="E55" s="10" t="s">
        <v>26</v>
      </c>
      <c r="F55" s="10" t="s">
        <v>26</v>
      </c>
      <c r="G55" s="9">
        <v>300961104</v>
      </c>
      <c r="H55" s="10">
        <v>1.8923110875600001E-3</v>
      </c>
      <c r="I55" s="10">
        <v>0.12</v>
      </c>
      <c r="J55" s="10">
        <v>0.1181</v>
      </c>
      <c r="K55" s="9">
        <v>51990407.5</v>
      </c>
      <c r="L55" s="10">
        <v>1.633774186729E-2</v>
      </c>
      <c r="M55" s="10">
        <v>0.12</v>
      </c>
      <c r="N55" s="10">
        <v>0.1037</v>
      </c>
      <c r="O55" s="9">
        <v>2243484044</v>
      </c>
      <c r="P55" s="10">
        <v>9.4875894520400003E-3</v>
      </c>
      <c r="Q55" s="10">
        <v>0.12</v>
      </c>
      <c r="R55" s="10">
        <v>0.1105</v>
      </c>
      <c r="S55" s="9">
        <v>561496401</v>
      </c>
      <c r="T55" s="10">
        <v>4.80292558278E-3</v>
      </c>
      <c r="U55" s="10">
        <v>0.12</v>
      </c>
      <c r="V55" s="10">
        <v>0.1152</v>
      </c>
      <c r="W55" s="9">
        <v>70763830.620000005</v>
      </c>
      <c r="X55" s="10">
        <v>1.0613467186930001E-2</v>
      </c>
      <c r="Y55" s="10">
        <v>0.1295</v>
      </c>
      <c r="Z55" s="10">
        <v>0.11890000000000001</v>
      </c>
      <c r="AA55" s="9">
        <v>1432271030.8499999</v>
      </c>
      <c r="AB55" s="10">
        <v>9.8328960020100005E-3</v>
      </c>
      <c r="AC55" s="10">
        <v>0.12</v>
      </c>
      <c r="AD55" s="10">
        <v>0.11020000000000001</v>
      </c>
      <c r="AE55" s="9">
        <v>4660966817.9700003</v>
      </c>
      <c r="AF55" s="10">
        <v>6.9066149257299998E-3</v>
      </c>
      <c r="AG55" s="10">
        <v>0.1201</v>
      </c>
      <c r="AH55" s="10">
        <v>0.1132</v>
      </c>
      <c r="AI55" s="9">
        <v>207961630</v>
      </c>
      <c r="AJ55" s="10">
        <v>1.1899603687440001E-2</v>
      </c>
      <c r="AK55" s="10">
        <v>0.12</v>
      </c>
      <c r="AL55" s="10">
        <v>0.1081</v>
      </c>
      <c r="AM55" s="9">
        <v>225326426.11000001</v>
      </c>
      <c r="AN55" s="10">
        <v>9.2383411111699992E-3</v>
      </c>
      <c r="AO55" s="10">
        <v>0.12</v>
      </c>
      <c r="AP55" s="10">
        <v>0.1108</v>
      </c>
      <c r="AQ55" s="9">
        <v>433288056.11000001</v>
      </c>
      <c r="AR55" s="10">
        <v>1.034922753625E-2</v>
      </c>
      <c r="AS55" s="10">
        <v>0.12</v>
      </c>
      <c r="AT55" s="10">
        <v>0.10970000000000001</v>
      </c>
      <c r="AU55" s="9">
        <v>311942445</v>
      </c>
      <c r="AV55" s="10">
        <v>6.5246040863499999E-3</v>
      </c>
      <c r="AW55" s="10">
        <v>0.12</v>
      </c>
      <c r="AX55" s="10">
        <v>0.1135</v>
      </c>
      <c r="AY55" s="9">
        <v>5406197319.0799999</v>
      </c>
      <c r="AZ55" s="10">
        <v>7.0712473890099997E-3</v>
      </c>
      <c r="BA55" s="10">
        <v>0.1201</v>
      </c>
      <c r="BB55" s="10">
        <v>0.113</v>
      </c>
    </row>
    <row r="56" spans="1:54" s="7" customFormat="1">
      <c r="A56" s="3" t="s">
        <v>39</v>
      </c>
      <c r="B56" s="23" t="s">
        <v>57</v>
      </c>
      <c r="C56" s="2" t="s">
        <v>26</v>
      </c>
      <c r="D56" s="1" t="s">
        <v>26</v>
      </c>
      <c r="E56" s="1" t="s">
        <v>26</v>
      </c>
      <c r="F56" s="1" t="s">
        <v>26</v>
      </c>
      <c r="G56" s="2">
        <v>300961104</v>
      </c>
      <c r="H56" s="1">
        <v>1</v>
      </c>
      <c r="I56" s="1" t="s">
        <v>26</v>
      </c>
      <c r="J56" s="1" t="s">
        <v>26</v>
      </c>
      <c r="K56" s="2">
        <v>51990407.5</v>
      </c>
      <c r="L56" s="1">
        <v>1</v>
      </c>
      <c r="M56" s="1" t="s">
        <v>26</v>
      </c>
      <c r="N56" s="1" t="s">
        <v>26</v>
      </c>
      <c r="O56" s="2">
        <v>2243484044</v>
      </c>
      <c r="P56" s="1">
        <v>1</v>
      </c>
      <c r="Q56" s="1" t="s">
        <v>26</v>
      </c>
      <c r="R56" s="1" t="s">
        <v>26</v>
      </c>
      <c r="S56" s="2">
        <v>561496401</v>
      </c>
      <c r="T56" s="1">
        <v>1</v>
      </c>
      <c r="U56" s="1" t="s">
        <v>26</v>
      </c>
      <c r="V56" s="1" t="s">
        <v>26</v>
      </c>
      <c r="W56" s="2">
        <v>48462497.539999999</v>
      </c>
      <c r="X56" s="1">
        <v>0.68484841924743001</v>
      </c>
      <c r="Y56" s="1" t="s">
        <v>26</v>
      </c>
      <c r="Z56" s="1" t="s">
        <v>26</v>
      </c>
      <c r="AA56" s="2">
        <v>1432271030.8499999</v>
      </c>
      <c r="AB56" s="1">
        <v>1</v>
      </c>
      <c r="AC56" s="1" t="s">
        <v>26</v>
      </c>
      <c r="AD56" s="1" t="s">
        <v>26</v>
      </c>
      <c r="AE56" s="2">
        <v>4638665484.8900003</v>
      </c>
      <c r="AF56" s="1">
        <v>0.99521529889591998</v>
      </c>
      <c r="AG56" s="1" t="s">
        <v>26</v>
      </c>
      <c r="AH56" s="1" t="s">
        <v>26</v>
      </c>
      <c r="AI56" s="2">
        <v>207961630</v>
      </c>
      <c r="AJ56" s="1">
        <v>1</v>
      </c>
      <c r="AK56" s="1" t="s">
        <v>26</v>
      </c>
      <c r="AL56" s="1" t="s">
        <v>26</v>
      </c>
      <c r="AM56" s="2">
        <v>225326426.11000001</v>
      </c>
      <c r="AN56" s="1">
        <v>1</v>
      </c>
      <c r="AO56" s="1" t="s">
        <v>26</v>
      </c>
      <c r="AP56" s="1" t="s">
        <v>26</v>
      </c>
      <c r="AQ56" s="2">
        <v>433288056.11000001</v>
      </c>
      <c r="AR56" s="1">
        <v>1</v>
      </c>
      <c r="AS56" s="1" t="s">
        <v>26</v>
      </c>
      <c r="AT56" s="1" t="s">
        <v>26</v>
      </c>
      <c r="AU56" s="2">
        <v>311942445</v>
      </c>
      <c r="AV56" s="1">
        <v>1</v>
      </c>
      <c r="AW56" s="1" t="s">
        <v>26</v>
      </c>
      <c r="AX56" s="1" t="s">
        <v>26</v>
      </c>
      <c r="AY56" s="2">
        <v>5383895986</v>
      </c>
      <c r="AZ56" s="1">
        <v>0.99587485773017004</v>
      </c>
      <c r="BA56" s="1" t="s">
        <v>26</v>
      </c>
      <c r="BB56" s="1" t="s">
        <v>26</v>
      </c>
    </row>
    <row r="57" spans="1:54" s="7" customFormat="1">
      <c r="A57" s="3" t="s">
        <v>41</v>
      </c>
      <c r="B57" s="23" t="s">
        <v>35</v>
      </c>
      <c r="C57" s="2" t="s">
        <v>26</v>
      </c>
      <c r="D57" s="1" t="s">
        <v>26</v>
      </c>
      <c r="E57" s="1" t="s">
        <v>26</v>
      </c>
      <c r="F57" s="1" t="s">
        <v>26</v>
      </c>
      <c r="G57" s="2" t="s">
        <v>26</v>
      </c>
      <c r="H57" s="1" t="s">
        <v>26</v>
      </c>
      <c r="I57" s="1" t="s">
        <v>26</v>
      </c>
      <c r="J57" s="1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 t="s">
        <v>26</v>
      </c>
      <c r="P57" s="1" t="s">
        <v>26</v>
      </c>
      <c r="Q57" s="1" t="s">
        <v>26</v>
      </c>
      <c r="R57" s="1" t="s">
        <v>26</v>
      </c>
      <c r="S57" s="2" t="s">
        <v>26</v>
      </c>
      <c r="T57" s="1" t="s">
        <v>26</v>
      </c>
      <c r="U57" s="1" t="s">
        <v>26</v>
      </c>
      <c r="V57" s="1" t="s">
        <v>26</v>
      </c>
      <c r="W57" s="2">
        <v>22301333.079999998</v>
      </c>
      <c r="X57" s="1">
        <v>0.31515158075256999</v>
      </c>
      <c r="Y57" s="1" t="s">
        <v>26</v>
      </c>
      <c r="Z57" s="1" t="s">
        <v>26</v>
      </c>
      <c r="AA57" s="2" t="s">
        <v>26</v>
      </c>
      <c r="AB57" s="1" t="s">
        <v>26</v>
      </c>
      <c r="AC57" s="1" t="s">
        <v>26</v>
      </c>
      <c r="AD57" s="1" t="s">
        <v>26</v>
      </c>
      <c r="AE57" s="2">
        <v>22301333.079999998</v>
      </c>
      <c r="AF57" s="1">
        <v>4.7847011040800004E-3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22301333.079999998</v>
      </c>
      <c r="AZ57" s="1">
        <v>4.1251422698300004E-3</v>
      </c>
      <c r="BA57" s="1" t="s">
        <v>26</v>
      </c>
      <c r="BB57" s="1" t="s">
        <v>26</v>
      </c>
    </row>
    <row r="58" spans="1:54" s="7" customFormat="1">
      <c r="A58" s="12" t="s">
        <v>61</v>
      </c>
      <c r="B58" s="27" t="s">
        <v>25</v>
      </c>
      <c r="C58" s="29">
        <v>32107531.760000002</v>
      </c>
      <c r="D58" s="30">
        <v>4.6343084355099998E-3</v>
      </c>
      <c r="E58" s="30" t="s">
        <v>26</v>
      </c>
      <c r="F58" s="30" t="s">
        <v>26</v>
      </c>
      <c r="G58" s="29" t="s">
        <v>26</v>
      </c>
      <c r="H58" s="30" t="s">
        <v>26</v>
      </c>
      <c r="I58" s="30" t="s">
        <v>26</v>
      </c>
      <c r="J58" s="30" t="s">
        <v>26</v>
      </c>
      <c r="K58" s="29">
        <v>32525490.140000001</v>
      </c>
      <c r="L58" s="30">
        <v>1.0220982822919999E-2</v>
      </c>
      <c r="M58" s="30" t="s">
        <v>26</v>
      </c>
      <c r="N58" s="30" t="s">
        <v>26</v>
      </c>
      <c r="O58" s="29">
        <v>102122506.40000001</v>
      </c>
      <c r="P58" s="30">
        <v>4.3187131958000001E-4</v>
      </c>
      <c r="Q58" s="30" t="s">
        <v>26</v>
      </c>
      <c r="R58" s="30" t="s">
        <v>26</v>
      </c>
      <c r="S58" s="29" t="s">
        <v>26</v>
      </c>
      <c r="T58" s="30" t="s">
        <v>26</v>
      </c>
      <c r="U58" s="30" t="s">
        <v>26</v>
      </c>
      <c r="V58" s="30" t="s">
        <v>26</v>
      </c>
      <c r="W58" s="29" t="s">
        <v>26</v>
      </c>
      <c r="X58" s="30" t="s">
        <v>26</v>
      </c>
      <c r="Y58" s="30" t="s">
        <v>26</v>
      </c>
      <c r="Z58" s="30" t="s">
        <v>26</v>
      </c>
      <c r="AA58" s="29">
        <v>139032851.33000001</v>
      </c>
      <c r="AB58" s="30">
        <v>9.5449502123000005E-4</v>
      </c>
      <c r="AC58" s="30" t="s">
        <v>26</v>
      </c>
      <c r="AD58" s="30" t="s">
        <v>26</v>
      </c>
      <c r="AE58" s="29">
        <v>305788379.63</v>
      </c>
      <c r="AF58" s="30">
        <v>4.5317806406187775E-4</v>
      </c>
      <c r="AG58" s="30" t="s">
        <v>26</v>
      </c>
      <c r="AH58" s="30" t="s">
        <v>26</v>
      </c>
      <c r="AI58" s="29" t="s">
        <v>26</v>
      </c>
      <c r="AJ58" s="30" t="s">
        <v>26</v>
      </c>
      <c r="AK58" s="30" t="s">
        <v>26</v>
      </c>
      <c r="AL58" s="30" t="s">
        <v>26</v>
      </c>
      <c r="AM58" s="29" t="s">
        <v>26</v>
      </c>
      <c r="AN58" s="30" t="s">
        <v>26</v>
      </c>
      <c r="AO58" s="30" t="s">
        <v>26</v>
      </c>
      <c r="AP58" s="30" t="s">
        <v>26</v>
      </c>
      <c r="AQ58" s="29" t="s">
        <v>26</v>
      </c>
      <c r="AR58" s="30" t="s">
        <v>26</v>
      </c>
      <c r="AS58" s="30" t="s">
        <v>26</v>
      </c>
      <c r="AT58" s="30" t="s">
        <v>26</v>
      </c>
      <c r="AU58" s="29">
        <v>63823785</v>
      </c>
      <c r="AV58" s="30">
        <v>1.3349415416E-3</v>
      </c>
      <c r="AW58" s="30" t="s">
        <v>26</v>
      </c>
      <c r="AX58" s="30" t="s">
        <v>26</v>
      </c>
      <c r="AY58" s="29">
        <v>369612164.63</v>
      </c>
      <c r="AZ58" s="30">
        <v>4.8344869782000001E-4</v>
      </c>
      <c r="BA58" s="30" t="s">
        <v>26</v>
      </c>
      <c r="BB58" s="30" t="s">
        <v>26</v>
      </c>
    </row>
    <row r="59" spans="1:54" s="28" customFormat="1">
      <c r="A59" s="5" t="s">
        <v>62</v>
      </c>
      <c r="B59" s="20" t="s">
        <v>25</v>
      </c>
      <c r="C59" s="9">
        <v>10028101.199999999</v>
      </c>
      <c r="D59" s="10">
        <v>1.4474271747400001E-3</v>
      </c>
      <c r="E59" s="10">
        <v>0.09</v>
      </c>
      <c r="F59" s="10">
        <v>8.8599999999999998E-2</v>
      </c>
      <c r="G59" s="9" t="s">
        <v>26</v>
      </c>
      <c r="H59" s="10" t="s">
        <v>26</v>
      </c>
      <c r="I59" s="10" t="s">
        <v>26</v>
      </c>
      <c r="J59" s="10" t="s">
        <v>26</v>
      </c>
      <c r="K59" s="9" t="s">
        <v>26</v>
      </c>
      <c r="L59" s="10" t="s">
        <v>26</v>
      </c>
      <c r="M59" s="10" t="s">
        <v>26</v>
      </c>
      <c r="N59" s="10" t="s">
        <v>26</v>
      </c>
      <c r="O59" s="9" t="s">
        <v>26</v>
      </c>
      <c r="P59" s="10" t="s">
        <v>26</v>
      </c>
      <c r="Q59" s="10" t="s">
        <v>26</v>
      </c>
      <c r="R59" s="10" t="s">
        <v>26</v>
      </c>
      <c r="S59" s="9" t="s">
        <v>26</v>
      </c>
      <c r="T59" s="10" t="s">
        <v>26</v>
      </c>
      <c r="U59" s="10" t="s">
        <v>26</v>
      </c>
      <c r="V59" s="10" t="s">
        <v>26</v>
      </c>
      <c r="W59" s="9" t="s">
        <v>26</v>
      </c>
      <c r="X59" s="10" t="s">
        <v>26</v>
      </c>
      <c r="Y59" s="10" t="s">
        <v>26</v>
      </c>
      <c r="Z59" s="10" t="s">
        <v>26</v>
      </c>
      <c r="AA59" s="9" t="s">
        <v>26</v>
      </c>
      <c r="AB59" s="10" t="s">
        <v>26</v>
      </c>
      <c r="AC59" s="10" t="s">
        <v>26</v>
      </c>
      <c r="AD59" s="10" t="s">
        <v>26</v>
      </c>
      <c r="AE59" s="9">
        <v>10028101.199999999</v>
      </c>
      <c r="AF59" s="10">
        <v>1.4859628079999999E-5</v>
      </c>
      <c r="AG59" s="10">
        <v>0.09</v>
      </c>
      <c r="AH59" s="10">
        <v>0.09</v>
      </c>
      <c r="AI59" s="9" t="s">
        <v>26</v>
      </c>
      <c r="AJ59" s="10" t="s">
        <v>26</v>
      </c>
      <c r="AK59" s="10" t="s">
        <v>26</v>
      </c>
      <c r="AL59" s="10" t="s">
        <v>26</v>
      </c>
      <c r="AM59" s="9" t="s">
        <v>26</v>
      </c>
      <c r="AN59" s="10" t="s">
        <v>26</v>
      </c>
      <c r="AO59" s="10" t="s">
        <v>26</v>
      </c>
      <c r="AP59" s="10" t="s">
        <v>26</v>
      </c>
      <c r="AQ59" s="9" t="s">
        <v>26</v>
      </c>
      <c r="AR59" s="10" t="s">
        <v>26</v>
      </c>
      <c r="AS59" s="10" t="s">
        <v>26</v>
      </c>
      <c r="AT59" s="10" t="s">
        <v>26</v>
      </c>
      <c r="AU59" s="9" t="s">
        <v>26</v>
      </c>
      <c r="AV59" s="10" t="s">
        <v>26</v>
      </c>
      <c r="AW59" s="10" t="s">
        <v>26</v>
      </c>
      <c r="AX59" s="10" t="s">
        <v>26</v>
      </c>
      <c r="AY59" s="9">
        <v>10028101.199999999</v>
      </c>
      <c r="AZ59" s="10">
        <v>1.3116647479999999E-5</v>
      </c>
      <c r="BA59" s="10">
        <v>0.09</v>
      </c>
      <c r="BB59" s="10">
        <v>0.09</v>
      </c>
    </row>
    <row r="60" spans="1:54" s="7" customFormat="1">
      <c r="A60" s="3" t="s">
        <v>39</v>
      </c>
      <c r="B60" s="23" t="s">
        <v>47</v>
      </c>
      <c r="C60" s="2">
        <v>10028101.199999999</v>
      </c>
      <c r="D60" s="1">
        <v>1</v>
      </c>
      <c r="E60" s="1" t="s">
        <v>26</v>
      </c>
      <c r="F60" s="1" t="s">
        <v>26</v>
      </c>
      <c r="G60" s="2" t="s">
        <v>26</v>
      </c>
      <c r="H60" s="1" t="s">
        <v>26</v>
      </c>
      <c r="I60" s="1" t="s">
        <v>26</v>
      </c>
      <c r="J60" s="1" t="s">
        <v>26</v>
      </c>
      <c r="K60" s="2" t="s">
        <v>26</v>
      </c>
      <c r="L60" s="1" t="s">
        <v>26</v>
      </c>
      <c r="M60" s="1" t="s">
        <v>26</v>
      </c>
      <c r="N60" s="1" t="s">
        <v>26</v>
      </c>
      <c r="O60" s="2" t="s">
        <v>26</v>
      </c>
      <c r="P60" s="1" t="s">
        <v>26</v>
      </c>
      <c r="Q60" s="1" t="s">
        <v>26</v>
      </c>
      <c r="R60" s="1" t="s">
        <v>26</v>
      </c>
      <c r="S60" s="2" t="s">
        <v>26</v>
      </c>
      <c r="T60" s="1" t="s">
        <v>26</v>
      </c>
      <c r="U60" s="1" t="s">
        <v>26</v>
      </c>
      <c r="V60" s="1" t="s">
        <v>26</v>
      </c>
      <c r="W60" s="2" t="s">
        <v>26</v>
      </c>
      <c r="X60" s="1" t="s">
        <v>26</v>
      </c>
      <c r="Y60" s="1" t="s">
        <v>26</v>
      </c>
      <c r="Z60" s="1" t="s">
        <v>26</v>
      </c>
      <c r="AA60" s="2" t="s">
        <v>26</v>
      </c>
      <c r="AB60" s="1" t="s">
        <v>26</v>
      </c>
      <c r="AC60" s="1" t="s">
        <v>26</v>
      </c>
      <c r="AD60" s="1" t="s">
        <v>26</v>
      </c>
      <c r="AE60" s="2">
        <v>10028101.199999999</v>
      </c>
      <c r="AF60" s="1">
        <v>1</v>
      </c>
      <c r="AG60" s="1" t="s">
        <v>26</v>
      </c>
      <c r="AH60" s="1" t="s">
        <v>26</v>
      </c>
      <c r="AI60" s="2" t="s">
        <v>26</v>
      </c>
      <c r="AJ60" s="1" t="s">
        <v>26</v>
      </c>
      <c r="AK60" s="1" t="s">
        <v>26</v>
      </c>
      <c r="AL60" s="1" t="s">
        <v>26</v>
      </c>
      <c r="AM60" s="2" t="s">
        <v>26</v>
      </c>
      <c r="AN60" s="1" t="s">
        <v>26</v>
      </c>
      <c r="AO60" s="1" t="s">
        <v>26</v>
      </c>
      <c r="AP60" s="1" t="s">
        <v>26</v>
      </c>
      <c r="AQ60" s="2" t="s">
        <v>26</v>
      </c>
      <c r="AR60" s="1" t="s">
        <v>26</v>
      </c>
      <c r="AS60" s="1" t="s">
        <v>26</v>
      </c>
      <c r="AT60" s="1" t="s">
        <v>26</v>
      </c>
      <c r="AU60" s="2" t="s">
        <v>26</v>
      </c>
      <c r="AV60" s="1" t="s">
        <v>26</v>
      </c>
      <c r="AW60" s="1" t="s">
        <v>26</v>
      </c>
      <c r="AX60" s="1" t="s">
        <v>26</v>
      </c>
      <c r="AY60" s="2">
        <v>10028101.199999999</v>
      </c>
      <c r="AZ60" s="1">
        <v>1</v>
      </c>
      <c r="BA60" s="1" t="s">
        <v>26</v>
      </c>
      <c r="BB60" s="1" t="s">
        <v>26</v>
      </c>
    </row>
    <row r="61" spans="1:54" s="28" customFormat="1">
      <c r="A61" s="5" t="s">
        <v>63</v>
      </c>
      <c r="B61" s="20" t="s">
        <v>25</v>
      </c>
      <c r="C61" s="9" t="s">
        <v>26</v>
      </c>
      <c r="D61" s="10" t="s">
        <v>26</v>
      </c>
      <c r="E61" s="10" t="s">
        <v>26</v>
      </c>
      <c r="F61" s="10" t="s">
        <v>26</v>
      </c>
      <c r="G61" s="9" t="s">
        <v>26</v>
      </c>
      <c r="H61" s="10" t="s">
        <v>26</v>
      </c>
      <c r="I61" s="10" t="s">
        <v>26</v>
      </c>
      <c r="J61" s="10" t="s">
        <v>26</v>
      </c>
      <c r="K61" s="9" t="s">
        <v>26</v>
      </c>
      <c r="L61" s="10" t="s">
        <v>26</v>
      </c>
      <c r="M61" s="10" t="s">
        <v>26</v>
      </c>
      <c r="N61" s="10" t="s">
        <v>26</v>
      </c>
      <c r="O61" s="9" t="s">
        <v>26</v>
      </c>
      <c r="P61" s="10" t="s">
        <v>26</v>
      </c>
      <c r="Q61" s="10" t="s">
        <v>26</v>
      </c>
      <c r="R61" s="10" t="s">
        <v>26</v>
      </c>
      <c r="S61" s="9" t="s">
        <v>26</v>
      </c>
      <c r="T61" s="10" t="s">
        <v>26</v>
      </c>
      <c r="U61" s="10" t="s">
        <v>26</v>
      </c>
      <c r="V61" s="10" t="s">
        <v>26</v>
      </c>
      <c r="W61" s="9" t="s">
        <v>26</v>
      </c>
      <c r="X61" s="10" t="s">
        <v>26</v>
      </c>
      <c r="Y61" s="10" t="s">
        <v>26</v>
      </c>
      <c r="Z61" s="10" t="s">
        <v>26</v>
      </c>
      <c r="AA61" s="9">
        <v>93612494.170000002</v>
      </c>
      <c r="AB61" s="10">
        <v>6.4267299962E-4</v>
      </c>
      <c r="AC61" s="10">
        <v>0.13500000000000001</v>
      </c>
      <c r="AD61" s="10">
        <v>0.13439999999999999</v>
      </c>
      <c r="AE61" s="9">
        <v>93612494.170000002</v>
      </c>
      <c r="AF61" s="10">
        <v>1.3871487928000001E-4</v>
      </c>
      <c r="AG61" s="10">
        <v>0.13500000000000001</v>
      </c>
      <c r="AH61" s="10">
        <v>0.13489999999999999</v>
      </c>
      <c r="AI61" s="9" t="s">
        <v>26</v>
      </c>
      <c r="AJ61" s="10" t="s">
        <v>26</v>
      </c>
      <c r="AK61" s="10" t="s">
        <v>26</v>
      </c>
      <c r="AL61" s="10" t="s">
        <v>26</v>
      </c>
      <c r="AM61" s="9" t="s">
        <v>26</v>
      </c>
      <c r="AN61" s="10" t="s">
        <v>26</v>
      </c>
      <c r="AO61" s="10" t="s">
        <v>26</v>
      </c>
      <c r="AP61" s="10" t="s">
        <v>26</v>
      </c>
      <c r="AQ61" s="9" t="s">
        <v>26</v>
      </c>
      <c r="AR61" s="10" t="s">
        <v>26</v>
      </c>
      <c r="AS61" s="10" t="s">
        <v>26</v>
      </c>
      <c r="AT61" s="10" t="s">
        <v>26</v>
      </c>
      <c r="AU61" s="9" t="s">
        <v>26</v>
      </c>
      <c r="AV61" s="10" t="s">
        <v>26</v>
      </c>
      <c r="AW61" s="10" t="s">
        <v>26</v>
      </c>
      <c r="AX61" s="10" t="s">
        <v>26</v>
      </c>
      <c r="AY61" s="9">
        <v>93612494.170000002</v>
      </c>
      <c r="AZ61" s="10">
        <v>1.2244412586E-4</v>
      </c>
      <c r="BA61" s="10">
        <v>0.13500000000000001</v>
      </c>
      <c r="BB61" s="10">
        <v>0.13489999999999999</v>
      </c>
    </row>
    <row r="62" spans="1:54" s="7" customFormat="1">
      <c r="A62" s="3" t="s">
        <v>41</v>
      </c>
      <c r="B62" s="23" t="s">
        <v>44</v>
      </c>
      <c r="C62" s="2" t="s">
        <v>26</v>
      </c>
      <c r="D62" s="1" t="s">
        <v>26</v>
      </c>
      <c r="E62" s="1" t="s">
        <v>26</v>
      </c>
      <c r="F62" s="1" t="s">
        <v>26</v>
      </c>
      <c r="G62" s="2" t="s">
        <v>26</v>
      </c>
      <c r="H62" s="1" t="s">
        <v>26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>
        <v>93612494.170000002</v>
      </c>
      <c r="AB62" s="1">
        <v>1</v>
      </c>
      <c r="AC62" s="1" t="s">
        <v>26</v>
      </c>
      <c r="AD62" s="1" t="s">
        <v>26</v>
      </c>
      <c r="AE62" s="2">
        <v>93612494.170000002</v>
      </c>
      <c r="AF62" s="1">
        <v>1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93612494.170000002</v>
      </c>
      <c r="AZ62" s="1">
        <v>1</v>
      </c>
      <c r="BA62" s="1" t="s">
        <v>26</v>
      </c>
      <c r="BB62" s="1" t="s">
        <v>26</v>
      </c>
    </row>
    <row r="63" spans="1:54" s="7" customFormat="1">
      <c r="A63" s="5" t="s">
        <v>64</v>
      </c>
      <c r="B63" s="20" t="s">
        <v>25</v>
      </c>
      <c r="C63" s="9">
        <v>22079430.559999999</v>
      </c>
      <c r="D63" s="10">
        <v>3.1868812607700001E-3</v>
      </c>
      <c r="E63" s="10">
        <v>0.12</v>
      </c>
      <c r="F63" s="10">
        <v>0.1168</v>
      </c>
      <c r="G63" s="9" t="s">
        <v>26</v>
      </c>
      <c r="H63" s="10" t="s">
        <v>26</v>
      </c>
      <c r="I63" s="10" t="s">
        <v>26</v>
      </c>
      <c r="J63" s="10" t="s">
        <v>26</v>
      </c>
      <c r="K63" s="9" t="s">
        <v>26</v>
      </c>
      <c r="L63" s="10" t="s">
        <v>26</v>
      </c>
      <c r="M63" s="10" t="s">
        <v>26</v>
      </c>
      <c r="N63" s="10" t="s">
        <v>26</v>
      </c>
      <c r="O63" s="9" t="s">
        <v>26</v>
      </c>
      <c r="P63" s="10" t="s">
        <v>26</v>
      </c>
      <c r="Q63" s="10" t="s">
        <v>26</v>
      </c>
      <c r="R63" s="10" t="s">
        <v>26</v>
      </c>
      <c r="S63" s="9" t="s">
        <v>26</v>
      </c>
      <c r="T63" s="10" t="s">
        <v>26</v>
      </c>
      <c r="U63" s="10" t="s">
        <v>26</v>
      </c>
      <c r="V63" s="10" t="s">
        <v>26</v>
      </c>
      <c r="W63" s="9" t="s">
        <v>26</v>
      </c>
      <c r="X63" s="10" t="s">
        <v>26</v>
      </c>
      <c r="Y63" s="10" t="s">
        <v>26</v>
      </c>
      <c r="Z63" s="10" t="s">
        <v>26</v>
      </c>
      <c r="AA63" s="9" t="s">
        <v>26</v>
      </c>
      <c r="AB63" s="10" t="s">
        <v>26</v>
      </c>
      <c r="AC63" s="10" t="s">
        <v>26</v>
      </c>
      <c r="AD63" s="10" t="s">
        <v>26</v>
      </c>
      <c r="AE63" s="9">
        <v>22079430.559999999</v>
      </c>
      <c r="AF63" s="10">
        <v>3.2717273180000002E-5</v>
      </c>
      <c r="AG63" s="10">
        <v>0.12</v>
      </c>
      <c r="AH63" s="10">
        <v>0.12</v>
      </c>
      <c r="AI63" s="9" t="s">
        <v>26</v>
      </c>
      <c r="AJ63" s="10" t="s">
        <v>26</v>
      </c>
      <c r="AK63" s="10" t="s">
        <v>26</v>
      </c>
      <c r="AL63" s="10" t="s">
        <v>26</v>
      </c>
      <c r="AM63" s="9" t="s">
        <v>26</v>
      </c>
      <c r="AN63" s="10" t="s">
        <v>26</v>
      </c>
      <c r="AO63" s="10" t="s">
        <v>26</v>
      </c>
      <c r="AP63" s="10" t="s">
        <v>26</v>
      </c>
      <c r="AQ63" s="9" t="s">
        <v>26</v>
      </c>
      <c r="AR63" s="10" t="s">
        <v>26</v>
      </c>
      <c r="AS63" s="10" t="s">
        <v>26</v>
      </c>
      <c r="AT63" s="10" t="s">
        <v>26</v>
      </c>
      <c r="AU63" s="9" t="s">
        <v>26</v>
      </c>
      <c r="AV63" s="10" t="s">
        <v>26</v>
      </c>
      <c r="AW63" s="10" t="s">
        <v>26</v>
      </c>
      <c r="AX63" s="10" t="s">
        <v>26</v>
      </c>
      <c r="AY63" s="9">
        <v>22079430.559999999</v>
      </c>
      <c r="AZ63" s="10">
        <v>2.887965542E-5</v>
      </c>
      <c r="BA63" s="10">
        <v>0.12</v>
      </c>
      <c r="BB63" s="10">
        <v>0.12</v>
      </c>
    </row>
    <row r="64" spans="1:54" s="7" customFormat="1">
      <c r="A64" s="3" t="s">
        <v>39</v>
      </c>
      <c r="B64" s="23" t="s">
        <v>57</v>
      </c>
      <c r="C64" s="2">
        <v>22079430.559999999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 t="s">
        <v>26</v>
      </c>
      <c r="T64" s="1" t="s">
        <v>26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22079430.559999999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22079430.559999999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65</v>
      </c>
      <c r="B65" s="20" t="s">
        <v>25</v>
      </c>
      <c r="C65" s="9" t="s">
        <v>26</v>
      </c>
      <c r="D65" s="10" t="s">
        <v>26</v>
      </c>
      <c r="E65" s="10" t="s">
        <v>26</v>
      </c>
      <c r="F65" s="10" t="s">
        <v>26</v>
      </c>
      <c r="G65" s="9" t="s">
        <v>26</v>
      </c>
      <c r="H65" s="10" t="s">
        <v>26</v>
      </c>
      <c r="I65" s="10" t="s">
        <v>26</v>
      </c>
      <c r="J65" s="10" t="s">
        <v>26</v>
      </c>
      <c r="K65" s="9">
        <v>32525490.140000001</v>
      </c>
      <c r="L65" s="10">
        <v>1.0220982822919999E-2</v>
      </c>
      <c r="M65" s="10">
        <v>0.13500000000000001</v>
      </c>
      <c r="N65" s="10">
        <v>0.12479999999999999</v>
      </c>
      <c r="O65" s="9">
        <v>102122506.40000001</v>
      </c>
      <c r="P65" s="10">
        <v>4.3187131958000001E-4</v>
      </c>
      <c r="Q65" s="10">
        <v>0.13500000000000001</v>
      </c>
      <c r="R65" s="10">
        <v>0.1346</v>
      </c>
      <c r="S65" s="9" t="s">
        <v>26</v>
      </c>
      <c r="T65" s="10" t="s">
        <v>26</v>
      </c>
      <c r="U65" s="10" t="s">
        <v>26</v>
      </c>
      <c r="V65" s="10" t="s">
        <v>26</v>
      </c>
      <c r="W65" s="9" t="s">
        <v>26</v>
      </c>
      <c r="X65" s="10" t="s">
        <v>26</v>
      </c>
      <c r="Y65" s="10" t="s">
        <v>26</v>
      </c>
      <c r="Z65" s="10" t="s">
        <v>26</v>
      </c>
      <c r="AA65" s="9">
        <v>45420357.159999996</v>
      </c>
      <c r="AB65" s="10">
        <v>3.1182202160999999E-4</v>
      </c>
      <c r="AC65" s="10">
        <v>0.13500000000000001</v>
      </c>
      <c r="AD65" s="10">
        <v>0.13469999999999999</v>
      </c>
      <c r="AE65" s="9">
        <v>180068353.69999999</v>
      </c>
      <c r="AF65" s="10">
        <v>2.6682506609999998E-4</v>
      </c>
      <c r="AG65" s="10">
        <v>0.13500000000000001</v>
      </c>
      <c r="AH65" s="10">
        <v>0.13469999999999999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>
        <v>63823785</v>
      </c>
      <c r="AV65" s="10">
        <v>1.3349415416E-3</v>
      </c>
      <c r="AW65" s="10">
        <v>0.13500000000000001</v>
      </c>
      <c r="AX65" s="10">
        <v>0.13370000000000001</v>
      </c>
      <c r="AY65" s="9">
        <v>243892138.69999999</v>
      </c>
      <c r="AZ65" s="10">
        <v>3.1900826905999999E-4</v>
      </c>
      <c r="BA65" s="10">
        <v>0.13500000000000001</v>
      </c>
      <c r="BB65" s="10">
        <v>0.13469999999999999</v>
      </c>
    </row>
    <row r="66" spans="1:54" s="7" customFormat="1">
      <c r="A66" s="3" t="s">
        <v>41</v>
      </c>
      <c r="B66" s="23" t="s">
        <v>44</v>
      </c>
      <c r="C66" s="2" t="s">
        <v>26</v>
      </c>
      <c r="D66" s="1" t="s">
        <v>26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>
        <v>32525490.140000001</v>
      </c>
      <c r="L66" s="1">
        <v>1</v>
      </c>
      <c r="M66" s="1" t="s">
        <v>26</v>
      </c>
      <c r="N66" s="1" t="s">
        <v>26</v>
      </c>
      <c r="O66" s="2">
        <v>102122506.40000001</v>
      </c>
      <c r="P66" s="1">
        <v>1</v>
      </c>
      <c r="Q66" s="1" t="s">
        <v>26</v>
      </c>
      <c r="R66" s="1" t="s">
        <v>26</v>
      </c>
      <c r="S66" s="2" t="s">
        <v>26</v>
      </c>
      <c r="T66" s="1" t="s">
        <v>26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45420357.159999996</v>
      </c>
      <c r="AB66" s="1">
        <v>1</v>
      </c>
      <c r="AC66" s="1" t="s">
        <v>26</v>
      </c>
      <c r="AD66" s="1" t="s">
        <v>26</v>
      </c>
      <c r="AE66" s="2">
        <v>180068353.69999999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63823785</v>
      </c>
      <c r="AV66" s="1">
        <v>1</v>
      </c>
      <c r="AW66" s="1" t="s">
        <v>26</v>
      </c>
      <c r="AX66" s="1" t="s">
        <v>26</v>
      </c>
      <c r="AY66" s="2">
        <v>243892138.69999999</v>
      </c>
      <c r="AZ66" s="1">
        <v>1</v>
      </c>
      <c r="BA66" s="1" t="s">
        <v>26</v>
      </c>
      <c r="BB66" s="1" t="s">
        <v>26</v>
      </c>
    </row>
    <row r="67" spans="1:54" s="7" customFormat="1">
      <c r="A67" s="12" t="s">
        <v>66</v>
      </c>
      <c r="B67" s="27" t="s">
        <v>25</v>
      </c>
      <c r="C67" s="29">
        <v>1109291076.1400001</v>
      </c>
      <c r="D67" s="30">
        <v>0.1601118712588</v>
      </c>
      <c r="E67" s="30" t="s">
        <v>26</v>
      </c>
      <c r="F67" s="30" t="s">
        <v>26</v>
      </c>
      <c r="G67" s="29">
        <v>6724238978.7299995</v>
      </c>
      <c r="H67" s="30">
        <v>4.229492022145051E-2</v>
      </c>
      <c r="I67" s="30" t="s">
        <v>26</v>
      </c>
      <c r="J67" s="30" t="s">
        <v>26</v>
      </c>
      <c r="K67" s="29">
        <v>735191597.62</v>
      </c>
      <c r="L67" s="30">
        <v>0.23103051355990001</v>
      </c>
      <c r="M67" s="30" t="s">
        <v>26</v>
      </c>
      <c r="N67" s="30" t="s">
        <v>26</v>
      </c>
      <c r="O67" s="29">
        <v>10697425343.879999</v>
      </c>
      <c r="P67" s="30">
        <v>4.5238913166340003E-2</v>
      </c>
      <c r="Q67" s="30" t="s">
        <v>26</v>
      </c>
      <c r="R67" s="30" t="s">
        <v>26</v>
      </c>
      <c r="S67" s="29">
        <v>6181717261.54</v>
      </c>
      <c r="T67" s="30">
        <v>5.2877147436929998E-2</v>
      </c>
      <c r="U67" s="30" t="s">
        <v>26</v>
      </c>
      <c r="V67" s="30" t="s">
        <v>26</v>
      </c>
      <c r="W67" s="29" t="s">
        <v>26</v>
      </c>
      <c r="X67" s="30" t="s">
        <v>26</v>
      </c>
      <c r="Y67" s="30" t="s">
        <v>26</v>
      </c>
      <c r="Z67" s="30" t="s">
        <v>26</v>
      </c>
      <c r="AA67" s="29">
        <v>5145324887.4899998</v>
      </c>
      <c r="AB67" s="30">
        <v>3.5323932011130002E-2</v>
      </c>
      <c r="AC67" s="30" t="s">
        <v>26</v>
      </c>
      <c r="AD67" s="30" t="s">
        <v>26</v>
      </c>
      <c r="AE67" s="29">
        <v>30593189145.400002</v>
      </c>
      <c r="AF67" s="30">
        <v>4.5339074843742208E-2</v>
      </c>
      <c r="AG67" s="30" t="s">
        <v>26</v>
      </c>
      <c r="AH67" s="30" t="s">
        <v>26</v>
      </c>
      <c r="AI67" s="29">
        <v>1076861422.5799999</v>
      </c>
      <c r="AJ67" s="30">
        <v>6.1618213682010002E-2</v>
      </c>
      <c r="AK67" s="30" t="s">
        <v>26</v>
      </c>
      <c r="AL67" s="30" t="s">
        <v>26</v>
      </c>
      <c r="AM67" s="29">
        <v>2190704394.3200002</v>
      </c>
      <c r="AN67" s="30">
        <v>8.9818468334370002E-2</v>
      </c>
      <c r="AO67" s="30" t="s">
        <v>26</v>
      </c>
      <c r="AP67" s="30" t="s">
        <v>26</v>
      </c>
      <c r="AQ67" s="29">
        <v>3267565816.9000001</v>
      </c>
      <c r="AR67" s="30">
        <v>7.8046882788270003E-2</v>
      </c>
      <c r="AS67" s="30" t="s">
        <v>26</v>
      </c>
      <c r="AT67" s="30" t="s">
        <v>26</v>
      </c>
      <c r="AU67" s="29">
        <v>1465528690.97</v>
      </c>
      <c r="AV67" s="30">
        <v>3.0653072831330001E-2</v>
      </c>
      <c r="AW67" s="30" t="s">
        <v>26</v>
      </c>
      <c r="AX67" s="30" t="s">
        <v>26</v>
      </c>
      <c r="AY67" s="29">
        <v>35326283653.269997</v>
      </c>
      <c r="AZ67" s="30">
        <v>4.6211973148066986E-2</v>
      </c>
      <c r="BA67" s="30" t="s">
        <v>26</v>
      </c>
      <c r="BB67" s="30" t="s">
        <v>26</v>
      </c>
    </row>
    <row r="68" spans="1:54" s="28" customFormat="1">
      <c r="A68" s="5" t="s">
        <v>67</v>
      </c>
      <c r="B68" s="20" t="s">
        <v>25</v>
      </c>
      <c r="C68" s="9">
        <v>289691798.89999998</v>
      </c>
      <c r="D68" s="10">
        <v>4.1813277874380002E-2</v>
      </c>
      <c r="E68" s="10">
        <v>0.08</v>
      </c>
      <c r="F68" s="10">
        <v>3.8199999999999998E-2</v>
      </c>
      <c r="G68" s="9" t="s">
        <v>26</v>
      </c>
      <c r="H68" s="10" t="s">
        <v>26</v>
      </c>
      <c r="I68" s="10" t="s">
        <v>26</v>
      </c>
      <c r="J68" s="10" t="s">
        <v>26</v>
      </c>
      <c r="K68" s="9">
        <v>190118183.44</v>
      </c>
      <c r="L68" s="10">
        <v>5.9743748023519998E-2</v>
      </c>
      <c r="M68" s="10">
        <v>0.08</v>
      </c>
      <c r="N68" s="10">
        <v>2.0299999999999999E-2</v>
      </c>
      <c r="O68" s="9" t="s">
        <v>26</v>
      </c>
      <c r="P68" s="10" t="s">
        <v>26</v>
      </c>
      <c r="Q68" s="10" t="s">
        <v>26</v>
      </c>
      <c r="R68" s="10" t="s">
        <v>26</v>
      </c>
      <c r="S68" s="9">
        <v>489278217.57999998</v>
      </c>
      <c r="T68" s="10">
        <v>4.1851859853899998E-3</v>
      </c>
      <c r="U68" s="10">
        <v>0.08</v>
      </c>
      <c r="V68" s="10">
        <v>7.5800000000000006E-2</v>
      </c>
      <c r="W68" s="9" t="s">
        <v>26</v>
      </c>
      <c r="X68" s="10" t="s">
        <v>26</v>
      </c>
      <c r="Y68" s="10" t="s">
        <v>26</v>
      </c>
      <c r="Z68" s="10" t="s">
        <v>26</v>
      </c>
      <c r="AA68" s="9" t="s">
        <v>26</v>
      </c>
      <c r="AB68" s="10" t="s">
        <v>26</v>
      </c>
      <c r="AC68" s="10" t="s">
        <v>26</v>
      </c>
      <c r="AD68" s="10" t="s">
        <v>26</v>
      </c>
      <c r="AE68" s="9">
        <v>969088199.91999996</v>
      </c>
      <c r="AF68" s="10">
        <v>1.43599370845E-3</v>
      </c>
      <c r="AG68" s="10">
        <v>0.08</v>
      </c>
      <c r="AH68" s="10">
        <v>7.8600000000000003E-2</v>
      </c>
      <c r="AI68" s="9" t="s">
        <v>26</v>
      </c>
      <c r="AJ68" s="10" t="s">
        <v>26</v>
      </c>
      <c r="AK68" s="10" t="s">
        <v>26</v>
      </c>
      <c r="AL68" s="10" t="s">
        <v>26</v>
      </c>
      <c r="AM68" s="9" t="s">
        <v>26</v>
      </c>
      <c r="AN68" s="10" t="s">
        <v>26</v>
      </c>
      <c r="AO68" s="10" t="s">
        <v>26</v>
      </c>
      <c r="AP68" s="10" t="s">
        <v>26</v>
      </c>
      <c r="AQ68" s="9" t="s">
        <v>26</v>
      </c>
      <c r="AR68" s="10" t="s">
        <v>26</v>
      </c>
      <c r="AS68" s="10" t="s">
        <v>26</v>
      </c>
      <c r="AT68" s="10" t="s">
        <v>26</v>
      </c>
      <c r="AU68" s="9" t="s">
        <v>26</v>
      </c>
      <c r="AV68" s="10" t="s">
        <v>26</v>
      </c>
      <c r="AW68" s="10" t="s">
        <v>26</v>
      </c>
      <c r="AX68" s="10" t="s">
        <v>26</v>
      </c>
      <c r="AY68" s="9">
        <v>969088199.91999996</v>
      </c>
      <c r="AZ68" s="10">
        <v>1.2675568424399999E-3</v>
      </c>
      <c r="BA68" s="10">
        <v>0.08</v>
      </c>
      <c r="BB68" s="10">
        <v>7.8700000000000006E-2</v>
      </c>
    </row>
    <row r="69" spans="1:54" s="7" customFormat="1">
      <c r="A69" s="3" t="s">
        <v>68</v>
      </c>
      <c r="B69" s="23" t="s">
        <v>57</v>
      </c>
      <c r="C69" s="2">
        <v>289691798.89999998</v>
      </c>
      <c r="D69" s="1">
        <v>1</v>
      </c>
      <c r="E69" s="1" t="s">
        <v>26</v>
      </c>
      <c r="F69" s="1" t="s">
        <v>26</v>
      </c>
      <c r="G69" s="2" t="s">
        <v>26</v>
      </c>
      <c r="H69" s="1" t="s">
        <v>26</v>
      </c>
      <c r="I69" s="1" t="s">
        <v>26</v>
      </c>
      <c r="J69" s="1" t="s">
        <v>26</v>
      </c>
      <c r="K69" s="2">
        <v>190118183.44</v>
      </c>
      <c r="L69" s="1">
        <v>1</v>
      </c>
      <c r="M69" s="1" t="s">
        <v>26</v>
      </c>
      <c r="N69" s="1" t="s">
        <v>26</v>
      </c>
      <c r="O69" s="2" t="s">
        <v>26</v>
      </c>
      <c r="P69" s="1" t="s">
        <v>26</v>
      </c>
      <c r="Q69" s="1" t="s">
        <v>26</v>
      </c>
      <c r="R69" s="1" t="s">
        <v>26</v>
      </c>
      <c r="S69" s="2">
        <v>489278217.57999998</v>
      </c>
      <c r="T69" s="1">
        <v>1</v>
      </c>
      <c r="U69" s="1" t="s">
        <v>26</v>
      </c>
      <c r="V69" s="1" t="s">
        <v>26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2">
        <v>969088199.91999996</v>
      </c>
      <c r="AF69" s="1">
        <v>1</v>
      </c>
      <c r="AG69" s="1" t="s">
        <v>26</v>
      </c>
      <c r="AH69" s="1" t="s">
        <v>26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2">
        <v>969088199.91999996</v>
      </c>
      <c r="AZ69" s="1">
        <v>1</v>
      </c>
      <c r="BA69" s="1" t="s">
        <v>26</v>
      </c>
      <c r="BB69" s="1" t="s">
        <v>26</v>
      </c>
    </row>
    <row r="70" spans="1:54" s="28" customFormat="1">
      <c r="A70" s="5" t="s">
        <v>69</v>
      </c>
      <c r="B70" s="20" t="s">
        <v>25</v>
      </c>
      <c r="C70" s="9" t="s">
        <v>26</v>
      </c>
      <c r="D70" s="10" t="s">
        <v>26</v>
      </c>
      <c r="E70" s="10" t="s">
        <v>26</v>
      </c>
      <c r="F70" s="10" t="s">
        <v>26</v>
      </c>
      <c r="G70" s="9">
        <v>613982963.97000003</v>
      </c>
      <c r="H70" s="10">
        <v>3.8604549054800001E-3</v>
      </c>
      <c r="I70" s="10">
        <v>0.08</v>
      </c>
      <c r="J70" s="10">
        <v>7.6100000000000001E-2</v>
      </c>
      <c r="K70" s="9">
        <v>83355119.909999996</v>
      </c>
      <c r="L70" s="10">
        <v>2.6193955729360001E-2</v>
      </c>
      <c r="M70" s="10">
        <v>0.08</v>
      </c>
      <c r="N70" s="10">
        <v>5.3800000000000001E-2</v>
      </c>
      <c r="O70" s="9">
        <v>462930441.81</v>
      </c>
      <c r="P70" s="10">
        <v>1.95771126097E-3</v>
      </c>
      <c r="Q70" s="10">
        <v>2.87E-2</v>
      </c>
      <c r="R70" s="10">
        <v>2.6700000000000002E-2</v>
      </c>
      <c r="S70" s="9">
        <v>102094474</v>
      </c>
      <c r="T70" s="10">
        <v>8.7329528766999997E-4</v>
      </c>
      <c r="U70" s="10">
        <v>0.08</v>
      </c>
      <c r="V70" s="10">
        <v>7.9100000000000004E-2</v>
      </c>
      <c r="W70" s="9" t="s">
        <v>26</v>
      </c>
      <c r="X70" s="10" t="s">
        <v>26</v>
      </c>
      <c r="Y70" s="10" t="s">
        <v>26</v>
      </c>
      <c r="Z70" s="10" t="s">
        <v>26</v>
      </c>
      <c r="AA70" s="9">
        <v>42219361.82</v>
      </c>
      <c r="AB70" s="10">
        <v>2.8984639437E-4</v>
      </c>
      <c r="AC70" s="10">
        <v>0.08</v>
      </c>
      <c r="AD70" s="10">
        <v>7.9699999999999993E-2</v>
      </c>
      <c r="AE70" s="9">
        <v>1304582361.51</v>
      </c>
      <c r="AF70" s="10">
        <v>1.9331285464399999E-3</v>
      </c>
      <c r="AG70" s="10">
        <v>6.1800000000000001E-2</v>
      </c>
      <c r="AH70" s="10">
        <v>5.9900000000000002E-2</v>
      </c>
      <c r="AI70" s="9" t="s">
        <v>26</v>
      </c>
      <c r="AJ70" s="10" t="s">
        <v>26</v>
      </c>
      <c r="AK70" s="10" t="s">
        <v>26</v>
      </c>
      <c r="AL70" s="10" t="s">
        <v>26</v>
      </c>
      <c r="AM70" s="9" t="s">
        <v>26</v>
      </c>
      <c r="AN70" s="10" t="s">
        <v>26</v>
      </c>
      <c r="AO70" s="10" t="s">
        <v>26</v>
      </c>
      <c r="AP70" s="10" t="s">
        <v>26</v>
      </c>
      <c r="AQ70" s="9" t="s">
        <v>26</v>
      </c>
      <c r="AR70" s="10" t="s">
        <v>26</v>
      </c>
      <c r="AS70" s="10" t="s">
        <v>26</v>
      </c>
      <c r="AT70" s="10" t="s">
        <v>26</v>
      </c>
      <c r="AU70" s="9">
        <v>102094474</v>
      </c>
      <c r="AV70" s="10">
        <v>2.1354132242399999E-3</v>
      </c>
      <c r="AW70" s="10">
        <v>0.08</v>
      </c>
      <c r="AX70" s="10">
        <v>7.7899999999999997E-2</v>
      </c>
      <c r="AY70" s="9">
        <v>1406676835.51</v>
      </c>
      <c r="AZ70" s="10">
        <v>1.83991802615E-3</v>
      </c>
      <c r="BA70" s="10">
        <v>6.3100000000000003E-2</v>
      </c>
      <c r="BB70" s="10">
        <v>6.13E-2</v>
      </c>
    </row>
    <row r="71" spans="1:54" s="7" customFormat="1">
      <c r="A71" s="3" t="s">
        <v>68</v>
      </c>
      <c r="B71" s="23" t="s">
        <v>57</v>
      </c>
      <c r="C71" s="2" t="s">
        <v>26</v>
      </c>
      <c r="D71" s="1" t="s">
        <v>26</v>
      </c>
      <c r="E71" s="1" t="s">
        <v>26</v>
      </c>
      <c r="F71" s="1" t="s">
        <v>26</v>
      </c>
      <c r="G71" s="2">
        <v>613982963.97000003</v>
      </c>
      <c r="H71" s="1">
        <v>1</v>
      </c>
      <c r="I71" s="1" t="s">
        <v>26</v>
      </c>
      <c r="J71" s="1" t="s">
        <v>26</v>
      </c>
      <c r="K71" s="2">
        <v>83355119.909999996</v>
      </c>
      <c r="L71" s="1">
        <v>1</v>
      </c>
      <c r="M71" s="1" t="s">
        <v>26</v>
      </c>
      <c r="N71" s="1" t="s">
        <v>26</v>
      </c>
      <c r="O71" s="2">
        <v>166125289.05000001</v>
      </c>
      <c r="P71" s="1">
        <v>0.35885583242370001</v>
      </c>
      <c r="Q71" s="1" t="s">
        <v>26</v>
      </c>
      <c r="R71" s="1" t="s">
        <v>26</v>
      </c>
      <c r="S71" s="2">
        <v>102094474</v>
      </c>
      <c r="T71" s="1">
        <v>1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>
        <v>42219361.82</v>
      </c>
      <c r="AB71" s="1">
        <v>1</v>
      </c>
      <c r="AC71" s="1" t="s">
        <v>26</v>
      </c>
      <c r="AD71" s="1" t="s">
        <v>26</v>
      </c>
      <c r="AE71" s="2">
        <v>1007777208.75</v>
      </c>
      <c r="AF71" s="1">
        <v>0.77249029151639004</v>
      </c>
      <c r="AG71" s="1" t="s">
        <v>26</v>
      </c>
      <c r="AH71" s="1" t="s">
        <v>26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>
        <v>102094474</v>
      </c>
      <c r="AV71" s="1">
        <v>1</v>
      </c>
      <c r="AW71" s="1" t="s">
        <v>26</v>
      </c>
      <c r="AX71" s="1" t="s">
        <v>26</v>
      </c>
      <c r="AY71" s="2">
        <v>1109871682.75</v>
      </c>
      <c r="AZ71" s="1">
        <v>0.78900260154465995</v>
      </c>
      <c r="BA71" s="1" t="s">
        <v>26</v>
      </c>
      <c r="BB71" s="1" t="s">
        <v>26</v>
      </c>
    </row>
    <row r="72" spans="1:54" s="7" customFormat="1">
      <c r="A72" s="3" t="s">
        <v>68</v>
      </c>
      <c r="B72" s="23" t="s">
        <v>116</v>
      </c>
      <c r="C72" s="2" t="s">
        <v>26</v>
      </c>
      <c r="D72" s="1" t="s">
        <v>26</v>
      </c>
      <c r="E72" s="1" t="s">
        <v>26</v>
      </c>
      <c r="F72" s="1" t="s">
        <v>26</v>
      </c>
      <c r="G72" s="2" t="s">
        <v>26</v>
      </c>
      <c r="H72" s="1" t="s">
        <v>26</v>
      </c>
      <c r="I72" s="1" t="s">
        <v>26</v>
      </c>
      <c r="J72" s="1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296805152.75999999</v>
      </c>
      <c r="P72" s="1">
        <v>0.64114416757629999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296805152.75999999</v>
      </c>
      <c r="AF72" s="1">
        <v>0.22750970848360999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296805152.75999999</v>
      </c>
      <c r="AZ72" s="1">
        <v>0.21099739845533999</v>
      </c>
      <c r="BA72" s="1" t="s">
        <v>26</v>
      </c>
      <c r="BB72" s="1" t="s">
        <v>26</v>
      </c>
    </row>
    <row r="73" spans="1:54" s="7" customFormat="1">
      <c r="A73" s="5" t="s">
        <v>70</v>
      </c>
      <c r="B73" s="20" t="s">
        <v>25</v>
      </c>
      <c r="C73" s="9" t="s">
        <v>26</v>
      </c>
      <c r="D73" s="10" t="s">
        <v>26</v>
      </c>
      <c r="E73" s="10" t="s">
        <v>26</v>
      </c>
      <c r="F73" s="10" t="s">
        <v>26</v>
      </c>
      <c r="G73" s="9">
        <v>512180300.61000001</v>
      </c>
      <c r="H73" s="10">
        <v>3.22036452151E-3</v>
      </c>
      <c r="I73" s="10">
        <v>0.09</v>
      </c>
      <c r="J73" s="10">
        <v>8.6800000000000002E-2</v>
      </c>
      <c r="K73" s="9" t="s">
        <v>26</v>
      </c>
      <c r="L73" s="10" t="s">
        <v>26</v>
      </c>
      <c r="M73" s="10" t="s">
        <v>26</v>
      </c>
      <c r="N73" s="10" t="s">
        <v>26</v>
      </c>
      <c r="O73" s="9">
        <v>1126600380.8599999</v>
      </c>
      <c r="P73" s="10">
        <v>4.7643404991899998E-3</v>
      </c>
      <c r="Q73" s="10">
        <v>0.09</v>
      </c>
      <c r="R73" s="10">
        <v>8.5199999999999998E-2</v>
      </c>
      <c r="S73" s="9">
        <v>515423336.36000001</v>
      </c>
      <c r="T73" s="10">
        <v>4.4088259938200001E-3</v>
      </c>
      <c r="U73" s="10">
        <v>0.09</v>
      </c>
      <c r="V73" s="10">
        <v>8.5599999999999996E-2</v>
      </c>
      <c r="W73" s="9" t="s">
        <v>26</v>
      </c>
      <c r="X73" s="10" t="s">
        <v>26</v>
      </c>
      <c r="Y73" s="10" t="s">
        <v>26</v>
      </c>
      <c r="Z73" s="10" t="s">
        <v>26</v>
      </c>
      <c r="AA73" s="9">
        <v>1370472980.3099999</v>
      </c>
      <c r="AB73" s="10">
        <v>9.4086370517200008E-3</v>
      </c>
      <c r="AC73" s="10">
        <v>0.09</v>
      </c>
      <c r="AD73" s="10">
        <v>8.0600000000000005E-2</v>
      </c>
      <c r="AE73" s="9">
        <v>3524676998.1399999</v>
      </c>
      <c r="AF73" s="10">
        <v>5.2228620615500003E-3</v>
      </c>
      <c r="AG73" s="10">
        <v>0.09</v>
      </c>
      <c r="AH73" s="10">
        <v>8.48E-2</v>
      </c>
      <c r="AI73" s="9">
        <v>95820166.609999999</v>
      </c>
      <c r="AJ73" s="10">
        <v>5.4828480038500004E-3</v>
      </c>
      <c r="AK73" s="10">
        <v>0.09</v>
      </c>
      <c r="AL73" s="10">
        <v>8.4500000000000006E-2</v>
      </c>
      <c r="AM73" s="9">
        <v>13474246.59</v>
      </c>
      <c r="AN73" s="10">
        <v>5.5244157714999997E-4</v>
      </c>
      <c r="AO73" s="10">
        <v>0.09</v>
      </c>
      <c r="AP73" s="10">
        <v>8.9399999999999993E-2</v>
      </c>
      <c r="AQ73" s="9">
        <v>109294413.2</v>
      </c>
      <c r="AR73" s="10">
        <v>2.6105329576899998E-3</v>
      </c>
      <c r="AS73" s="10">
        <v>0.09</v>
      </c>
      <c r="AT73" s="10">
        <v>8.7400000000000005E-2</v>
      </c>
      <c r="AU73" s="9">
        <v>185621898.28999999</v>
      </c>
      <c r="AV73" s="10">
        <v>3.88247708996E-3</v>
      </c>
      <c r="AW73" s="10">
        <v>0.09</v>
      </c>
      <c r="AX73" s="10">
        <v>8.6099999999999996E-2</v>
      </c>
      <c r="AY73" s="9">
        <v>3819593309.6300001</v>
      </c>
      <c r="AZ73" s="10">
        <v>4.9959865731300001E-3</v>
      </c>
      <c r="BA73" s="10">
        <v>0.09</v>
      </c>
      <c r="BB73" s="10">
        <v>8.5000000000000006E-2</v>
      </c>
    </row>
    <row r="74" spans="1:54" s="7" customFormat="1">
      <c r="A74" s="3" t="s">
        <v>68</v>
      </c>
      <c r="B74" s="23" t="s">
        <v>40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512180300.61000001</v>
      </c>
      <c r="H74" s="1">
        <v>1</v>
      </c>
      <c r="I74" s="1" t="s">
        <v>26</v>
      </c>
      <c r="J74" s="1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1126600380.8599999</v>
      </c>
      <c r="P74" s="1">
        <v>1</v>
      </c>
      <c r="Q74" s="1" t="s">
        <v>26</v>
      </c>
      <c r="R74" s="1" t="s">
        <v>26</v>
      </c>
      <c r="S74" s="2">
        <v>515423336.36000001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1370472980.3099999</v>
      </c>
      <c r="AB74" s="1">
        <v>1</v>
      </c>
      <c r="AC74" s="1" t="s">
        <v>26</v>
      </c>
      <c r="AD74" s="1" t="s">
        <v>26</v>
      </c>
      <c r="AE74" s="2">
        <v>3524676998.1399999</v>
      </c>
      <c r="AF74" s="1">
        <v>1</v>
      </c>
      <c r="AG74" s="1" t="s">
        <v>26</v>
      </c>
      <c r="AH74" s="1" t="s">
        <v>26</v>
      </c>
      <c r="AI74" s="2">
        <v>95820166.609999999</v>
      </c>
      <c r="AJ74" s="1">
        <v>1</v>
      </c>
      <c r="AK74" s="1" t="s">
        <v>26</v>
      </c>
      <c r="AL74" s="1" t="s">
        <v>26</v>
      </c>
      <c r="AM74" s="2">
        <v>13474246.59</v>
      </c>
      <c r="AN74" s="1">
        <v>1</v>
      </c>
      <c r="AO74" s="1" t="s">
        <v>26</v>
      </c>
      <c r="AP74" s="1" t="s">
        <v>26</v>
      </c>
      <c r="AQ74" s="2">
        <v>109294413.2</v>
      </c>
      <c r="AR74" s="1">
        <v>1</v>
      </c>
      <c r="AS74" s="1" t="s">
        <v>26</v>
      </c>
      <c r="AT74" s="1" t="s">
        <v>26</v>
      </c>
      <c r="AU74" s="2">
        <v>185621898.28999999</v>
      </c>
      <c r="AV74" s="1">
        <v>1</v>
      </c>
      <c r="AW74" s="1" t="s">
        <v>26</v>
      </c>
      <c r="AX74" s="1" t="s">
        <v>26</v>
      </c>
      <c r="AY74" s="2">
        <v>3819593309.6300001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71</v>
      </c>
      <c r="B75" s="20" t="s">
        <v>25</v>
      </c>
      <c r="C75" s="9">
        <v>351408422.88</v>
      </c>
      <c r="D75" s="10">
        <v>5.0721277195529997E-2</v>
      </c>
      <c r="E75" s="10">
        <v>0.08</v>
      </c>
      <c r="F75" s="10">
        <v>2.93E-2</v>
      </c>
      <c r="G75" s="9">
        <v>468413988.45999998</v>
      </c>
      <c r="H75" s="10">
        <v>2.94518119502E-3</v>
      </c>
      <c r="I75" s="10">
        <v>0.08</v>
      </c>
      <c r="J75" s="10">
        <v>7.7100000000000002E-2</v>
      </c>
      <c r="K75" s="9">
        <v>164732082.16999999</v>
      </c>
      <c r="L75" s="10">
        <v>5.1766284689230002E-2</v>
      </c>
      <c r="M75" s="10">
        <v>0.08</v>
      </c>
      <c r="N75" s="10">
        <v>2.8199999999999999E-2</v>
      </c>
      <c r="O75" s="9">
        <v>1444560318.5699999</v>
      </c>
      <c r="P75" s="10">
        <v>6.1089782554800002E-3</v>
      </c>
      <c r="Q75" s="10">
        <v>0.08</v>
      </c>
      <c r="R75" s="10">
        <v>7.3899999999999993E-2</v>
      </c>
      <c r="S75" s="9">
        <v>311582399.33999997</v>
      </c>
      <c r="T75" s="10">
        <v>2.6652122333599999E-3</v>
      </c>
      <c r="U75" s="10">
        <v>0.08</v>
      </c>
      <c r="V75" s="10">
        <v>7.7299999999999994E-2</v>
      </c>
      <c r="W75" s="9" t="s">
        <v>26</v>
      </c>
      <c r="X75" s="10" t="s">
        <v>26</v>
      </c>
      <c r="Y75" s="10" t="s">
        <v>26</v>
      </c>
      <c r="Z75" s="10" t="s">
        <v>26</v>
      </c>
      <c r="AA75" s="9" t="s">
        <v>26</v>
      </c>
      <c r="AB75" s="10" t="s">
        <v>26</v>
      </c>
      <c r="AC75" s="10" t="s">
        <v>26</v>
      </c>
      <c r="AD75" s="10" t="s">
        <v>26</v>
      </c>
      <c r="AE75" s="9">
        <v>2740697211.4200001</v>
      </c>
      <c r="AF75" s="10">
        <v>4.0611617732000003E-3</v>
      </c>
      <c r="AG75" s="10">
        <v>0.08</v>
      </c>
      <c r="AH75" s="10">
        <v>7.5899999999999995E-2</v>
      </c>
      <c r="AI75" s="9" t="s">
        <v>26</v>
      </c>
      <c r="AJ75" s="10" t="s">
        <v>26</v>
      </c>
      <c r="AK75" s="10" t="s">
        <v>26</v>
      </c>
      <c r="AL75" s="10" t="s">
        <v>26</v>
      </c>
      <c r="AM75" s="9" t="s">
        <v>26</v>
      </c>
      <c r="AN75" s="10" t="s">
        <v>26</v>
      </c>
      <c r="AO75" s="10" t="s">
        <v>26</v>
      </c>
      <c r="AP75" s="10" t="s">
        <v>26</v>
      </c>
      <c r="AQ75" s="9" t="s">
        <v>26</v>
      </c>
      <c r="AR75" s="10" t="s">
        <v>26</v>
      </c>
      <c r="AS75" s="10" t="s">
        <v>26</v>
      </c>
      <c r="AT75" s="10" t="s">
        <v>26</v>
      </c>
      <c r="AU75" s="9" t="s">
        <v>26</v>
      </c>
      <c r="AV75" s="10" t="s">
        <v>26</v>
      </c>
      <c r="AW75" s="10" t="s">
        <v>26</v>
      </c>
      <c r="AX75" s="10" t="s">
        <v>26</v>
      </c>
      <c r="AY75" s="9">
        <v>2740697211.4200001</v>
      </c>
      <c r="AZ75" s="10">
        <v>3.5848021920899999E-3</v>
      </c>
      <c r="BA75" s="10">
        <v>0.08</v>
      </c>
      <c r="BB75" s="10">
        <v>7.6399999999999996E-2</v>
      </c>
    </row>
    <row r="76" spans="1:54" s="7" customFormat="1">
      <c r="A76" s="3" t="s">
        <v>68</v>
      </c>
      <c r="B76" s="23" t="s">
        <v>57</v>
      </c>
      <c r="C76" s="2">
        <v>351408422.88</v>
      </c>
      <c r="D76" s="1">
        <v>1</v>
      </c>
      <c r="E76" s="1" t="s">
        <v>26</v>
      </c>
      <c r="F76" s="1" t="s">
        <v>26</v>
      </c>
      <c r="G76" s="2">
        <v>468413988.45999998</v>
      </c>
      <c r="H76" s="1">
        <v>1</v>
      </c>
      <c r="I76" s="1" t="s">
        <v>26</v>
      </c>
      <c r="J76" s="1" t="s">
        <v>26</v>
      </c>
      <c r="K76" s="2">
        <v>164732082.16999999</v>
      </c>
      <c r="L76" s="1">
        <v>1</v>
      </c>
      <c r="M76" s="1" t="s">
        <v>26</v>
      </c>
      <c r="N76" s="1" t="s">
        <v>26</v>
      </c>
      <c r="O76" s="2">
        <v>1444560318.5699999</v>
      </c>
      <c r="P76" s="1">
        <v>1</v>
      </c>
      <c r="Q76" s="1" t="s">
        <v>26</v>
      </c>
      <c r="R76" s="1" t="s">
        <v>26</v>
      </c>
      <c r="S76" s="2">
        <v>311582399.33999997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2740697211.4200001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 t="s">
        <v>26</v>
      </c>
      <c r="AR76" s="1" t="s">
        <v>26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2740697211.4200001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72</v>
      </c>
      <c r="B77" s="20" t="s">
        <v>25</v>
      </c>
      <c r="C77" s="9" t="s">
        <v>26</v>
      </c>
      <c r="D77" s="10" t="s">
        <v>26</v>
      </c>
      <c r="E77" s="10" t="s">
        <v>26</v>
      </c>
      <c r="F77" s="10" t="s">
        <v>26</v>
      </c>
      <c r="G77" s="9">
        <v>2578167147.4299998</v>
      </c>
      <c r="H77" s="10">
        <v>1.6210381387609999E-2</v>
      </c>
      <c r="I77" s="10">
        <v>0.09</v>
      </c>
      <c r="J77" s="10">
        <v>7.3800000000000004E-2</v>
      </c>
      <c r="K77" s="9" t="s">
        <v>26</v>
      </c>
      <c r="L77" s="10" t="s">
        <v>26</v>
      </c>
      <c r="M77" s="10" t="s">
        <v>26</v>
      </c>
      <c r="N77" s="10" t="s">
        <v>26</v>
      </c>
      <c r="O77" s="9">
        <v>2170365366.2399998</v>
      </c>
      <c r="P77" s="10">
        <v>9.1783739718999998E-3</v>
      </c>
      <c r="Q77" s="10">
        <v>0.09</v>
      </c>
      <c r="R77" s="10">
        <v>8.0799999999999997E-2</v>
      </c>
      <c r="S77" s="9">
        <v>1358682192.74</v>
      </c>
      <c r="T77" s="10">
        <v>1.1621890097179999E-2</v>
      </c>
      <c r="U77" s="10">
        <v>0.09</v>
      </c>
      <c r="V77" s="10">
        <v>7.8399999999999997E-2</v>
      </c>
      <c r="W77" s="9" t="s">
        <v>26</v>
      </c>
      <c r="X77" s="10" t="s">
        <v>26</v>
      </c>
      <c r="Y77" s="10" t="s">
        <v>26</v>
      </c>
      <c r="Z77" s="10" t="s">
        <v>26</v>
      </c>
      <c r="AA77" s="9">
        <v>1810110010.6400001</v>
      </c>
      <c r="AB77" s="10">
        <v>1.242685434772E-2</v>
      </c>
      <c r="AC77" s="10">
        <v>0.09</v>
      </c>
      <c r="AD77" s="10">
        <v>7.7600000000000002E-2</v>
      </c>
      <c r="AE77" s="9">
        <v>7917324717.0500002</v>
      </c>
      <c r="AF77" s="10">
        <v>1.173188207472E-2</v>
      </c>
      <c r="AG77" s="10">
        <v>0.09</v>
      </c>
      <c r="AH77" s="10">
        <v>7.8299999999999995E-2</v>
      </c>
      <c r="AI77" s="9">
        <v>16137183.880000001</v>
      </c>
      <c r="AJ77" s="10">
        <v>9.2337270487999996E-4</v>
      </c>
      <c r="AK77" s="10">
        <v>0.09</v>
      </c>
      <c r="AL77" s="10">
        <v>8.9099999999999999E-2</v>
      </c>
      <c r="AM77" s="9">
        <v>115339655.31</v>
      </c>
      <c r="AN77" s="10">
        <v>4.7289041848899999E-3</v>
      </c>
      <c r="AO77" s="10">
        <v>0.09</v>
      </c>
      <c r="AP77" s="10">
        <v>8.5300000000000001E-2</v>
      </c>
      <c r="AQ77" s="9">
        <v>131476839.19</v>
      </c>
      <c r="AR77" s="10">
        <v>3.1403674884100002E-3</v>
      </c>
      <c r="AS77" s="10">
        <v>0.09</v>
      </c>
      <c r="AT77" s="10">
        <v>8.6900000000000005E-2</v>
      </c>
      <c r="AU77" s="9">
        <v>476239916.32999998</v>
      </c>
      <c r="AV77" s="10">
        <v>9.9610583746300007E-3</v>
      </c>
      <c r="AW77" s="10">
        <v>0.09</v>
      </c>
      <c r="AX77" s="10">
        <v>0.08</v>
      </c>
      <c r="AY77" s="9">
        <v>8525041472.5699997</v>
      </c>
      <c r="AZ77" s="10">
        <v>1.115066167514E-2</v>
      </c>
      <c r="BA77" s="10">
        <v>0.09</v>
      </c>
      <c r="BB77" s="10">
        <v>7.8799999999999995E-2</v>
      </c>
    </row>
    <row r="78" spans="1:54" s="7" customFormat="1">
      <c r="A78" s="3" t="s">
        <v>68</v>
      </c>
      <c r="B78" s="23" t="s">
        <v>40</v>
      </c>
      <c r="C78" s="2" t="s">
        <v>26</v>
      </c>
      <c r="D78" s="1" t="s">
        <v>26</v>
      </c>
      <c r="E78" s="1" t="s">
        <v>26</v>
      </c>
      <c r="F78" s="1" t="s">
        <v>26</v>
      </c>
      <c r="G78" s="2">
        <v>2578167147.4299998</v>
      </c>
      <c r="H78" s="1">
        <v>1</v>
      </c>
      <c r="I78" s="1" t="s">
        <v>26</v>
      </c>
      <c r="J78" s="1" t="s">
        <v>26</v>
      </c>
      <c r="K78" s="2" t="s">
        <v>26</v>
      </c>
      <c r="L78" s="1" t="s">
        <v>26</v>
      </c>
      <c r="M78" s="1" t="s">
        <v>26</v>
      </c>
      <c r="N78" s="1" t="s">
        <v>26</v>
      </c>
      <c r="O78" s="2">
        <v>2170365366.2399998</v>
      </c>
      <c r="P78" s="1">
        <v>1</v>
      </c>
      <c r="Q78" s="1" t="s">
        <v>26</v>
      </c>
      <c r="R78" s="1" t="s">
        <v>26</v>
      </c>
      <c r="S78" s="2">
        <v>1358682192.74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>
        <v>1810110010.6400001</v>
      </c>
      <c r="AB78" s="1">
        <v>1</v>
      </c>
      <c r="AC78" s="1" t="s">
        <v>26</v>
      </c>
      <c r="AD78" s="1" t="s">
        <v>26</v>
      </c>
      <c r="AE78" s="2">
        <v>7917324717.0500002</v>
      </c>
      <c r="AF78" s="1">
        <v>1</v>
      </c>
      <c r="AG78" s="1" t="s">
        <v>26</v>
      </c>
      <c r="AH78" s="1" t="s">
        <v>26</v>
      </c>
      <c r="AI78" s="2">
        <v>16137183.880000001</v>
      </c>
      <c r="AJ78" s="1">
        <v>1</v>
      </c>
      <c r="AK78" s="1" t="s">
        <v>26</v>
      </c>
      <c r="AL78" s="1" t="s">
        <v>26</v>
      </c>
      <c r="AM78" s="2">
        <v>115339655.31</v>
      </c>
      <c r="AN78" s="1">
        <v>1</v>
      </c>
      <c r="AO78" s="1" t="s">
        <v>26</v>
      </c>
      <c r="AP78" s="1" t="s">
        <v>26</v>
      </c>
      <c r="AQ78" s="2">
        <v>131476839.19</v>
      </c>
      <c r="AR78" s="1">
        <v>1</v>
      </c>
      <c r="AS78" s="1" t="s">
        <v>26</v>
      </c>
      <c r="AT78" s="1" t="s">
        <v>26</v>
      </c>
      <c r="AU78" s="2">
        <v>476239916.32999998</v>
      </c>
      <c r="AV78" s="1">
        <v>1</v>
      </c>
      <c r="AW78" s="1" t="s">
        <v>26</v>
      </c>
      <c r="AX78" s="1" t="s">
        <v>26</v>
      </c>
      <c r="AY78" s="2">
        <v>8525041472.5699997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73</v>
      </c>
      <c r="B79" s="20" t="s">
        <v>25</v>
      </c>
      <c r="C79" s="9">
        <v>87601620.140000001</v>
      </c>
      <c r="D79" s="10">
        <v>1.2644164933450001E-2</v>
      </c>
      <c r="E79" s="10">
        <v>0.08</v>
      </c>
      <c r="F79" s="10">
        <v>6.7400000000000002E-2</v>
      </c>
      <c r="G79" s="9">
        <v>220474424.03999999</v>
      </c>
      <c r="H79" s="10">
        <v>1.38624623445E-3</v>
      </c>
      <c r="I79" s="10">
        <v>0.08</v>
      </c>
      <c r="J79" s="10">
        <v>7.8600000000000003E-2</v>
      </c>
      <c r="K79" s="9">
        <v>105421240.2</v>
      </c>
      <c r="L79" s="10">
        <v>3.3128130602109999E-2</v>
      </c>
      <c r="M79" s="10">
        <v>0.08</v>
      </c>
      <c r="N79" s="10">
        <v>4.6899999999999997E-2</v>
      </c>
      <c r="O79" s="9">
        <v>2718477289.48</v>
      </c>
      <c r="P79" s="10">
        <v>1.1496313747480001E-2</v>
      </c>
      <c r="Q79" s="10">
        <v>0.08</v>
      </c>
      <c r="R79" s="10">
        <v>6.8500000000000005E-2</v>
      </c>
      <c r="S79" s="9">
        <v>2865747977.0999999</v>
      </c>
      <c r="T79" s="10">
        <v>2.4513023144070001E-2</v>
      </c>
      <c r="U79" s="10">
        <v>0.08</v>
      </c>
      <c r="V79" s="10">
        <v>5.5500000000000001E-2</v>
      </c>
      <c r="W79" s="9" t="s">
        <v>26</v>
      </c>
      <c r="X79" s="10" t="s">
        <v>26</v>
      </c>
      <c r="Y79" s="10" t="s">
        <v>26</v>
      </c>
      <c r="Z79" s="10" t="s">
        <v>26</v>
      </c>
      <c r="AA79" s="9">
        <v>1881097657.52</v>
      </c>
      <c r="AB79" s="10">
        <v>1.291420215701E-2</v>
      </c>
      <c r="AC79" s="10">
        <v>0.08</v>
      </c>
      <c r="AD79" s="10">
        <v>6.7100000000000007E-2</v>
      </c>
      <c r="AE79" s="9">
        <v>7878820208.4799995</v>
      </c>
      <c r="AF79" s="10">
        <v>1.1674826141050001E-2</v>
      </c>
      <c r="AG79" s="10">
        <v>0.08</v>
      </c>
      <c r="AH79" s="10">
        <v>6.83E-2</v>
      </c>
      <c r="AI79" s="9">
        <v>606275056.84000003</v>
      </c>
      <c r="AJ79" s="10">
        <v>3.4691173087930002E-2</v>
      </c>
      <c r="AK79" s="10">
        <v>0.08</v>
      </c>
      <c r="AL79" s="10">
        <v>4.53E-2</v>
      </c>
      <c r="AM79" s="9">
        <v>1688143376.23</v>
      </c>
      <c r="AN79" s="10">
        <v>6.9213561069639995E-2</v>
      </c>
      <c r="AO79" s="10">
        <v>0.08</v>
      </c>
      <c r="AP79" s="10">
        <v>1.0800000000000001E-2</v>
      </c>
      <c r="AQ79" s="9">
        <v>2294418433.0700002</v>
      </c>
      <c r="AR79" s="10">
        <v>5.4802937889390002E-2</v>
      </c>
      <c r="AS79" s="10">
        <v>0.08</v>
      </c>
      <c r="AT79" s="10">
        <v>2.52E-2</v>
      </c>
      <c r="AU79" s="9">
        <v>701572402.35000002</v>
      </c>
      <c r="AV79" s="10">
        <v>1.46741241425E-2</v>
      </c>
      <c r="AW79" s="10">
        <v>0.08</v>
      </c>
      <c r="AX79" s="10">
        <v>6.5299999999999997E-2</v>
      </c>
      <c r="AY79" s="9">
        <v>10874811043.9</v>
      </c>
      <c r="AZ79" s="10">
        <v>1.422413475896E-2</v>
      </c>
      <c r="BA79" s="10">
        <v>0.08</v>
      </c>
      <c r="BB79" s="10">
        <v>6.5799999999999997E-2</v>
      </c>
    </row>
    <row r="80" spans="1:54" s="7" customFormat="1">
      <c r="A80" s="3" t="s">
        <v>68</v>
      </c>
      <c r="B80" s="23" t="s">
        <v>57</v>
      </c>
      <c r="C80" s="2">
        <v>87601620.140000001</v>
      </c>
      <c r="D80" s="1">
        <v>1</v>
      </c>
      <c r="E80" s="1" t="s">
        <v>26</v>
      </c>
      <c r="F80" s="1" t="s">
        <v>26</v>
      </c>
      <c r="G80" s="2">
        <v>220474424.03999999</v>
      </c>
      <c r="H80" s="1">
        <v>1</v>
      </c>
      <c r="I80" s="1" t="s">
        <v>26</v>
      </c>
      <c r="J80" s="1" t="s">
        <v>26</v>
      </c>
      <c r="K80" s="2">
        <v>105421240.2</v>
      </c>
      <c r="L80" s="1">
        <v>1</v>
      </c>
      <c r="M80" s="1" t="s">
        <v>26</v>
      </c>
      <c r="N80" s="1" t="s">
        <v>26</v>
      </c>
      <c r="O80" s="2">
        <v>2718477289.48</v>
      </c>
      <c r="P80" s="1">
        <v>1</v>
      </c>
      <c r="Q80" s="1" t="s">
        <v>26</v>
      </c>
      <c r="R80" s="1" t="s">
        <v>26</v>
      </c>
      <c r="S80" s="2">
        <v>2865747977.0999999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>
        <v>1881097657.52</v>
      </c>
      <c r="AB80" s="1">
        <v>1</v>
      </c>
      <c r="AC80" s="1" t="s">
        <v>26</v>
      </c>
      <c r="AD80" s="1" t="s">
        <v>26</v>
      </c>
      <c r="AE80" s="2">
        <v>7878820208.4799995</v>
      </c>
      <c r="AF80" s="1">
        <v>1</v>
      </c>
      <c r="AG80" s="1" t="s">
        <v>26</v>
      </c>
      <c r="AH80" s="1" t="s">
        <v>26</v>
      </c>
      <c r="AI80" s="2">
        <v>606275056.84000003</v>
      </c>
      <c r="AJ80" s="1">
        <v>1</v>
      </c>
      <c r="AK80" s="1" t="s">
        <v>26</v>
      </c>
      <c r="AL80" s="1" t="s">
        <v>26</v>
      </c>
      <c r="AM80" s="2">
        <v>1688143376.23</v>
      </c>
      <c r="AN80" s="1">
        <v>1</v>
      </c>
      <c r="AO80" s="1" t="s">
        <v>26</v>
      </c>
      <c r="AP80" s="1" t="s">
        <v>26</v>
      </c>
      <c r="AQ80" s="2">
        <v>2294418433.0700002</v>
      </c>
      <c r="AR80" s="1">
        <v>1</v>
      </c>
      <c r="AS80" s="1" t="s">
        <v>26</v>
      </c>
      <c r="AT80" s="1" t="s">
        <v>26</v>
      </c>
      <c r="AU80" s="2">
        <v>701572402.35000002</v>
      </c>
      <c r="AV80" s="1">
        <v>1</v>
      </c>
      <c r="AW80" s="1" t="s">
        <v>26</v>
      </c>
      <c r="AX80" s="1" t="s">
        <v>26</v>
      </c>
      <c r="AY80" s="2">
        <v>10874811043.9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74</v>
      </c>
      <c r="B81" s="20" t="s">
        <v>25</v>
      </c>
      <c r="C81" s="9">
        <v>254433610.5</v>
      </c>
      <c r="D81" s="10">
        <v>3.6724212755809997E-2</v>
      </c>
      <c r="E81" s="10">
        <v>0.08</v>
      </c>
      <c r="F81" s="10">
        <v>4.3299999999999998E-2</v>
      </c>
      <c r="G81" s="9">
        <v>863639822.89999998</v>
      </c>
      <c r="H81" s="10">
        <v>5.4301874588300004E-3</v>
      </c>
      <c r="I81" s="10">
        <v>0.08</v>
      </c>
      <c r="J81" s="10">
        <v>7.46E-2</v>
      </c>
      <c r="K81" s="9">
        <v>106707166.13</v>
      </c>
      <c r="L81" s="10">
        <v>3.3532226798220002E-2</v>
      </c>
      <c r="M81" s="10">
        <v>0.08</v>
      </c>
      <c r="N81" s="10">
        <v>4.65E-2</v>
      </c>
      <c r="O81" s="9">
        <v>1843879955.29</v>
      </c>
      <c r="P81" s="10">
        <v>7.7976823866499996E-3</v>
      </c>
      <c r="Q81" s="10">
        <v>0.08</v>
      </c>
      <c r="R81" s="10">
        <v>7.22E-2</v>
      </c>
      <c r="S81" s="9" t="s">
        <v>26</v>
      </c>
      <c r="T81" s="10" t="s">
        <v>26</v>
      </c>
      <c r="U81" s="10" t="s">
        <v>26</v>
      </c>
      <c r="V81" s="10" t="s">
        <v>26</v>
      </c>
      <c r="W81" s="9" t="s">
        <v>26</v>
      </c>
      <c r="X81" s="10" t="s">
        <v>26</v>
      </c>
      <c r="Y81" s="10" t="s">
        <v>26</v>
      </c>
      <c r="Z81" s="10" t="s">
        <v>26</v>
      </c>
      <c r="AA81" s="9" t="s">
        <v>26</v>
      </c>
      <c r="AB81" s="10" t="s">
        <v>26</v>
      </c>
      <c r="AC81" s="10" t="s">
        <v>26</v>
      </c>
      <c r="AD81" s="10" t="s">
        <v>26</v>
      </c>
      <c r="AE81" s="9">
        <v>3068660554.8200002</v>
      </c>
      <c r="AF81" s="10">
        <v>4.5471374540100003E-3</v>
      </c>
      <c r="AG81" s="10">
        <v>0.08</v>
      </c>
      <c r="AH81" s="10">
        <v>7.5499999999999998E-2</v>
      </c>
      <c r="AI81" s="9" t="s">
        <v>26</v>
      </c>
      <c r="AJ81" s="10" t="s">
        <v>26</v>
      </c>
      <c r="AK81" s="10" t="s">
        <v>26</v>
      </c>
      <c r="AL81" s="10" t="s">
        <v>26</v>
      </c>
      <c r="AM81" s="9">
        <v>373747116.19</v>
      </c>
      <c r="AN81" s="10">
        <v>1.532356150269E-2</v>
      </c>
      <c r="AO81" s="10">
        <v>0.08</v>
      </c>
      <c r="AP81" s="10">
        <v>6.4699999999999994E-2</v>
      </c>
      <c r="AQ81" s="9">
        <v>373747116.19</v>
      </c>
      <c r="AR81" s="10">
        <v>8.9270726296800003E-3</v>
      </c>
      <c r="AS81" s="10">
        <v>0.08</v>
      </c>
      <c r="AT81" s="10">
        <v>7.1099999999999997E-2</v>
      </c>
      <c r="AU81" s="9" t="s">
        <v>26</v>
      </c>
      <c r="AV81" s="10" t="s">
        <v>26</v>
      </c>
      <c r="AW81" s="10" t="s">
        <v>26</v>
      </c>
      <c r="AX81" s="10" t="s">
        <v>26</v>
      </c>
      <c r="AY81" s="9">
        <v>3442407671.0100002</v>
      </c>
      <c r="AZ81" s="10">
        <v>4.5026318535599996E-3</v>
      </c>
      <c r="BA81" s="10">
        <v>0.08</v>
      </c>
      <c r="BB81" s="10">
        <v>7.5499999999999998E-2</v>
      </c>
    </row>
    <row r="82" spans="1:54" s="7" customFormat="1">
      <c r="A82" s="3" t="s">
        <v>68</v>
      </c>
      <c r="B82" s="23" t="s">
        <v>57</v>
      </c>
      <c r="C82" s="2">
        <v>254433610.5</v>
      </c>
      <c r="D82" s="1">
        <v>1</v>
      </c>
      <c r="E82" s="1" t="s">
        <v>26</v>
      </c>
      <c r="F82" s="1" t="s">
        <v>26</v>
      </c>
      <c r="G82" s="2">
        <v>863639822.89999998</v>
      </c>
      <c r="H82" s="1">
        <v>1</v>
      </c>
      <c r="I82" s="1" t="s">
        <v>26</v>
      </c>
      <c r="J82" s="1" t="s">
        <v>26</v>
      </c>
      <c r="K82" s="2">
        <v>106707166.13</v>
      </c>
      <c r="L82" s="1">
        <v>1</v>
      </c>
      <c r="M82" s="1" t="s">
        <v>26</v>
      </c>
      <c r="N82" s="1" t="s">
        <v>26</v>
      </c>
      <c r="O82" s="2">
        <v>1843879955.29</v>
      </c>
      <c r="P82" s="1">
        <v>1</v>
      </c>
      <c r="Q82" s="1" t="s">
        <v>26</v>
      </c>
      <c r="R82" s="1" t="s">
        <v>26</v>
      </c>
      <c r="S82" s="2" t="s">
        <v>26</v>
      </c>
      <c r="T82" s="1" t="s">
        <v>26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3068660554.8200002</v>
      </c>
      <c r="AF82" s="1">
        <v>1</v>
      </c>
      <c r="AG82" s="1" t="s">
        <v>26</v>
      </c>
      <c r="AH82" s="1" t="s">
        <v>26</v>
      </c>
      <c r="AI82" s="2" t="s">
        <v>26</v>
      </c>
      <c r="AJ82" s="1" t="s">
        <v>26</v>
      </c>
      <c r="AK82" s="1" t="s">
        <v>26</v>
      </c>
      <c r="AL82" s="1" t="s">
        <v>26</v>
      </c>
      <c r="AM82" s="2">
        <v>373747116.19</v>
      </c>
      <c r="AN82" s="1">
        <v>1</v>
      </c>
      <c r="AO82" s="1" t="s">
        <v>26</v>
      </c>
      <c r="AP82" s="1" t="s">
        <v>26</v>
      </c>
      <c r="AQ82" s="2">
        <v>373747116.19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3442407671.0100002</v>
      </c>
      <c r="AZ82" s="1">
        <v>1</v>
      </c>
      <c r="BA82" s="1" t="s">
        <v>26</v>
      </c>
      <c r="BB82" s="1" t="s">
        <v>26</v>
      </c>
    </row>
    <row r="83" spans="1:54" s="7" customFormat="1">
      <c r="A83" s="5" t="s">
        <v>75</v>
      </c>
      <c r="B83" s="20" t="s">
        <v>25</v>
      </c>
      <c r="C83" s="9">
        <v>88748255.469999999</v>
      </c>
      <c r="D83" s="10">
        <v>1.280966696649E-2</v>
      </c>
      <c r="E83" s="10">
        <v>0.06</v>
      </c>
      <c r="F83" s="10">
        <v>4.7199999999999999E-2</v>
      </c>
      <c r="G83" s="9">
        <v>658631670.01999998</v>
      </c>
      <c r="H83" s="10">
        <v>4.1411863368199997E-3</v>
      </c>
      <c r="I83" s="10">
        <v>0.06</v>
      </c>
      <c r="J83" s="10">
        <v>5.5899999999999998E-2</v>
      </c>
      <c r="K83" s="9">
        <v>33719420.020000003</v>
      </c>
      <c r="L83" s="10">
        <v>1.059616969152E-2</v>
      </c>
      <c r="M83" s="10">
        <v>0.06</v>
      </c>
      <c r="N83" s="10">
        <v>4.9399999999999999E-2</v>
      </c>
      <c r="O83" s="9">
        <v>506960031.88</v>
      </c>
      <c r="P83" s="10">
        <v>2.1439103451299998E-3</v>
      </c>
      <c r="Q83" s="10">
        <v>0.06</v>
      </c>
      <c r="R83" s="10">
        <v>5.79E-2</v>
      </c>
      <c r="S83" s="9">
        <v>330638364.42000002</v>
      </c>
      <c r="T83" s="10">
        <v>2.8282130683199998E-3</v>
      </c>
      <c r="U83" s="10">
        <v>0.06</v>
      </c>
      <c r="V83" s="10">
        <v>5.7200000000000001E-2</v>
      </c>
      <c r="W83" s="9" t="s">
        <v>26</v>
      </c>
      <c r="X83" s="10" t="s">
        <v>26</v>
      </c>
      <c r="Y83" s="10" t="s">
        <v>26</v>
      </c>
      <c r="Z83" s="10" t="s">
        <v>26</v>
      </c>
      <c r="AA83" s="9">
        <v>41424877.200000003</v>
      </c>
      <c r="AB83" s="10">
        <v>2.8439206031999998E-4</v>
      </c>
      <c r="AC83" s="10">
        <v>0.06</v>
      </c>
      <c r="AD83" s="10">
        <v>5.9700000000000003E-2</v>
      </c>
      <c r="AE83" s="9">
        <v>1660122619.01</v>
      </c>
      <c r="AF83" s="10">
        <v>2.4599676648199998E-3</v>
      </c>
      <c r="AG83" s="10">
        <v>0.06</v>
      </c>
      <c r="AH83" s="10">
        <v>5.7500000000000002E-2</v>
      </c>
      <c r="AI83" s="9">
        <v>231575793.25</v>
      </c>
      <c r="AJ83" s="10">
        <v>1.3250810561930001E-2</v>
      </c>
      <c r="AK83" s="10">
        <v>0.06</v>
      </c>
      <c r="AL83" s="10">
        <v>4.6699999999999998E-2</v>
      </c>
      <c r="AM83" s="9" t="s">
        <v>26</v>
      </c>
      <c r="AN83" s="10" t="s">
        <v>26</v>
      </c>
      <c r="AO83" s="10" t="s">
        <v>26</v>
      </c>
      <c r="AP83" s="10" t="s">
        <v>26</v>
      </c>
      <c r="AQ83" s="9">
        <v>231575793.25</v>
      </c>
      <c r="AR83" s="10">
        <v>5.5312638842399996E-3</v>
      </c>
      <c r="AS83" s="10">
        <v>0.06</v>
      </c>
      <c r="AT83" s="10">
        <v>5.45E-2</v>
      </c>
      <c r="AU83" s="9" t="s">
        <v>26</v>
      </c>
      <c r="AV83" s="10" t="s">
        <v>26</v>
      </c>
      <c r="AW83" s="10" t="s">
        <v>26</v>
      </c>
      <c r="AX83" s="10" t="s">
        <v>26</v>
      </c>
      <c r="AY83" s="9">
        <v>1891698412.26</v>
      </c>
      <c r="AZ83" s="10">
        <v>2.4743209818200002E-3</v>
      </c>
      <c r="BA83" s="10">
        <v>0.06</v>
      </c>
      <c r="BB83" s="10">
        <v>5.7500000000000002E-2</v>
      </c>
    </row>
    <row r="84" spans="1:54" s="7" customFormat="1">
      <c r="A84" s="3" t="s">
        <v>68</v>
      </c>
      <c r="B84" s="23" t="s">
        <v>47</v>
      </c>
      <c r="C84" s="2">
        <v>88748255.469999999</v>
      </c>
      <c r="D84" s="1">
        <v>1</v>
      </c>
      <c r="E84" s="1" t="s">
        <v>26</v>
      </c>
      <c r="F84" s="1" t="s">
        <v>26</v>
      </c>
      <c r="G84" s="2">
        <v>658631670.01999998</v>
      </c>
      <c r="H84" s="1">
        <v>1</v>
      </c>
      <c r="I84" s="1" t="s">
        <v>26</v>
      </c>
      <c r="J84" s="1" t="s">
        <v>26</v>
      </c>
      <c r="K84" s="2">
        <v>33719420.020000003</v>
      </c>
      <c r="L84" s="1">
        <v>1</v>
      </c>
      <c r="M84" s="1" t="s">
        <v>26</v>
      </c>
      <c r="N84" s="1" t="s">
        <v>26</v>
      </c>
      <c r="O84" s="2">
        <v>506960031.88</v>
      </c>
      <c r="P84" s="1">
        <v>1</v>
      </c>
      <c r="Q84" s="1" t="s">
        <v>26</v>
      </c>
      <c r="R84" s="1" t="s">
        <v>26</v>
      </c>
      <c r="S84" s="2">
        <v>330638364.42000002</v>
      </c>
      <c r="T84" s="1">
        <v>1</v>
      </c>
      <c r="U84" s="1" t="s">
        <v>26</v>
      </c>
      <c r="V84" s="1" t="s">
        <v>26</v>
      </c>
      <c r="W84" s="2" t="s">
        <v>26</v>
      </c>
      <c r="X84" s="1" t="s">
        <v>26</v>
      </c>
      <c r="Y84" s="1" t="s">
        <v>26</v>
      </c>
      <c r="Z84" s="1" t="s">
        <v>26</v>
      </c>
      <c r="AA84" s="2">
        <v>41424877.200000003</v>
      </c>
      <c r="AB84" s="1">
        <v>1</v>
      </c>
      <c r="AC84" s="1" t="s">
        <v>26</v>
      </c>
      <c r="AD84" s="1" t="s">
        <v>26</v>
      </c>
      <c r="AE84" s="2">
        <v>1660122619.01</v>
      </c>
      <c r="AF84" s="1">
        <v>1</v>
      </c>
      <c r="AG84" s="1" t="s">
        <v>26</v>
      </c>
      <c r="AH84" s="1" t="s">
        <v>26</v>
      </c>
      <c r="AI84" s="2">
        <v>231575793.25</v>
      </c>
      <c r="AJ84" s="1">
        <v>1</v>
      </c>
      <c r="AK84" s="1" t="s">
        <v>26</v>
      </c>
      <c r="AL84" s="1" t="s">
        <v>26</v>
      </c>
      <c r="AM84" s="2" t="s">
        <v>26</v>
      </c>
      <c r="AN84" s="1" t="s">
        <v>26</v>
      </c>
      <c r="AO84" s="1" t="s">
        <v>26</v>
      </c>
      <c r="AP84" s="1" t="s">
        <v>26</v>
      </c>
      <c r="AQ84" s="2">
        <v>231575793.25</v>
      </c>
      <c r="AR84" s="1">
        <v>1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2">
        <v>1891698412.26</v>
      </c>
      <c r="AZ84" s="1">
        <v>1</v>
      </c>
      <c r="BA84" s="1" t="s">
        <v>26</v>
      </c>
      <c r="BB84" s="1" t="s">
        <v>26</v>
      </c>
    </row>
    <row r="85" spans="1:54" s="7" customFormat="1">
      <c r="A85" s="5" t="s">
        <v>76</v>
      </c>
      <c r="B85" s="20" t="s">
        <v>25</v>
      </c>
      <c r="C85" s="9">
        <v>37407368.25</v>
      </c>
      <c r="D85" s="10">
        <v>5.3992715331399998E-3</v>
      </c>
      <c r="E85" s="10">
        <v>0.06</v>
      </c>
      <c r="F85" s="10">
        <v>5.4600000000000003E-2</v>
      </c>
      <c r="G85" s="9">
        <v>808748661.29999995</v>
      </c>
      <c r="H85" s="10">
        <v>5.0850559706600001E-3</v>
      </c>
      <c r="I85" s="10">
        <v>0.06</v>
      </c>
      <c r="J85" s="10">
        <v>5.4899999999999997E-2</v>
      </c>
      <c r="K85" s="9">
        <v>51138385.75</v>
      </c>
      <c r="L85" s="10">
        <v>1.6069998025950001E-2</v>
      </c>
      <c r="M85" s="10">
        <v>0.06</v>
      </c>
      <c r="N85" s="10">
        <v>4.3900000000000002E-2</v>
      </c>
      <c r="O85" s="9">
        <v>423651559.75</v>
      </c>
      <c r="P85" s="10">
        <v>1.79160269955E-3</v>
      </c>
      <c r="Q85" s="10">
        <v>0.06</v>
      </c>
      <c r="R85" s="10">
        <v>5.8200000000000002E-2</v>
      </c>
      <c r="S85" s="9">
        <v>208270300</v>
      </c>
      <c r="T85" s="10">
        <v>1.78150162712E-3</v>
      </c>
      <c r="U85" s="10">
        <v>0.06</v>
      </c>
      <c r="V85" s="10">
        <v>5.8200000000000002E-2</v>
      </c>
      <c r="W85" s="9" t="s">
        <v>26</v>
      </c>
      <c r="X85" s="10" t="s">
        <v>26</v>
      </c>
      <c r="Y85" s="10" t="s">
        <v>26</v>
      </c>
      <c r="Z85" s="10" t="s">
        <v>26</v>
      </c>
      <c r="AA85" s="9" t="s">
        <v>26</v>
      </c>
      <c r="AB85" s="10" t="s">
        <v>26</v>
      </c>
      <c r="AC85" s="10" t="s">
        <v>26</v>
      </c>
      <c r="AD85" s="10" t="s">
        <v>26</v>
      </c>
      <c r="AE85" s="9">
        <v>1529216275.05</v>
      </c>
      <c r="AF85" s="10">
        <v>2.2659908045699999E-3</v>
      </c>
      <c r="AG85" s="10">
        <v>0.06</v>
      </c>
      <c r="AH85" s="10">
        <v>5.7700000000000001E-2</v>
      </c>
      <c r="AI85" s="9">
        <v>127053222</v>
      </c>
      <c r="AJ85" s="10">
        <v>7.27000932342E-3</v>
      </c>
      <c r="AK85" s="10">
        <v>0.06</v>
      </c>
      <c r="AL85" s="10">
        <v>5.2699999999999997E-2</v>
      </c>
      <c r="AM85" s="9" t="s">
        <v>26</v>
      </c>
      <c r="AN85" s="10" t="s">
        <v>26</v>
      </c>
      <c r="AO85" s="10" t="s">
        <v>26</v>
      </c>
      <c r="AP85" s="10" t="s">
        <v>26</v>
      </c>
      <c r="AQ85" s="9">
        <v>127053222</v>
      </c>
      <c r="AR85" s="10">
        <v>3.0347079388599999E-3</v>
      </c>
      <c r="AS85" s="10">
        <v>0.06</v>
      </c>
      <c r="AT85" s="10">
        <v>5.7000000000000002E-2</v>
      </c>
      <c r="AU85" s="9" t="s">
        <v>26</v>
      </c>
      <c r="AV85" s="10" t="s">
        <v>26</v>
      </c>
      <c r="AW85" s="10" t="s">
        <v>26</v>
      </c>
      <c r="AX85" s="10" t="s">
        <v>26</v>
      </c>
      <c r="AY85" s="9">
        <v>1656269497.05</v>
      </c>
      <c r="AZ85" s="10">
        <v>2.1663825171900001E-3</v>
      </c>
      <c r="BA85" s="10">
        <v>0.06</v>
      </c>
      <c r="BB85" s="10">
        <v>5.7799999999999997E-2</v>
      </c>
    </row>
    <row r="86" spans="1:54" s="7" customFormat="1">
      <c r="A86" s="3" t="s">
        <v>68</v>
      </c>
      <c r="B86" s="23" t="s">
        <v>47</v>
      </c>
      <c r="C86" s="2">
        <v>37407368.25</v>
      </c>
      <c r="D86" s="1">
        <v>1</v>
      </c>
      <c r="E86" s="1" t="s">
        <v>26</v>
      </c>
      <c r="F86" s="1" t="s">
        <v>26</v>
      </c>
      <c r="G86" s="2">
        <v>808748661.29999995</v>
      </c>
      <c r="H86" s="1">
        <v>1</v>
      </c>
      <c r="I86" s="1" t="s">
        <v>26</v>
      </c>
      <c r="J86" s="1" t="s">
        <v>26</v>
      </c>
      <c r="K86" s="2">
        <v>51138385.75</v>
      </c>
      <c r="L86" s="1">
        <v>1</v>
      </c>
      <c r="M86" s="1" t="s">
        <v>26</v>
      </c>
      <c r="N86" s="1" t="s">
        <v>26</v>
      </c>
      <c r="O86" s="2">
        <v>423651559.75</v>
      </c>
      <c r="P86" s="1">
        <v>1</v>
      </c>
      <c r="Q86" s="1" t="s">
        <v>26</v>
      </c>
      <c r="R86" s="1" t="s">
        <v>26</v>
      </c>
      <c r="S86" s="2">
        <v>208270300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1529216275.05</v>
      </c>
      <c r="AF86" s="1">
        <v>1</v>
      </c>
      <c r="AG86" s="1" t="s">
        <v>26</v>
      </c>
      <c r="AH86" s="1" t="s">
        <v>26</v>
      </c>
      <c r="AI86" s="2">
        <v>127053222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127053222</v>
      </c>
      <c r="AR86" s="1">
        <v>1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2">
        <v>1656269497.05</v>
      </c>
      <c r="AZ86" s="1">
        <v>1</v>
      </c>
      <c r="BA86" s="1" t="s">
        <v>26</v>
      </c>
      <c r="BB86" s="1" t="s">
        <v>26</v>
      </c>
    </row>
    <row r="87" spans="1:54" s="7" customFormat="1">
      <c r="A87" s="12" t="s">
        <v>77</v>
      </c>
      <c r="B87" s="27" t="s">
        <v>25</v>
      </c>
      <c r="C87" s="29" t="s">
        <v>26</v>
      </c>
      <c r="D87" s="30" t="s">
        <v>26</v>
      </c>
      <c r="E87" s="30" t="s">
        <v>26</v>
      </c>
      <c r="F87" s="30" t="s">
        <v>26</v>
      </c>
      <c r="G87" s="29" t="s">
        <v>26</v>
      </c>
      <c r="H87" s="30" t="s">
        <v>26</v>
      </c>
      <c r="I87" s="30" t="s">
        <v>26</v>
      </c>
      <c r="J87" s="30" t="s">
        <v>26</v>
      </c>
      <c r="K87" s="29" t="s">
        <v>26</v>
      </c>
      <c r="L87" s="30" t="s">
        <v>26</v>
      </c>
      <c r="M87" s="30" t="s">
        <v>26</v>
      </c>
      <c r="N87" s="30" t="s">
        <v>26</v>
      </c>
      <c r="O87" s="29">
        <v>130536280</v>
      </c>
      <c r="P87" s="30">
        <v>5.5203184375000002E-4</v>
      </c>
      <c r="Q87" s="30" t="s">
        <v>26</v>
      </c>
      <c r="R87" s="30" t="s">
        <v>26</v>
      </c>
      <c r="S87" s="29">
        <v>226349873.5</v>
      </c>
      <c r="T87" s="30">
        <v>1.9361506078300001E-3</v>
      </c>
      <c r="U87" s="30" t="s">
        <v>26</v>
      </c>
      <c r="V87" s="30" t="s">
        <v>26</v>
      </c>
      <c r="W87" s="29" t="s">
        <v>26</v>
      </c>
      <c r="X87" s="30" t="s">
        <v>26</v>
      </c>
      <c r="Y87" s="30" t="s">
        <v>26</v>
      </c>
      <c r="Z87" s="30" t="s">
        <v>26</v>
      </c>
      <c r="AA87" s="29">
        <v>145156343.36000001</v>
      </c>
      <c r="AB87" s="30">
        <v>9.9653431336999996E-4</v>
      </c>
      <c r="AC87" s="30" t="s">
        <v>26</v>
      </c>
      <c r="AD87" s="30" t="s">
        <v>26</v>
      </c>
      <c r="AE87" s="29">
        <v>502042496.86000001</v>
      </c>
      <c r="AF87" s="30">
        <v>7.4402646391957708E-4</v>
      </c>
      <c r="AG87" s="30" t="s">
        <v>26</v>
      </c>
      <c r="AH87" s="30" t="s">
        <v>26</v>
      </c>
      <c r="AI87" s="29">
        <v>8713292.1899999995</v>
      </c>
      <c r="AJ87" s="30">
        <v>4.9857622232000001E-4</v>
      </c>
      <c r="AK87" s="30" t="s">
        <v>26</v>
      </c>
      <c r="AL87" s="30" t="s">
        <v>26</v>
      </c>
      <c r="AM87" s="29" t="s">
        <v>26</v>
      </c>
      <c r="AN87" s="30" t="s">
        <v>26</v>
      </c>
      <c r="AO87" s="30" t="s">
        <v>26</v>
      </c>
      <c r="AP87" s="30" t="s">
        <v>26</v>
      </c>
      <c r="AQ87" s="29">
        <v>8713292.1899999995</v>
      </c>
      <c r="AR87" s="30">
        <v>2.0811984588999999E-4</v>
      </c>
      <c r="AS87" s="30" t="s">
        <v>26</v>
      </c>
      <c r="AT87" s="30" t="s">
        <v>26</v>
      </c>
      <c r="AU87" s="29">
        <v>26139876.559999999</v>
      </c>
      <c r="AV87" s="30">
        <v>5.4674299106999996E-4</v>
      </c>
      <c r="AW87" s="30" t="s">
        <v>26</v>
      </c>
      <c r="AX87" s="30" t="s">
        <v>26</v>
      </c>
      <c r="AY87" s="29">
        <v>536895665.61000001</v>
      </c>
      <c r="AZ87" s="30">
        <v>7.0233847200018812E-4</v>
      </c>
      <c r="BA87" s="30" t="s">
        <v>26</v>
      </c>
      <c r="BB87" s="30" t="s">
        <v>26</v>
      </c>
    </row>
    <row r="88" spans="1:54" s="28" customFormat="1">
      <c r="A88" s="5" t="s">
        <v>78</v>
      </c>
      <c r="B88" s="20" t="s">
        <v>25</v>
      </c>
      <c r="C88" s="9" t="s">
        <v>26</v>
      </c>
      <c r="D88" s="10" t="s">
        <v>26</v>
      </c>
      <c r="E88" s="10" t="s">
        <v>26</v>
      </c>
      <c r="F88" s="10" t="s">
        <v>26</v>
      </c>
      <c r="G88" s="9" t="s">
        <v>26</v>
      </c>
      <c r="H88" s="10" t="s">
        <v>26</v>
      </c>
      <c r="I88" s="10" t="s">
        <v>26</v>
      </c>
      <c r="J88" s="10" t="s">
        <v>26</v>
      </c>
      <c r="K88" s="9" t="s">
        <v>26</v>
      </c>
      <c r="L88" s="10" t="s">
        <v>26</v>
      </c>
      <c r="M88" s="10" t="s">
        <v>26</v>
      </c>
      <c r="N88" s="10" t="s">
        <v>26</v>
      </c>
      <c r="O88" s="9" t="s">
        <v>26</v>
      </c>
      <c r="P88" s="10" t="s">
        <v>26</v>
      </c>
      <c r="Q88" s="10" t="s">
        <v>26</v>
      </c>
      <c r="R88" s="10" t="s">
        <v>26</v>
      </c>
      <c r="S88" s="9">
        <v>69706337.5</v>
      </c>
      <c r="T88" s="10">
        <v>5.9625378018999999E-4</v>
      </c>
      <c r="U88" s="10">
        <v>0.1</v>
      </c>
      <c r="V88" s="10">
        <v>9.9400000000000002E-2</v>
      </c>
      <c r="W88" s="9" t="s">
        <v>26</v>
      </c>
      <c r="X88" s="10" t="s">
        <v>26</v>
      </c>
      <c r="Y88" s="10" t="s">
        <v>26</v>
      </c>
      <c r="Z88" s="10" t="s">
        <v>26</v>
      </c>
      <c r="AA88" s="9" t="s">
        <v>26</v>
      </c>
      <c r="AB88" s="10" t="s">
        <v>26</v>
      </c>
      <c r="AC88" s="10" t="s">
        <v>26</v>
      </c>
      <c r="AD88" s="10" t="s">
        <v>26</v>
      </c>
      <c r="AE88" s="9">
        <v>69706337.5</v>
      </c>
      <c r="AF88" s="10">
        <v>1.0329076559E-4</v>
      </c>
      <c r="AG88" s="10">
        <v>0.1</v>
      </c>
      <c r="AH88" s="10">
        <v>9.9900000000000003E-2</v>
      </c>
      <c r="AI88" s="9">
        <v>8713292.1899999995</v>
      </c>
      <c r="AJ88" s="10">
        <v>4.9857622232000001E-4</v>
      </c>
      <c r="AK88" s="10">
        <v>0.1</v>
      </c>
      <c r="AL88" s="10">
        <v>9.9500000000000005E-2</v>
      </c>
      <c r="AM88" s="9" t="s">
        <v>26</v>
      </c>
      <c r="AN88" s="10" t="s">
        <v>26</v>
      </c>
      <c r="AO88" s="10" t="s">
        <v>26</v>
      </c>
      <c r="AP88" s="10" t="s">
        <v>26</v>
      </c>
      <c r="AQ88" s="9">
        <v>8713292.1899999995</v>
      </c>
      <c r="AR88" s="10">
        <v>2.0811984588999999E-4</v>
      </c>
      <c r="AS88" s="10">
        <v>0.1</v>
      </c>
      <c r="AT88" s="10">
        <v>9.98E-2</v>
      </c>
      <c r="AU88" s="9">
        <v>26139876.559999999</v>
      </c>
      <c r="AV88" s="10">
        <v>5.4674299106999996E-4</v>
      </c>
      <c r="AW88" s="10">
        <v>0.1</v>
      </c>
      <c r="AX88" s="10">
        <v>9.9500000000000005E-2</v>
      </c>
      <c r="AY88" s="9">
        <v>104559506.25</v>
      </c>
      <c r="AZ88" s="10">
        <v>1.3676269879E-4</v>
      </c>
      <c r="BA88" s="10">
        <v>0.1</v>
      </c>
      <c r="BB88" s="10">
        <v>9.9900000000000003E-2</v>
      </c>
    </row>
    <row r="89" spans="1:54" s="7" customFormat="1">
      <c r="A89" s="3" t="s">
        <v>79</v>
      </c>
      <c r="B89" s="23" t="s">
        <v>29</v>
      </c>
      <c r="C89" s="2" t="s">
        <v>26</v>
      </c>
      <c r="D89" s="1" t="s">
        <v>26</v>
      </c>
      <c r="E89" s="1" t="s">
        <v>26</v>
      </c>
      <c r="F89" s="1" t="s">
        <v>26</v>
      </c>
      <c r="G89" s="2" t="s">
        <v>26</v>
      </c>
      <c r="H89" s="1" t="s">
        <v>26</v>
      </c>
      <c r="I89" s="1" t="s">
        <v>26</v>
      </c>
      <c r="J89" s="1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2">
        <v>69706337.5</v>
      </c>
      <c r="T89" s="1">
        <v>1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2">
        <v>69706337.5</v>
      </c>
      <c r="AF89" s="1">
        <v>1</v>
      </c>
      <c r="AG89" s="1" t="s">
        <v>26</v>
      </c>
      <c r="AH89" s="1" t="s">
        <v>26</v>
      </c>
      <c r="AI89" s="2">
        <v>8713292.1899999995</v>
      </c>
      <c r="AJ89" s="1">
        <v>1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>
        <v>8713292.1899999995</v>
      </c>
      <c r="AR89" s="1">
        <v>1</v>
      </c>
      <c r="AS89" s="1" t="s">
        <v>26</v>
      </c>
      <c r="AT89" s="1" t="s">
        <v>26</v>
      </c>
      <c r="AU89" s="2">
        <v>26139876.559999999</v>
      </c>
      <c r="AV89" s="1">
        <v>1</v>
      </c>
      <c r="AW89" s="1" t="s">
        <v>26</v>
      </c>
      <c r="AX89" s="1" t="s">
        <v>26</v>
      </c>
      <c r="AY89" s="2">
        <v>104559506.25</v>
      </c>
      <c r="AZ89" s="1">
        <v>1</v>
      </c>
      <c r="BA89" s="1" t="s">
        <v>26</v>
      </c>
      <c r="BB89" s="1" t="s">
        <v>26</v>
      </c>
    </row>
    <row r="90" spans="1:54" s="28" customFormat="1">
      <c r="A90" s="5" t="s">
        <v>80</v>
      </c>
      <c r="B90" s="20" t="s">
        <v>25</v>
      </c>
      <c r="C90" s="9" t="s">
        <v>26</v>
      </c>
      <c r="D90" s="10" t="s">
        <v>26</v>
      </c>
      <c r="E90" s="10" t="s">
        <v>26</v>
      </c>
      <c r="F90" s="10" t="s">
        <v>26</v>
      </c>
      <c r="G90" s="9" t="s">
        <v>26</v>
      </c>
      <c r="H90" s="10" t="s">
        <v>26</v>
      </c>
      <c r="I90" s="10" t="s">
        <v>26</v>
      </c>
      <c r="J90" s="10" t="s">
        <v>26</v>
      </c>
      <c r="K90" s="9" t="s">
        <v>26</v>
      </c>
      <c r="L90" s="10" t="s">
        <v>26</v>
      </c>
      <c r="M90" s="10" t="s">
        <v>26</v>
      </c>
      <c r="N90" s="10" t="s">
        <v>26</v>
      </c>
      <c r="O90" s="9">
        <v>130536280</v>
      </c>
      <c r="P90" s="10">
        <v>5.5203184375000002E-4</v>
      </c>
      <c r="Q90" s="10">
        <v>0.09</v>
      </c>
      <c r="R90" s="10">
        <v>8.9399999999999993E-2</v>
      </c>
      <c r="S90" s="9">
        <v>156643536</v>
      </c>
      <c r="T90" s="10">
        <v>1.3398968276400001E-3</v>
      </c>
      <c r="U90" s="10">
        <v>0.09</v>
      </c>
      <c r="V90" s="10">
        <v>8.8700000000000001E-2</v>
      </c>
      <c r="W90" s="9" t="s">
        <v>26</v>
      </c>
      <c r="X90" s="10" t="s">
        <v>26</v>
      </c>
      <c r="Y90" s="10" t="s">
        <v>26</v>
      </c>
      <c r="Z90" s="10" t="s">
        <v>26</v>
      </c>
      <c r="AA90" s="9">
        <v>145156343.36000001</v>
      </c>
      <c r="AB90" s="10">
        <v>9.9653431336999996E-4</v>
      </c>
      <c r="AC90" s="10">
        <v>0.09</v>
      </c>
      <c r="AD90" s="10">
        <v>8.8999999999999996E-2</v>
      </c>
      <c r="AE90" s="9">
        <v>432336159.36000001</v>
      </c>
      <c r="AF90" s="10">
        <v>6.4063519174999996E-4</v>
      </c>
      <c r="AG90" s="10">
        <v>0.09</v>
      </c>
      <c r="AH90" s="10">
        <v>8.9399999999999993E-2</v>
      </c>
      <c r="AI90" s="9" t="s">
        <v>26</v>
      </c>
      <c r="AJ90" s="10" t="s">
        <v>26</v>
      </c>
      <c r="AK90" s="10" t="s">
        <v>26</v>
      </c>
      <c r="AL90" s="10" t="s">
        <v>26</v>
      </c>
      <c r="AM90" s="9" t="s">
        <v>26</v>
      </c>
      <c r="AN90" s="10" t="s">
        <v>26</v>
      </c>
      <c r="AO90" s="10" t="s">
        <v>26</v>
      </c>
      <c r="AP90" s="10" t="s">
        <v>26</v>
      </c>
      <c r="AQ90" s="9" t="s">
        <v>26</v>
      </c>
      <c r="AR90" s="10" t="s">
        <v>26</v>
      </c>
      <c r="AS90" s="10" t="s">
        <v>26</v>
      </c>
      <c r="AT90" s="10" t="s">
        <v>26</v>
      </c>
      <c r="AU90" s="9" t="s">
        <v>26</v>
      </c>
      <c r="AV90" s="10" t="s">
        <v>26</v>
      </c>
      <c r="AW90" s="10" t="s">
        <v>26</v>
      </c>
      <c r="AX90" s="10" t="s">
        <v>26</v>
      </c>
      <c r="AY90" s="9">
        <v>432336159.36000001</v>
      </c>
      <c r="AZ90" s="10">
        <v>5.6549100183000002E-4</v>
      </c>
      <c r="BA90" s="10">
        <v>0.09</v>
      </c>
      <c r="BB90" s="10">
        <v>8.9399999999999993E-2</v>
      </c>
    </row>
    <row r="91" spans="1:54" s="7" customFormat="1">
      <c r="A91" s="3" t="s">
        <v>79</v>
      </c>
      <c r="B91" s="23" t="s">
        <v>40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>
        <v>130536280</v>
      </c>
      <c r="P91" s="1">
        <v>1</v>
      </c>
      <c r="Q91" s="1" t="s">
        <v>26</v>
      </c>
      <c r="R91" s="1" t="s">
        <v>26</v>
      </c>
      <c r="S91" s="2">
        <v>156643536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145156343.36000001</v>
      </c>
      <c r="AB91" s="1">
        <v>1</v>
      </c>
      <c r="AC91" s="1" t="s">
        <v>26</v>
      </c>
      <c r="AD91" s="1" t="s">
        <v>26</v>
      </c>
      <c r="AE91" s="2">
        <v>432336159.36000001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432336159.36000001</v>
      </c>
      <c r="AZ91" s="1">
        <v>1</v>
      </c>
      <c r="BA91" s="1" t="s">
        <v>26</v>
      </c>
      <c r="BB91" s="1" t="s">
        <v>26</v>
      </c>
    </row>
    <row r="92" spans="1:54" s="7" customFormat="1">
      <c r="A92" s="12" t="s">
        <v>119</v>
      </c>
      <c r="B92" s="27" t="s">
        <v>25</v>
      </c>
      <c r="C92" s="29" t="s">
        <v>26</v>
      </c>
      <c r="D92" s="30" t="s">
        <v>26</v>
      </c>
      <c r="E92" s="30" t="s">
        <v>26</v>
      </c>
      <c r="F92" s="30" t="s">
        <v>26</v>
      </c>
      <c r="G92" s="29">
        <v>696386711.01999998</v>
      </c>
      <c r="H92" s="30">
        <v>4.3802161819406493E-3</v>
      </c>
      <c r="I92" s="30">
        <v>0.05</v>
      </c>
      <c r="J92" s="30">
        <v>4.5619783818059353E-2</v>
      </c>
      <c r="K92" s="29">
        <v>23416095.25</v>
      </c>
      <c r="L92" s="30">
        <v>7.3583981763199998E-3</v>
      </c>
      <c r="M92" s="30">
        <v>0.05</v>
      </c>
      <c r="N92" s="30">
        <v>4.264160182368E-2</v>
      </c>
      <c r="O92" s="29">
        <v>1814318398.3900001</v>
      </c>
      <c r="P92" s="30">
        <v>7.6726679404100001E-3</v>
      </c>
      <c r="Q92" s="30">
        <v>0.05</v>
      </c>
      <c r="R92" s="30">
        <v>4.2327332059590002E-2</v>
      </c>
      <c r="S92" s="29">
        <v>1596619989.5699999</v>
      </c>
      <c r="T92" s="30">
        <v>1.3657161435460001E-2</v>
      </c>
      <c r="U92" s="30">
        <v>0.05</v>
      </c>
      <c r="V92" s="30">
        <v>3.634283856454E-2</v>
      </c>
      <c r="W92" s="29" t="s">
        <v>26</v>
      </c>
      <c r="X92" s="30" t="s">
        <v>26</v>
      </c>
      <c r="Y92" s="30" t="s">
        <v>26</v>
      </c>
      <c r="Z92" s="30" t="s">
        <v>26</v>
      </c>
      <c r="AA92" s="29">
        <v>368812632.33999997</v>
      </c>
      <c r="AB92" s="30">
        <v>2.5319902308399999E-3</v>
      </c>
      <c r="AC92" s="30">
        <v>0.05</v>
      </c>
      <c r="AD92" s="30">
        <v>4.7468009769160005E-2</v>
      </c>
      <c r="AE92" s="29">
        <v>4499553826.5699997</v>
      </c>
      <c r="AF92" s="30">
        <v>6.6683341425023742E-3</v>
      </c>
      <c r="AG92" s="30">
        <v>0.05</v>
      </c>
      <c r="AH92" s="30">
        <v>4.3331665857497627E-2</v>
      </c>
      <c r="AI92" s="29" t="s">
        <v>26</v>
      </c>
      <c r="AJ92" s="30" t="s">
        <v>26</v>
      </c>
      <c r="AK92" s="30" t="s">
        <v>26</v>
      </c>
      <c r="AL92" s="30" t="s">
        <v>26</v>
      </c>
      <c r="AM92" s="29" t="s">
        <v>26</v>
      </c>
      <c r="AN92" s="30" t="s">
        <v>26</v>
      </c>
      <c r="AO92" s="30" t="s">
        <v>26</v>
      </c>
      <c r="AP92" s="30" t="s">
        <v>26</v>
      </c>
      <c r="AQ92" s="29" t="s">
        <v>26</v>
      </c>
      <c r="AR92" s="30" t="s">
        <v>26</v>
      </c>
      <c r="AS92" s="30" t="s">
        <v>26</v>
      </c>
      <c r="AT92" s="30" t="s">
        <v>26</v>
      </c>
      <c r="AU92" s="29">
        <v>623882820</v>
      </c>
      <c r="AV92" s="30">
        <v>1.304916487648E-2</v>
      </c>
      <c r="AW92" s="30">
        <v>0.05</v>
      </c>
      <c r="AX92" s="30">
        <v>3.6950835123520001E-2</v>
      </c>
      <c r="AY92" s="29">
        <v>5123436646.5699997</v>
      </c>
      <c r="AZ92" s="30">
        <v>6.7022084479922079E-3</v>
      </c>
      <c r="BA92" s="30">
        <v>0.05</v>
      </c>
      <c r="BB92" s="30">
        <v>4.3297791552007796E-2</v>
      </c>
    </row>
    <row r="93" spans="1:54" s="28" customFormat="1">
      <c r="A93" s="5" t="s">
        <v>82</v>
      </c>
      <c r="B93" s="20" t="s">
        <v>25</v>
      </c>
      <c r="C93" s="9" t="s">
        <v>26</v>
      </c>
      <c r="D93" s="10" t="s">
        <v>26</v>
      </c>
      <c r="E93" s="10" t="s">
        <v>26</v>
      </c>
      <c r="F93" s="10" t="s">
        <v>26</v>
      </c>
      <c r="G93" s="9" t="s">
        <v>26</v>
      </c>
      <c r="H93" s="10" t="s">
        <v>26</v>
      </c>
      <c r="I93" s="10" t="s">
        <v>26</v>
      </c>
      <c r="J93" s="10" t="s">
        <v>26</v>
      </c>
      <c r="K93" s="9" t="s">
        <v>26</v>
      </c>
      <c r="L93" s="10" t="s">
        <v>26</v>
      </c>
      <c r="M93" s="10" t="s">
        <v>26</v>
      </c>
      <c r="N93" s="10" t="s">
        <v>26</v>
      </c>
      <c r="O93" s="9" t="s">
        <v>26</v>
      </c>
      <c r="P93" s="10" t="s">
        <v>26</v>
      </c>
      <c r="Q93" s="10" t="s">
        <v>26</v>
      </c>
      <c r="R93" s="10" t="s">
        <v>26</v>
      </c>
      <c r="S93" s="9">
        <v>691470125.5</v>
      </c>
      <c r="T93" s="10">
        <v>5.9146942875799996E-3</v>
      </c>
      <c r="U93" s="1" t="s">
        <v>26</v>
      </c>
      <c r="V93" s="1" t="s">
        <v>26</v>
      </c>
      <c r="W93" s="9" t="s">
        <v>26</v>
      </c>
      <c r="X93" s="10" t="s">
        <v>26</v>
      </c>
      <c r="Y93" s="10" t="s">
        <v>26</v>
      </c>
      <c r="Z93" s="10" t="s">
        <v>26</v>
      </c>
      <c r="AA93" s="9" t="s">
        <v>26</v>
      </c>
      <c r="AB93" s="10" t="s">
        <v>26</v>
      </c>
      <c r="AC93" s="10" t="s">
        <v>26</v>
      </c>
      <c r="AD93" s="10" t="s">
        <v>26</v>
      </c>
      <c r="AE93" s="9">
        <v>691470125.5</v>
      </c>
      <c r="AF93" s="10">
        <v>1.0246195855899999E-3</v>
      </c>
      <c r="AG93" s="1" t="s">
        <v>26</v>
      </c>
      <c r="AH93" s="1" t="s">
        <v>26</v>
      </c>
      <c r="AI93" s="9" t="s">
        <v>26</v>
      </c>
      <c r="AJ93" s="10" t="s">
        <v>26</v>
      </c>
      <c r="AK93" s="10" t="s">
        <v>26</v>
      </c>
      <c r="AL93" s="10" t="s">
        <v>26</v>
      </c>
      <c r="AM93" s="9" t="s">
        <v>26</v>
      </c>
      <c r="AN93" s="10" t="s">
        <v>26</v>
      </c>
      <c r="AO93" s="10" t="s">
        <v>26</v>
      </c>
      <c r="AP93" s="10" t="s">
        <v>26</v>
      </c>
      <c r="AQ93" s="9" t="s">
        <v>26</v>
      </c>
      <c r="AR93" s="10" t="s">
        <v>26</v>
      </c>
      <c r="AS93" s="10" t="s">
        <v>26</v>
      </c>
      <c r="AT93" s="10" t="s">
        <v>26</v>
      </c>
      <c r="AU93" s="9">
        <v>623882820</v>
      </c>
      <c r="AV93" s="10">
        <v>1.304916487648E-2</v>
      </c>
      <c r="AW93" s="1" t="s">
        <v>26</v>
      </c>
      <c r="AX93" s="1" t="s">
        <v>26</v>
      </c>
      <c r="AY93" s="9">
        <v>1315352945.5</v>
      </c>
      <c r="AZ93" s="10">
        <v>1.72046736967E-3</v>
      </c>
      <c r="BA93" s="1" t="s">
        <v>26</v>
      </c>
      <c r="BB93" s="1" t="s">
        <v>26</v>
      </c>
    </row>
    <row r="94" spans="1:54" s="7" customFormat="1">
      <c r="A94" s="3" t="s">
        <v>83</v>
      </c>
      <c r="B94" s="23" t="s">
        <v>40</v>
      </c>
      <c r="C94" s="2" t="s">
        <v>26</v>
      </c>
      <c r="D94" s="1" t="s">
        <v>26</v>
      </c>
      <c r="E94" s="1" t="s">
        <v>26</v>
      </c>
      <c r="F94" s="1" t="s">
        <v>26</v>
      </c>
      <c r="G94" s="2" t="s">
        <v>26</v>
      </c>
      <c r="H94" s="1" t="s">
        <v>26</v>
      </c>
      <c r="I94" s="1" t="s">
        <v>26</v>
      </c>
      <c r="J94" s="1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2">
        <v>691470125.5</v>
      </c>
      <c r="T94" s="1">
        <v>1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2" t="s">
        <v>26</v>
      </c>
      <c r="AB94" s="1" t="s">
        <v>26</v>
      </c>
      <c r="AC94" s="1" t="s">
        <v>26</v>
      </c>
      <c r="AD94" s="1" t="s">
        <v>26</v>
      </c>
      <c r="AE94" s="2">
        <v>691470125.5</v>
      </c>
      <c r="AF94" s="1">
        <v>1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>
        <v>623882820</v>
      </c>
      <c r="AV94" s="1">
        <v>1</v>
      </c>
      <c r="AW94" s="1" t="s">
        <v>26</v>
      </c>
      <c r="AX94" s="1" t="s">
        <v>26</v>
      </c>
      <c r="AY94" s="2">
        <v>1315352945.5</v>
      </c>
      <c r="AZ94" s="1">
        <v>1</v>
      </c>
      <c r="BA94" s="1" t="s">
        <v>26</v>
      </c>
      <c r="BB94" s="1" t="s">
        <v>26</v>
      </c>
    </row>
    <row r="95" spans="1:54" s="28" customFormat="1">
      <c r="A95" s="5" t="s">
        <v>84</v>
      </c>
      <c r="B95" s="20" t="s">
        <v>25</v>
      </c>
      <c r="C95" s="9" t="s">
        <v>26</v>
      </c>
      <c r="D95" s="10" t="s">
        <v>26</v>
      </c>
      <c r="E95" s="10" t="s">
        <v>26</v>
      </c>
      <c r="F95" s="10" t="s">
        <v>26</v>
      </c>
      <c r="G95" s="9">
        <v>696386711.01999998</v>
      </c>
      <c r="H95" s="10">
        <v>4.3785734335099998E-3</v>
      </c>
      <c r="I95" s="1" t="s">
        <v>26</v>
      </c>
      <c r="J95" s="1" t="s">
        <v>26</v>
      </c>
      <c r="K95" s="9">
        <v>23416095.25</v>
      </c>
      <c r="L95" s="10">
        <v>7.3583981763199998E-3</v>
      </c>
      <c r="M95" s="1" t="s">
        <v>26</v>
      </c>
      <c r="N95" s="1" t="s">
        <v>26</v>
      </c>
      <c r="O95" s="9">
        <v>1814318398.3900001</v>
      </c>
      <c r="P95" s="10">
        <v>7.6726679404100001E-3</v>
      </c>
      <c r="Q95" s="1" t="s">
        <v>26</v>
      </c>
      <c r="R95" s="1" t="s">
        <v>26</v>
      </c>
      <c r="S95" s="9">
        <v>905149864.07000005</v>
      </c>
      <c r="T95" s="10">
        <v>7.7424671478800002E-3</v>
      </c>
      <c r="U95" s="1" t="s">
        <v>26</v>
      </c>
      <c r="V95" s="1" t="s">
        <v>26</v>
      </c>
      <c r="W95" s="9" t="s">
        <v>26</v>
      </c>
      <c r="X95" s="10" t="s">
        <v>26</v>
      </c>
      <c r="Y95" s="10" t="s">
        <v>26</v>
      </c>
      <c r="Z95" s="10" t="s">
        <v>26</v>
      </c>
      <c r="AA95" s="9">
        <v>368812632.33999997</v>
      </c>
      <c r="AB95" s="10">
        <v>2.5319902308399999E-3</v>
      </c>
      <c r="AC95" s="1" t="s">
        <v>26</v>
      </c>
      <c r="AD95" s="1" t="s">
        <v>26</v>
      </c>
      <c r="AE95" s="9">
        <v>3808083701.0700002</v>
      </c>
      <c r="AF95" s="10">
        <v>5.6428137670499999E-3</v>
      </c>
      <c r="AG95" s="1" t="s">
        <v>26</v>
      </c>
      <c r="AH95" s="1" t="s">
        <v>26</v>
      </c>
      <c r="AI95" s="9" t="s">
        <v>26</v>
      </c>
      <c r="AJ95" s="10" t="s">
        <v>26</v>
      </c>
      <c r="AK95" s="10" t="s">
        <v>26</v>
      </c>
      <c r="AL95" s="10" t="s">
        <v>26</v>
      </c>
      <c r="AM95" s="9" t="s">
        <v>26</v>
      </c>
      <c r="AN95" s="10" t="s">
        <v>26</v>
      </c>
      <c r="AO95" s="10" t="s">
        <v>26</v>
      </c>
      <c r="AP95" s="10" t="s">
        <v>26</v>
      </c>
      <c r="AQ95" s="9" t="s">
        <v>26</v>
      </c>
      <c r="AR95" s="10" t="s">
        <v>26</v>
      </c>
      <c r="AS95" s="10" t="s">
        <v>26</v>
      </c>
      <c r="AT95" s="10" t="s">
        <v>26</v>
      </c>
      <c r="AU95" s="9" t="s">
        <v>26</v>
      </c>
      <c r="AV95" s="10" t="s">
        <v>26</v>
      </c>
      <c r="AW95" s="10" t="s">
        <v>26</v>
      </c>
      <c r="AX95" s="10" t="s">
        <v>26</v>
      </c>
      <c r="AY95" s="9">
        <v>3808083701.0700002</v>
      </c>
      <c r="AZ95" s="10">
        <v>4.9809321301099996E-3</v>
      </c>
      <c r="BA95" s="1" t="s">
        <v>26</v>
      </c>
      <c r="BB95" s="1" t="s">
        <v>26</v>
      </c>
    </row>
    <row r="96" spans="1:54" s="7" customFormat="1">
      <c r="A96" s="3" t="s">
        <v>85</v>
      </c>
      <c r="B96" s="23" t="s">
        <v>40</v>
      </c>
      <c r="C96" s="2" t="s">
        <v>26</v>
      </c>
      <c r="D96" s="1" t="s">
        <v>26</v>
      </c>
      <c r="E96" s="1" t="s">
        <v>26</v>
      </c>
      <c r="F96" s="1" t="s">
        <v>26</v>
      </c>
      <c r="G96" s="2">
        <v>696386711.01999998</v>
      </c>
      <c r="H96" s="1">
        <v>1</v>
      </c>
      <c r="I96" s="1" t="s">
        <v>26</v>
      </c>
      <c r="J96" s="1" t="s">
        <v>26</v>
      </c>
      <c r="K96" s="2">
        <v>23416095.25</v>
      </c>
      <c r="L96" s="1">
        <v>1</v>
      </c>
      <c r="M96" s="1" t="s">
        <v>26</v>
      </c>
      <c r="N96" s="1" t="s">
        <v>26</v>
      </c>
      <c r="O96" s="2">
        <v>1814318398.3900001</v>
      </c>
      <c r="P96" s="1">
        <v>1</v>
      </c>
      <c r="Q96" s="1" t="s">
        <v>26</v>
      </c>
      <c r="R96" s="1" t="s">
        <v>26</v>
      </c>
      <c r="S96" s="2">
        <v>905149864.07000005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>
        <v>368812632.33999997</v>
      </c>
      <c r="AB96" s="1">
        <v>1</v>
      </c>
      <c r="AC96" s="1" t="s">
        <v>26</v>
      </c>
      <c r="AD96" s="1" t="s">
        <v>26</v>
      </c>
      <c r="AE96" s="2">
        <v>3808083701.0700002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2">
        <v>3808083701.0700002</v>
      </c>
      <c r="AZ96" s="1">
        <v>1</v>
      </c>
      <c r="BA96" s="1" t="s">
        <v>26</v>
      </c>
      <c r="BB96" s="1" t="s">
        <v>26</v>
      </c>
    </row>
    <row r="97" spans="1:54" s="7" customFormat="1">
      <c r="A97" s="12" t="s">
        <v>86</v>
      </c>
      <c r="B97" s="27" t="s">
        <v>25</v>
      </c>
      <c r="C97" s="29" t="s">
        <v>26</v>
      </c>
      <c r="D97" s="30" t="s">
        <v>26</v>
      </c>
      <c r="E97" s="30" t="s">
        <v>26</v>
      </c>
      <c r="F97" s="30" t="s">
        <v>26</v>
      </c>
      <c r="G97" s="29">
        <v>8715035410.25</v>
      </c>
      <c r="H97" s="30">
        <v>5.4816869027051955E-2</v>
      </c>
      <c r="I97" s="30">
        <v>0.15</v>
      </c>
      <c r="J97" s="30">
        <v>9.5183130972948032E-2</v>
      </c>
      <c r="K97" s="29">
        <v>160970084.16999999</v>
      </c>
      <c r="L97" s="30">
        <v>5.0584094450979999E-2</v>
      </c>
      <c r="M97" s="30">
        <v>0.15</v>
      </c>
      <c r="N97" s="30">
        <v>9.9415905549019995E-2</v>
      </c>
      <c r="O97" s="29">
        <v>26288103407.869999</v>
      </c>
      <c r="P97" s="30">
        <v>0.11117116400881</v>
      </c>
      <c r="Q97" s="30">
        <v>0.15</v>
      </c>
      <c r="R97" s="30">
        <v>3.8828835991189997E-2</v>
      </c>
      <c r="S97" s="29">
        <v>5712039023.0799999</v>
      </c>
      <c r="T97" s="30">
        <v>4.885961567153E-2</v>
      </c>
      <c r="U97" s="30">
        <v>0.15</v>
      </c>
      <c r="V97" s="30">
        <v>0.10114038432847</v>
      </c>
      <c r="W97" s="29" t="s">
        <v>26</v>
      </c>
      <c r="X97" s="30" t="s">
        <v>26</v>
      </c>
      <c r="Y97" s="30" t="s">
        <v>26</v>
      </c>
      <c r="Z97" s="30" t="s">
        <v>26</v>
      </c>
      <c r="AA97" s="29">
        <v>6088705997.5500002</v>
      </c>
      <c r="AB97" s="30">
        <v>4.1800477403509999E-2</v>
      </c>
      <c r="AC97" s="30">
        <v>0.15</v>
      </c>
      <c r="AD97" s="30">
        <v>0.10819952259648999</v>
      </c>
      <c r="AE97" s="29">
        <v>46964853922.919998</v>
      </c>
      <c r="AF97" s="30">
        <v>6.9601865203283597E-2</v>
      </c>
      <c r="AG97" s="30">
        <v>0.15</v>
      </c>
      <c r="AH97" s="30">
        <v>8.0398134796716397E-2</v>
      </c>
      <c r="AI97" s="29" t="s">
        <v>26</v>
      </c>
      <c r="AJ97" s="30" t="s">
        <v>26</v>
      </c>
      <c r="AK97" s="30" t="s">
        <v>26</v>
      </c>
      <c r="AL97" s="30" t="s">
        <v>26</v>
      </c>
      <c r="AM97" s="29" t="s">
        <v>26</v>
      </c>
      <c r="AN97" s="30" t="s">
        <v>26</v>
      </c>
      <c r="AO97" s="30" t="s">
        <v>26</v>
      </c>
      <c r="AP97" s="30" t="s">
        <v>26</v>
      </c>
      <c r="AQ97" s="29" t="s">
        <v>26</v>
      </c>
      <c r="AR97" s="30" t="s">
        <v>26</v>
      </c>
      <c r="AS97" s="30" t="s">
        <v>26</v>
      </c>
      <c r="AT97" s="30" t="s">
        <v>26</v>
      </c>
      <c r="AU97" s="29">
        <v>1849556947.6199999</v>
      </c>
      <c r="AV97" s="30">
        <v>3.8685427430000002E-2</v>
      </c>
      <c r="AW97" s="30">
        <v>0.15</v>
      </c>
      <c r="AX97" s="30">
        <v>0.11131457256999999</v>
      </c>
      <c r="AY97" s="29">
        <v>48814410870.540001</v>
      </c>
      <c r="AZ97" s="30">
        <v>6.385642674811319E-2</v>
      </c>
      <c r="BA97" s="30">
        <v>0.15</v>
      </c>
      <c r="BB97" s="30">
        <v>8.6143573251886804E-2</v>
      </c>
    </row>
    <row r="98" spans="1:54" s="28" customFormat="1">
      <c r="A98" s="5" t="s">
        <v>87</v>
      </c>
      <c r="B98" s="20" t="s">
        <v>25</v>
      </c>
      <c r="C98" s="9" t="s">
        <v>26</v>
      </c>
      <c r="D98" s="10" t="s">
        <v>26</v>
      </c>
      <c r="E98" s="10" t="s">
        <v>26</v>
      </c>
      <c r="F98" s="10" t="s">
        <v>26</v>
      </c>
      <c r="G98" s="9">
        <v>544136377.88999999</v>
      </c>
      <c r="H98" s="10">
        <v>3.42129028417E-3</v>
      </c>
      <c r="I98" s="1" t="s">
        <v>26</v>
      </c>
      <c r="J98" s="1" t="s">
        <v>26</v>
      </c>
      <c r="K98" s="9">
        <v>64016044.460000001</v>
      </c>
      <c r="L98" s="10">
        <v>2.0116741915369999E-2</v>
      </c>
      <c r="M98" s="1" t="s">
        <v>26</v>
      </c>
      <c r="N98" s="1" t="s">
        <v>26</v>
      </c>
      <c r="O98" s="9" t="s">
        <v>26</v>
      </c>
      <c r="P98" s="10" t="s">
        <v>26</v>
      </c>
      <c r="Q98" s="10" t="s">
        <v>26</v>
      </c>
      <c r="R98" s="10" t="s">
        <v>26</v>
      </c>
      <c r="S98" s="9">
        <v>685262657.72000003</v>
      </c>
      <c r="T98" s="10">
        <v>5.8615968754699996E-3</v>
      </c>
      <c r="U98" s="10" t="s">
        <v>26</v>
      </c>
      <c r="V98" s="10" t="s">
        <v>26</v>
      </c>
      <c r="W98" s="9" t="s">
        <v>26</v>
      </c>
      <c r="X98" s="10" t="s">
        <v>26</v>
      </c>
      <c r="Y98" s="10" t="s">
        <v>26</v>
      </c>
      <c r="Z98" s="10" t="s">
        <v>26</v>
      </c>
      <c r="AA98" s="9">
        <v>424833749.57999998</v>
      </c>
      <c r="AB98" s="10">
        <v>2.9165891006600001E-3</v>
      </c>
      <c r="AC98" s="1" t="s">
        <v>26</v>
      </c>
      <c r="AD98" s="1" t="s">
        <v>26</v>
      </c>
      <c r="AE98" s="9">
        <v>1718248829.6500001</v>
      </c>
      <c r="AF98" s="10">
        <v>2.5460990126000001E-3</v>
      </c>
      <c r="AG98" s="1" t="s">
        <v>26</v>
      </c>
      <c r="AH98" s="1" t="s">
        <v>26</v>
      </c>
      <c r="AI98" s="9" t="s">
        <v>26</v>
      </c>
      <c r="AJ98" s="10" t="s">
        <v>26</v>
      </c>
      <c r="AK98" s="10" t="s">
        <v>26</v>
      </c>
      <c r="AL98" s="10" t="s">
        <v>26</v>
      </c>
      <c r="AM98" s="9" t="s">
        <v>26</v>
      </c>
      <c r="AN98" s="10" t="s">
        <v>26</v>
      </c>
      <c r="AO98" s="10" t="s">
        <v>26</v>
      </c>
      <c r="AP98" s="10" t="s">
        <v>26</v>
      </c>
      <c r="AQ98" s="9" t="s">
        <v>26</v>
      </c>
      <c r="AR98" s="10" t="s">
        <v>26</v>
      </c>
      <c r="AS98" s="10" t="s">
        <v>26</v>
      </c>
      <c r="AT98" s="10" t="s">
        <v>26</v>
      </c>
      <c r="AU98" s="9" t="s">
        <v>26</v>
      </c>
      <c r="AV98" s="10" t="s">
        <v>26</v>
      </c>
      <c r="AW98" s="10" t="s">
        <v>26</v>
      </c>
      <c r="AX98" s="10" t="s">
        <v>26</v>
      </c>
      <c r="AY98" s="9">
        <v>1718248829.6500001</v>
      </c>
      <c r="AZ98" s="10">
        <v>2.24745081121E-3</v>
      </c>
      <c r="BA98" s="1" t="s">
        <v>26</v>
      </c>
      <c r="BB98" s="1" t="s">
        <v>26</v>
      </c>
    </row>
    <row r="99" spans="1:54" s="7" customFormat="1">
      <c r="A99" s="3" t="s">
        <v>88</v>
      </c>
      <c r="B99" s="23" t="s">
        <v>47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544136377.88999999</v>
      </c>
      <c r="H99" s="1">
        <v>1</v>
      </c>
      <c r="I99" s="1" t="s">
        <v>26</v>
      </c>
      <c r="J99" s="1" t="s">
        <v>26</v>
      </c>
      <c r="K99" s="2">
        <v>64016044.460000001</v>
      </c>
      <c r="L99" s="1">
        <v>1</v>
      </c>
      <c r="M99" s="1" t="s">
        <v>26</v>
      </c>
      <c r="N99" s="1" t="s">
        <v>26</v>
      </c>
      <c r="O99" s="2" t="s">
        <v>26</v>
      </c>
      <c r="P99" s="1" t="s">
        <v>26</v>
      </c>
      <c r="Q99" s="1" t="s">
        <v>26</v>
      </c>
      <c r="R99" s="1" t="s">
        <v>26</v>
      </c>
      <c r="S99" s="2">
        <v>685262657.72000003</v>
      </c>
      <c r="T99" s="1">
        <v>1</v>
      </c>
      <c r="U99" s="10" t="s">
        <v>26</v>
      </c>
      <c r="V99" s="10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424833749.57999998</v>
      </c>
      <c r="AB99" s="1">
        <v>1</v>
      </c>
      <c r="AC99" s="1" t="s">
        <v>26</v>
      </c>
      <c r="AD99" s="1" t="s">
        <v>26</v>
      </c>
      <c r="AE99" s="2">
        <v>1718248829.6500001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1718248829.6500001</v>
      </c>
      <c r="AZ99" s="1">
        <v>1</v>
      </c>
      <c r="BA99" s="1" t="s">
        <v>26</v>
      </c>
      <c r="BB99" s="1" t="s">
        <v>26</v>
      </c>
    </row>
    <row r="100" spans="1:54" s="28" customFormat="1">
      <c r="A100" s="5" t="s">
        <v>89</v>
      </c>
      <c r="B100" s="20" t="s">
        <v>25</v>
      </c>
      <c r="C100" s="9" t="s">
        <v>26</v>
      </c>
      <c r="D100" s="10" t="s">
        <v>26</v>
      </c>
      <c r="E100" s="10" t="s">
        <v>26</v>
      </c>
      <c r="F100" s="10" t="s">
        <v>26</v>
      </c>
      <c r="G100" s="9">
        <v>1908858880.7</v>
      </c>
      <c r="H100" s="10">
        <v>1.2002065305239999E-2</v>
      </c>
      <c r="I100" s="1" t="s">
        <v>26</v>
      </c>
      <c r="J100" s="1" t="s">
        <v>26</v>
      </c>
      <c r="K100" s="9" t="s">
        <v>26</v>
      </c>
      <c r="L100" s="10" t="s">
        <v>26</v>
      </c>
      <c r="M100" s="10" t="s">
        <v>26</v>
      </c>
      <c r="N100" s="10" t="s">
        <v>26</v>
      </c>
      <c r="O100" s="9">
        <v>3423075222.4499998</v>
      </c>
      <c r="P100" s="10">
        <v>1.447602556431E-2</v>
      </c>
      <c r="Q100" s="1" t="s">
        <v>26</v>
      </c>
      <c r="R100" s="1" t="s">
        <v>26</v>
      </c>
      <c r="S100" s="9">
        <v>1247520747.73</v>
      </c>
      <c r="T100" s="10">
        <v>1.0671037790539999E-2</v>
      </c>
      <c r="U100" s="10" t="s">
        <v>26</v>
      </c>
      <c r="V100" s="10" t="s">
        <v>26</v>
      </c>
      <c r="W100" s="9" t="s">
        <v>26</v>
      </c>
      <c r="X100" s="10" t="s">
        <v>26</v>
      </c>
      <c r="Y100" s="10" t="s">
        <v>26</v>
      </c>
      <c r="Z100" s="10" t="s">
        <v>26</v>
      </c>
      <c r="AA100" s="9">
        <v>1907641787.3</v>
      </c>
      <c r="AB100" s="10">
        <v>1.3096434194079999E-2</v>
      </c>
      <c r="AC100" s="1" t="s">
        <v>26</v>
      </c>
      <c r="AD100" s="1" t="s">
        <v>26</v>
      </c>
      <c r="AE100" s="9">
        <v>8487096638.1800003</v>
      </c>
      <c r="AF100" s="10">
        <v>1.2576169410029999E-2</v>
      </c>
      <c r="AG100" s="1" t="s">
        <v>26</v>
      </c>
      <c r="AH100" s="1" t="s">
        <v>26</v>
      </c>
      <c r="AI100" s="9" t="s">
        <v>26</v>
      </c>
      <c r="AJ100" s="10" t="s">
        <v>26</v>
      </c>
      <c r="AK100" s="10" t="s">
        <v>26</v>
      </c>
      <c r="AL100" s="10" t="s">
        <v>26</v>
      </c>
      <c r="AM100" s="9" t="s">
        <v>26</v>
      </c>
      <c r="AN100" s="10" t="s">
        <v>26</v>
      </c>
      <c r="AO100" s="10" t="s">
        <v>26</v>
      </c>
      <c r="AP100" s="10" t="s">
        <v>26</v>
      </c>
      <c r="AQ100" s="9" t="s">
        <v>26</v>
      </c>
      <c r="AR100" s="10" t="s">
        <v>26</v>
      </c>
      <c r="AS100" s="10" t="s">
        <v>26</v>
      </c>
      <c r="AT100" s="10" t="s">
        <v>26</v>
      </c>
      <c r="AU100" s="9">
        <v>312945143.67000002</v>
      </c>
      <c r="AV100" s="10">
        <v>6.5455765828599998E-3</v>
      </c>
      <c r="AW100" s="1" t="s">
        <v>26</v>
      </c>
      <c r="AX100" s="1" t="s">
        <v>26</v>
      </c>
      <c r="AY100" s="9">
        <v>8800041781.8500004</v>
      </c>
      <c r="AZ100" s="10">
        <v>1.1510359093529999E-2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1908858880.7</v>
      </c>
      <c r="H101" s="1">
        <v>1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3423075222.4499998</v>
      </c>
      <c r="P101" s="1">
        <v>1</v>
      </c>
      <c r="Q101" s="1" t="s">
        <v>26</v>
      </c>
      <c r="R101" s="1" t="s">
        <v>26</v>
      </c>
      <c r="S101" s="2">
        <v>1247520747.73</v>
      </c>
      <c r="T101" s="1">
        <v>1</v>
      </c>
      <c r="U101" s="10" t="s">
        <v>26</v>
      </c>
      <c r="V101" s="10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1907641787.3</v>
      </c>
      <c r="AB101" s="1">
        <v>1</v>
      </c>
      <c r="AC101" s="1" t="s">
        <v>26</v>
      </c>
      <c r="AD101" s="1" t="s">
        <v>26</v>
      </c>
      <c r="AE101" s="2">
        <v>8487096638.1800003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312945143.67000002</v>
      </c>
      <c r="AV101" s="1">
        <v>1</v>
      </c>
      <c r="AW101" s="1" t="s">
        <v>26</v>
      </c>
      <c r="AX101" s="1" t="s">
        <v>26</v>
      </c>
      <c r="AY101" s="2">
        <v>8800041781.8500004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90</v>
      </c>
      <c r="B102" s="20" t="s">
        <v>25</v>
      </c>
      <c r="C102" s="9" t="s">
        <v>26</v>
      </c>
      <c r="D102" s="10" t="s">
        <v>26</v>
      </c>
      <c r="E102" s="10" t="s">
        <v>26</v>
      </c>
      <c r="F102" s="10" t="s">
        <v>26</v>
      </c>
      <c r="G102" s="9">
        <v>2023644368.28</v>
      </c>
      <c r="H102" s="10">
        <v>1.272378597928E-2</v>
      </c>
      <c r="I102" s="1" t="s">
        <v>26</v>
      </c>
      <c r="J102" s="1" t="s">
        <v>26</v>
      </c>
      <c r="K102" s="9" t="s">
        <v>26</v>
      </c>
      <c r="L102" s="10" t="s">
        <v>26</v>
      </c>
      <c r="M102" s="10" t="s">
        <v>26</v>
      </c>
      <c r="N102" s="10" t="s">
        <v>26</v>
      </c>
      <c r="O102" s="9">
        <v>1317476802.27</v>
      </c>
      <c r="P102" s="10">
        <v>5.5715479884799997E-3</v>
      </c>
      <c r="Q102" s="1" t="s">
        <v>26</v>
      </c>
      <c r="R102" s="1" t="s">
        <v>26</v>
      </c>
      <c r="S102" s="9">
        <v>1317476802.27</v>
      </c>
      <c r="T102" s="10">
        <v>1.126942759932E-2</v>
      </c>
      <c r="U102" s="10" t="s">
        <v>26</v>
      </c>
      <c r="V102" s="10" t="s">
        <v>26</v>
      </c>
      <c r="W102" s="9" t="s">
        <v>26</v>
      </c>
      <c r="X102" s="10" t="s">
        <v>26</v>
      </c>
      <c r="Y102" s="10" t="s">
        <v>26</v>
      </c>
      <c r="Z102" s="10" t="s">
        <v>26</v>
      </c>
      <c r="AA102" s="9">
        <v>1263987244.0999999</v>
      </c>
      <c r="AB102" s="10">
        <v>8.6775860513800002E-3</v>
      </c>
      <c r="AC102" s="1" t="s">
        <v>26</v>
      </c>
      <c r="AD102" s="1" t="s">
        <v>26</v>
      </c>
      <c r="AE102" s="9">
        <v>5922585216.9200001</v>
      </c>
      <c r="AF102" s="10">
        <v>8.7760795250400002E-3</v>
      </c>
      <c r="AG102" s="1" t="s">
        <v>26</v>
      </c>
      <c r="AH102" s="1" t="s">
        <v>26</v>
      </c>
      <c r="AI102" s="9" t="s">
        <v>26</v>
      </c>
      <c r="AJ102" s="10" t="s">
        <v>26</v>
      </c>
      <c r="AK102" s="10" t="s">
        <v>26</v>
      </c>
      <c r="AL102" s="10" t="s">
        <v>26</v>
      </c>
      <c r="AM102" s="9" t="s">
        <v>26</v>
      </c>
      <c r="AN102" s="10" t="s">
        <v>26</v>
      </c>
      <c r="AO102" s="10" t="s">
        <v>26</v>
      </c>
      <c r="AP102" s="10" t="s">
        <v>26</v>
      </c>
      <c r="AQ102" s="9" t="s">
        <v>26</v>
      </c>
      <c r="AR102" s="10" t="s">
        <v>26</v>
      </c>
      <c r="AS102" s="10" t="s">
        <v>26</v>
      </c>
      <c r="AT102" s="10" t="s">
        <v>26</v>
      </c>
      <c r="AU102" s="9" t="s">
        <v>26</v>
      </c>
      <c r="AV102" s="10" t="s">
        <v>26</v>
      </c>
      <c r="AW102" s="1" t="s">
        <v>26</v>
      </c>
      <c r="AX102" s="1" t="s">
        <v>26</v>
      </c>
      <c r="AY102" s="9">
        <v>5922585216.9200001</v>
      </c>
      <c r="AZ102" s="10">
        <v>7.7466771520700002E-3</v>
      </c>
      <c r="BA102" s="1" t="s">
        <v>26</v>
      </c>
      <c r="BB102" s="1" t="s">
        <v>26</v>
      </c>
    </row>
    <row r="103" spans="1:54" s="28" customFormat="1">
      <c r="A103" s="33" t="s">
        <v>88</v>
      </c>
      <c r="B103" s="34" t="s">
        <v>47</v>
      </c>
      <c r="C103" s="18" t="s">
        <v>26</v>
      </c>
      <c r="D103" s="19" t="s">
        <v>26</v>
      </c>
      <c r="E103" s="19" t="s">
        <v>26</v>
      </c>
      <c r="F103" s="19" t="s">
        <v>26</v>
      </c>
      <c r="G103" s="18">
        <v>2023644368.28</v>
      </c>
      <c r="H103" s="19">
        <v>1</v>
      </c>
      <c r="I103" s="19" t="s">
        <v>26</v>
      </c>
      <c r="J103" s="19" t="s">
        <v>26</v>
      </c>
      <c r="K103" s="18" t="s">
        <v>26</v>
      </c>
      <c r="L103" s="19" t="s">
        <v>26</v>
      </c>
      <c r="M103" s="19" t="s">
        <v>26</v>
      </c>
      <c r="N103" s="19" t="s">
        <v>26</v>
      </c>
      <c r="O103" s="18">
        <v>1317476802.27</v>
      </c>
      <c r="P103" s="19">
        <v>1</v>
      </c>
      <c r="Q103" s="19" t="s">
        <v>26</v>
      </c>
      <c r="R103" s="19" t="s">
        <v>26</v>
      </c>
      <c r="S103" s="18">
        <v>1317476802.27</v>
      </c>
      <c r="T103" s="19">
        <v>1</v>
      </c>
      <c r="U103" s="35" t="s">
        <v>26</v>
      </c>
      <c r="V103" s="35" t="s">
        <v>26</v>
      </c>
      <c r="W103" s="18" t="s">
        <v>26</v>
      </c>
      <c r="X103" s="19" t="s">
        <v>26</v>
      </c>
      <c r="Y103" s="19" t="s">
        <v>26</v>
      </c>
      <c r="Z103" s="19" t="s">
        <v>26</v>
      </c>
      <c r="AA103" s="18">
        <v>1263987244.0999999</v>
      </c>
      <c r="AB103" s="19">
        <v>1</v>
      </c>
      <c r="AC103" s="19" t="s">
        <v>26</v>
      </c>
      <c r="AD103" s="19" t="s">
        <v>26</v>
      </c>
      <c r="AE103" s="18">
        <v>5922585216.9200001</v>
      </c>
      <c r="AF103" s="19">
        <v>1</v>
      </c>
      <c r="AG103" s="19" t="s">
        <v>26</v>
      </c>
      <c r="AH103" s="19" t="s">
        <v>26</v>
      </c>
      <c r="AI103" s="18" t="s">
        <v>26</v>
      </c>
      <c r="AJ103" s="19" t="s">
        <v>26</v>
      </c>
      <c r="AK103" s="19" t="s">
        <v>26</v>
      </c>
      <c r="AL103" s="19" t="s">
        <v>26</v>
      </c>
      <c r="AM103" s="18" t="s">
        <v>26</v>
      </c>
      <c r="AN103" s="19" t="s">
        <v>26</v>
      </c>
      <c r="AO103" s="19" t="s">
        <v>26</v>
      </c>
      <c r="AP103" s="19" t="s">
        <v>26</v>
      </c>
      <c r="AQ103" s="18" t="s">
        <v>26</v>
      </c>
      <c r="AR103" s="19" t="s">
        <v>26</v>
      </c>
      <c r="AS103" s="19" t="s">
        <v>26</v>
      </c>
      <c r="AT103" s="19" t="s">
        <v>26</v>
      </c>
      <c r="AU103" s="18" t="s">
        <v>26</v>
      </c>
      <c r="AV103" s="19" t="s">
        <v>26</v>
      </c>
      <c r="AW103" s="19" t="s">
        <v>26</v>
      </c>
      <c r="AX103" s="19" t="s">
        <v>26</v>
      </c>
      <c r="AY103" s="18">
        <v>5922585216.9200001</v>
      </c>
      <c r="AZ103" s="19">
        <v>1</v>
      </c>
      <c r="BA103" s="19" t="s">
        <v>26</v>
      </c>
      <c r="BB103" s="19" t="s">
        <v>26</v>
      </c>
    </row>
    <row r="104" spans="1:54" s="7" customFormat="1">
      <c r="A104" s="5" t="s">
        <v>91</v>
      </c>
      <c r="B104" s="20" t="s">
        <v>25</v>
      </c>
      <c r="C104" s="9" t="s">
        <v>26</v>
      </c>
      <c r="D104" s="10" t="s">
        <v>26</v>
      </c>
      <c r="E104" s="10" t="s">
        <v>26</v>
      </c>
      <c r="F104" s="10" t="s">
        <v>26</v>
      </c>
      <c r="G104" s="9">
        <v>489725861.70999998</v>
      </c>
      <c r="H104" s="10">
        <v>3.0791808830600001E-3</v>
      </c>
      <c r="I104" s="1" t="s">
        <v>26</v>
      </c>
      <c r="J104" s="1" t="s">
        <v>26</v>
      </c>
      <c r="K104" s="9" t="s">
        <v>26</v>
      </c>
      <c r="L104" s="10" t="s">
        <v>26</v>
      </c>
      <c r="M104" s="10" t="s">
        <v>26</v>
      </c>
      <c r="N104" s="10" t="s">
        <v>26</v>
      </c>
      <c r="O104" s="9">
        <v>4235278063.3099999</v>
      </c>
      <c r="P104" s="10">
        <v>1.791079352108E-2</v>
      </c>
      <c r="Q104" s="1" t="s">
        <v>26</v>
      </c>
      <c r="R104" s="1" t="s">
        <v>26</v>
      </c>
      <c r="S104" s="9">
        <v>954503654.08000004</v>
      </c>
      <c r="T104" s="10">
        <v>8.1646293918800003E-3</v>
      </c>
      <c r="U104" s="10" t="s">
        <v>26</v>
      </c>
      <c r="V104" s="10" t="s">
        <v>26</v>
      </c>
      <c r="W104" s="9" t="s">
        <v>26</v>
      </c>
      <c r="X104" s="10" t="s">
        <v>26</v>
      </c>
      <c r="Y104" s="10" t="s">
        <v>26</v>
      </c>
      <c r="Z104" s="10" t="s">
        <v>26</v>
      </c>
      <c r="AA104" s="9">
        <v>1312076445.1700001</v>
      </c>
      <c r="AB104" s="10">
        <v>9.0077303486300001E-3</v>
      </c>
      <c r="AC104" s="1" t="s">
        <v>26</v>
      </c>
      <c r="AD104" s="1" t="s">
        <v>26</v>
      </c>
      <c r="AE104" s="9">
        <v>6991584024.2700005</v>
      </c>
      <c r="AF104" s="10">
        <v>1.0360120649290001E-2</v>
      </c>
      <c r="AG104" s="1" t="s">
        <v>26</v>
      </c>
      <c r="AH104" s="1" t="s">
        <v>26</v>
      </c>
      <c r="AI104" s="9" t="s">
        <v>26</v>
      </c>
      <c r="AJ104" s="10" t="s">
        <v>26</v>
      </c>
      <c r="AK104" s="10" t="s">
        <v>26</v>
      </c>
      <c r="AL104" s="10" t="s">
        <v>26</v>
      </c>
      <c r="AM104" s="9" t="s">
        <v>26</v>
      </c>
      <c r="AN104" s="10" t="s">
        <v>26</v>
      </c>
      <c r="AO104" s="10" t="s">
        <v>26</v>
      </c>
      <c r="AP104" s="10" t="s">
        <v>26</v>
      </c>
      <c r="AQ104" s="9" t="s">
        <v>26</v>
      </c>
      <c r="AR104" s="10" t="s">
        <v>26</v>
      </c>
      <c r="AS104" s="10" t="s">
        <v>26</v>
      </c>
      <c r="AT104" s="10" t="s">
        <v>26</v>
      </c>
      <c r="AU104" s="9">
        <v>364560194.81999999</v>
      </c>
      <c r="AV104" s="10">
        <v>7.6251596247000003E-3</v>
      </c>
      <c r="AW104" s="1" t="s">
        <v>26</v>
      </c>
      <c r="AX104" s="1" t="s">
        <v>26</v>
      </c>
      <c r="AY104" s="9">
        <v>7356144219.0900002</v>
      </c>
      <c r="AZ104" s="10">
        <v>9.6217567603099994E-3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2" t="s">
        <v>26</v>
      </c>
      <c r="D105" s="1" t="s">
        <v>26</v>
      </c>
      <c r="E105" s="1" t="s">
        <v>26</v>
      </c>
      <c r="F105" s="1" t="s">
        <v>26</v>
      </c>
      <c r="G105" s="2">
        <v>489725861.70999998</v>
      </c>
      <c r="H105" s="1">
        <v>1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4235278063.3099999</v>
      </c>
      <c r="P105" s="1">
        <v>1</v>
      </c>
      <c r="Q105" s="1" t="s">
        <v>26</v>
      </c>
      <c r="R105" s="1" t="s">
        <v>26</v>
      </c>
      <c r="S105" s="2">
        <v>954503654.08000004</v>
      </c>
      <c r="T105" s="1">
        <v>1</v>
      </c>
      <c r="U105" s="10" t="s">
        <v>26</v>
      </c>
      <c r="V105" s="10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1312076445.1700001</v>
      </c>
      <c r="AB105" s="1">
        <v>1</v>
      </c>
      <c r="AC105" s="1" t="s">
        <v>26</v>
      </c>
      <c r="AD105" s="1" t="s">
        <v>26</v>
      </c>
      <c r="AE105" s="2">
        <v>6991584024.2700005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>
        <v>364560194.81999999</v>
      </c>
      <c r="AV105" s="1">
        <v>1</v>
      </c>
      <c r="AW105" s="1" t="s">
        <v>26</v>
      </c>
      <c r="AX105" s="1" t="s">
        <v>26</v>
      </c>
      <c r="AY105" s="2">
        <v>7356144219.0900002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92</v>
      </c>
      <c r="B106" s="20" t="s">
        <v>25</v>
      </c>
      <c r="C106" s="9" t="s">
        <v>26</v>
      </c>
      <c r="D106" s="10" t="s">
        <v>26</v>
      </c>
      <c r="E106" s="10" t="s">
        <v>26</v>
      </c>
      <c r="F106" s="10" t="s">
        <v>26</v>
      </c>
      <c r="G106" s="9" t="s">
        <v>26</v>
      </c>
      <c r="H106" s="10" t="s">
        <v>26</v>
      </c>
      <c r="I106" s="1" t="s">
        <v>26</v>
      </c>
      <c r="J106" s="1" t="s">
        <v>26</v>
      </c>
      <c r="K106" s="9" t="s">
        <v>26</v>
      </c>
      <c r="L106" s="10" t="s">
        <v>26</v>
      </c>
      <c r="M106" s="10" t="s">
        <v>26</v>
      </c>
      <c r="N106" s="10" t="s">
        <v>26</v>
      </c>
      <c r="O106" s="9">
        <v>1524339098.8</v>
      </c>
      <c r="P106" s="10">
        <v>6.4463589985300001E-3</v>
      </c>
      <c r="Q106" s="1" t="s">
        <v>26</v>
      </c>
      <c r="R106" s="1" t="s">
        <v>26</v>
      </c>
      <c r="S106" s="9" t="s">
        <v>26</v>
      </c>
      <c r="T106" s="10" t="s">
        <v>26</v>
      </c>
      <c r="U106" s="10" t="s">
        <v>26</v>
      </c>
      <c r="V106" s="10" t="s">
        <v>26</v>
      </c>
      <c r="W106" s="9" t="s">
        <v>26</v>
      </c>
      <c r="X106" s="10" t="s">
        <v>26</v>
      </c>
      <c r="Y106" s="10" t="s">
        <v>26</v>
      </c>
      <c r="Z106" s="10" t="s">
        <v>26</v>
      </c>
      <c r="AA106" s="9" t="s">
        <v>26</v>
      </c>
      <c r="AB106" s="10" t="s">
        <v>26</v>
      </c>
      <c r="AC106" s="1" t="s">
        <v>26</v>
      </c>
      <c r="AD106" s="1" t="s">
        <v>26</v>
      </c>
      <c r="AE106" s="9">
        <v>1524339098.8</v>
      </c>
      <c r="AF106" s="10">
        <v>2.2587638107700002E-3</v>
      </c>
      <c r="AG106" s="1" t="s">
        <v>26</v>
      </c>
      <c r="AH106" s="1" t="s">
        <v>26</v>
      </c>
      <c r="AI106" s="9" t="s">
        <v>26</v>
      </c>
      <c r="AJ106" s="10" t="s">
        <v>26</v>
      </c>
      <c r="AK106" s="10" t="s">
        <v>26</v>
      </c>
      <c r="AL106" s="10" t="s">
        <v>26</v>
      </c>
      <c r="AM106" s="9" t="s">
        <v>26</v>
      </c>
      <c r="AN106" s="10" t="s">
        <v>26</v>
      </c>
      <c r="AO106" s="10" t="s">
        <v>26</v>
      </c>
      <c r="AP106" s="10" t="s">
        <v>26</v>
      </c>
      <c r="AQ106" s="9" t="s">
        <v>26</v>
      </c>
      <c r="AR106" s="10" t="s">
        <v>26</v>
      </c>
      <c r="AS106" s="10" t="s">
        <v>26</v>
      </c>
      <c r="AT106" s="10" t="s">
        <v>26</v>
      </c>
      <c r="AU106" s="9" t="s">
        <v>26</v>
      </c>
      <c r="AV106" s="10" t="s">
        <v>26</v>
      </c>
      <c r="AW106" s="1" t="s">
        <v>26</v>
      </c>
      <c r="AX106" s="1" t="s">
        <v>26</v>
      </c>
      <c r="AY106" s="9">
        <v>1524339098.8</v>
      </c>
      <c r="AZ106" s="10">
        <v>1.9938189888699998E-3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1524339098.8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1524339098.8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1524339098.8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93</v>
      </c>
      <c r="B108" s="20" t="s">
        <v>25</v>
      </c>
      <c r="C108" s="9" t="s">
        <v>26</v>
      </c>
      <c r="D108" s="10" t="s">
        <v>26</v>
      </c>
      <c r="E108" s="10" t="s">
        <v>26</v>
      </c>
      <c r="F108" s="10" t="s">
        <v>26</v>
      </c>
      <c r="G108" s="9" t="s">
        <v>26</v>
      </c>
      <c r="H108" s="10" t="s">
        <v>26</v>
      </c>
      <c r="I108" s="1" t="s">
        <v>26</v>
      </c>
      <c r="J108" s="1" t="s">
        <v>26</v>
      </c>
      <c r="K108" s="9" t="s">
        <v>26</v>
      </c>
      <c r="L108" s="10" t="s">
        <v>26</v>
      </c>
      <c r="M108" s="10" t="s">
        <v>26</v>
      </c>
      <c r="N108" s="10" t="s">
        <v>26</v>
      </c>
      <c r="O108" s="9">
        <v>326585826.89999998</v>
      </c>
      <c r="P108" s="10">
        <v>1.38111623961E-3</v>
      </c>
      <c r="Q108" s="1" t="s">
        <v>26</v>
      </c>
      <c r="R108" s="1" t="s">
        <v>26</v>
      </c>
      <c r="S108" s="9" t="s">
        <v>26</v>
      </c>
      <c r="T108" s="10" t="s">
        <v>26</v>
      </c>
      <c r="U108" s="10" t="s">
        <v>26</v>
      </c>
      <c r="V108" s="10" t="s">
        <v>26</v>
      </c>
      <c r="W108" s="9" t="s">
        <v>26</v>
      </c>
      <c r="X108" s="10" t="s">
        <v>26</v>
      </c>
      <c r="Y108" s="10" t="s">
        <v>26</v>
      </c>
      <c r="Z108" s="10" t="s">
        <v>26</v>
      </c>
      <c r="AA108" s="9">
        <v>326585826.89999998</v>
      </c>
      <c r="AB108" s="10">
        <v>2.24209273418E-3</v>
      </c>
      <c r="AC108" s="1" t="s">
        <v>26</v>
      </c>
      <c r="AD108" s="1" t="s">
        <v>26</v>
      </c>
      <c r="AE108" s="9">
        <v>653171653.79999995</v>
      </c>
      <c r="AF108" s="10">
        <v>9.6786895710000004E-4</v>
      </c>
      <c r="AG108" s="1" t="s">
        <v>26</v>
      </c>
      <c r="AH108" s="1" t="s">
        <v>26</v>
      </c>
      <c r="AI108" s="9" t="s">
        <v>26</v>
      </c>
      <c r="AJ108" s="10" t="s">
        <v>26</v>
      </c>
      <c r="AK108" s="10" t="s">
        <v>26</v>
      </c>
      <c r="AL108" s="10" t="s">
        <v>26</v>
      </c>
      <c r="AM108" s="9" t="s">
        <v>26</v>
      </c>
      <c r="AN108" s="10" t="s">
        <v>26</v>
      </c>
      <c r="AO108" s="10" t="s">
        <v>26</v>
      </c>
      <c r="AP108" s="10" t="s">
        <v>26</v>
      </c>
      <c r="AQ108" s="9" t="s">
        <v>26</v>
      </c>
      <c r="AR108" s="10" t="s">
        <v>26</v>
      </c>
      <c r="AS108" s="10" t="s">
        <v>26</v>
      </c>
      <c r="AT108" s="10" t="s">
        <v>26</v>
      </c>
      <c r="AU108" s="9" t="s">
        <v>26</v>
      </c>
      <c r="AV108" s="10" t="s">
        <v>26</v>
      </c>
      <c r="AW108" s="1" t="s">
        <v>26</v>
      </c>
      <c r="AX108" s="1" t="s">
        <v>26</v>
      </c>
      <c r="AY108" s="9">
        <v>653171653.79999995</v>
      </c>
      <c r="AZ108" s="10">
        <v>8.5434143057000001E-4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326585826.89999998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>
        <v>326585826.89999998</v>
      </c>
      <c r="AB109" s="1">
        <v>1</v>
      </c>
      <c r="AC109" s="1" t="s">
        <v>26</v>
      </c>
      <c r="AD109" s="1" t="s">
        <v>26</v>
      </c>
      <c r="AE109" s="2">
        <v>653171653.79999995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653171653.79999995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94</v>
      </c>
      <c r="B110" s="20" t="s">
        <v>25</v>
      </c>
      <c r="C110" s="9" t="s">
        <v>26</v>
      </c>
      <c r="D110" s="10" t="s">
        <v>26</v>
      </c>
      <c r="E110" s="10" t="s">
        <v>26</v>
      </c>
      <c r="F110" s="10" t="s">
        <v>26</v>
      </c>
      <c r="G110" s="9" t="s">
        <v>26</v>
      </c>
      <c r="H110" s="10" t="s">
        <v>26</v>
      </c>
      <c r="I110" s="1" t="s">
        <v>26</v>
      </c>
      <c r="J110" s="1" t="s">
        <v>26</v>
      </c>
      <c r="K110" s="9" t="s">
        <v>26</v>
      </c>
      <c r="L110" s="10" t="s">
        <v>26</v>
      </c>
      <c r="M110" s="10" t="s">
        <v>26</v>
      </c>
      <c r="N110" s="10" t="s">
        <v>26</v>
      </c>
      <c r="O110" s="9">
        <v>6163526382.0200005</v>
      </c>
      <c r="P110" s="10">
        <v>2.6065265784179999E-2</v>
      </c>
      <c r="Q110" s="1" t="s">
        <v>26</v>
      </c>
      <c r="R110" s="1" t="s">
        <v>26</v>
      </c>
      <c r="S110" s="9" t="s">
        <v>26</v>
      </c>
      <c r="T110" s="10" t="s">
        <v>26</v>
      </c>
      <c r="U110" s="10" t="s">
        <v>26</v>
      </c>
      <c r="V110" s="10" t="s">
        <v>26</v>
      </c>
      <c r="W110" s="9" t="s">
        <v>26</v>
      </c>
      <c r="X110" s="10" t="s">
        <v>26</v>
      </c>
      <c r="Y110" s="10" t="s">
        <v>26</v>
      </c>
      <c r="Z110" s="10" t="s">
        <v>26</v>
      </c>
      <c r="AA110" s="9" t="s">
        <v>26</v>
      </c>
      <c r="AB110" s="10" t="s">
        <v>26</v>
      </c>
      <c r="AC110" s="10" t="s">
        <v>26</v>
      </c>
      <c r="AD110" s="10" t="s">
        <v>26</v>
      </c>
      <c r="AE110" s="9">
        <v>6163526382.0200005</v>
      </c>
      <c r="AF110" s="10">
        <v>9.1331058485699997E-3</v>
      </c>
      <c r="AG110" s="1" t="s">
        <v>26</v>
      </c>
      <c r="AH110" s="1" t="s">
        <v>26</v>
      </c>
      <c r="AI110" s="9" t="s">
        <v>26</v>
      </c>
      <c r="AJ110" s="10" t="s">
        <v>26</v>
      </c>
      <c r="AK110" s="10" t="s">
        <v>26</v>
      </c>
      <c r="AL110" s="10" t="s">
        <v>26</v>
      </c>
      <c r="AM110" s="9" t="s">
        <v>26</v>
      </c>
      <c r="AN110" s="10" t="s">
        <v>26</v>
      </c>
      <c r="AO110" s="10" t="s">
        <v>26</v>
      </c>
      <c r="AP110" s="10" t="s">
        <v>26</v>
      </c>
      <c r="AQ110" s="9" t="s">
        <v>26</v>
      </c>
      <c r="AR110" s="10" t="s">
        <v>26</v>
      </c>
      <c r="AS110" s="10" t="s">
        <v>26</v>
      </c>
      <c r="AT110" s="10" t="s">
        <v>26</v>
      </c>
      <c r="AU110" s="9" t="s">
        <v>26</v>
      </c>
      <c r="AV110" s="10" t="s">
        <v>26</v>
      </c>
      <c r="AW110" s="1" t="s">
        <v>26</v>
      </c>
      <c r="AX110" s="1" t="s">
        <v>26</v>
      </c>
      <c r="AY110" s="9">
        <v>6163526382.0200005</v>
      </c>
      <c r="AZ110" s="10">
        <v>8.0618255797100004E-3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2" t="s">
        <v>26</v>
      </c>
      <c r="D111" s="1" t="s">
        <v>26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>
        <v>6163526382.0200005</v>
      </c>
      <c r="P111" s="1">
        <v>1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6163526382.0200005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6163526382.0200005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95</v>
      </c>
      <c r="B112" s="20" t="s">
        <v>25</v>
      </c>
      <c r="C112" s="9" t="s">
        <v>26</v>
      </c>
      <c r="D112" s="10" t="s">
        <v>26</v>
      </c>
      <c r="E112" s="10" t="s">
        <v>26</v>
      </c>
      <c r="F112" s="10" t="s">
        <v>26</v>
      </c>
      <c r="G112" s="9" t="s">
        <v>26</v>
      </c>
      <c r="H112" s="10" t="s">
        <v>26</v>
      </c>
      <c r="I112" s="1" t="s">
        <v>26</v>
      </c>
      <c r="J112" s="1" t="s">
        <v>26</v>
      </c>
      <c r="K112" s="9" t="s">
        <v>26</v>
      </c>
      <c r="L112" s="10" t="s">
        <v>26</v>
      </c>
      <c r="M112" s="10" t="s">
        <v>26</v>
      </c>
      <c r="N112" s="10" t="s">
        <v>26</v>
      </c>
      <c r="O112" s="9" t="s">
        <v>26</v>
      </c>
      <c r="P112" s="10" t="s">
        <v>26</v>
      </c>
      <c r="Q112" s="1" t="s">
        <v>26</v>
      </c>
      <c r="R112" s="1" t="s">
        <v>26</v>
      </c>
      <c r="S112" s="9">
        <v>137940949.09</v>
      </c>
      <c r="T112" s="10">
        <v>1.17991871741E-3</v>
      </c>
      <c r="U112" s="1" t="s">
        <v>26</v>
      </c>
      <c r="V112" s="1" t="s">
        <v>26</v>
      </c>
      <c r="W112" s="9" t="s">
        <v>26</v>
      </c>
      <c r="X112" s="10" t="s">
        <v>26</v>
      </c>
      <c r="Y112" s="10" t="s">
        <v>26</v>
      </c>
      <c r="Z112" s="10" t="s">
        <v>26</v>
      </c>
      <c r="AA112" s="9" t="s">
        <v>26</v>
      </c>
      <c r="AB112" s="10" t="s">
        <v>26</v>
      </c>
      <c r="AC112" s="10" t="s">
        <v>26</v>
      </c>
      <c r="AD112" s="10" t="s">
        <v>26</v>
      </c>
      <c r="AE112" s="9">
        <v>137940949.09</v>
      </c>
      <c r="AF112" s="10">
        <v>2.0440072952E-4</v>
      </c>
      <c r="AG112" s="1" t="s">
        <v>26</v>
      </c>
      <c r="AH112" s="1" t="s">
        <v>26</v>
      </c>
      <c r="AI112" s="9" t="s">
        <v>26</v>
      </c>
      <c r="AJ112" s="10" t="s">
        <v>26</v>
      </c>
      <c r="AK112" s="10" t="s">
        <v>26</v>
      </c>
      <c r="AL112" s="10" t="s">
        <v>26</v>
      </c>
      <c r="AM112" s="9" t="s">
        <v>26</v>
      </c>
      <c r="AN112" s="10" t="s">
        <v>26</v>
      </c>
      <c r="AO112" s="10" t="s">
        <v>26</v>
      </c>
      <c r="AP112" s="10" t="s">
        <v>26</v>
      </c>
      <c r="AQ112" s="9" t="s">
        <v>26</v>
      </c>
      <c r="AR112" s="10" t="s">
        <v>26</v>
      </c>
      <c r="AS112" s="10" t="s">
        <v>26</v>
      </c>
      <c r="AT112" s="10" t="s">
        <v>26</v>
      </c>
      <c r="AU112" s="9">
        <v>176705376.38</v>
      </c>
      <c r="AV112" s="10">
        <v>3.69597866302E-3</v>
      </c>
      <c r="AW112" s="1" t="s">
        <v>26</v>
      </c>
      <c r="AX112" s="1" t="s">
        <v>26</v>
      </c>
      <c r="AY112" s="9">
        <v>314646325.47000003</v>
      </c>
      <c r="AZ112" s="10">
        <v>4.1155397706000001E-4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 t="s">
        <v>26</v>
      </c>
      <c r="D113" s="1" t="s">
        <v>26</v>
      </c>
      <c r="E113" s="1" t="s">
        <v>26</v>
      </c>
      <c r="F113" s="1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137940949.09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137940949.09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>
        <v>176705376.38</v>
      </c>
      <c r="AV113" s="1">
        <v>1</v>
      </c>
      <c r="AW113" s="1" t="s">
        <v>26</v>
      </c>
      <c r="AX113" s="1" t="s">
        <v>26</v>
      </c>
      <c r="AY113" s="2">
        <v>314646325.47000003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96</v>
      </c>
      <c r="B114" s="20" t="s">
        <v>25</v>
      </c>
      <c r="C114" s="9" t="s">
        <v>26</v>
      </c>
      <c r="D114" s="10" t="s">
        <v>26</v>
      </c>
      <c r="E114" s="10" t="s">
        <v>26</v>
      </c>
      <c r="F114" s="10" t="s">
        <v>26</v>
      </c>
      <c r="G114" s="9" t="s">
        <v>26</v>
      </c>
      <c r="H114" s="10" t="s">
        <v>26</v>
      </c>
      <c r="I114" s="1" t="s">
        <v>26</v>
      </c>
      <c r="J114" s="1" t="s">
        <v>26</v>
      </c>
      <c r="K114" s="9">
        <v>59507285.340000004</v>
      </c>
      <c r="L114" s="10">
        <v>1.869988549538E-2</v>
      </c>
      <c r="M114" s="1" t="s">
        <v>26</v>
      </c>
      <c r="N114" s="1" t="s">
        <v>26</v>
      </c>
      <c r="O114" s="9" t="s">
        <v>26</v>
      </c>
      <c r="P114" s="10" t="s">
        <v>26</v>
      </c>
      <c r="Q114" s="1" t="s">
        <v>26</v>
      </c>
      <c r="R114" s="1" t="s">
        <v>26</v>
      </c>
      <c r="S114" s="9" t="s">
        <v>26</v>
      </c>
      <c r="T114" s="10" t="s">
        <v>26</v>
      </c>
      <c r="U114" s="1" t="s">
        <v>26</v>
      </c>
      <c r="V114" s="1" t="s">
        <v>26</v>
      </c>
      <c r="W114" s="9" t="s">
        <v>26</v>
      </c>
      <c r="X114" s="10" t="s">
        <v>26</v>
      </c>
      <c r="Y114" s="10" t="s">
        <v>26</v>
      </c>
      <c r="Z114" s="10" t="s">
        <v>26</v>
      </c>
      <c r="AA114" s="9" t="s">
        <v>26</v>
      </c>
      <c r="AB114" s="10" t="s">
        <v>26</v>
      </c>
      <c r="AC114" s="10" t="s">
        <v>26</v>
      </c>
      <c r="AD114" s="10" t="s">
        <v>26</v>
      </c>
      <c r="AE114" s="9">
        <v>59507285.340000004</v>
      </c>
      <c r="AF114" s="10">
        <v>8.8177822579999998E-5</v>
      </c>
      <c r="AG114" s="1" t="s">
        <v>26</v>
      </c>
      <c r="AH114" s="1" t="s">
        <v>26</v>
      </c>
      <c r="AI114" s="9" t="s">
        <v>26</v>
      </c>
      <c r="AJ114" s="10" t="s">
        <v>26</v>
      </c>
      <c r="AK114" s="10" t="s">
        <v>26</v>
      </c>
      <c r="AL114" s="10" t="s">
        <v>26</v>
      </c>
      <c r="AM114" s="9" t="s">
        <v>26</v>
      </c>
      <c r="AN114" s="10" t="s">
        <v>26</v>
      </c>
      <c r="AO114" s="10" t="s">
        <v>26</v>
      </c>
      <c r="AP114" s="10" t="s">
        <v>26</v>
      </c>
      <c r="AQ114" s="9" t="s">
        <v>26</v>
      </c>
      <c r="AR114" s="10" t="s">
        <v>26</v>
      </c>
      <c r="AS114" s="10" t="s">
        <v>26</v>
      </c>
      <c r="AT114" s="10" t="s">
        <v>26</v>
      </c>
      <c r="AU114" s="9" t="s">
        <v>26</v>
      </c>
      <c r="AV114" s="10" t="s">
        <v>26</v>
      </c>
      <c r="AW114" s="1" t="s">
        <v>26</v>
      </c>
      <c r="AX114" s="1" t="s">
        <v>26</v>
      </c>
      <c r="AY114" s="9">
        <v>59507285.340000004</v>
      </c>
      <c r="AZ114" s="10">
        <v>7.7834883049999998E-5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2" t="s">
        <v>26</v>
      </c>
      <c r="D115" s="1" t="s">
        <v>26</v>
      </c>
      <c r="E115" s="1" t="s">
        <v>26</v>
      </c>
      <c r="F115" s="1" t="s">
        <v>26</v>
      </c>
      <c r="G115" s="2" t="s">
        <v>26</v>
      </c>
      <c r="H115" s="1" t="s">
        <v>26</v>
      </c>
      <c r="I115" s="1" t="s">
        <v>26</v>
      </c>
      <c r="J115" s="1" t="s">
        <v>26</v>
      </c>
      <c r="K115" s="2">
        <v>59507285.340000004</v>
      </c>
      <c r="L115" s="1">
        <v>1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59507285.340000004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59507285.340000004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117</v>
      </c>
      <c r="B116" s="20" t="s">
        <v>25</v>
      </c>
      <c r="C116" s="9" t="s">
        <v>26</v>
      </c>
      <c r="D116" s="10" t="s">
        <v>26</v>
      </c>
      <c r="E116" s="10" t="s">
        <v>26</v>
      </c>
      <c r="F116" s="10" t="s">
        <v>26</v>
      </c>
      <c r="G116" s="9">
        <v>958176408.20000005</v>
      </c>
      <c r="H116" s="10">
        <v>6.0245919388899997E-3</v>
      </c>
      <c r="I116" s="1" t="s">
        <v>26</v>
      </c>
      <c r="J116" s="1" t="s">
        <v>26</v>
      </c>
      <c r="K116" s="9" t="s">
        <v>26</v>
      </c>
      <c r="L116" s="10" t="s">
        <v>26</v>
      </c>
      <c r="M116" s="10" t="s">
        <v>26</v>
      </c>
      <c r="N116" s="10" t="s">
        <v>26</v>
      </c>
      <c r="O116" s="9" t="s">
        <v>26</v>
      </c>
      <c r="P116" s="10" t="s">
        <v>26</v>
      </c>
      <c r="Q116" s="1" t="s">
        <v>26</v>
      </c>
      <c r="R116" s="1" t="s">
        <v>26</v>
      </c>
      <c r="S116" s="9" t="s">
        <v>26</v>
      </c>
      <c r="T116" s="10" t="s">
        <v>26</v>
      </c>
      <c r="U116" s="1" t="s">
        <v>26</v>
      </c>
      <c r="V116" s="1" t="s">
        <v>26</v>
      </c>
      <c r="W116" s="9" t="s">
        <v>26</v>
      </c>
      <c r="X116" s="10" t="s">
        <v>26</v>
      </c>
      <c r="Y116" s="10" t="s">
        <v>26</v>
      </c>
      <c r="Z116" s="10" t="s">
        <v>26</v>
      </c>
      <c r="AA116" s="9" t="s">
        <v>26</v>
      </c>
      <c r="AB116" s="10" t="s">
        <v>26</v>
      </c>
      <c r="AC116" s="10" t="s">
        <v>26</v>
      </c>
      <c r="AD116" s="10" t="s">
        <v>26</v>
      </c>
      <c r="AE116" s="9">
        <v>958176408.20000005</v>
      </c>
      <c r="AF116" s="10">
        <v>1.4198246288399999E-3</v>
      </c>
      <c r="AG116" s="1" t="s">
        <v>26</v>
      </c>
      <c r="AH116" s="1" t="s">
        <v>26</v>
      </c>
      <c r="AI116" s="9" t="s">
        <v>26</v>
      </c>
      <c r="AJ116" s="10" t="s">
        <v>26</v>
      </c>
      <c r="AK116" s="10" t="s">
        <v>26</v>
      </c>
      <c r="AL116" s="10" t="s">
        <v>26</v>
      </c>
      <c r="AM116" s="9" t="s">
        <v>26</v>
      </c>
      <c r="AN116" s="10" t="s">
        <v>26</v>
      </c>
      <c r="AO116" s="10" t="s">
        <v>26</v>
      </c>
      <c r="AP116" s="10" t="s">
        <v>26</v>
      </c>
      <c r="AQ116" s="9" t="s">
        <v>26</v>
      </c>
      <c r="AR116" s="10" t="s">
        <v>26</v>
      </c>
      <c r="AS116" s="10" t="s">
        <v>26</v>
      </c>
      <c r="AT116" s="10" t="s">
        <v>26</v>
      </c>
      <c r="AU116" s="9" t="s">
        <v>26</v>
      </c>
      <c r="AV116" s="10" t="s">
        <v>26</v>
      </c>
      <c r="AW116" s="1" t="s">
        <v>26</v>
      </c>
      <c r="AX116" s="1" t="s">
        <v>26</v>
      </c>
      <c r="AY116" s="9">
        <v>958176408.20000005</v>
      </c>
      <c r="AZ116" s="10">
        <v>1.2532843373600001E-3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958176408.20000005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 t="s">
        <v>26</v>
      </c>
      <c r="P117" s="1" t="s">
        <v>26</v>
      </c>
      <c r="Q117" s="1" t="s">
        <v>26</v>
      </c>
      <c r="R117" s="1" t="s">
        <v>26</v>
      </c>
      <c r="S117" s="2" t="s">
        <v>26</v>
      </c>
      <c r="T117" s="1" t="s">
        <v>26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958176408.20000005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958176408.20000005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97</v>
      </c>
      <c r="B118" s="20" t="s">
        <v>25</v>
      </c>
      <c r="C118" s="9" t="s">
        <v>26</v>
      </c>
      <c r="D118" s="10" t="s">
        <v>26</v>
      </c>
      <c r="E118" s="10" t="s">
        <v>26</v>
      </c>
      <c r="F118" s="10" t="s">
        <v>26</v>
      </c>
      <c r="G118" s="9">
        <v>729435860.76999998</v>
      </c>
      <c r="H118" s="10">
        <v>4.5863719552299998E-3</v>
      </c>
      <c r="I118" s="1" t="s">
        <v>26</v>
      </c>
      <c r="J118" s="1" t="s">
        <v>26</v>
      </c>
      <c r="K118" s="9" t="s">
        <v>26</v>
      </c>
      <c r="L118" s="10" t="s">
        <v>26</v>
      </c>
      <c r="M118" s="10" t="s">
        <v>26</v>
      </c>
      <c r="N118" s="10" t="s">
        <v>26</v>
      </c>
      <c r="O118" s="9">
        <v>2102385565.75</v>
      </c>
      <c r="P118" s="10">
        <v>8.8908905641999995E-3</v>
      </c>
      <c r="Q118" s="1" t="s">
        <v>26</v>
      </c>
      <c r="R118" s="1" t="s">
        <v>26</v>
      </c>
      <c r="S118" s="9">
        <v>110857426.95</v>
      </c>
      <c r="T118" s="10">
        <v>9.4825179821999997E-4</v>
      </c>
      <c r="U118" s="1" t="s">
        <v>26</v>
      </c>
      <c r="V118" s="1" t="s">
        <v>26</v>
      </c>
      <c r="W118" s="9" t="s">
        <v>26</v>
      </c>
      <c r="X118" s="10" t="s">
        <v>26</v>
      </c>
      <c r="Y118" s="10" t="s">
        <v>26</v>
      </c>
      <c r="Z118" s="10" t="s">
        <v>26</v>
      </c>
      <c r="AA118" s="9" t="s">
        <v>26</v>
      </c>
      <c r="AB118" s="10" t="s">
        <v>26</v>
      </c>
      <c r="AC118" s="10" t="s">
        <v>26</v>
      </c>
      <c r="AD118" s="10" t="s">
        <v>26</v>
      </c>
      <c r="AE118" s="9">
        <v>2942678853.4699998</v>
      </c>
      <c r="AF118" s="10">
        <v>4.3604579231599997E-3</v>
      </c>
      <c r="AG118" s="1" t="s">
        <v>26</v>
      </c>
      <c r="AH118" s="1" t="s">
        <v>26</v>
      </c>
      <c r="AI118" s="9" t="s">
        <v>26</v>
      </c>
      <c r="AJ118" s="10" t="s">
        <v>26</v>
      </c>
      <c r="AK118" s="10" t="s">
        <v>26</v>
      </c>
      <c r="AL118" s="10" t="s">
        <v>26</v>
      </c>
      <c r="AM118" s="9" t="s">
        <v>26</v>
      </c>
      <c r="AN118" s="10" t="s">
        <v>26</v>
      </c>
      <c r="AO118" s="10" t="s">
        <v>26</v>
      </c>
      <c r="AP118" s="10" t="s">
        <v>26</v>
      </c>
      <c r="AQ118" s="9" t="s">
        <v>26</v>
      </c>
      <c r="AR118" s="10" t="s">
        <v>26</v>
      </c>
      <c r="AS118" s="10" t="s">
        <v>26</v>
      </c>
      <c r="AT118" s="10" t="s">
        <v>26</v>
      </c>
      <c r="AU118" s="9" t="s">
        <v>26</v>
      </c>
      <c r="AV118" s="10" t="s">
        <v>26</v>
      </c>
      <c r="AW118" s="1" t="s">
        <v>26</v>
      </c>
      <c r="AX118" s="1" t="s">
        <v>26</v>
      </c>
      <c r="AY118" s="9">
        <v>2942678853.4699998</v>
      </c>
      <c r="AZ118" s="10">
        <v>3.8489919866299999E-3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47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729435860.76999998</v>
      </c>
      <c r="H119" s="1">
        <v>1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2102385565.75</v>
      </c>
      <c r="P119" s="1">
        <v>1</v>
      </c>
      <c r="Q119" s="1" t="s">
        <v>26</v>
      </c>
      <c r="R119" s="1" t="s">
        <v>26</v>
      </c>
      <c r="S119" s="2">
        <v>110857426.95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2942678853.4699998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" t="s">
        <v>26</v>
      </c>
      <c r="AX119" s="1" t="s">
        <v>26</v>
      </c>
      <c r="AY119" s="2">
        <v>2942678853.4699998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98</v>
      </c>
      <c r="B120" s="20" t="s">
        <v>25</v>
      </c>
      <c r="C120" s="9" t="s">
        <v>26</v>
      </c>
      <c r="D120" s="10" t="s">
        <v>26</v>
      </c>
      <c r="E120" s="10" t="s">
        <v>26</v>
      </c>
      <c r="F120" s="10" t="s">
        <v>26</v>
      </c>
      <c r="G120" s="9">
        <v>1492003689.7</v>
      </c>
      <c r="H120" s="10">
        <v>9.3810631579299992E-3</v>
      </c>
      <c r="I120" s="1" t="s">
        <v>26</v>
      </c>
      <c r="J120" s="1" t="s">
        <v>26</v>
      </c>
      <c r="K120" s="9" t="s">
        <v>26</v>
      </c>
      <c r="L120" s="10" t="s">
        <v>26</v>
      </c>
      <c r="M120" s="10" t="s">
        <v>26</v>
      </c>
      <c r="N120" s="10" t="s">
        <v>26</v>
      </c>
      <c r="O120" s="9">
        <v>3554807974.0999999</v>
      </c>
      <c r="P120" s="10">
        <v>1.5033117230900001E-2</v>
      </c>
      <c r="Q120" s="1" t="s">
        <v>26</v>
      </c>
      <c r="R120" s="1" t="s">
        <v>26</v>
      </c>
      <c r="S120" s="9">
        <v>995346232.75</v>
      </c>
      <c r="T120" s="10">
        <v>8.5139884716800007E-3</v>
      </c>
      <c r="U120" s="1" t="s">
        <v>26</v>
      </c>
      <c r="V120" s="1" t="s">
        <v>26</v>
      </c>
      <c r="W120" s="9" t="s">
        <v>26</v>
      </c>
      <c r="X120" s="10" t="s">
        <v>26</v>
      </c>
      <c r="Y120" s="10" t="s">
        <v>26</v>
      </c>
      <c r="Z120" s="10" t="s">
        <v>26</v>
      </c>
      <c r="AA120" s="9" t="s">
        <v>26</v>
      </c>
      <c r="AB120" s="10" t="s">
        <v>26</v>
      </c>
      <c r="AC120" s="10" t="s">
        <v>26</v>
      </c>
      <c r="AD120" s="10" t="s">
        <v>26</v>
      </c>
      <c r="AE120" s="9">
        <v>6042157896.5500002</v>
      </c>
      <c r="AF120" s="10">
        <v>8.9532621753500002E-3</v>
      </c>
      <c r="AG120" s="1" t="s">
        <v>26</v>
      </c>
      <c r="AH120" s="1" t="s">
        <v>26</v>
      </c>
      <c r="AI120" s="9" t="s">
        <v>26</v>
      </c>
      <c r="AJ120" s="10" t="s">
        <v>26</v>
      </c>
      <c r="AK120" s="10" t="s">
        <v>26</v>
      </c>
      <c r="AL120" s="10" t="s">
        <v>26</v>
      </c>
      <c r="AM120" s="9" t="s">
        <v>26</v>
      </c>
      <c r="AN120" s="10" t="s">
        <v>26</v>
      </c>
      <c r="AO120" s="10" t="s">
        <v>26</v>
      </c>
      <c r="AP120" s="10" t="s">
        <v>26</v>
      </c>
      <c r="AQ120" s="9" t="s">
        <v>26</v>
      </c>
      <c r="AR120" s="10" t="s">
        <v>26</v>
      </c>
      <c r="AS120" s="10" t="s">
        <v>26</v>
      </c>
      <c r="AT120" s="10" t="s">
        <v>26</v>
      </c>
      <c r="AU120" s="9">
        <v>995346232.75</v>
      </c>
      <c r="AV120" s="10">
        <v>2.0818712559410001E-2</v>
      </c>
      <c r="AW120" s="1" t="s">
        <v>26</v>
      </c>
      <c r="AX120" s="1" t="s">
        <v>26</v>
      </c>
      <c r="AY120" s="9">
        <v>7037504129.3000002</v>
      </c>
      <c r="AZ120" s="10">
        <v>9.2049789828800004E-3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40</v>
      </c>
      <c r="C121" s="2" t="s">
        <v>26</v>
      </c>
      <c r="D121" s="1" t="s">
        <v>26</v>
      </c>
      <c r="E121" s="1" t="s">
        <v>26</v>
      </c>
      <c r="F121" s="1" t="s">
        <v>26</v>
      </c>
      <c r="G121" s="2">
        <v>1492003689.7</v>
      </c>
      <c r="H121" s="1">
        <v>1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3554807974.0999999</v>
      </c>
      <c r="P121" s="1">
        <v>1</v>
      </c>
      <c r="Q121" s="1" t="s">
        <v>26</v>
      </c>
      <c r="R121" s="1" t="s">
        <v>26</v>
      </c>
      <c r="S121" s="2">
        <v>995346232.75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6042157896.5500002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>
        <v>995346232.75</v>
      </c>
      <c r="AV121" s="1">
        <v>1</v>
      </c>
      <c r="AW121" s="1" t="s">
        <v>26</v>
      </c>
      <c r="AX121" s="1" t="s">
        <v>26</v>
      </c>
      <c r="AY121" s="2">
        <v>7037504129.3000002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99</v>
      </c>
      <c r="B122" s="20" t="s">
        <v>25</v>
      </c>
      <c r="C122" s="9" t="s">
        <v>26</v>
      </c>
      <c r="D122" s="10" t="s">
        <v>26</v>
      </c>
      <c r="E122" s="10" t="s">
        <v>26</v>
      </c>
      <c r="F122" s="10" t="s">
        <v>26</v>
      </c>
      <c r="G122" s="9">
        <v>569053963</v>
      </c>
      <c r="H122" s="10">
        <v>3.5779611029300002E-3</v>
      </c>
      <c r="I122" s="1" t="s">
        <v>26</v>
      </c>
      <c r="J122" s="1" t="s">
        <v>26</v>
      </c>
      <c r="K122" s="9" t="s">
        <v>26</v>
      </c>
      <c r="L122" s="10" t="s">
        <v>26</v>
      </c>
      <c r="M122" s="10" t="s">
        <v>26</v>
      </c>
      <c r="N122" s="10" t="s">
        <v>26</v>
      </c>
      <c r="O122" s="9">
        <v>789038844.01999998</v>
      </c>
      <c r="P122" s="10">
        <v>3.3368084938199998E-3</v>
      </c>
      <c r="Q122" s="1" t="s">
        <v>26</v>
      </c>
      <c r="R122" s="1" t="s">
        <v>26</v>
      </c>
      <c r="S122" s="9">
        <v>263130552.49000001</v>
      </c>
      <c r="T122" s="10">
        <v>2.25076502702E-3</v>
      </c>
      <c r="U122" s="1" t="s">
        <v>26</v>
      </c>
      <c r="V122" s="1" t="s">
        <v>26</v>
      </c>
      <c r="W122" s="9" t="s">
        <v>26</v>
      </c>
      <c r="X122" s="10" t="s">
        <v>26</v>
      </c>
      <c r="Y122" s="10" t="s">
        <v>26</v>
      </c>
      <c r="Z122" s="10" t="s">
        <v>26</v>
      </c>
      <c r="AA122" s="9">
        <v>853580944.5</v>
      </c>
      <c r="AB122" s="10">
        <v>5.8600449745800001E-3</v>
      </c>
      <c r="AC122" s="1" t="s">
        <v>26</v>
      </c>
      <c r="AD122" s="1" t="s">
        <v>26</v>
      </c>
      <c r="AE122" s="9">
        <v>2474804304.0100002</v>
      </c>
      <c r="AF122" s="10">
        <v>3.66716198846E-3</v>
      </c>
      <c r="AG122" s="1" t="s">
        <v>26</v>
      </c>
      <c r="AH122" s="1" t="s">
        <v>26</v>
      </c>
      <c r="AI122" s="9" t="s">
        <v>26</v>
      </c>
      <c r="AJ122" s="10" t="s">
        <v>26</v>
      </c>
      <c r="AK122" s="10" t="s">
        <v>26</v>
      </c>
      <c r="AL122" s="10" t="s">
        <v>26</v>
      </c>
      <c r="AM122" s="9" t="s">
        <v>26</v>
      </c>
      <c r="AN122" s="10" t="s">
        <v>26</v>
      </c>
      <c r="AO122" s="10" t="s">
        <v>26</v>
      </c>
      <c r="AP122" s="10" t="s">
        <v>26</v>
      </c>
      <c r="AQ122" s="9" t="s">
        <v>26</v>
      </c>
      <c r="AR122" s="10" t="s">
        <v>26</v>
      </c>
      <c r="AS122" s="10" t="s">
        <v>26</v>
      </c>
      <c r="AT122" s="10" t="s">
        <v>26</v>
      </c>
      <c r="AU122" s="9" t="s">
        <v>26</v>
      </c>
      <c r="AV122" s="10" t="s">
        <v>26</v>
      </c>
      <c r="AW122" s="1" t="s">
        <v>26</v>
      </c>
      <c r="AX122" s="1" t="s">
        <v>26</v>
      </c>
      <c r="AY122" s="9">
        <v>2474804304.0100002</v>
      </c>
      <c r="AZ122" s="10">
        <v>3.2370171564500001E-3</v>
      </c>
      <c r="BA122" s="1" t="s">
        <v>26</v>
      </c>
      <c r="BB122" s="1" t="s">
        <v>26</v>
      </c>
    </row>
    <row r="123" spans="1:54" s="28" customFormat="1">
      <c r="A123" s="33" t="s">
        <v>88</v>
      </c>
      <c r="B123" s="34" t="s">
        <v>47</v>
      </c>
      <c r="C123" s="18" t="s">
        <v>26</v>
      </c>
      <c r="D123" s="19" t="s">
        <v>26</v>
      </c>
      <c r="E123" s="19" t="s">
        <v>26</v>
      </c>
      <c r="F123" s="19" t="s">
        <v>26</v>
      </c>
      <c r="G123" s="18">
        <v>569053963</v>
      </c>
      <c r="H123" s="19">
        <v>1</v>
      </c>
      <c r="I123" s="19" t="s">
        <v>26</v>
      </c>
      <c r="J123" s="19" t="s">
        <v>26</v>
      </c>
      <c r="K123" s="18" t="s">
        <v>26</v>
      </c>
      <c r="L123" s="19" t="s">
        <v>26</v>
      </c>
      <c r="M123" s="19" t="s">
        <v>26</v>
      </c>
      <c r="N123" s="19" t="s">
        <v>26</v>
      </c>
      <c r="O123" s="18">
        <v>789038844.01999998</v>
      </c>
      <c r="P123" s="19">
        <v>1</v>
      </c>
      <c r="Q123" s="19" t="s">
        <v>26</v>
      </c>
      <c r="R123" s="19" t="s">
        <v>26</v>
      </c>
      <c r="S123" s="18">
        <v>263130552.49000001</v>
      </c>
      <c r="T123" s="19">
        <v>1</v>
      </c>
      <c r="U123" s="19" t="s">
        <v>26</v>
      </c>
      <c r="V123" s="19" t="s">
        <v>26</v>
      </c>
      <c r="W123" s="18" t="s">
        <v>26</v>
      </c>
      <c r="X123" s="19" t="s">
        <v>26</v>
      </c>
      <c r="Y123" s="19" t="s">
        <v>26</v>
      </c>
      <c r="Z123" s="19" t="s">
        <v>26</v>
      </c>
      <c r="AA123" s="18">
        <v>853580944.5</v>
      </c>
      <c r="AB123" s="19">
        <v>1</v>
      </c>
      <c r="AC123" s="19" t="s">
        <v>26</v>
      </c>
      <c r="AD123" s="19" t="s">
        <v>26</v>
      </c>
      <c r="AE123" s="36">
        <v>2474804304.0100002</v>
      </c>
      <c r="AF123" s="19">
        <v>1</v>
      </c>
      <c r="AG123" s="19" t="s">
        <v>26</v>
      </c>
      <c r="AH123" s="19" t="s">
        <v>26</v>
      </c>
      <c r="AI123" s="18" t="s">
        <v>26</v>
      </c>
      <c r="AJ123" s="19" t="s">
        <v>26</v>
      </c>
      <c r="AK123" s="19" t="s">
        <v>26</v>
      </c>
      <c r="AL123" s="19" t="s">
        <v>26</v>
      </c>
      <c r="AM123" s="18" t="s">
        <v>26</v>
      </c>
      <c r="AN123" s="19" t="s">
        <v>26</v>
      </c>
      <c r="AO123" s="19" t="s">
        <v>26</v>
      </c>
      <c r="AP123" s="19" t="s">
        <v>26</v>
      </c>
      <c r="AQ123" s="18" t="s">
        <v>26</v>
      </c>
      <c r="AR123" s="19" t="s">
        <v>26</v>
      </c>
      <c r="AS123" s="19" t="s">
        <v>26</v>
      </c>
      <c r="AT123" s="19" t="s">
        <v>26</v>
      </c>
      <c r="AU123" s="18" t="s">
        <v>26</v>
      </c>
      <c r="AV123" s="19" t="s">
        <v>26</v>
      </c>
      <c r="AW123" s="19" t="s">
        <v>26</v>
      </c>
      <c r="AX123" s="19" t="s">
        <v>26</v>
      </c>
      <c r="AY123" s="18">
        <v>2474804304.0100002</v>
      </c>
      <c r="AZ123" s="19">
        <v>1</v>
      </c>
      <c r="BA123" s="19" t="s">
        <v>26</v>
      </c>
      <c r="BB123" s="19" t="s">
        <v>26</v>
      </c>
    </row>
    <row r="124" spans="1:54" s="7" customFormat="1">
      <c r="A124" s="5" t="s">
        <v>100</v>
      </c>
      <c r="B124" s="20" t="s">
        <v>25</v>
      </c>
      <c r="C124" s="9" t="s">
        <v>26</v>
      </c>
      <c r="D124" s="10" t="s">
        <v>26</v>
      </c>
      <c r="E124" s="10" t="s">
        <v>26</v>
      </c>
      <c r="F124" s="10" t="s">
        <v>26</v>
      </c>
      <c r="G124" s="9" t="s">
        <v>26</v>
      </c>
      <c r="H124" s="10" t="s">
        <v>26</v>
      </c>
      <c r="I124" s="10" t="s">
        <v>26</v>
      </c>
      <c r="J124" s="10" t="s">
        <v>26</v>
      </c>
      <c r="K124" s="9" t="s">
        <v>26</v>
      </c>
      <c r="L124" s="10" t="s">
        <v>26</v>
      </c>
      <c r="M124" s="10" t="s">
        <v>26</v>
      </c>
      <c r="N124" s="10" t="s">
        <v>26</v>
      </c>
      <c r="O124" s="9">
        <v>370755353.38</v>
      </c>
      <c r="P124" s="10">
        <v>1.56790710833E-3</v>
      </c>
      <c r="Q124" s="1" t="s">
        <v>26</v>
      </c>
      <c r="R124" s="1" t="s">
        <v>26</v>
      </c>
      <c r="S124" s="9" t="s">
        <v>26</v>
      </c>
      <c r="T124" s="10" t="s">
        <v>26</v>
      </c>
      <c r="U124" s="10" t="s">
        <v>26</v>
      </c>
      <c r="V124" s="10" t="s">
        <v>26</v>
      </c>
      <c r="W124" s="9" t="s">
        <v>26</v>
      </c>
      <c r="X124" s="10" t="s">
        <v>26</v>
      </c>
      <c r="Y124" s="10" t="s">
        <v>26</v>
      </c>
      <c r="Z124" s="10" t="s">
        <v>26</v>
      </c>
      <c r="AA124" s="9" t="s">
        <v>26</v>
      </c>
      <c r="AB124" s="10" t="s">
        <v>26</v>
      </c>
      <c r="AC124" s="10" t="s">
        <v>26</v>
      </c>
      <c r="AD124" s="10" t="s">
        <v>26</v>
      </c>
      <c r="AE124" s="9">
        <v>370755353.38</v>
      </c>
      <c r="AF124" s="10">
        <v>5.4938482882000003E-4</v>
      </c>
      <c r="AG124" s="1" t="s">
        <v>26</v>
      </c>
      <c r="AH124" s="1" t="s">
        <v>26</v>
      </c>
      <c r="AI124" s="9" t="s">
        <v>26</v>
      </c>
      <c r="AJ124" s="10" t="s">
        <v>26</v>
      </c>
      <c r="AK124" s="10" t="s">
        <v>26</v>
      </c>
      <c r="AL124" s="10" t="s">
        <v>26</v>
      </c>
      <c r="AM124" s="9" t="s">
        <v>26</v>
      </c>
      <c r="AN124" s="10" t="s">
        <v>26</v>
      </c>
      <c r="AO124" s="10" t="s">
        <v>26</v>
      </c>
      <c r="AP124" s="10" t="s">
        <v>26</v>
      </c>
      <c r="AQ124" s="9" t="s">
        <v>26</v>
      </c>
      <c r="AR124" s="10" t="s">
        <v>26</v>
      </c>
      <c r="AS124" s="10" t="s">
        <v>26</v>
      </c>
      <c r="AT124" s="10" t="s">
        <v>26</v>
      </c>
      <c r="AU124" s="9" t="s">
        <v>26</v>
      </c>
      <c r="AV124" s="10" t="s">
        <v>26</v>
      </c>
      <c r="AW124" s="10" t="s">
        <v>26</v>
      </c>
      <c r="AX124" s="10" t="s">
        <v>26</v>
      </c>
      <c r="AY124" s="9">
        <v>370755353.38</v>
      </c>
      <c r="AZ124" s="10">
        <v>4.8494397629000001E-4</v>
      </c>
      <c r="BA124" s="1" t="s">
        <v>26</v>
      </c>
      <c r="BB124" s="1" t="s">
        <v>26</v>
      </c>
    </row>
    <row r="125" spans="1:54" s="7" customFormat="1">
      <c r="A125" s="3" t="s">
        <v>88</v>
      </c>
      <c r="B125" s="23" t="s">
        <v>57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370755353.38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370755353.38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370755353.38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101</v>
      </c>
      <c r="B126" s="20" t="s">
        <v>25</v>
      </c>
      <c r="C126" s="9" t="s">
        <v>26</v>
      </c>
      <c r="D126" s="10" t="s">
        <v>26</v>
      </c>
      <c r="E126" s="10" t="s">
        <v>26</v>
      </c>
      <c r="F126" s="10" t="s">
        <v>26</v>
      </c>
      <c r="G126" s="9" t="s">
        <v>26</v>
      </c>
      <c r="H126" s="10" t="s">
        <v>26</v>
      </c>
      <c r="I126" s="10" t="s">
        <v>26</v>
      </c>
      <c r="J126" s="10" t="s">
        <v>26</v>
      </c>
      <c r="K126" s="9" t="s">
        <v>26</v>
      </c>
      <c r="L126" s="10" t="s">
        <v>26</v>
      </c>
      <c r="M126" s="10" t="s">
        <v>26</v>
      </c>
      <c r="N126" s="10" t="s">
        <v>26</v>
      </c>
      <c r="O126" s="9">
        <v>32300188</v>
      </c>
      <c r="P126" s="10">
        <v>1.3659598952E-4</v>
      </c>
      <c r="Q126" s="1" t="s">
        <v>26</v>
      </c>
      <c r="R126" s="1" t="s">
        <v>26</v>
      </c>
      <c r="S126" s="9" t="s">
        <v>26</v>
      </c>
      <c r="T126" s="10" t="s">
        <v>26</v>
      </c>
      <c r="U126" s="10" t="s">
        <v>26</v>
      </c>
      <c r="V126" s="10" t="s">
        <v>26</v>
      </c>
      <c r="W126" s="9" t="s">
        <v>26</v>
      </c>
      <c r="X126" s="10" t="s">
        <v>26</v>
      </c>
      <c r="Y126" s="10" t="s">
        <v>26</v>
      </c>
      <c r="Z126" s="10" t="s">
        <v>26</v>
      </c>
      <c r="AA126" s="9" t="s">
        <v>26</v>
      </c>
      <c r="AB126" s="10" t="s">
        <v>26</v>
      </c>
      <c r="AC126" s="10" t="s">
        <v>26</v>
      </c>
      <c r="AD126" s="10" t="s">
        <v>26</v>
      </c>
      <c r="AE126" s="9">
        <v>32300188</v>
      </c>
      <c r="AF126" s="10">
        <v>4.786237904E-5</v>
      </c>
      <c r="AG126" s="1" t="s">
        <v>26</v>
      </c>
      <c r="AH126" s="1" t="s">
        <v>26</v>
      </c>
      <c r="AI126" s="9" t="s">
        <v>26</v>
      </c>
      <c r="AJ126" s="10" t="s">
        <v>26</v>
      </c>
      <c r="AK126" s="10" t="s">
        <v>26</v>
      </c>
      <c r="AL126" s="10" t="s">
        <v>26</v>
      </c>
      <c r="AM126" s="9" t="s">
        <v>26</v>
      </c>
      <c r="AN126" s="10" t="s">
        <v>26</v>
      </c>
      <c r="AO126" s="10" t="s">
        <v>26</v>
      </c>
      <c r="AP126" s="10" t="s">
        <v>26</v>
      </c>
      <c r="AQ126" s="9" t="s">
        <v>26</v>
      </c>
      <c r="AR126" s="10" t="s">
        <v>26</v>
      </c>
      <c r="AS126" s="10" t="s">
        <v>26</v>
      </c>
      <c r="AT126" s="10" t="s">
        <v>26</v>
      </c>
      <c r="AU126" s="9" t="s">
        <v>26</v>
      </c>
      <c r="AV126" s="10" t="s">
        <v>26</v>
      </c>
      <c r="AW126" s="10" t="s">
        <v>26</v>
      </c>
      <c r="AX126" s="10" t="s">
        <v>26</v>
      </c>
      <c r="AY126" s="9">
        <v>32300188</v>
      </c>
      <c r="AZ126" s="10">
        <v>4.224829517E-5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57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32300188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32300188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32300188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102</v>
      </c>
      <c r="B128" s="20" t="s">
        <v>25</v>
      </c>
      <c r="C128" s="9" t="s">
        <v>26</v>
      </c>
      <c r="D128" s="10" t="s">
        <v>26</v>
      </c>
      <c r="E128" s="10" t="s">
        <v>26</v>
      </c>
      <c r="F128" s="10" t="s">
        <v>26</v>
      </c>
      <c r="G128" s="9" t="s">
        <v>26</v>
      </c>
      <c r="H128" s="10" t="s">
        <v>26</v>
      </c>
      <c r="I128" s="10" t="s">
        <v>26</v>
      </c>
      <c r="J128" s="10" t="s">
        <v>26</v>
      </c>
      <c r="K128" s="9" t="s">
        <v>26</v>
      </c>
      <c r="L128" s="10" t="s">
        <v>26</v>
      </c>
      <c r="M128" s="10" t="s">
        <v>26</v>
      </c>
      <c r="N128" s="10" t="s">
        <v>26</v>
      </c>
      <c r="O128" s="9">
        <v>1836120197.8699999</v>
      </c>
      <c r="P128" s="10">
        <v>7.7648667342099997E-3</v>
      </c>
      <c r="Q128" s="1" t="s">
        <v>26</v>
      </c>
      <c r="R128" s="1" t="s">
        <v>26</v>
      </c>
      <c r="S128" s="9" t="s">
        <v>26</v>
      </c>
      <c r="T128" s="10" t="s">
        <v>26</v>
      </c>
      <c r="U128" s="10" t="s">
        <v>26</v>
      </c>
      <c r="V128" s="10" t="s">
        <v>26</v>
      </c>
      <c r="W128" s="9" t="s">
        <v>26</v>
      </c>
      <c r="X128" s="10" t="s">
        <v>26</v>
      </c>
      <c r="Y128" s="10" t="s">
        <v>26</v>
      </c>
      <c r="Z128" s="10" t="s">
        <v>26</v>
      </c>
      <c r="AA128" s="9" t="s">
        <v>26</v>
      </c>
      <c r="AB128" s="10" t="s">
        <v>26</v>
      </c>
      <c r="AC128" s="10" t="s">
        <v>26</v>
      </c>
      <c r="AD128" s="10" t="s">
        <v>26</v>
      </c>
      <c r="AE128" s="9">
        <v>1836120197.8699999</v>
      </c>
      <c r="AF128" s="10">
        <v>2.7207606617499999E-3</v>
      </c>
      <c r="AG128" s="1" t="s">
        <v>26</v>
      </c>
      <c r="AH128" s="1" t="s">
        <v>26</v>
      </c>
      <c r="AI128" s="9" t="s">
        <v>26</v>
      </c>
      <c r="AJ128" s="10" t="s">
        <v>26</v>
      </c>
      <c r="AK128" s="10" t="s">
        <v>26</v>
      </c>
      <c r="AL128" s="10" t="s">
        <v>26</v>
      </c>
      <c r="AM128" s="9" t="s">
        <v>26</v>
      </c>
      <c r="AN128" s="10" t="s">
        <v>26</v>
      </c>
      <c r="AO128" s="10" t="s">
        <v>26</v>
      </c>
      <c r="AP128" s="10" t="s">
        <v>26</v>
      </c>
      <c r="AQ128" s="9" t="s">
        <v>26</v>
      </c>
      <c r="AR128" s="10" t="s">
        <v>26</v>
      </c>
      <c r="AS128" s="10" t="s">
        <v>26</v>
      </c>
      <c r="AT128" s="10" t="s">
        <v>26</v>
      </c>
      <c r="AU128" s="9" t="s">
        <v>26</v>
      </c>
      <c r="AV128" s="10" t="s">
        <v>26</v>
      </c>
      <c r="AW128" s="10" t="s">
        <v>26</v>
      </c>
      <c r="AX128" s="10" t="s">
        <v>26</v>
      </c>
      <c r="AY128" s="9">
        <v>1836120197.8699999</v>
      </c>
      <c r="AZ128" s="10">
        <v>2.4016252809099998E-3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47</v>
      </c>
      <c r="C129" s="2" t="s">
        <v>26</v>
      </c>
      <c r="D129" s="1" t="s">
        <v>26</v>
      </c>
      <c r="E129" s="1" t="s">
        <v>26</v>
      </c>
      <c r="F129" s="1" t="s">
        <v>26</v>
      </c>
      <c r="G129" s="2" t="s">
        <v>26</v>
      </c>
      <c r="H129" s="1" t="s">
        <v>26</v>
      </c>
      <c r="I129" s="1" t="s">
        <v>26</v>
      </c>
      <c r="J129" s="1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1836120197.8699999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1836120197.8699999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1836120197.8699999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103</v>
      </c>
      <c r="B130" s="20" t="s">
        <v>25</v>
      </c>
      <c r="C130" s="9" t="s">
        <v>26</v>
      </c>
      <c r="D130" s="10" t="s">
        <v>26</v>
      </c>
      <c r="E130" s="10" t="s">
        <v>26</v>
      </c>
      <c r="F130" s="10" t="s">
        <v>26</v>
      </c>
      <c r="G130" s="9" t="s">
        <v>26</v>
      </c>
      <c r="H130" s="10" t="s">
        <v>26</v>
      </c>
      <c r="I130" s="10" t="s">
        <v>26</v>
      </c>
      <c r="J130" s="10" t="s">
        <v>26</v>
      </c>
      <c r="K130" s="9" t="s">
        <v>26</v>
      </c>
      <c r="L130" s="10" t="s">
        <v>26</v>
      </c>
      <c r="M130" s="10" t="s">
        <v>26</v>
      </c>
      <c r="N130" s="10" t="s">
        <v>26</v>
      </c>
      <c r="O130" s="9">
        <v>612413889</v>
      </c>
      <c r="P130" s="10">
        <v>2.5898697916300001E-3</v>
      </c>
      <c r="Q130" s="1" t="s">
        <v>26</v>
      </c>
      <c r="R130" s="1" t="s">
        <v>26</v>
      </c>
      <c r="S130" s="9" t="s">
        <v>26</v>
      </c>
      <c r="T130" s="10" t="s">
        <v>26</v>
      </c>
      <c r="U130" s="10" t="s">
        <v>26</v>
      </c>
      <c r="V130" s="10" t="s">
        <v>26</v>
      </c>
      <c r="W130" s="9" t="s">
        <v>26</v>
      </c>
      <c r="X130" s="10" t="s">
        <v>26</v>
      </c>
      <c r="Y130" s="10" t="s">
        <v>26</v>
      </c>
      <c r="Z130" s="10" t="s">
        <v>26</v>
      </c>
      <c r="AA130" s="9" t="s">
        <v>26</v>
      </c>
      <c r="AB130" s="10" t="s">
        <v>26</v>
      </c>
      <c r="AC130" s="10" t="s">
        <v>26</v>
      </c>
      <c r="AD130" s="10" t="s">
        <v>26</v>
      </c>
      <c r="AE130" s="9">
        <v>612413889</v>
      </c>
      <c r="AF130" s="10">
        <v>9.0747415110999997E-4</v>
      </c>
      <c r="AG130" s="1" t="s">
        <v>26</v>
      </c>
      <c r="AH130" s="1" t="s">
        <v>26</v>
      </c>
      <c r="AI130" s="9" t="s">
        <v>26</v>
      </c>
      <c r="AJ130" s="10" t="s">
        <v>26</v>
      </c>
      <c r="AK130" s="10" t="s">
        <v>26</v>
      </c>
      <c r="AL130" s="10" t="s">
        <v>26</v>
      </c>
      <c r="AM130" s="9" t="s">
        <v>26</v>
      </c>
      <c r="AN130" s="10" t="s">
        <v>26</v>
      </c>
      <c r="AO130" s="10" t="s">
        <v>26</v>
      </c>
      <c r="AP130" s="10" t="s">
        <v>26</v>
      </c>
      <c r="AQ130" s="9" t="s">
        <v>26</v>
      </c>
      <c r="AR130" s="10" t="s">
        <v>26</v>
      </c>
      <c r="AS130" s="10" t="s">
        <v>26</v>
      </c>
      <c r="AT130" s="10" t="s">
        <v>26</v>
      </c>
      <c r="AU130" s="9" t="s">
        <v>26</v>
      </c>
      <c r="AV130" s="10" t="s">
        <v>26</v>
      </c>
      <c r="AW130" s="10" t="s">
        <v>26</v>
      </c>
      <c r="AX130" s="10" t="s">
        <v>26</v>
      </c>
      <c r="AY130" s="9">
        <v>612413889</v>
      </c>
      <c r="AZ130" s="10">
        <v>8.0103071678000004E-4</v>
      </c>
      <c r="BA130" s="1" t="s">
        <v>26</v>
      </c>
      <c r="BB130" s="1" t="s">
        <v>26</v>
      </c>
    </row>
    <row r="131" spans="1:54" s="25" customFormat="1">
      <c r="A131" s="3" t="s">
        <v>88</v>
      </c>
      <c r="B131" s="23" t="s">
        <v>120</v>
      </c>
      <c r="C131" s="2" t="s">
        <v>26</v>
      </c>
      <c r="D131" s="1" t="s">
        <v>26</v>
      </c>
      <c r="E131" s="1" t="s">
        <v>26</v>
      </c>
      <c r="F131" s="1" t="s">
        <v>26</v>
      </c>
      <c r="G131" s="2" t="s">
        <v>26</v>
      </c>
      <c r="H131" s="1" t="s">
        <v>26</v>
      </c>
      <c r="I131" s="1" t="s">
        <v>26</v>
      </c>
      <c r="J131" s="1" t="s">
        <v>26</v>
      </c>
      <c r="K131" s="2" t="s">
        <v>26</v>
      </c>
      <c r="L131" s="1" t="s">
        <v>26</v>
      </c>
      <c r="M131" s="1" t="s">
        <v>26</v>
      </c>
      <c r="N131" s="1" t="s">
        <v>26</v>
      </c>
      <c r="O131" s="2">
        <v>612413889</v>
      </c>
      <c r="P131" s="1">
        <v>1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612413889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612413889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121</v>
      </c>
      <c r="B132" s="20" t="s">
        <v>25</v>
      </c>
      <c r="C132" s="9" t="s">
        <v>26</v>
      </c>
      <c r="D132" s="10" t="s">
        <v>26</v>
      </c>
      <c r="E132" s="10" t="s">
        <v>26</v>
      </c>
      <c r="F132" s="10" t="s">
        <v>26</v>
      </c>
      <c r="G132" s="9" t="s">
        <v>26</v>
      </c>
      <c r="H132" s="10" t="s">
        <v>26</v>
      </c>
      <c r="I132" s="10" t="s">
        <v>26</v>
      </c>
      <c r="J132" s="10" t="s">
        <v>26</v>
      </c>
      <c r="K132" s="9">
        <v>37446754.369999997</v>
      </c>
      <c r="L132" s="10">
        <v>1.1767467040240001E-2</v>
      </c>
      <c r="M132" s="1" t="s">
        <v>26</v>
      </c>
      <c r="N132" s="1" t="s">
        <v>26</v>
      </c>
      <c r="O132" s="9" t="s">
        <v>26</v>
      </c>
      <c r="P132" s="10" t="s">
        <v>26</v>
      </c>
      <c r="Q132" s="10" t="s">
        <v>26</v>
      </c>
      <c r="R132" s="10" t="s">
        <v>26</v>
      </c>
      <c r="S132" s="9" t="s">
        <v>26</v>
      </c>
      <c r="T132" s="10" t="s">
        <v>26</v>
      </c>
      <c r="U132" s="10" t="s">
        <v>26</v>
      </c>
      <c r="V132" s="10" t="s">
        <v>26</v>
      </c>
      <c r="W132" s="9" t="s">
        <v>26</v>
      </c>
      <c r="X132" s="10" t="s">
        <v>26</v>
      </c>
      <c r="Y132" s="10" t="s">
        <v>26</v>
      </c>
      <c r="Z132" s="10" t="s">
        <v>26</v>
      </c>
      <c r="AA132" s="9" t="s">
        <v>26</v>
      </c>
      <c r="AB132" s="10" t="s">
        <v>26</v>
      </c>
      <c r="AC132" s="10" t="s">
        <v>26</v>
      </c>
      <c r="AD132" s="10" t="s">
        <v>26</v>
      </c>
      <c r="AE132" s="9">
        <v>37446754.369999997</v>
      </c>
      <c r="AF132" s="10">
        <v>5.548855479E-5</v>
      </c>
      <c r="AG132" s="1" t="s">
        <v>26</v>
      </c>
      <c r="AH132" s="1" t="s">
        <v>26</v>
      </c>
      <c r="AI132" s="9" t="s">
        <v>26</v>
      </c>
      <c r="AJ132" s="10" t="s">
        <v>26</v>
      </c>
      <c r="AK132" s="10" t="s">
        <v>26</v>
      </c>
      <c r="AL132" s="10" t="s">
        <v>26</v>
      </c>
      <c r="AM132" s="9" t="s">
        <v>26</v>
      </c>
      <c r="AN132" s="10" t="s">
        <v>26</v>
      </c>
      <c r="AO132" s="10" t="s">
        <v>26</v>
      </c>
      <c r="AP132" s="10" t="s">
        <v>26</v>
      </c>
      <c r="AQ132" s="9" t="s">
        <v>26</v>
      </c>
      <c r="AR132" s="10" t="s">
        <v>26</v>
      </c>
      <c r="AS132" s="10" t="s">
        <v>26</v>
      </c>
      <c r="AT132" s="10" t="s">
        <v>26</v>
      </c>
      <c r="AU132" s="9" t="s">
        <v>26</v>
      </c>
      <c r="AV132" s="10" t="s">
        <v>26</v>
      </c>
      <c r="AW132" s="10" t="s">
        <v>26</v>
      </c>
      <c r="AX132" s="10" t="s">
        <v>26</v>
      </c>
      <c r="AY132" s="9">
        <v>37446754.369999997</v>
      </c>
      <c r="AZ132" s="10">
        <v>4.8979948090000002E-5</v>
      </c>
      <c r="BA132" s="1" t="s">
        <v>26</v>
      </c>
      <c r="BB132" s="1" t="s">
        <v>26</v>
      </c>
    </row>
    <row r="133" spans="1:54" customFormat="1">
      <c r="A133" s="3" t="s">
        <v>88</v>
      </c>
      <c r="B133" s="23" t="s">
        <v>47</v>
      </c>
      <c r="C133" s="2" t="s">
        <v>26</v>
      </c>
      <c r="D133" s="1" t="s">
        <v>26</v>
      </c>
      <c r="E133" s="1" t="s">
        <v>26</v>
      </c>
      <c r="F133" s="1" t="s">
        <v>26</v>
      </c>
      <c r="G133" s="2" t="s">
        <v>26</v>
      </c>
      <c r="H133" s="1" t="s">
        <v>26</v>
      </c>
      <c r="I133" s="1" t="s">
        <v>26</v>
      </c>
      <c r="J133" s="1" t="s">
        <v>26</v>
      </c>
      <c r="K133" s="2">
        <v>37446754.369999997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37446754.369999997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37446754.369999997</v>
      </c>
      <c r="AZ133" s="1">
        <v>1</v>
      </c>
      <c r="BA133" s="1" t="s">
        <v>26</v>
      </c>
      <c r="BB133" s="1" t="s">
        <v>26</v>
      </c>
    </row>
    <row r="134" spans="1:54" s="25" customFormat="1">
      <c r="A134" s="12" t="s">
        <v>106</v>
      </c>
      <c r="B134" s="27" t="s">
        <v>25</v>
      </c>
      <c r="C134" s="29" t="s">
        <v>26</v>
      </c>
      <c r="D134" s="30" t="s">
        <v>26</v>
      </c>
      <c r="E134" s="30" t="s">
        <v>26</v>
      </c>
      <c r="F134" s="30" t="s">
        <v>26</v>
      </c>
      <c r="G134" s="29">
        <v>158795429.09999999</v>
      </c>
      <c r="H134" s="30">
        <v>9.9881042695838134E-4</v>
      </c>
      <c r="I134" s="30">
        <v>0.05</v>
      </c>
      <c r="J134" s="30">
        <v>4.9001189573041622E-2</v>
      </c>
      <c r="K134" s="29" t="s">
        <v>26</v>
      </c>
      <c r="L134" s="30" t="s">
        <v>26</v>
      </c>
      <c r="M134" s="30" t="s">
        <v>26</v>
      </c>
      <c r="N134" s="30" t="s">
        <v>26</v>
      </c>
      <c r="O134" s="29" t="s">
        <v>26</v>
      </c>
      <c r="P134" s="30" t="s">
        <v>26</v>
      </c>
      <c r="Q134" s="30" t="s">
        <v>26</v>
      </c>
      <c r="R134" s="30" t="s">
        <v>26</v>
      </c>
      <c r="S134" s="29">
        <v>158795429.09999999</v>
      </c>
      <c r="T134" s="30">
        <v>1.3583036818999999E-3</v>
      </c>
      <c r="U134" s="30">
        <v>0.05</v>
      </c>
      <c r="V134" s="30">
        <v>4.8641696318100003E-2</v>
      </c>
      <c r="W134" s="29" t="s">
        <v>26</v>
      </c>
      <c r="X134" s="30" t="s">
        <v>26</v>
      </c>
      <c r="Y134" s="30" t="s">
        <v>26</v>
      </c>
      <c r="Z134" s="30" t="s">
        <v>26</v>
      </c>
      <c r="AA134" s="29">
        <v>158795429.09999999</v>
      </c>
      <c r="AB134" s="30">
        <v>1.0901700211099999E-3</v>
      </c>
      <c r="AC134" s="30">
        <v>0.05</v>
      </c>
      <c r="AD134" s="30">
        <v>4.8909829978890006E-2</v>
      </c>
      <c r="AE134" s="29">
        <v>476386287.30000001</v>
      </c>
      <c r="AF134" s="30">
        <v>7.0600398774296454E-4</v>
      </c>
      <c r="AG134" s="30">
        <v>0.05</v>
      </c>
      <c r="AH134" s="30">
        <v>4.9293996012257035E-2</v>
      </c>
      <c r="AI134" s="29" t="s">
        <v>26</v>
      </c>
      <c r="AJ134" s="30" t="s">
        <v>26</v>
      </c>
      <c r="AK134" s="30" t="s">
        <v>26</v>
      </c>
      <c r="AL134" s="30" t="s">
        <v>26</v>
      </c>
      <c r="AM134" s="29" t="s">
        <v>26</v>
      </c>
      <c r="AN134" s="30" t="s">
        <v>26</v>
      </c>
      <c r="AO134" s="30" t="s">
        <v>26</v>
      </c>
      <c r="AP134" s="30" t="s">
        <v>26</v>
      </c>
      <c r="AQ134" s="29" t="s">
        <v>26</v>
      </c>
      <c r="AR134" s="30" t="s">
        <v>26</v>
      </c>
      <c r="AS134" s="30" t="s">
        <v>26</v>
      </c>
      <c r="AT134" s="30" t="s">
        <v>26</v>
      </c>
      <c r="AU134" s="29" t="s">
        <v>26</v>
      </c>
      <c r="AV134" s="30" t="s">
        <v>26</v>
      </c>
      <c r="AW134" s="30" t="s">
        <v>26</v>
      </c>
      <c r="AX134" s="30" t="s">
        <v>26</v>
      </c>
      <c r="AY134" s="29">
        <v>476386287.30000001</v>
      </c>
      <c r="AZ134" s="30">
        <v>6.2318330829507222E-4</v>
      </c>
      <c r="BA134" s="30">
        <v>0.05</v>
      </c>
      <c r="BB134" s="30">
        <v>4.9376816691704933E-2</v>
      </c>
    </row>
    <row r="135" spans="1:54" s="7" customFormat="1">
      <c r="A135" s="5" t="s">
        <v>107</v>
      </c>
      <c r="B135" s="20" t="s">
        <v>25</v>
      </c>
      <c r="C135" s="9" t="s">
        <v>26</v>
      </c>
      <c r="D135" s="10" t="s">
        <v>26</v>
      </c>
      <c r="E135" s="10" t="s">
        <v>26</v>
      </c>
      <c r="F135" s="10" t="s">
        <v>26</v>
      </c>
      <c r="G135" s="9">
        <v>158795429.09999999</v>
      </c>
      <c r="H135" s="10">
        <v>9.9843583489000001E-4</v>
      </c>
      <c r="I135" s="10" t="s">
        <v>26</v>
      </c>
      <c r="J135" s="10" t="s">
        <v>26</v>
      </c>
      <c r="K135" s="9" t="s">
        <v>26</v>
      </c>
      <c r="L135" s="10" t="s">
        <v>26</v>
      </c>
      <c r="M135" s="10" t="s">
        <v>26</v>
      </c>
      <c r="N135" s="10" t="s">
        <v>26</v>
      </c>
      <c r="O135" s="9" t="s">
        <v>26</v>
      </c>
      <c r="P135" s="10" t="s">
        <v>26</v>
      </c>
      <c r="Q135" s="10" t="s">
        <v>26</v>
      </c>
      <c r="R135" s="10" t="s">
        <v>26</v>
      </c>
      <c r="S135" s="9">
        <v>158795429.09999999</v>
      </c>
      <c r="T135" s="10">
        <v>1.3583036818999999E-3</v>
      </c>
      <c r="U135" s="10" t="s">
        <v>26</v>
      </c>
      <c r="V135" s="10" t="s">
        <v>26</v>
      </c>
      <c r="W135" s="9" t="s">
        <v>26</v>
      </c>
      <c r="X135" s="10" t="s">
        <v>26</v>
      </c>
      <c r="Y135" s="10" t="s">
        <v>26</v>
      </c>
      <c r="Z135" s="10" t="s">
        <v>26</v>
      </c>
      <c r="AA135" s="9">
        <v>158795429.09999999</v>
      </c>
      <c r="AB135" s="10">
        <v>1.0901700211099999E-3</v>
      </c>
      <c r="AC135" s="10" t="s">
        <v>26</v>
      </c>
      <c r="AD135" s="10" t="s">
        <v>26</v>
      </c>
      <c r="AE135" s="9">
        <v>476386287.30000001</v>
      </c>
      <c r="AF135" s="10">
        <v>7.0590861740999996E-4</v>
      </c>
      <c r="AG135" s="10" t="s">
        <v>26</v>
      </c>
      <c r="AH135" s="10" t="s">
        <v>26</v>
      </c>
      <c r="AI135" s="9" t="s">
        <v>26</v>
      </c>
      <c r="AJ135" s="10" t="s">
        <v>26</v>
      </c>
      <c r="AK135" s="10" t="s">
        <v>26</v>
      </c>
      <c r="AL135" s="10" t="s">
        <v>26</v>
      </c>
      <c r="AM135" s="9" t="s">
        <v>26</v>
      </c>
      <c r="AN135" s="10" t="s">
        <v>26</v>
      </c>
      <c r="AO135" s="10" t="s">
        <v>26</v>
      </c>
      <c r="AP135" s="10" t="s">
        <v>26</v>
      </c>
      <c r="AQ135" s="9" t="s">
        <v>26</v>
      </c>
      <c r="AR135" s="10" t="s">
        <v>26</v>
      </c>
      <c r="AS135" s="10" t="s">
        <v>26</v>
      </c>
      <c r="AT135" s="10" t="s">
        <v>26</v>
      </c>
      <c r="AU135" s="9" t="s">
        <v>26</v>
      </c>
      <c r="AV135" s="10" t="s">
        <v>26</v>
      </c>
      <c r="AW135" s="10" t="s">
        <v>26</v>
      </c>
      <c r="AX135" s="10" t="s">
        <v>26</v>
      </c>
      <c r="AY135" s="9">
        <v>476386287.30000001</v>
      </c>
      <c r="AZ135" s="10">
        <v>6.2310809084999998E-4</v>
      </c>
      <c r="BA135" s="10" t="s">
        <v>26</v>
      </c>
      <c r="BB135" s="10" t="s">
        <v>26</v>
      </c>
    </row>
    <row r="136" spans="1:54" s="25" customFormat="1">
      <c r="A136" s="3" t="s">
        <v>108</v>
      </c>
      <c r="B136" s="23" t="s">
        <v>40</v>
      </c>
      <c r="C136" s="2" t="s">
        <v>26</v>
      </c>
      <c r="D136" s="1" t="s">
        <v>26</v>
      </c>
      <c r="E136" s="1" t="s">
        <v>26</v>
      </c>
      <c r="F136" s="1" t="s">
        <v>26</v>
      </c>
      <c r="G136" s="2">
        <v>158795429.09999999</v>
      </c>
      <c r="H136" s="1">
        <v>1</v>
      </c>
      <c r="I136" s="1" t="s">
        <v>26</v>
      </c>
      <c r="J136" s="1" t="s">
        <v>26</v>
      </c>
      <c r="K136" s="2" t="s">
        <v>26</v>
      </c>
      <c r="L136" s="1" t="s">
        <v>26</v>
      </c>
      <c r="M136" s="1" t="s">
        <v>26</v>
      </c>
      <c r="N136" s="1" t="s">
        <v>26</v>
      </c>
      <c r="O136" s="2" t="s">
        <v>26</v>
      </c>
      <c r="P136" s="1" t="s">
        <v>26</v>
      </c>
      <c r="Q136" s="1" t="s">
        <v>26</v>
      </c>
      <c r="R136" s="1" t="s">
        <v>26</v>
      </c>
      <c r="S136" s="2">
        <v>158795429.09999999</v>
      </c>
      <c r="T136" s="1">
        <v>1</v>
      </c>
      <c r="U136" s="1" t="s">
        <v>26</v>
      </c>
      <c r="V136" s="1" t="s">
        <v>26</v>
      </c>
      <c r="W136" s="2" t="s">
        <v>26</v>
      </c>
      <c r="X136" s="1" t="s">
        <v>26</v>
      </c>
      <c r="Y136" s="1" t="s">
        <v>26</v>
      </c>
      <c r="Z136" s="1" t="s">
        <v>26</v>
      </c>
      <c r="AA136" s="2">
        <v>158795429.09999999</v>
      </c>
      <c r="AB136" s="1">
        <v>1</v>
      </c>
      <c r="AC136" s="1" t="s">
        <v>26</v>
      </c>
      <c r="AD136" s="1" t="s">
        <v>26</v>
      </c>
      <c r="AE136" s="2">
        <v>476386287.30000001</v>
      </c>
      <c r="AF136" s="1">
        <v>1</v>
      </c>
      <c r="AG136" s="1" t="s">
        <v>26</v>
      </c>
      <c r="AH136" s="1" t="s">
        <v>26</v>
      </c>
      <c r="AI136" s="2" t="s">
        <v>26</v>
      </c>
      <c r="AJ136" s="1" t="s">
        <v>26</v>
      </c>
      <c r="AK136" s="1" t="s">
        <v>26</v>
      </c>
      <c r="AL136" s="1" t="s">
        <v>26</v>
      </c>
      <c r="AM136" s="2" t="s">
        <v>26</v>
      </c>
      <c r="AN136" s="1" t="s">
        <v>26</v>
      </c>
      <c r="AO136" s="1" t="s">
        <v>26</v>
      </c>
      <c r="AP136" s="1" t="s">
        <v>26</v>
      </c>
      <c r="AQ136" s="2" t="s">
        <v>26</v>
      </c>
      <c r="AR136" s="1" t="s">
        <v>26</v>
      </c>
      <c r="AS136" s="1" t="s">
        <v>26</v>
      </c>
      <c r="AT136" s="1" t="s">
        <v>26</v>
      </c>
      <c r="AU136" s="2" t="s">
        <v>26</v>
      </c>
      <c r="AV136" s="1" t="s">
        <v>26</v>
      </c>
      <c r="AW136" s="1" t="s">
        <v>26</v>
      </c>
      <c r="AX136" s="1" t="s">
        <v>26</v>
      </c>
      <c r="AY136" s="2">
        <v>476386287.30000001</v>
      </c>
      <c r="AZ136" s="1">
        <v>1</v>
      </c>
      <c r="BA136" s="1" t="s">
        <v>26</v>
      </c>
      <c r="BB136" s="1" t="s">
        <v>26</v>
      </c>
    </row>
    <row r="137" spans="1:54">
      <c r="A137" s="12" t="s">
        <v>109</v>
      </c>
      <c r="B137" s="27" t="s">
        <v>25</v>
      </c>
      <c r="C137" s="29">
        <v>6926572588.4799995</v>
      </c>
      <c r="D137" s="30">
        <v>0.99980000000000002</v>
      </c>
      <c r="E137" s="30" t="s">
        <v>26</v>
      </c>
      <c r="F137" s="30" t="s">
        <v>26</v>
      </c>
      <c r="G137" s="29">
        <v>158984552838.09</v>
      </c>
      <c r="H137" s="30">
        <v>0.99561978381805938</v>
      </c>
      <c r="I137" s="30" t="s">
        <v>26</v>
      </c>
      <c r="J137" s="30" t="s">
        <v>26</v>
      </c>
      <c r="K137" s="29">
        <v>3178599371.9899998</v>
      </c>
      <c r="L137" s="30">
        <v>0.99890000000000001</v>
      </c>
      <c r="M137" s="30" t="s">
        <v>26</v>
      </c>
      <c r="N137" s="30" t="s">
        <v>26</v>
      </c>
      <c r="O137" s="29">
        <v>236464937208.82001</v>
      </c>
      <c r="P137" s="30">
        <v>1</v>
      </c>
      <c r="Q137" s="30" t="s">
        <v>26</v>
      </c>
      <c r="R137" s="30" t="s">
        <v>26</v>
      </c>
      <c r="S137" s="29">
        <v>116906759321.64</v>
      </c>
      <c r="T137" s="30">
        <v>1</v>
      </c>
      <c r="U137" s="30" t="s">
        <v>26</v>
      </c>
      <c r="V137" s="30" t="s">
        <v>26</v>
      </c>
      <c r="W137" s="29">
        <v>6660286453.9799995</v>
      </c>
      <c r="X137" s="30">
        <v>0.99890000000000001</v>
      </c>
      <c r="Y137" s="30" t="s">
        <v>26</v>
      </c>
      <c r="Z137" s="30" t="s">
        <v>26</v>
      </c>
      <c r="AA137" s="29">
        <v>145642593227.48999</v>
      </c>
      <c r="AB137" s="30">
        <v>0.99990000000000001</v>
      </c>
      <c r="AC137" s="30" t="s">
        <v>26</v>
      </c>
      <c r="AD137" s="30" t="s">
        <v>26</v>
      </c>
      <c r="AE137" s="29">
        <v>674764301010.48999</v>
      </c>
      <c r="AF137" s="30">
        <v>0.99995190803072098</v>
      </c>
      <c r="AG137" s="30" t="s">
        <v>26</v>
      </c>
      <c r="AH137" s="30" t="s">
        <v>26</v>
      </c>
      <c r="AI137" s="29">
        <v>17476181309.549999</v>
      </c>
      <c r="AJ137" s="30">
        <v>1</v>
      </c>
      <c r="AK137" s="30" t="s">
        <v>26</v>
      </c>
      <c r="AL137" s="30" t="s">
        <v>26</v>
      </c>
      <c r="AM137" s="29">
        <v>24389496694.720001</v>
      </c>
      <c r="AN137" s="30">
        <v>1</v>
      </c>
      <c r="AO137" s="30" t="s">
        <v>26</v>
      </c>
      <c r="AP137" s="30" t="s">
        <v>26</v>
      </c>
      <c r="AQ137" s="29">
        <v>41865678004.269997</v>
      </c>
      <c r="AR137" s="30">
        <v>1</v>
      </c>
      <c r="AS137" s="30" t="s">
        <v>26</v>
      </c>
      <c r="AT137" s="30" t="s">
        <v>26</v>
      </c>
      <c r="AU137" s="29">
        <v>47810083738.709999</v>
      </c>
      <c r="AV137" s="30">
        <v>1</v>
      </c>
      <c r="AW137" s="30" t="s">
        <v>26</v>
      </c>
      <c r="AX137" s="30" t="s">
        <v>26</v>
      </c>
      <c r="AY137" s="29">
        <v>764440062753.46997</v>
      </c>
      <c r="AZ137" s="30">
        <v>1</v>
      </c>
      <c r="BA137" s="30" t="s">
        <v>26</v>
      </c>
      <c r="BB137" s="30" t="s">
        <v>26</v>
      </c>
    </row>
    <row r="138" spans="1:54" s="7" customFormat="1">
      <c r="A138" s="5" t="s">
        <v>110</v>
      </c>
      <c r="B138" s="20" t="s">
        <v>25</v>
      </c>
      <c r="C138" s="9">
        <v>1652454.54</v>
      </c>
      <c r="D138" s="10">
        <v>2.0000000000000001E-4</v>
      </c>
      <c r="E138" s="10" t="s">
        <v>26</v>
      </c>
      <c r="F138" s="10" t="s">
        <v>26</v>
      </c>
      <c r="G138" s="9">
        <v>937314.74</v>
      </c>
      <c r="H138" s="10">
        <v>5.895599271977434E-6</v>
      </c>
      <c r="I138" s="10" t="s">
        <v>26</v>
      </c>
      <c r="J138" s="10" t="s">
        <v>26</v>
      </c>
      <c r="K138" s="9">
        <v>3627885.75</v>
      </c>
      <c r="L138" s="10">
        <v>1.1000000000000001E-3</v>
      </c>
      <c r="M138" s="10" t="s">
        <v>26</v>
      </c>
      <c r="N138" s="10" t="s">
        <v>26</v>
      </c>
      <c r="O138" s="9">
        <v>189717.32</v>
      </c>
      <c r="P138" s="10">
        <v>0</v>
      </c>
      <c r="Q138" s="10" t="s">
        <v>26</v>
      </c>
      <c r="R138" s="10" t="s">
        <v>26</v>
      </c>
      <c r="S138" s="9">
        <v>403057.22</v>
      </c>
      <c r="T138" s="10">
        <v>0</v>
      </c>
      <c r="U138" s="10" t="s">
        <v>26</v>
      </c>
      <c r="V138" s="10" t="s">
        <v>26</v>
      </c>
      <c r="W138" s="9">
        <v>7075810.7400000002</v>
      </c>
      <c r="X138" s="10">
        <v>1.1000000000000001E-3</v>
      </c>
      <c r="Y138" s="10" t="s">
        <v>26</v>
      </c>
      <c r="Z138" s="10" t="s">
        <v>26</v>
      </c>
      <c r="AA138" s="9">
        <v>18566064.420000002</v>
      </c>
      <c r="AB138" s="10">
        <v>1E-4</v>
      </c>
      <c r="AC138" s="10" t="s">
        <v>26</v>
      </c>
      <c r="AD138" s="10" t="s">
        <v>26</v>
      </c>
      <c r="AE138" s="9">
        <v>32452304.73</v>
      </c>
      <c r="AF138" s="10">
        <v>0</v>
      </c>
      <c r="AG138" s="10" t="s">
        <v>26</v>
      </c>
      <c r="AH138" s="10" t="s">
        <v>26</v>
      </c>
      <c r="AI138" s="9">
        <v>167942.27</v>
      </c>
      <c r="AJ138" s="10">
        <v>0</v>
      </c>
      <c r="AK138" s="10" t="s">
        <v>26</v>
      </c>
      <c r="AL138" s="10" t="s">
        <v>26</v>
      </c>
      <c r="AM138" s="9">
        <v>859041.08</v>
      </c>
      <c r="AN138" s="10">
        <v>0</v>
      </c>
      <c r="AO138" s="10" t="s">
        <v>26</v>
      </c>
      <c r="AP138" s="10" t="s">
        <v>26</v>
      </c>
      <c r="AQ138" s="9">
        <v>1026983.35</v>
      </c>
      <c r="AR138" s="10">
        <v>0</v>
      </c>
      <c r="AS138" s="10" t="s">
        <v>26</v>
      </c>
      <c r="AT138" s="10" t="s">
        <v>26</v>
      </c>
      <c r="AU138" s="9">
        <v>88475.8</v>
      </c>
      <c r="AV138" s="10">
        <v>0</v>
      </c>
      <c r="AW138" s="10" t="s">
        <v>26</v>
      </c>
      <c r="AX138" s="10" t="s">
        <v>26</v>
      </c>
      <c r="AY138" s="9">
        <v>33567763.880000003</v>
      </c>
      <c r="AZ138" s="10">
        <v>0</v>
      </c>
      <c r="BA138" s="10" t="s">
        <v>26</v>
      </c>
      <c r="BB138" s="10" t="s">
        <v>26</v>
      </c>
    </row>
    <row r="139" spans="1:54">
      <c r="A139" s="12" t="s">
        <v>111</v>
      </c>
      <c r="B139" s="27" t="s">
        <v>25</v>
      </c>
      <c r="C139" s="29">
        <v>6928225043.0200005</v>
      </c>
      <c r="D139" s="30">
        <v>1</v>
      </c>
      <c r="E139" s="30" t="s">
        <v>26</v>
      </c>
      <c r="F139" s="30" t="s">
        <v>26</v>
      </c>
      <c r="G139" s="29">
        <v>158985490152.82999</v>
      </c>
      <c r="H139" s="30">
        <v>1</v>
      </c>
      <c r="I139" s="30" t="s">
        <v>26</v>
      </c>
      <c r="J139" s="30" t="s">
        <v>26</v>
      </c>
      <c r="K139" s="29">
        <v>3182227257.7399998</v>
      </c>
      <c r="L139" s="30">
        <v>1</v>
      </c>
      <c r="M139" s="30" t="s">
        <v>26</v>
      </c>
      <c r="N139" s="30" t="s">
        <v>26</v>
      </c>
      <c r="O139" s="29">
        <v>236465126926.14001</v>
      </c>
      <c r="P139" s="30">
        <v>1</v>
      </c>
      <c r="Q139" s="30" t="s">
        <v>26</v>
      </c>
      <c r="R139" s="30" t="s">
        <v>26</v>
      </c>
      <c r="S139" s="29">
        <v>116907162378.86</v>
      </c>
      <c r="T139" s="30">
        <v>1</v>
      </c>
      <c r="U139" s="30" t="s">
        <v>26</v>
      </c>
      <c r="V139" s="30" t="s">
        <v>26</v>
      </c>
      <c r="W139" s="29">
        <v>6667362264.7200003</v>
      </c>
      <c r="X139" s="30">
        <v>1</v>
      </c>
      <c r="Y139" s="30" t="s">
        <v>26</v>
      </c>
      <c r="Z139" s="30" t="s">
        <v>26</v>
      </c>
      <c r="AA139" s="29">
        <v>145661159291.91</v>
      </c>
      <c r="AB139" s="30">
        <v>1</v>
      </c>
      <c r="AC139" s="30" t="s">
        <v>26</v>
      </c>
      <c r="AD139" s="30" t="s">
        <v>26</v>
      </c>
      <c r="AE139" s="29">
        <v>674796753315.21997</v>
      </c>
      <c r="AF139" s="30">
        <v>1</v>
      </c>
      <c r="AG139" s="30" t="s">
        <v>26</v>
      </c>
      <c r="AH139" s="30" t="s">
        <v>26</v>
      </c>
      <c r="AI139" s="29">
        <v>17476349251.82</v>
      </c>
      <c r="AJ139" s="30">
        <v>1</v>
      </c>
      <c r="AK139" s="30" t="s">
        <v>26</v>
      </c>
      <c r="AL139" s="30" t="s">
        <v>26</v>
      </c>
      <c r="AM139" s="29">
        <v>24390355735.799999</v>
      </c>
      <c r="AN139" s="30">
        <v>1</v>
      </c>
      <c r="AO139" s="30" t="s">
        <v>26</v>
      </c>
      <c r="AP139" s="30" t="s">
        <v>26</v>
      </c>
      <c r="AQ139" s="29">
        <v>41866704987.620003</v>
      </c>
      <c r="AR139" s="30">
        <v>1</v>
      </c>
      <c r="AS139" s="30" t="s">
        <v>26</v>
      </c>
      <c r="AT139" s="30" t="s">
        <v>26</v>
      </c>
      <c r="AU139" s="29">
        <v>47810172214.510002</v>
      </c>
      <c r="AV139" s="30">
        <v>1</v>
      </c>
      <c r="AW139" s="30" t="s">
        <v>26</v>
      </c>
      <c r="AX139" s="30" t="s">
        <v>26</v>
      </c>
      <c r="AY139" s="29">
        <v>764473630517.34998</v>
      </c>
      <c r="AZ139" s="30">
        <v>1</v>
      </c>
      <c r="BA139" s="30" t="s">
        <v>26</v>
      </c>
      <c r="BB139" s="30" t="s">
        <v>26</v>
      </c>
    </row>
    <row r="140" spans="1:54">
      <c r="A140" s="24"/>
    </row>
    <row r="141" spans="1:54">
      <c r="A141" s="17" t="s">
        <v>112</v>
      </c>
      <c r="AY141" s="39"/>
    </row>
    <row r="142" spans="1:54">
      <c r="A142" s="24" t="s">
        <v>113</v>
      </c>
    </row>
    <row r="143" spans="1:54">
      <c r="A143" s="24" t="s">
        <v>114</v>
      </c>
      <c r="AY143" s="37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0"/>
  <sheetViews>
    <sheetView zoomScaleNormal="100" workbookViewId="0">
      <pane xSplit="2" ySplit="7" topLeftCell="AV122" activePane="bottomRight" state="frozen"/>
      <selection pane="topRight" activeCell="C1" sqref="C1"/>
      <selection pane="bottomLeft" activeCell="A8" sqref="A8"/>
      <selection pane="bottomRight" activeCell="A132" sqref="A132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8.85546875" style="13" bestFit="1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2802165751.0599999</v>
      </c>
      <c r="D8" s="43">
        <v>0.39502281858635002</v>
      </c>
      <c r="E8" s="43" t="s">
        <v>26</v>
      </c>
      <c r="F8" s="43" t="s">
        <v>26</v>
      </c>
      <c r="G8" s="42">
        <v>85772848559.940002</v>
      </c>
      <c r="H8" s="43">
        <v>0.53509270320939994</v>
      </c>
      <c r="I8" s="43" t="s">
        <v>26</v>
      </c>
      <c r="J8" s="43" t="s">
        <v>26</v>
      </c>
      <c r="K8" s="42">
        <v>958384551.20000005</v>
      </c>
      <c r="L8" s="43">
        <v>0.28634333603866002</v>
      </c>
      <c r="M8" s="43" t="s">
        <v>26</v>
      </c>
      <c r="N8" s="43" t="s">
        <v>26</v>
      </c>
      <c r="O8" s="42">
        <v>105538786824.03999</v>
      </c>
      <c r="P8" s="43">
        <v>0.44286084647025997</v>
      </c>
      <c r="Q8" s="43" t="s">
        <v>26</v>
      </c>
      <c r="R8" s="43" t="s">
        <v>26</v>
      </c>
      <c r="S8" s="42">
        <v>64394153941.25</v>
      </c>
      <c r="T8" s="43">
        <v>0.54707527471012996</v>
      </c>
      <c r="U8" s="43" t="s">
        <v>26</v>
      </c>
      <c r="V8" s="43" t="s">
        <v>26</v>
      </c>
      <c r="W8" s="42">
        <v>2300699261.8400002</v>
      </c>
      <c r="X8" s="43">
        <v>0.34150359077262998</v>
      </c>
      <c r="Y8" s="43" t="s">
        <v>26</v>
      </c>
      <c r="Z8" s="43" t="s">
        <v>26</v>
      </c>
      <c r="AA8" s="42">
        <v>75398160806.539993</v>
      </c>
      <c r="AB8" s="43">
        <v>0.51380894486024997</v>
      </c>
      <c r="AC8" s="43" t="s">
        <v>26</v>
      </c>
      <c r="AD8" s="43" t="s">
        <v>26</v>
      </c>
      <c r="AE8" s="42">
        <v>337165199695.87</v>
      </c>
      <c r="AF8" s="43">
        <v>0.49566053209164002</v>
      </c>
      <c r="AG8" s="43" t="s">
        <v>26</v>
      </c>
      <c r="AH8" s="43" t="s">
        <v>26</v>
      </c>
      <c r="AI8" s="42">
        <v>7354848450.9099998</v>
      </c>
      <c r="AJ8" s="43">
        <v>0.41905821168166002</v>
      </c>
      <c r="AK8" s="43" t="s">
        <v>26</v>
      </c>
      <c r="AL8" s="43" t="s">
        <v>26</v>
      </c>
      <c r="AM8" s="42">
        <v>8317574720.5200005</v>
      </c>
      <c r="AN8" s="43">
        <v>0.34099912028443002</v>
      </c>
      <c r="AO8" s="43" t="s">
        <v>26</v>
      </c>
      <c r="AP8" s="43" t="s">
        <v>26</v>
      </c>
      <c r="AQ8" s="42">
        <v>15672423171.43</v>
      </c>
      <c r="AR8" s="43">
        <v>0.37366292120769001</v>
      </c>
      <c r="AS8" s="43" t="s">
        <v>26</v>
      </c>
      <c r="AT8" s="43" t="s">
        <v>26</v>
      </c>
      <c r="AU8" s="42">
        <v>25211414240.169998</v>
      </c>
      <c r="AV8" s="43">
        <v>0.52209402691036999</v>
      </c>
      <c r="AW8" s="43" t="s">
        <v>26</v>
      </c>
      <c r="AX8" s="43" t="s">
        <v>26</v>
      </c>
      <c r="AY8" s="42">
        <v>378049037107.46997</v>
      </c>
      <c r="AZ8" s="43">
        <v>0.49067593904146001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2802165751.0599999</v>
      </c>
      <c r="D9" s="10">
        <v>0.39502281858635002</v>
      </c>
      <c r="E9" s="10">
        <v>0.6</v>
      </c>
      <c r="F9" s="10">
        <f>E9-D9</f>
        <v>0.20497718141364996</v>
      </c>
      <c r="G9" s="9">
        <f>G10</f>
        <v>79927924034.339996</v>
      </c>
      <c r="H9" s="10">
        <f>G9/G134</f>
        <v>0.49863226284064105</v>
      </c>
      <c r="I9" s="10">
        <v>0.6</v>
      </c>
      <c r="J9" s="10">
        <f>I9-H9</f>
        <v>0.10136773715935893</v>
      </c>
      <c r="K9" s="9">
        <v>958384551.20000005</v>
      </c>
      <c r="L9" s="10">
        <v>0.28634333603866002</v>
      </c>
      <c r="M9" s="10">
        <v>0.6</v>
      </c>
      <c r="N9" s="10">
        <f>M9-L9</f>
        <v>0.31365666396133995</v>
      </c>
      <c r="O9" s="9">
        <f>O10</f>
        <v>103985072709.64</v>
      </c>
      <c r="P9" s="10">
        <f>O9/O134</f>
        <v>0.43634151955889816</v>
      </c>
      <c r="Q9" s="10">
        <v>0.6</v>
      </c>
      <c r="R9" s="10">
        <f>Q9-P9</f>
        <v>0.16365848044110182</v>
      </c>
      <c r="S9" s="9">
        <f>S10</f>
        <v>62866627216.25</v>
      </c>
      <c r="T9" s="10">
        <f>S9/S134</f>
        <v>0.53409905414502024</v>
      </c>
      <c r="U9" s="10">
        <v>0.6</v>
      </c>
      <c r="V9" s="10">
        <f>U9-T9</f>
        <v>6.5900945854979742E-2</v>
      </c>
      <c r="W9" s="9">
        <v>2300699261.8400002</v>
      </c>
      <c r="X9" s="10">
        <v>0.34150359077262998</v>
      </c>
      <c r="Y9" s="10">
        <v>0.6</v>
      </c>
      <c r="Z9" s="10">
        <f>Y9-X9</f>
        <v>0.25849640922736999</v>
      </c>
      <c r="AA9" s="9">
        <f>AA10</f>
        <v>74041743722.539993</v>
      </c>
      <c r="AB9" s="10">
        <f>AA9/AA134</f>
        <v>0.50456617394712</v>
      </c>
      <c r="AC9" s="10">
        <v>0.6</v>
      </c>
      <c r="AD9" s="10">
        <f>AC9-AB9</f>
        <v>9.5433826052879978E-2</v>
      </c>
      <c r="AE9" s="9">
        <f>AE10</f>
        <v>326882617246.87</v>
      </c>
      <c r="AF9" s="10">
        <f>AE9/AE134</f>
        <v>0.48055553177640692</v>
      </c>
      <c r="AG9" s="10">
        <v>0.6</v>
      </c>
      <c r="AH9" s="10">
        <f>AG9-AF9</f>
        <v>0.11944446822359306</v>
      </c>
      <c r="AI9" s="9">
        <v>7354848450.9099998</v>
      </c>
      <c r="AJ9" s="10">
        <v>0.41905821168166002</v>
      </c>
      <c r="AK9" s="10">
        <v>0.6</v>
      </c>
      <c r="AL9" s="10">
        <f>AK9-AJ9</f>
        <v>0.18094178831833996</v>
      </c>
      <c r="AM9" s="9">
        <v>8317574720.5200005</v>
      </c>
      <c r="AN9" s="10">
        <v>0.34099912028443002</v>
      </c>
      <c r="AO9" s="10">
        <v>0.6</v>
      </c>
      <c r="AP9" s="10">
        <f>AO9-AN9</f>
        <v>0.25900087971556995</v>
      </c>
      <c r="AQ9" s="9">
        <v>15672423171.43</v>
      </c>
      <c r="AR9" s="10">
        <v>0.37366292120769001</v>
      </c>
      <c r="AS9" s="10">
        <v>0.6</v>
      </c>
      <c r="AT9" s="10">
        <f>AS9-AR9</f>
        <v>0.22633707879230996</v>
      </c>
      <c r="AU9" s="9">
        <v>25211414240.169998</v>
      </c>
      <c r="AV9" s="10">
        <v>0.52209402691036999</v>
      </c>
      <c r="AW9" s="10">
        <v>0.6</v>
      </c>
      <c r="AX9" s="10">
        <f>AW9-AV9</f>
        <v>7.7905973089629987E-2</v>
      </c>
      <c r="AY9" s="9">
        <f>AY10</f>
        <v>367766454658.46997</v>
      </c>
      <c r="AZ9" s="10">
        <f>AY9/AY134</f>
        <v>0.47734046044936645</v>
      </c>
      <c r="BA9" s="10">
        <v>0.6</v>
      </c>
      <c r="BB9" s="10">
        <f>BA9-AZ9</f>
        <v>0.12265953955063352</v>
      </c>
    </row>
    <row r="10" spans="1:54" ht="17.25">
      <c r="A10" s="3" t="s">
        <v>28</v>
      </c>
      <c r="B10" s="23" t="s">
        <v>29</v>
      </c>
      <c r="C10" s="2">
        <v>2802165751.0599999</v>
      </c>
      <c r="D10" s="1">
        <v>1</v>
      </c>
      <c r="E10" s="1" t="s">
        <v>26</v>
      </c>
      <c r="F10" s="1" t="s">
        <v>26</v>
      </c>
      <c r="G10" s="2">
        <v>79927924034.339996</v>
      </c>
      <c r="H10" s="1">
        <v>1</v>
      </c>
      <c r="I10" s="1" t="s">
        <v>26</v>
      </c>
      <c r="J10" s="1" t="s">
        <v>26</v>
      </c>
      <c r="K10" s="2">
        <v>958384551.20000005</v>
      </c>
      <c r="L10" s="1">
        <v>1</v>
      </c>
      <c r="M10" s="1" t="s">
        <v>26</v>
      </c>
      <c r="N10" s="1" t="s">
        <v>26</v>
      </c>
      <c r="O10" s="2">
        <v>103985072709.64</v>
      </c>
      <c r="P10" s="1">
        <v>1</v>
      </c>
      <c r="Q10" s="1" t="s">
        <v>26</v>
      </c>
      <c r="R10" s="1" t="s">
        <v>26</v>
      </c>
      <c r="S10" s="2">
        <v>62866627216.25</v>
      </c>
      <c r="T10" s="1">
        <v>1</v>
      </c>
      <c r="U10" s="1" t="s">
        <v>26</v>
      </c>
      <c r="V10" s="1" t="s">
        <v>26</v>
      </c>
      <c r="W10" s="2">
        <v>2300699261.8400002</v>
      </c>
      <c r="X10" s="1">
        <v>1</v>
      </c>
      <c r="Y10" s="1" t="s">
        <v>26</v>
      </c>
      <c r="Z10" s="1" t="s">
        <v>26</v>
      </c>
      <c r="AA10" s="2">
        <v>74041743722.539993</v>
      </c>
      <c r="AB10" s="1">
        <v>1</v>
      </c>
      <c r="AC10" s="1" t="s">
        <v>26</v>
      </c>
      <c r="AD10" s="1" t="s">
        <v>26</v>
      </c>
      <c r="AE10" s="2">
        <v>326882617246.87</v>
      </c>
      <c r="AF10" s="1">
        <v>1</v>
      </c>
      <c r="AG10" s="1" t="s">
        <v>26</v>
      </c>
      <c r="AH10" s="1" t="s">
        <v>26</v>
      </c>
      <c r="AI10" s="2">
        <v>7354848450.9099998</v>
      </c>
      <c r="AJ10" s="1">
        <v>1</v>
      </c>
      <c r="AK10" s="1" t="s">
        <v>26</v>
      </c>
      <c r="AL10" s="1" t="s">
        <v>26</v>
      </c>
      <c r="AM10" s="2">
        <v>8317574720.5200005</v>
      </c>
      <c r="AN10" s="1">
        <v>1</v>
      </c>
      <c r="AO10" s="1" t="s">
        <v>26</v>
      </c>
      <c r="AP10" s="1" t="s">
        <v>26</v>
      </c>
      <c r="AQ10" s="2">
        <v>15672423171.43</v>
      </c>
      <c r="AR10" s="1">
        <v>1</v>
      </c>
      <c r="AS10" s="1" t="s">
        <v>26</v>
      </c>
      <c r="AT10" s="1" t="s">
        <v>26</v>
      </c>
      <c r="AU10" s="2">
        <v>25211414240.169998</v>
      </c>
      <c r="AV10" s="1">
        <v>1</v>
      </c>
      <c r="AW10" s="1" t="s">
        <v>26</v>
      </c>
      <c r="AX10" s="1" t="s">
        <v>26</v>
      </c>
      <c r="AY10" s="2">
        <v>367766454658.46997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G12</f>
        <v>5844924525.6000004</v>
      </c>
      <c r="H11" s="10">
        <f>G11/G134</f>
        <v>3.6463701235134358E-2</v>
      </c>
      <c r="I11" s="10">
        <v>0.1</v>
      </c>
      <c r="J11" s="10">
        <f>I11-H11</f>
        <v>6.3536298764865648E-2</v>
      </c>
      <c r="K11" s="9" t="s">
        <v>26</v>
      </c>
      <c r="L11" s="10" t="s">
        <v>26</v>
      </c>
      <c r="M11" s="10" t="s">
        <v>26</v>
      </c>
      <c r="N11" s="10" t="s">
        <v>26</v>
      </c>
      <c r="O11" s="9">
        <f>O12</f>
        <v>1553714114.4000001</v>
      </c>
      <c r="P11" s="10">
        <f>O11/O134</f>
        <v>6.5196855661240885E-3</v>
      </c>
      <c r="Q11" s="10">
        <v>0.1</v>
      </c>
      <c r="R11" s="10">
        <f>Q11-P11</f>
        <v>9.3480314433875916E-2</v>
      </c>
      <c r="S11" s="9">
        <f>S12</f>
        <v>1527526725</v>
      </c>
      <c r="T11" s="10">
        <f>S11/S134</f>
        <v>1.2977482889249964E-2</v>
      </c>
      <c r="U11" s="10">
        <v>0.1</v>
      </c>
      <c r="V11" s="10">
        <f>U11-T11</f>
        <v>8.7022517110750042E-2</v>
      </c>
      <c r="W11" s="9" t="s">
        <v>26</v>
      </c>
      <c r="X11" s="10" t="s">
        <v>26</v>
      </c>
      <c r="Y11" s="10" t="s">
        <v>26</v>
      </c>
      <c r="Z11" s="10" t="s">
        <v>26</v>
      </c>
      <c r="AA11" s="9">
        <f>AA12</f>
        <v>1356417084</v>
      </c>
      <c r="AB11" s="10">
        <f>AA11/AA134</f>
        <v>9.2434638075931976E-3</v>
      </c>
      <c r="AC11" s="10">
        <v>0.1</v>
      </c>
      <c r="AD11" s="10">
        <f>AC11-AB11</f>
        <v>9.0756536192406811E-2</v>
      </c>
      <c r="AE11" s="9">
        <f>AE12</f>
        <v>10282582449</v>
      </c>
      <c r="AF11" s="10">
        <f>AE11/AE134</f>
        <v>1.5116594202628125E-2</v>
      </c>
      <c r="AG11" s="10">
        <v>0.1</v>
      </c>
      <c r="AH11" s="10">
        <f>AG11-AF11</f>
        <v>8.4883405797371886E-2</v>
      </c>
      <c r="AI11" s="9" t="s">
        <v>26</v>
      </c>
      <c r="AJ11" s="10" t="s">
        <v>26</v>
      </c>
      <c r="AK11" s="10" t="s">
        <v>26</v>
      </c>
      <c r="AL11" s="10" t="s">
        <v>26</v>
      </c>
      <c r="AM11" s="9" t="s">
        <v>26</v>
      </c>
      <c r="AN11" s="10" t="s">
        <v>26</v>
      </c>
      <c r="AO11" s="10" t="s">
        <v>26</v>
      </c>
      <c r="AP11" s="10" t="s">
        <v>26</v>
      </c>
      <c r="AQ11" s="9" t="s">
        <v>26</v>
      </c>
      <c r="AR11" s="10" t="s">
        <v>26</v>
      </c>
      <c r="AS11" s="10" t="s">
        <v>26</v>
      </c>
      <c r="AT11" s="10" t="s">
        <v>26</v>
      </c>
      <c r="AU11" s="9" t="s">
        <v>26</v>
      </c>
      <c r="AV11" s="10" t="s">
        <v>26</v>
      </c>
      <c r="AW11" s="10" t="s">
        <v>26</v>
      </c>
      <c r="AX11" s="10" t="s">
        <v>26</v>
      </c>
      <c r="AY11" s="9">
        <f>AY12</f>
        <v>10282582449</v>
      </c>
      <c r="AZ11" s="10">
        <f>+AY11/AY134</f>
        <v>1.3346221708481732E-2</v>
      </c>
      <c r="BA11" s="10">
        <v>0.1</v>
      </c>
      <c r="BB11" s="10">
        <f>BA11-AZ11</f>
        <v>8.6653778291518269E-2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5844924525.6000004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1553714114.4000001</v>
      </c>
      <c r="P12" s="1">
        <v>1</v>
      </c>
      <c r="Q12" s="1" t="s">
        <v>26</v>
      </c>
      <c r="R12" s="1" t="s">
        <v>26</v>
      </c>
      <c r="S12" s="2">
        <v>1527526725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1356417084</v>
      </c>
      <c r="AB12" s="1">
        <v>1</v>
      </c>
      <c r="AC12" s="1" t="s">
        <v>26</v>
      </c>
      <c r="AD12" s="1" t="s">
        <v>26</v>
      </c>
      <c r="AE12" s="2">
        <v>10282582449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10282582449</v>
      </c>
      <c r="AZ12" s="1">
        <v>1</v>
      </c>
      <c r="BA12" s="1" t="s">
        <v>26</v>
      </c>
      <c r="BB12" s="1" t="s">
        <v>26</v>
      </c>
    </row>
    <row r="13" spans="1:54">
      <c r="A13" s="12" t="s">
        <v>31</v>
      </c>
      <c r="B13" s="40" t="s">
        <v>25</v>
      </c>
      <c r="C13" s="42">
        <v>2674055915.9699998</v>
      </c>
      <c r="D13" s="43">
        <v>0.37696310597771998</v>
      </c>
      <c r="E13" s="43" t="s">
        <v>26</v>
      </c>
      <c r="F13" s="43" t="s">
        <v>26</v>
      </c>
      <c r="G13" s="42">
        <v>51679053822.559998</v>
      </c>
      <c r="H13" s="43">
        <v>0.32239904670873998</v>
      </c>
      <c r="I13" s="43" t="s">
        <v>26</v>
      </c>
      <c r="J13" s="43" t="s">
        <v>26</v>
      </c>
      <c r="K13" s="42">
        <v>1120049481.9400001</v>
      </c>
      <c r="L13" s="43">
        <v>0.33464511169916</v>
      </c>
      <c r="M13" s="43" t="s">
        <v>26</v>
      </c>
      <c r="N13" s="43" t="s">
        <v>26</v>
      </c>
      <c r="O13" s="42">
        <v>75114167997.410004</v>
      </c>
      <c r="P13" s="43">
        <v>0.31519335234262003</v>
      </c>
      <c r="Q13" s="43" t="s">
        <v>26</v>
      </c>
      <c r="R13" s="43" t="s">
        <v>26</v>
      </c>
      <c r="S13" s="42">
        <v>33115400824.529999</v>
      </c>
      <c r="T13" s="43">
        <v>0.28133946786139002</v>
      </c>
      <c r="U13" s="43" t="s">
        <v>26</v>
      </c>
      <c r="V13" s="43" t="s">
        <v>26</v>
      </c>
      <c r="W13" s="42">
        <v>3288471102.8899999</v>
      </c>
      <c r="X13" s="43">
        <v>0.48812320167862</v>
      </c>
      <c r="Y13" s="43" t="s">
        <v>26</v>
      </c>
      <c r="Z13" s="43" t="s">
        <v>26</v>
      </c>
      <c r="AA13" s="42">
        <v>46038555447.230003</v>
      </c>
      <c r="AB13" s="43">
        <v>0.31373472965642002</v>
      </c>
      <c r="AC13" s="43" t="s">
        <v>26</v>
      </c>
      <c r="AD13" s="43" t="s">
        <v>26</v>
      </c>
      <c r="AE13" s="42">
        <v>213029754592.53</v>
      </c>
      <c r="AF13" s="43">
        <v>0.31317123359091997</v>
      </c>
      <c r="AG13" s="43" t="s">
        <v>26</v>
      </c>
      <c r="AH13" s="43" t="s">
        <v>26</v>
      </c>
      <c r="AI13" s="42">
        <v>8127727758.79</v>
      </c>
      <c r="AJ13" s="43">
        <v>0.46309466229892998</v>
      </c>
      <c r="AK13" s="43" t="s">
        <v>26</v>
      </c>
      <c r="AL13" s="43" t="s">
        <v>26</v>
      </c>
      <c r="AM13" s="42">
        <v>12171711176.91</v>
      </c>
      <c r="AN13" s="43">
        <v>0.49900877877812999</v>
      </c>
      <c r="AO13" s="43" t="s">
        <v>26</v>
      </c>
      <c r="AP13" s="43" t="s">
        <v>26</v>
      </c>
      <c r="AQ13" s="42">
        <v>20299438935.700001</v>
      </c>
      <c r="AR13" s="43">
        <v>0.48398052864078001</v>
      </c>
      <c r="AS13" s="43" t="s">
        <v>26</v>
      </c>
      <c r="AT13" s="43" t="s">
        <v>26</v>
      </c>
      <c r="AU13" s="42">
        <v>15392506504.290001</v>
      </c>
      <c r="AV13" s="43">
        <v>0.31875783042208</v>
      </c>
      <c r="AW13" s="43" t="s">
        <v>26</v>
      </c>
      <c r="AX13" s="43" t="s">
        <v>26</v>
      </c>
      <c r="AY13" s="42">
        <v>248721700032.51999</v>
      </c>
      <c r="AZ13" s="43">
        <v>0.32281990362205998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2674055915.9699998</v>
      </c>
      <c r="D14" s="10">
        <v>0.37696310597771998</v>
      </c>
      <c r="E14" s="10">
        <v>0.5</v>
      </c>
      <c r="F14" s="10">
        <v>0.123</v>
      </c>
      <c r="G14" s="9">
        <v>51679053822.559998</v>
      </c>
      <c r="H14" s="10">
        <v>0.32239904670873998</v>
      </c>
      <c r="I14" s="10">
        <v>0.5</v>
      </c>
      <c r="J14" s="10">
        <v>0.17760000000000001</v>
      </c>
      <c r="K14" s="9">
        <v>1120049481.9400001</v>
      </c>
      <c r="L14" s="10">
        <v>0.33464511169916</v>
      </c>
      <c r="M14" s="10">
        <v>0.5</v>
      </c>
      <c r="N14" s="10">
        <v>0.16539999999999999</v>
      </c>
      <c r="O14" s="9">
        <v>75114167997.410004</v>
      </c>
      <c r="P14" s="10">
        <v>0.31519335234262003</v>
      </c>
      <c r="Q14" s="10">
        <v>0.50009999999999999</v>
      </c>
      <c r="R14" s="10">
        <v>0.18490000000000001</v>
      </c>
      <c r="S14" s="9">
        <v>33115400824.529999</v>
      </c>
      <c r="T14" s="10">
        <v>0.28133946786139002</v>
      </c>
      <c r="U14" s="10">
        <v>0.5</v>
      </c>
      <c r="V14" s="10">
        <v>0.21870000000000001</v>
      </c>
      <c r="W14" s="9">
        <v>3288471102.8899999</v>
      </c>
      <c r="X14" s="10">
        <v>0.48812320167862</v>
      </c>
      <c r="Y14" s="10">
        <v>0.5</v>
      </c>
      <c r="Z14" s="10">
        <v>1.1900000000000001E-2</v>
      </c>
      <c r="AA14" s="9">
        <v>46038555447.230003</v>
      </c>
      <c r="AB14" s="10">
        <v>0.31373472965642002</v>
      </c>
      <c r="AC14" s="10">
        <v>0.5</v>
      </c>
      <c r="AD14" s="10">
        <v>0.18629999999999999</v>
      </c>
      <c r="AE14" s="9">
        <v>213029754592.53</v>
      </c>
      <c r="AF14" s="10">
        <v>0.31317123359091997</v>
      </c>
      <c r="AG14" s="10">
        <v>0.50009999999999999</v>
      </c>
      <c r="AH14" s="10">
        <v>0.18690000000000001</v>
      </c>
      <c r="AI14" s="9">
        <v>8127727758.79</v>
      </c>
      <c r="AJ14" s="10">
        <v>0.46309466229892998</v>
      </c>
      <c r="AK14" s="10">
        <v>0.5</v>
      </c>
      <c r="AL14" s="10">
        <v>3.6900000000000002E-2</v>
      </c>
      <c r="AM14" s="9">
        <v>12171711176.91</v>
      </c>
      <c r="AN14" s="10">
        <v>0.49900877877812999</v>
      </c>
      <c r="AO14" s="10">
        <v>0.5</v>
      </c>
      <c r="AP14" s="10">
        <v>1E-3</v>
      </c>
      <c r="AQ14" s="9">
        <v>20299438935.700001</v>
      </c>
      <c r="AR14" s="10">
        <v>0.48398052864078001</v>
      </c>
      <c r="AS14" s="10">
        <v>0.5</v>
      </c>
      <c r="AT14" s="10">
        <v>1.6E-2</v>
      </c>
      <c r="AU14" s="9">
        <v>15392506504.290001</v>
      </c>
      <c r="AV14" s="10">
        <v>0.31875783042208</v>
      </c>
      <c r="AW14" s="10">
        <v>0.5</v>
      </c>
      <c r="AX14" s="10">
        <v>0.1812</v>
      </c>
      <c r="AY14" s="9">
        <v>248721700032.51999</v>
      </c>
      <c r="AZ14" s="10">
        <v>0.32281990362205998</v>
      </c>
      <c r="BA14" s="10">
        <v>0.50009999999999999</v>
      </c>
      <c r="BB14" s="10">
        <v>0.17730000000000001</v>
      </c>
    </row>
    <row r="15" spans="1:54" s="25" customFormat="1">
      <c r="A15" s="3" t="s">
        <v>33</v>
      </c>
      <c r="B15" s="23" t="s">
        <v>29</v>
      </c>
      <c r="C15" s="2">
        <v>810452502.17999995</v>
      </c>
      <c r="D15" s="1">
        <v>0.30307986356597999</v>
      </c>
      <c r="E15" s="1" t="s">
        <v>26</v>
      </c>
      <c r="F15" s="1" t="s">
        <v>26</v>
      </c>
      <c r="G15" s="2">
        <v>16607574113.07</v>
      </c>
      <c r="H15" s="1">
        <v>0.32135987183690001</v>
      </c>
      <c r="I15" s="1" t="s">
        <v>26</v>
      </c>
      <c r="J15" s="1" t="s">
        <v>26</v>
      </c>
      <c r="K15" s="2">
        <v>252368850.59</v>
      </c>
      <c r="L15" s="1">
        <v>0.22531937620549</v>
      </c>
      <c r="M15" s="1" t="s">
        <v>26</v>
      </c>
      <c r="N15" s="1" t="s">
        <v>26</v>
      </c>
      <c r="O15" s="2">
        <v>20277705233.259998</v>
      </c>
      <c r="P15" s="1">
        <v>0.26995846155094</v>
      </c>
      <c r="Q15" s="1" t="s">
        <v>26</v>
      </c>
      <c r="R15" s="1" t="s">
        <v>26</v>
      </c>
      <c r="S15" s="2">
        <v>11563970611.940001</v>
      </c>
      <c r="T15" s="1">
        <v>0.34920219366254002</v>
      </c>
      <c r="U15" s="1" t="s">
        <v>26</v>
      </c>
      <c r="V15" s="1" t="s">
        <v>26</v>
      </c>
      <c r="W15" s="2">
        <v>1122508604.8800001</v>
      </c>
      <c r="X15" s="1">
        <v>0.34134665312811002</v>
      </c>
      <c r="Y15" s="1" t="s">
        <v>26</v>
      </c>
      <c r="Z15" s="1" t="s">
        <v>26</v>
      </c>
      <c r="AA15" s="2">
        <v>17226942278.43</v>
      </c>
      <c r="AB15" s="1">
        <v>0.37418511747562999</v>
      </c>
      <c r="AC15" s="1" t="s">
        <v>26</v>
      </c>
      <c r="AD15" s="1" t="s">
        <v>26</v>
      </c>
      <c r="AE15" s="2">
        <v>67861522194.349998</v>
      </c>
      <c r="AF15" s="1">
        <v>0.31855419598145002</v>
      </c>
      <c r="AG15" s="1" t="s">
        <v>26</v>
      </c>
      <c r="AH15" s="1" t="s">
        <v>26</v>
      </c>
      <c r="AI15" s="2">
        <v>1968415919.3800001</v>
      </c>
      <c r="AJ15" s="1">
        <v>0.24218526724781</v>
      </c>
      <c r="AK15" s="1" t="s">
        <v>26</v>
      </c>
      <c r="AL15" s="1" t="s">
        <v>26</v>
      </c>
      <c r="AM15" s="2">
        <v>6256303386.3000002</v>
      </c>
      <c r="AN15" s="1">
        <v>0.51400360190672001</v>
      </c>
      <c r="AO15" s="1" t="s">
        <v>26</v>
      </c>
      <c r="AP15" s="1" t="s">
        <v>26</v>
      </c>
      <c r="AQ15" s="2">
        <v>8224719305.6800003</v>
      </c>
      <c r="AR15" s="1">
        <v>0.40516978482667998</v>
      </c>
      <c r="AS15" s="1" t="s">
        <v>26</v>
      </c>
      <c r="AT15" s="1" t="s">
        <v>26</v>
      </c>
      <c r="AU15" s="2">
        <v>7820814310.3400002</v>
      </c>
      <c r="AV15" s="1">
        <v>0.50809231804841004</v>
      </c>
      <c r="AW15" s="1" t="s">
        <v>26</v>
      </c>
      <c r="AX15" s="1" t="s">
        <v>26</v>
      </c>
      <c r="AY15" s="2">
        <v>83907055810.369995</v>
      </c>
      <c r="AZ15" s="1">
        <v>0.33735317746461002</v>
      </c>
      <c r="BA15" s="1" t="s">
        <v>26</v>
      </c>
      <c r="BB15" s="1" t="s">
        <v>26</v>
      </c>
    </row>
    <row r="16" spans="1:54" s="7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1656139420.22</v>
      </c>
      <c r="H16" s="1">
        <v>3.2046628134999998E-2</v>
      </c>
      <c r="I16" s="1" t="s">
        <v>26</v>
      </c>
      <c r="J16" s="1" t="s">
        <v>26</v>
      </c>
      <c r="K16" s="2">
        <v>188259909.34999999</v>
      </c>
      <c r="L16" s="1">
        <v>0.16808177887277001</v>
      </c>
      <c r="M16" s="1" t="s">
        <v>26</v>
      </c>
      <c r="N16" s="1" t="s">
        <v>26</v>
      </c>
      <c r="O16" s="2">
        <v>3829622200.4000001</v>
      </c>
      <c r="P16" s="1">
        <v>5.09840194267E-2</v>
      </c>
      <c r="Q16" s="1" t="s">
        <v>26</v>
      </c>
      <c r="R16" s="1" t="s">
        <v>26</v>
      </c>
      <c r="S16" s="2">
        <v>74302686</v>
      </c>
      <c r="T16" s="1">
        <v>2.24375016306E-3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6882267953.1800003</v>
      </c>
      <c r="AB16" s="1">
        <v>0.14948922454937999</v>
      </c>
      <c r="AC16" s="1" t="s">
        <v>26</v>
      </c>
      <c r="AD16" s="1" t="s">
        <v>26</v>
      </c>
      <c r="AE16" s="2">
        <v>12630592169.15</v>
      </c>
      <c r="AF16" s="1">
        <v>5.9290272353309997E-2</v>
      </c>
      <c r="AG16" s="1" t="s">
        <v>26</v>
      </c>
      <c r="AH16" s="1" t="s">
        <v>26</v>
      </c>
      <c r="AI16" s="2">
        <v>49535124</v>
      </c>
      <c r="AJ16" s="1">
        <v>6.0945845468799997E-3</v>
      </c>
      <c r="AK16" s="1" t="s">
        <v>26</v>
      </c>
      <c r="AL16" s="1" t="s">
        <v>26</v>
      </c>
      <c r="AM16" s="2">
        <v>1043551123</v>
      </c>
      <c r="AN16" s="1">
        <v>8.5735777643130007E-2</v>
      </c>
      <c r="AO16" s="1" t="s">
        <v>26</v>
      </c>
      <c r="AP16" s="1" t="s">
        <v>26</v>
      </c>
      <c r="AQ16" s="2">
        <v>1093086247</v>
      </c>
      <c r="AR16" s="1">
        <v>5.384810144076E-2</v>
      </c>
      <c r="AS16" s="1" t="s">
        <v>26</v>
      </c>
      <c r="AT16" s="1" t="s">
        <v>26</v>
      </c>
      <c r="AU16" s="2">
        <v>49535124</v>
      </c>
      <c r="AV16" s="1">
        <v>3.21813240658E-3</v>
      </c>
      <c r="AW16" s="1" t="s">
        <v>26</v>
      </c>
      <c r="AX16" s="1" t="s">
        <v>26</v>
      </c>
      <c r="AY16" s="2">
        <v>13773213540.15</v>
      </c>
      <c r="AZ16" s="1">
        <v>5.5376002730560002E-2</v>
      </c>
      <c r="BA16" s="1" t="s">
        <v>26</v>
      </c>
      <c r="BB16" s="1" t="s">
        <v>26</v>
      </c>
    </row>
    <row r="17" spans="1:55" s="28" customFormat="1">
      <c r="A17" s="3" t="s">
        <v>36</v>
      </c>
      <c r="B17" s="23" t="s">
        <v>29</v>
      </c>
      <c r="C17" s="2">
        <v>1863603413.79</v>
      </c>
      <c r="D17" s="1">
        <v>0.69692013643401995</v>
      </c>
      <c r="E17" s="1" t="s">
        <v>26</v>
      </c>
      <c r="F17" s="1" t="s">
        <v>26</v>
      </c>
      <c r="G17" s="2">
        <v>33415340289.27</v>
      </c>
      <c r="H17" s="1">
        <v>0.64659350002811</v>
      </c>
      <c r="I17" s="1" t="s">
        <v>26</v>
      </c>
      <c r="J17" s="1" t="s">
        <v>26</v>
      </c>
      <c r="K17" s="2">
        <v>679420722</v>
      </c>
      <c r="L17" s="1">
        <v>0.60659884492173999</v>
      </c>
      <c r="M17" s="1" t="s">
        <v>26</v>
      </c>
      <c r="N17" s="1" t="s">
        <v>26</v>
      </c>
      <c r="O17" s="2">
        <v>51006840563.75</v>
      </c>
      <c r="P17" s="1">
        <v>0.67905751902236</v>
      </c>
      <c r="Q17" s="1" t="s">
        <v>26</v>
      </c>
      <c r="R17" s="1" t="s">
        <v>26</v>
      </c>
      <c r="S17" s="2">
        <v>21477127526.59</v>
      </c>
      <c r="T17" s="1">
        <v>0.64855405617439998</v>
      </c>
      <c r="U17" s="1" t="s">
        <v>26</v>
      </c>
      <c r="V17" s="1" t="s">
        <v>26</v>
      </c>
      <c r="W17" s="2">
        <v>2165962498.0100002</v>
      </c>
      <c r="X17" s="1">
        <v>0.65865334687189003</v>
      </c>
      <c r="Y17" s="1" t="s">
        <v>26</v>
      </c>
      <c r="Z17" s="1" t="s">
        <v>26</v>
      </c>
      <c r="AA17" s="2">
        <v>21929345215.619999</v>
      </c>
      <c r="AB17" s="1">
        <v>0.47632565797498999</v>
      </c>
      <c r="AC17" s="1" t="s">
        <v>26</v>
      </c>
      <c r="AD17" s="1" t="s">
        <v>26</v>
      </c>
      <c r="AE17" s="2">
        <v>132537640229.03</v>
      </c>
      <c r="AF17" s="1">
        <v>0.62215553166522997</v>
      </c>
      <c r="AG17" s="1" t="s">
        <v>26</v>
      </c>
      <c r="AH17" s="1" t="s">
        <v>26</v>
      </c>
      <c r="AI17" s="2">
        <v>6109776715.4099998</v>
      </c>
      <c r="AJ17" s="1">
        <v>0.75172014820530997</v>
      </c>
      <c r="AK17" s="1" t="s">
        <v>26</v>
      </c>
      <c r="AL17" s="1" t="s">
        <v>26</v>
      </c>
      <c r="AM17" s="2">
        <v>4871856667.6099997</v>
      </c>
      <c r="AN17" s="1">
        <v>0.40026062045014998</v>
      </c>
      <c r="AO17" s="1" t="s">
        <v>26</v>
      </c>
      <c r="AP17" s="1" t="s">
        <v>26</v>
      </c>
      <c r="AQ17" s="2">
        <v>10981633383.02</v>
      </c>
      <c r="AR17" s="1">
        <v>0.54098211373256</v>
      </c>
      <c r="AS17" s="1" t="s">
        <v>26</v>
      </c>
      <c r="AT17" s="1" t="s">
        <v>26</v>
      </c>
      <c r="AU17" s="2">
        <v>7522157069.9499998</v>
      </c>
      <c r="AV17" s="1">
        <v>0.48868954954499999</v>
      </c>
      <c r="AW17" s="1" t="s">
        <v>26</v>
      </c>
      <c r="AX17" s="1" t="s">
        <v>26</v>
      </c>
      <c r="AY17" s="2">
        <v>151041430682</v>
      </c>
      <c r="AZ17" s="1">
        <v>0.60727081980483</v>
      </c>
      <c r="BA17" s="1" t="s">
        <v>26</v>
      </c>
      <c r="BB17" s="1" t="s">
        <v>26</v>
      </c>
    </row>
    <row r="18" spans="1:55" s="7" customFormat="1">
      <c r="A18" s="12" t="s">
        <v>37</v>
      </c>
      <c r="B18" s="40" t="s">
        <v>25</v>
      </c>
      <c r="C18" s="42">
        <v>287863108.57999998</v>
      </c>
      <c r="D18" s="43">
        <v>4.0580217810199999E-2</v>
      </c>
      <c r="E18" s="43" t="s">
        <v>26</v>
      </c>
      <c r="F18" s="43" t="s">
        <v>26</v>
      </c>
      <c r="G18" s="42">
        <v>6295659164.5</v>
      </c>
      <c r="H18" s="43">
        <v>3.9275380698860003E-2</v>
      </c>
      <c r="I18" s="43" t="s">
        <v>26</v>
      </c>
      <c r="J18" s="43" t="s">
        <v>26</v>
      </c>
      <c r="K18" s="42">
        <v>209055286.87</v>
      </c>
      <c r="L18" s="43">
        <v>6.246092780181E-2</v>
      </c>
      <c r="M18" s="43" t="s">
        <v>26</v>
      </c>
      <c r="N18" s="43" t="s">
        <v>26</v>
      </c>
      <c r="O18" s="42">
        <v>15134997888.59</v>
      </c>
      <c r="P18" s="43">
        <v>6.3509333184220002E-2</v>
      </c>
      <c r="Q18" s="43" t="s">
        <v>26</v>
      </c>
      <c r="R18" s="43" t="s">
        <v>26</v>
      </c>
      <c r="S18" s="42">
        <v>4842333631.1700001</v>
      </c>
      <c r="T18" s="43">
        <v>4.1139153779819998E-2</v>
      </c>
      <c r="U18" s="43" t="s">
        <v>26</v>
      </c>
      <c r="V18" s="43" t="s">
        <v>26</v>
      </c>
      <c r="W18" s="42">
        <v>1068498279.8099999</v>
      </c>
      <c r="X18" s="43">
        <v>0.15860221513596001</v>
      </c>
      <c r="Y18" s="43" t="s">
        <v>26</v>
      </c>
      <c r="Z18" s="43" t="s">
        <v>26</v>
      </c>
      <c r="AA18" s="42">
        <v>10779778449.879999</v>
      </c>
      <c r="AB18" s="43">
        <v>7.3459969472890005E-2</v>
      </c>
      <c r="AC18" s="43" t="s">
        <v>26</v>
      </c>
      <c r="AD18" s="43" t="s">
        <v>26</v>
      </c>
      <c r="AE18" s="42">
        <v>38618185809.400002</v>
      </c>
      <c r="AF18" s="43">
        <v>5.6771904526230002E-2</v>
      </c>
      <c r="AG18" s="43" t="s">
        <v>26</v>
      </c>
      <c r="AH18" s="43" t="s">
        <v>26</v>
      </c>
      <c r="AI18" s="42">
        <v>742044556.65999997</v>
      </c>
      <c r="AJ18" s="43">
        <v>4.2279574756370002E-2</v>
      </c>
      <c r="AK18" s="43" t="s">
        <v>26</v>
      </c>
      <c r="AL18" s="43" t="s">
        <v>26</v>
      </c>
      <c r="AM18" s="42">
        <v>1481221350.5999999</v>
      </c>
      <c r="AN18" s="43">
        <v>6.0726256688140003E-2</v>
      </c>
      <c r="AO18" s="43" t="s">
        <v>26</v>
      </c>
      <c r="AP18" s="43" t="s">
        <v>26</v>
      </c>
      <c r="AQ18" s="42">
        <v>2223265907.2600002</v>
      </c>
      <c r="AR18" s="43">
        <v>5.3007248747769999E-2</v>
      </c>
      <c r="AS18" s="43" t="s">
        <v>26</v>
      </c>
      <c r="AT18" s="43" t="s">
        <v>26</v>
      </c>
      <c r="AU18" s="42">
        <v>3187890186.77</v>
      </c>
      <c r="AV18" s="43">
        <v>6.6016860819610002E-2</v>
      </c>
      <c r="AW18" s="43" t="s">
        <v>26</v>
      </c>
      <c r="AX18" s="43" t="s">
        <v>26</v>
      </c>
      <c r="AY18" s="42">
        <v>44029341903.43</v>
      </c>
      <c r="AZ18" s="43">
        <v>5.714639256627E-2</v>
      </c>
      <c r="BA18" s="43" t="s">
        <v>26</v>
      </c>
      <c r="BB18" s="43" t="s">
        <v>26</v>
      </c>
    </row>
    <row r="19" spans="1:55" s="7" customFormat="1">
      <c r="A19" s="5" t="s">
        <v>38</v>
      </c>
      <c r="B19" s="20" t="s">
        <v>25</v>
      </c>
      <c r="C19" s="9">
        <v>7042894.4699999997</v>
      </c>
      <c r="D19" s="10">
        <v>9.9284063531999999E-4</v>
      </c>
      <c r="E19" s="10">
        <v>0.15</v>
      </c>
      <c r="F19" s="10">
        <v>0.14899999999999999</v>
      </c>
      <c r="G19" s="9">
        <v>1373107876.3199999</v>
      </c>
      <c r="H19" s="10">
        <v>8.5661140754199998E-3</v>
      </c>
      <c r="I19" s="10">
        <v>0.15</v>
      </c>
      <c r="J19" s="10">
        <v>0.1414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6793795453.3599997</v>
      </c>
      <c r="P19" s="10">
        <v>2.8508059413620002E-2</v>
      </c>
      <c r="Q19" s="10">
        <v>0.14099999999999999</v>
      </c>
      <c r="R19" s="10">
        <v>0.1125</v>
      </c>
      <c r="S19" s="9">
        <v>1528941147.3800001</v>
      </c>
      <c r="T19" s="10">
        <v>1.2989469494100001E-2</v>
      </c>
      <c r="U19" s="10">
        <v>0.05</v>
      </c>
      <c r="V19" s="10">
        <v>3.6999999999999998E-2</v>
      </c>
      <c r="W19" s="9">
        <v>138077357.15000001</v>
      </c>
      <c r="X19" s="10">
        <v>2.0495470248209999E-2</v>
      </c>
      <c r="Y19" s="10">
        <v>0.15</v>
      </c>
      <c r="Z19" s="10">
        <v>0.1295</v>
      </c>
      <c r="AA19" s="9">
        <v>4180442137.25</v>
      </c>
      <c r="AB19" s="10">
        <v>2.848807637498E-2</v>
      </c>
      <c r="AC19" s="10">
        <v>0.1353</v>
      </c>
      <c r="AD19" s="10">
        <v>0.10680000000000001</v>
      </c>
      <c r="AE19" s="9">
        <v>14021406865.93</v>
      </c>
      <c r="AF19" s="10">
        <v>2.061261955299E-2</v>
      </c>
      <c r="AG19" s="10">
        <v>0.14019999999999999</v>
      </c>
      <c r="AH19" s="10">
        <v>0.1196</v>
      </c>
      <c r="AI19" s="9">
        <v>408395588.75</v>
      </c>
      <c r="AJ19" s="10">
        <v>2.3269211625849998E-2</v>
      </c>
      <c r="AK19" s="10">
        <v>0.05</v>
      </c>
      <c r="AL19" s="10">
        <v>2.6700000000000002E-2</v>
      </c>
      <c r="AM19" s="9" t="s">
        <v>26</v>
      </c>
      <c r="AN19" s="10" t="s">
        <v>26</v>
      </c>
      <c r="AO19" s="10" t="s">
        <v>26</v>
      </c>
      <c r="AP19" s="10" t="s">
        <v>26</v>
      </c>
      <c r="AQ19" s="9">
        <v>408395588.75</v>
      </c>
      <c r="AR19" s="10">
        <v>9.7369938924899996E-3</v>
      </c>
      <c r="AS19" s="10">
        <v>0.1366</v>
      </c>
      <c r="AT19" s="10">
        <v>0.12690000000000001</v>
      </c>
      <c r="AU19" s="9">
        <v>982282791.74000001</v>
      </c>
      <c r="AV19" s="10">
        <v>2.0341737810450001E-2</v>
      </c>
      <c r="AW19" s="10">
        <v>0.05</v>
      </c>
      <c r="AX19" s="10">
        <v>2.9700000000000001E-2</v>
      </c>
      <c r="AY19" s="9">
        <v>15412085246.42</v>
      </c>
      <c r="AZ19" s="10">
        <v>2.0003593869030001E-2</v>
      </c>
      <c r="BA19" s="10">
        <v>0.1401</v>
      </c>
      <c r="BB19" s="10">
        <v>0.1201</v>
      </c>
    </row>
    <row r="20" spans="1:55" s="25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4092317320</v>
      </c>
      <c r="P20" s="1">
        <v>0.60236098482712996</v>
      </c>
      <c r="Q20" s="1" t="s">
        <v>26</v>
      </c>
      <c r="R20" s="1" t="s">
        <v>26</v>
      </c>
      <c r="S20" s="2">
        <v>1011770362.22</v>
      </c>
      <c r="T20" s="1">
        <v>0.66174578658816996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4092317320</v>
      </c>
      <c r="AB20" s="1">
        <v>0.97891973758834006</v>
      </c>
      <c r="AC20" s="1" t="s">
        <v>26</v>
      </c>
      <c r="AD20" s="1" t="s">
        <v>26</v>
      </c>
      <c r="AE20" s="2">
        <v>9196405002.2199993</v>
      </c>
      <c r="AF20" s="1">
        <v>0.65588318562853998</v>
      </c>
      <c r="AG20" s="1" t="s">
        <v>26</v>
      </c>
      <c r="AH20" s="1" t="s">
        <v>26</v>
      </c>
      <c r="AI20" s="2">
        <v>365168015.62</v>
      </c>
      <c r="AJ20" s="1">
        <v>0.89415269331798997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365168015.62</v>
      </c>
      <c r="AR20" s="1">
        <v>0.89415269331798997</v>
      </c>
      <c r="AS20" s="1" t="s">
        <v>26</v>
      </c>
      <c r="AT20" s="1" t="s">
        <v>26</v>
      </c>
      <c r="AU20" s="2">
        <v>651794307.21000004</v>
      </c>
      <c r="AV20" s="1">
        <v>0.66355057086505997</v>
      </c>
      <c r="AW20" s="1" t="s">
        <v>26</v>
      </c>
      <c r="AX20" s="1" t="s">
        <v>26</v>
      </c>
      <c r="AY20" s="2">
        <v>10213367325.049999</v>
      </c>
      <c r="AZ20" s="1">
        <v>0.66268562376544005</v>
      </c>
      <c r="BA20" s="1" t="s">
        <v>26</v>
      </c>
      <c r="BB20" s="1" t="s">
        <v>26</v>
      </c>
    </row>
    <row r="21" spans="1:55" s="7" customFormat="1">
      <c r="A21" s="3" t="s">
        <v>41</v>
      </c>
      <c r="B21" s="23" t="s">
        <v>35</v>
      </c>
      <c r="C21" s="2">
        <v>7042894.4699999997</v>
      </c>
      <c r="D21" s="1">
        <v>1</v>
      </c>
      <c r="E21" s="1" t="s">
        <v>26</v>
      </c>
      <c r="F21" s="1" t="s">
        <v>26</v>
      </c>
      <c r="G21" s="2">
        <v>1373107876.3199999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2701478133.3600001</v>
      </c>
      <c r="P21" s="1">
        <v>0.39763901517286998</v>
      </c>
      <c r="Q21" s="1" t="s">
        <v>26</v>
      </c>
      <c r="R21" s="1" t="s">
        <v>26</v>
      </c>
      <c r="S21" s="2">
        <v>517170785.16000003</v>
      </c>
      <c r="T21" s="1">
        <v>0.33825421341182998</v>
      </c>
      <c r="U21" s="1" t="s">
        <v>26</v>
      </c>
      <c r="V21" s="1" t="s">
        <v>26</v>
      </c>
      <c r="W21" s="2">
        <v>138077357.15000001</v>
      </c>
      <c r="X21" s="1">
        <v>1</v>
      </c>
      <c r="Y21" s="1" t="s">
        <v>26</v>
      </c>
      <c r="Z21" s="1" t="s">
        <v>26</v>
      </c>
      <c r="AA21" s="2">
        <v>88124817.25</v>
      </c>
      <c r="AB21" s="1">
        <v>2.108026241166E-2</v>
      </c>
      <c r="AC21" s="1" t="s">
        <v>26</v>
      </c>
      <c r="AD21" s="1" t="s">
        <v>26</v>
      </c>
      <c r="AE21" s="2">
        <v>4825001863.71</v>
      </c>
      <c r="AF21" s="1">
        <v>0.34411681437146002</v>
      </c>
      <c r="AG21" s="1" t="s">
        <v>26</v>
      </c>
      <c r="AH21" s="1" t="s">
        <v>26</v>
      </c>
      <c r="AI21" s="2">
        <v>43227573.130000003</v>
      </c>
      <c r="AJ21" s="1">
        <v>0.10584730668201001</v>
      </c>
      <c r="AK21" s="1" t="s">
        <v>26</v>
      </c>
      <c r="AL21" s="1" t="s">
        <v>26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43227573.130000003</v>
      </c>
      <c r="AR21" s="1">
        <v>0.10584730668201001</v>
      </c>
      <c r="AS21" s="1" t="s">
        <v>26</v>
      </c>
      <c r="AT21" s="1" t="s">
        <v>26</v>
      </c>
      <c r="AU21" s="2">
        <v>330488484.52999997</v>
      </c>
      <c r="AV21" s="1">
        <v>0.33644942913494003</v>
      </c>
      <c r="AW21" s="1" t="s">
        <v>26</v>
      </c>
      <c r="AX21" s="1" t="s">
        <v>26</v>
      </c>
      <c r="AY21" s="2">
        <v>5198717921.3699999</v>
      </c>
      <c r="AZ21" s="1">
        <v>0.33731437623456001</v>
      </c>
      <c r="BA21" s="1" t="s">
        <v>26</v>
      </c>
      <c r="BB21" s="1" t="s">
        <v>26</v>
      </c>
    </row>
    <row r="22" spans="1:55" s="28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>
        <v>18787140.84</v>
      </c>
      <c r="L22" s="10">
        <v>5.61316704867E-3</v>
      </c>
      <c r="M22" s="10">
        <v>0.15</v>
      </c>
      <c r="N22" s="10">
        <v>0.1444</v>
      </c>
      <c r="O22" s="9" t="s">
        <v>26</v>
      </c>
      <c r="P22" s="10" t="s">
        <v>26</v>
      </c>
      <c r="Q22" s="10" t="s">
        <v>26</v>
      </c>
      <c r="R22" s="10" t="s">
        <v>26</v>
      </c>
      <c r="S22" s="9" t="s">
        <v>26</v>
      </c>
      <c r="T22" s="10" t="s">
        <v>26</v>
      </c>
      <c r="U22" s="10" t="s">
        <v>26</v>
      </c>
      <c r="V22" s="10" t="s">
        <v>26</v>
      </c>
      <c r="W22" s="9">
        <v>52914326.780000001</v>
      </c>
      <c r="X22" s="10">
        <v>7.8543219004800005E-3</v>
      </c>
      <c r="Y22" s="10">
        <v>0.15</v>
      </c>
      <c r="Z22" s="10">
        <v>0.1421</v>
      </c>
      <c r="AA22" s="9">
        <v>152286822.63</v>
      </c>
      <c r="AB22" s="10">
        <v>1.03777507057E-3</v>
      </c>
      <c r="AC22" s="10">
        <v>0.15</v>
      </c>
      <c r="AD22" s="10">
        <v>0.14899999999999999</v>
      </c>
      <c r="AE22" s="9">
        <v>223988290.25</v>
      </c>
      <c r="AF22" s="10">
        <v>3.2928118094000002E-4</v>
      </c>
      <c r="AG22" s="10">
        <v>0.15</v>
      </c>
      <c r="AH22" s="10">
        <v>0.1497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 t="s">
        <v>26</v>
      </c>
      <c r="AV22" s="10" t="s">
        <v>26</v>
      </c>
      <c r="AW22" s="10" t="s">
        <v>26</v>
      </c>
      <c r="AX22" s="10" t="s">
        <v>26</v>
      </c>
      <c r="AY22" s="9">
        <v>223988290.25</v>
      </c>
      <c r="AZ22" s="10">
        <v>2.9071801238999997E-4</v>
      </c>
      <c r="BA22" s="10">
        <v>0.15</v>
      </c>
      <c r="BB22" s="10">
        <v>0.1497</v>
      </c>
    </row>
    <row r="23" spans="1:55" s="7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>
        <v>18787140.84</v>
      </c>
      <c r="L23" s="1">
        <v>1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52914326.780000001</v>
      </c>
      <c r="X23" s="1">
        <v>1</v>
      </c>
      <c r="Y23" s="1" t="s">
        <v>26</v>
      </c>
      <c r="Z23" s="1" t="s">
        <v>26</v>
      </c>
      <c r="AA23" s="2">
        <v>152286822.63</v>
      </c>
      <c r="AB23" s="1">
        <v>1</v>
      </c>
      <c r="AC23" s="1" t="s">
        <v>26</v>
      </c>
      <c r="AD23" s="1" t="s">
        <v>26</v>
      </c>
      <c r="AE23" s="2">
        <v>223988290.25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223988290.25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226572485.61000001</v>
      </c>
      <c r="D24" s="10">
        <v>3.1940045604340002E-2</v>
      </c>
      <c r="E24" s="10">
        <v>0.13500000000000001</v>
      </c>
      <c r="F24" s="10">
        <v>0.1031</v>
      </c>
      <c r="G24" s="9" t="s">
        <v>26</v>
      </c>
      <c r="H24" s="10" t="s">
        <v>26</v>
      </c>
      <c r="I24" s="10" t="s">
        <v>26</v>
      </c>
      <c r="J24" s="10" t="s">
        <v>26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226572485.61000001</v>
      </c>
      <c r="AF24" s="10">
        <v>3.3308016033999999E-4</v>
      </c>
      <c r="AG24" s="10">
        <v>0.13500000000000001</v>
      </c>
      <c r="AH24" s="10">
        <v>0.13469999999999999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226572485.61000001</v>
      </c>
      <c r="AZ24" s="10">
        <v>2.940720812E-4</v>
      </c>
      <c r="BA24" s="10">
        <v>0.13500000000000001</v>
      </c>
      <c r="BB24" s="10">
        <v>0.13469999999999999</v>
      </c>
      <c r="BC24" s="31"/>
    </row>
    <row r="25" spans="1:55" s="7" customFormat="1">
      <c r="A25" s="3" t="s">
        <v>41</v>
      </c>
      <c r="B25" s="23" t="s">
        <v>44</v>
      </c>
      <c r="C25" s="2">
        <v>226572485.61000001</v>
      </c>
      <c r="D25" s="1">
        <v>1</v>
      </c>
      <c r="E25" s="1" t="s">
        <v>26</v>
      </c>
      <c r="F25" s="1" t="s">
        <v>26</v>
      </c>
      <c r="G25" s="2" t="s">
        <v>26</v>
      </c>
      <c r="H25" s="1" t="s">
        <v>26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226572485.61000001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226572485.61000001</v>
      </c>
      <c r="AZ25" s="1">
        <v>1</v>
      </c>
      <c r="BA25" s="1" t="s">
        <v>26</v>
      </c>
      <c r="BB25" s="1" t="s">
        <v>26</v>
      </c>
    </row>
    <row r="26" spans="1:55" s="7" customFormat="1">
      <c r="A26" s="5" t="s">
        <v>45</v>
      </c>
      <c r="B26" s="20" t="s">
        <v>25</v>
      </c>
      <c r="C26" s="9">
        <v>20454760.600000001</v>
      </c>
      <c r="D26" s="10">
        <v>2.8835186436299998E-3</v>
      </c>
      <c r="E26" s="10">
        <v>0.13500000000000001</v>
      </c>
      <c r="F26" s="10">
        <v>0.1321</v>
      </c>
      <c r="G26" s="9">
        <v>1473848602.2</v>
      </c>
      <c r="H26" s="10">
        <v>9.1945836696999995E-3</v>
      </c>
      <c r="I26" s="10">
        <v>0.13500000000000001</v>
      </c>
      <c r="J26" s="10">
        <v>0.1258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1638961139</v>
      </c>
      <c r="P26" s="10">
        <v>6.8773930342699999E-3</v>
      </c>
      <c r="Q26" s="10">
        <v>0.13500000000000001</v>
      </c>
      <c r="R26" s="10">
        <v>0.12809999999999999</v>
      </c>
      <c r="S26" s="9">
        <v>818927650</v>
      </c>
      <c r="T26" s="10">
        <v>6.9573873041400003E-3</v>
      </c>
      <c r="U26" s="10">
        <v>0.13500000000000001</v>
      </c>
      <c r="V26" s="10">
        <v>0.128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1850982394.0999999</v>
      </c>
      <c r="AB26" s="10">
        <v>1.261372029097E-2</v>
      </c>
      <c r="AC26" s="10">
        <v>0.05</v>
      </c>
      <c r="AD26" s="10">
        <v>3.7400000000000003E-2</v>
      </c>
      <c r="AE26" s="9">
        <v>5803174545.8999996</v>
      </c>
      <c r="AF26" s="10">
        <v>8.5311431483300008E-3</v>
      </c>
      <c r="AG26" s="10">
        <v>0.13550000000000001</v>
      </c>
      <c r="AH26" s="10">
        <v>0.127</v>
      </c>
      <c r="AI26" s="9" t="s">
        <v>26</v>
      </c>
      <c r="AJ26" s="10" t="s">
        <v>26</v>
      </c>
      <c r="AK26" s="10" t="s">
        <v>26</v>
      </c>
      <c r="AL26" s="10" t="s">
        <v>26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 t="s">
        <v>26</v>
      </c>
      <c r="AR26" s="10" t="s">
        <v>26</v>
      </c>
      <c r="AS26" s="10" t="s">
        <v>26</v>
      </c>
      <c r="AT26" s="10" t="s">
        <v>26</v>
      </c>
      <c r="AU26" s="9">
        <v>974550032.5</v>
      </c>
      <c r="AV26" s="10">
        <v>2.0181602905990002E-2</v>
      </c>
      <c r="AW26" s="10">
        <v>0.13500000000000001</v>
      </c>
      <c r="AX26" s="10">
        <v>0.1148</v>
      </c>
      <c r="AY26" s="9">
        <v>6777724578.3999996</v>
      </c>
      <c r="AZ26" s="10">
        <v>8.7969179805800005E-3</v>
      </c>
      <c r="BA26" s="10">
        <v>0.13539999999999999</v>
      </c>
      <c r="BB26" s="10">
        <v>0.12659999999999999</v>
      </c>
    </row>
    <row r="27" spans="1:55" s="7" customFormat="1">
      <c r="A27" s="3" t="s">
        <v>39</v>
      </c>
      <c r="B27" s="23" t="s">
        <v>40</v>
      </c>
      <c r="C27" s="2">
        <v>20454760.600000001</v>
      </c>
      <c r="D27" s="1">
        <v>1</v>
      </c>
      <c r="E27" s="1" t="s">
        <v>26</v>
      </c>
      <c r="F27" s="1" t="s">
        <v>26</v>
      </c>
      <c r="G27" s="2">
        <v>1473848602.2</v>
      </c>
      <c r="H27" s="1">
        <v>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1638961139</v>
      </c>
      <c r="P27" s="1">
        <v>1</v>
      </c>
      <c r="Q27" s="1" t="s">
        <v>26</v>
      </c>
      <c r="R27" s="1" t="s">
        <v>26</v>
      </c>
      <c r="S27" s="2">
        <v>818927650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1664612690.72</v>
      </c>
      <c r="AB27" s="1">
        <v>0.89931308694557999</v>
      </c>
      <c r="AC27" s="1" t="s">
        <v>26</v>
      </c>
      <c r="AD27" s="1" t="s">
        <v>26</v>
      </c>
      <c r="AE27" s="2">
        <v>5616804842.5200005</v>
      </c>
      <c r="AF27" s="1">
        <v>0.96788487027128001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974550032.5</v>
      </c>
      <c r="AV27" s="1">
        <v>1</v>
      </c>
      <c r="AW27" s="1" t="s">
        <v>26</v>
      </c>
      <c r="AX27" s="1" t="s">
        <v>26</v>
      </c>
      <c r="AY27" s="2">
        <v>6591354875.0200005</v>
      </c>
      <c r="AZ27" s="1">
        <v>0.97250261481944</v>
      </c>
      <c r="BA27" s="1" t="s">
        <v>26</v>
      </c>
      <c r="BB27" s="1" t="s">
        <v>26</v>
      </c>
    </row>
    <row r="28" spans="1:55" s="7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186369703.38</v>
      </c>
      <c r="AB28" s="1">
        <v>0.10068691305442</v>
      </c>
      <c r="AC28" s="1" t="s">
        <v>26</v>
      </c>
      <c r="AD28" s="1" t="s">
        <v>26</v>
      </c>
      <c r="AE28" s="2">
        <v>186369703.38</v>
      </c>
      <c r="AF28" s="1">
        <v>3.211512972872E-2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186369703.38</v>
      </c>
      <c r="AZ28" s="1">
        <v>2.749738518056E-2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10" t="s">
        <v>26</v>
      </c>
      <c r="F29" s="10" t="s">
        <v>26</v>
      </c>
      <c r="G29" s="9" t="s">
        <v>26</v>
      </c>
      <c r="H29" s="10" t="s">
        <v>26</v>
      </c>
      <c r="I29" s="10" t="s">
        <v>26</v>
      </c>
      <c r="J29" s="10" t="s">
        <v>26</v>
      </c>
      <c r="K29" s="9" t="s">
        <v>26</v>
      </c>
      <c r="L29" s="10" t="s">
        <v>26</v>
      </c>
      <c r="M29" s="10" t="s">
        <v>26</v>
      </c>
      <c r="N29" s="10" t="s">
        <v>26</v>
      </c>
      <c r="O29" s="9" t="s">
        <v>26</v>
      </c>
      <c r="P29" s="10" t="s">
        <v>26</v>
      </c>
      <c r="Q29" s="10" t="s">
        <v>26</v>
      </c>
      <c r="R29" s="10" t="s">
        <v>26</v>
      </c>
      <c r="S29" s="9">
        <v>18014611.309999999</v>
      </c>
      <c r="T29" s="10">
        <v>1.5304725395000001E-4</v>
      </c>
      <c r="U29" s="10">
        <v>0.13500000000000001</v>
      </c>
      <c r="V29" s="10">
        <v>0.1348</v>
      </c>
      <c r="W29" s="9" t="s">
        <v>26</v>
      </c>
      <c r="X29" s="10" t="s">
        <v>26</v>
      </c>
      <c r="Y29" s="10" t="s">
        <v>26</v>
      </c>
      <c r="Z29" s="10" t="s">
        <v>26</v>
      </c>
      <c r="AA29" s="9" t="s">
        <v>26</v>
      </c>
      <c r="AB29" s="10" t="s">
        <v>26</v>
      </c>
      <c r="AC29" s="10" t="s">
        <v>26</v>
      </c>
      <c r="AD29" s="10" t="s">
        <v>26</v>
      </c>
      <c r="AE29" s="9">
        <v>18014611.309999999</v>
      </c>
      <c r="AF29" s="10">
        <v>2.6482958009999999E-5</v>
      </c>
      <c r="AG29" s="10">
        <v>0.13500000000000001</v>
      </c>
      <c r="AH29" s="10">
        <v>0.13500000000000001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304776920.64999998</v>
      </c>
      <c r="AN29" s="10">
        <v>1.249506801162E-2</v>
      </c>
      <c r="AO29" s="10">
        <v>0.13500000000000001</v>
      </c>
      <c r="AP29" s="10">
        <v>0.1225</v>
      </c>
      <c r="AQ29" s="9">
        <v>304776920.64999998</v>
      </c>
      <c r="AR29" s="10">
        <v>7.2665109435300001E-3</v>
      </c>
      <c r="AS29" s="10">
        <v>0.13500000000000001</v>
      </c>
      <c r="AT29" s="10">
        <v>0.12770000000000001</v>
      </c>
      <c r="AU29" s="9" t="s">
        <v>26</v>
      </c>
      <c r="AV29" s="10" t="s">
        <v>26</v>
      </c>
      <c r="AW29" s="10" t="s">
        <v>26</v>
      </c>
      <c r="AX29" s="10" t="s">
        <v>26</v>
      </c>
      <c r="AY29" s="9">
        <v>322791531.95999998</v>
      </c>
      <c r="AZ29" s="10">
        <v>4.1895633240999998E-4</v>
      </c>
      <c r="BA29" s="10">
        <v>0.13500000000000001</v>
      </c>
      <c r="BB29" s="10">
        <v>0.1346</v>
      </c>
    </row>
    <row r="30" spans="1:55" s="7" customFormat="1">
      <c r="A30" s="3" t="s">
        <v>41</v>
      </c>
      <c r="B30" s="23" t="s">
        <v>44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18014611.309999999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18014611.309999999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304776920.64999998</v>
      </c>
      <c r="AN30" s="1">
        <v>1</v>
      </c>
      <c r="AO30" s="1" t="s">
        <v>26</v>
      </c>
      <c r="AP30" s="1" t="s">
        <v>26</v>
      </c>
      <c r="AQ30" s="2">
        <v>304776920.64999998</v>
      </c>
      <c r="AR30" s="1">
        <v>1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322791531.95999998</v>
      </c>
      <c r="AZ30" s="1">
        <v>1</v>
      </c>
      <c r="BA30" s="1" t="s">
        <v>26</v>
      </c>
      <c r="BB30" s="1" t="s">
        <v>26</v>
      </c>
    </row>
    <row r="31" spans="1:55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10" t="s">
        <v>26</v>
      </c>
      <c r="F31" s="10" t="s">
        <v>26</v>
      </c>
      <c r="G31" s="9" t="s">
        <v>26</v>
      </c>
      <c r="H31" s="10" t="s">
        <v>26</v>
      </c>
      <c r="I31" s="10" t="s">
        <v>26</v>
      </c>
      <c r="J31" s="10" t="s">
        <v>26</v>
      </c>
      <c r="K31" s="9">
        <v>96073073.780000001</v>
      </c>
      <c r="L31" s="10">
        <v>2.8704432281599999E-2</v>
      </c>
      <c r="M31" s="10">
        <v>0.13500000000000001</v>
      </c>
      <c r="N31" s="10">
        <v>0.10630000000000001</v>
      </c>
      <c r="O31" s="9" t="s">
        <v>26</v>
      </c>
      <c r="P31" s="10" t="s">
        <v>26</v>
      </c>
      <c r="Q31" s="10" t="s">
        <v>26</v>
      </c>
      <c r="R31" s="10" t="s">
        <v>26</v>
      </c>
      <c r="S31" s="9" t="s">
        <v>26</v>
      </c>
      <c r="T31" s="10" t="s">
        <v>26</v>
      </c>
      <c r="U31" s="10" t="s">
        <v>26</v>
      </c>
      <c r="V31" s="10" t="s">
        <v>26</v>
      </c>
      <c r="W31" s="9" t="s">
        <v>26</v>
      </c>
      <c r="X31" s="10" t="s">
        <v>26</v>
      </c>
      <c r="Y31" s="10" t="s">
        <v>26</v>
      </c>
      <c r="Z31" s="10" t="s">
        <v>26</v>
      </c>
      <c r="AA31" s="9" t="s">
        <v>26</v>
      </c>
      <c r="AB31" s="10" t="s">
        <v>26</v>
      </c>
      <c r="AC31" s="10" t="s">
        <v>26</v>
      </c>
      <c r="AD31" s="10" t="s">
        <v>26</v>
      </c>
      <c r="AE31" s="9">
        <v>96073073.780000001</v>
      </c>
      <c r="AF31" s="10">
        <v>1.4123530813E-4</v>
      </c>
      <c r="AG31" s="10">
        <v>0.13500000000000001</v>
      </c>
      <c r="AH31" s="10">
        <v>0.13489999999999999</v>
      </c>
      <c r="AI31" s="9">
        <v>5060140.12</v>
      </c>
      <c r="AJ31" s="10">
        <v>2.8831229953000002E-4</v>
      </c>
      <c r="AK31" s="10">
        <v>0.13500000000000001</v>
      </c>
      <c r="AL31" s="10">
        <v>0.13469999999999999</v>
      </c>
      <c r="AM31" s="9" t="s">
        <v>26</v>
      </c>
      <c r="AN31" s="10" t="s">
        <v>26</v>
      </c>
      <c r="AO31" s="10" t="s">
        <v>26</v>
      </c>
      <c r="AP31" s="10" t="s">
        <v>26</v>
      </c>
      <c r="AQ31" s="9">
        <v>5060140.12</v>
      </c>
      <c r="AR31" s="10">
        <v>1.2064418618E-4</v>
      </c>
      <c r="AS31" s="10">
        <v>0.13500000000000001</v>
      </c>
      <c r="AT31" s="10">
        <v>0.13489999999999999</v>
      </c>
      <c r="AU31" s="9" t="s">
        <v>26</v>
      </c>
      <c r="AV31" s="10" t="s">
        <v>26</v>
      </c>
      <c r="AW31" s="10" t="s">
        <v>26</v>
      </c>
      <c r="AX31" s="10" t="s">
        <v>26</v>
      </c>
      <c r="AY31" s="9">
        <v>101133213.90000001</v>
      </c>
      <c r="AZ31" s="10">
        <v>1.3126242849000001E-4</v>
      </c>
      <c r="BA31" s="10">
        <v>0.13500000000000001</v>
      </c>
      <c r="BB31" s="10">
        <v>0.13489999999999999</v>
      </c>
    </row>
    <row r="32" spans="1:55" s="7" customFormat="1">
      <c r="A32" s="3" t="s">
        <v>41</v>
      </c>
      <c r="B32" s="23" t="s">
        <v>44</v>
      </c>
      <c r="C32" s="2" t="s">
        <v>26</v>
      </c>
      <c r="D32" s="1" t="s">
        <v>26</v>
      </c>
      <c r="E32" s="1" t="s">
        <v>26</v>
      </c>
      <c r="F32" s="1" t="s">
        <v>26</v>
      </c>
      <c r="G32" s="2" t="s">
        <v>26</v>
      </c>
      <c r="H32" s="1" t="s">
        <v>26</v>
      </c>
      <c r="I32" s="1" t="s">
        <v>26</v>
      </c>
      <c r="J32" s="1" t="s">
        <v>26</v>
      </c>
      <c r="K32" s="2">
        <v>96073073.780000001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96073073.780000001</v>
      </c>
      <c r="AF32" s="1">
        <v>1</v>
      </c>
      <c r="AG32" s="1" t="s">
        <v>26</v>
      </c>
      <c r="AH32" s="1" t="s">
        <v>26</v>
      </c>
      <c r="AI32" s="2">
        <v>5060140.12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5060140.12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101133213.90000001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10" t="s">
        <v>26</v>
      </c>
      <c r="F33" s="10" t="s">
        <v>26</v>
      </c>
      <c r="G33" s="9" t="s">
        <v>26</v>
      </c>
      <c r="H33" s="10" t="s">
        <v>26</v>
      </c>
      <c r="I33" s="10" t="s">
        <v>26</v>
      </c>
      <c r="J33" s="10" t="s">
        <v>26</v>
      </c>
      <c r="K33" s="9">
        <v>94195072.25</v>
      </c>
      <c r="L33" s="10">
        <v>2.814332847154E-2</v>
      </c>
      <c r="M33" s="10">
        <v>0.13500000000000001</v>
      </c>
      <c r="N33" s="10">
        <v>0.1069</v>
      </c>
      <c r="O33" s="9" t="s">
        <v>26</v>
      </c>
      <c r="P33" s="10" t="s">
        <v>26</v>
      </c>
      <c r="Q33" s="10" t="s">
        <v>26</v>
      </c>
      <c r="R33" s="10" t="s">
        <v>26</v>
      </c>
      <c r="S33" s="9" t="s">
        <v>26</v>
      </c>
      <c r="T33" s="10" t="s">
        <v>26</v>
      </c>
      <c r="U33" s="10" t="s">
        <v>26</v>
      </c>
      <c r="V33" s="10" t="s">
        <v>26</v>
      </c>
      <c r="W33" s="9" t="s">
        <v>26</v>
      </c>
      <c r="X33" s="10" t="s">
        <v>26</v>
      </c>
      <c r="Y33" s="10" t="s">
        <v>26</v>
      </c>
      <c r="Z33" s="10" t="s">
        <v>26</v>
      </c>
      <c r="AA33" s="9" t="s">
        <v>26</v>
      </c>
      <c r="AB33" s="10" t="s">
        <v>26</v>
      </c>
      <c r="AC33" s="10" t="s">
        <v>26</v>
      </c>
      <c r="AD33" s="10" t="s">
        <v>26</v>
      </c>
      <c r="AE33" s="9">
        <v>94195072.25</v>
      </c>
      <c r="AF33" s="10">
        <v>1.3847449165999999E-4</v>
      </c>
      <c r="AG33" s="10">
        <v>0.13500000000000001</v>
      </c>
      <c r="AH33" s="10">
        <v>0.13489999999999999</v>
      </c>
      <c r="AI33" s="9">
        <v>19999999.920000002</v>
      </c>
      <c r="AJ33" s="10">
        <v>1.1395427459899999E-3</v>
      </c>
      <c r="AK33" s="10">
        <v>0.13500000000000001</v>
      </c>
      <c r="AL33" s="10">
        <v>0.13389999999999999</v>
      </c>
      <c r="AM33" s="9" t="s">
        <v>26</v>
      </c>
      <c r="AN33" s="10" t="s">
        <v>26</v>
      </c>
      <c r="AO33" s="10" t="s">
        <v>26</v>
      </c>
      <c r="AP33" s="10" t="s">
        <v>26</v>
      </c>
      <c r="AQ33" s="9">
        <v>19999999.920000002</v>
      </c>
      <c r="AR33" s="10">
        <v>4.7684128437000002E-4</v>
      </c>
      <c r="AS33" s="10">
        <v>0.13500000000000001</v>
      </c>
      <c r="AT33" s="10">
        <v>0.13450000000000001</v>
      </c>
      <c r="AU33" s="9" t="s">
        <v>26</v>
      </c>
      <c r="AV33" s="10" t="s">
        <v>26</v>
      </c>
      <c r="AW33" s="10" t="s">
        <v>26</v>
      </c>
      <c r="AX33" s="10" t="s">
        <v>26</v>
      </c>
      <c r="AY33" s="9">
        <v>114195072.17</v>
      </c>
      <c r="AZ33" s="10">
        <v>1.4821562488E-4</v>
      </c>
      <c r="BA33" s="10">
        <v>0.13500000000000001</v>
      </c>
      <c r="BB33" s="10">
        <v>0.13489999999999999</v>
      </c>
    </row>
    <row r="34" spans="1:54" s="7" customFormat="1">
      <c r="A34" s="3" t="s">
        <v>41</v>
      </c>
      <c r="B34" s="23" t="s">
        <v>44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94195072.25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 t="s">
        <v>26</v>
      </c>
      <c r="AB34" s="1" t="s">
        <v>26</v>
      </c>
      <c r="AC34" s="1" t="s">
        <v>26</v>
      </c>
      <c r="AD34" s="1" t="s">
        <v>26</v>
      </c>
      <c r="AE34" s="2">
        <v>94195072.25</v>
      </c>
      <c r="AF34" s="1">
        <v>1</v>
      </c>
      <c r="AG34" s="1" t="s">
        <v>26</v>
      </c>
      <c r="AH34" s="1" t="s">
        <v>26</v>
      </c>
      <c r="AI34" s="2">
        <v>19999999.920000002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19999999.920000002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114195072.17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9150120.8399999999</v>
      </c>
      <c r="D35" s="10">
        <v>1.28989747421E-3</v>
      </c>
      <c r="E35" s="10">
        <v>0.13500000000000001</v>
      </c>
      <c r="F35" s="10">
        <v>0.13370000000000001</v>
      </c>
      <c r="G35" s="9">
        <v>744341336.98000002</v>
      </c>
      <c r="H35" s="10">
        <v>4.6435629083300001E-3</v>
      </c>
      <c r="I35" s="10">
        <v>0.1004</v>
      </c>
      <c r="J35" s="10">
        <v>9.5799999999999996E-2</v>
      </c>
      <c r="K35" s="9" t="s">
        <v>26</v>
      </c>
      <c r="L35" s="10" t="s">
        <v>26</v>
      </c>
      <c r="M35" s="10" t="s">
        <v>26</v>
      </c>
      <c r="N35" s="10" t="s">
        <v>26</v>
      </c>
      <c r="O35" s="9">
        <v>1324173807.73</v>
      </c>
      <c r="P35" s="10">
        <v>5.5564854496799997E-3</v>
      </c>
      <c r="Q35" s="10">
        <v>0.1163</v>
      </c>
      <c r="R35" s="10">
        <v>0.11070000000000001</v>
      </c>
      <c r="S35" s="9">
        <v>312480777</v>
      </c>
      <c r="T35" s="10">
        <v>2.6547519682399998E-3</v>
      </c>
      <c r="U35" s="10">
        <v>0.09</v>
      </c>
      <c r="V35" s="10">
        <v>8.7300000000000003E-2</v>
      </c>
      <c r="W35" s="9" t="s">
        <v>26</v>
      </c>
      <c r="X35" s="10" t="s">
        <v>26</v>
      </c>
      <c r="Y35" s="10" t="s">
        <v>26</v>
      </c>
      <c r="Z35" s="10" t="s">
        <v>26</v>
      </c>
      <c r="AA35" s="9">
        <v>549933852.54999995</v>
      </c>
      <c r="AB35" s="10">
        <v>3.74758388665E-3</v>
      </c>
      <c r="AC35" s="10">
        <v>0.09</v>
      </c>
      <c r="AD35" s="10">
        <v>8.6300000000000002E-2</v>
      </c>
      <c r="AE35" s="9">
        <v>2940079895.0999999</v>
      </c>
      <c r="AF35" s="10">
        <v>4.3221588897999997E-3</v>
      </c>
      <c r="AG35" s="10">
        <v>0.1046</v>
      </c>
      <c r="AH35" s="10">
        <v>0.1003</v>
      </c>
      <c r="AI35" s="9">
        <v>61527025.799999997</v>
      </c>
      <c r="AJ35" s="10">
        <v>3.5056338106700001E-3</v>
      </c>
      <c r="AK35" s="10">
        <v>9.7900000000000001E-2</v>
      </c>
      <c r="AL35" s="10">
        <v>9.4399999999999998E-2</v>
      </c>
      <c r="AM35" s="9">
        <v>220237196.03999999</v>
      </c>
      <c r="AN35" s="10">
        <v>9.0291572516099997E-3</v>
      </c>
      <c r="AO35" s="10">
        <v>0.13500000000000001</v>
      </c>
      <c r="AP35" s="10">
        <v>0.126</v>
      </c>
      <c r="AQ35" s="9">
        <v>281764221.83999997</v>
      </c>
      <c r="AR35" s="10">
        <v>6.71784069846E-3</v>
      </c>
      <c r="AS35" s="10">
        <v>0.12690000000000001</v>
      </c>
      <c r="AT35" s="10">
        <v>0.1202</v>
      </c>
      <c r="AU35" s="9">
        <v>121078088.81</v>
      </c>
      <c r="AV35" s="10">
        <v>2.5073621953599998E-3</v>
      </c>
      <c r="AW35" s="10">
        <v>0.13500000000000001</v>
      </c>
      <c r="AX35" s="10">
        <v>0.13250000000000001</v>
      </c>
      <c r="AY35" s="9">
        <v>3342922205.75</v>
      </c>
      <c r="AZ35" s="10">
        <v>4.3388326154700004E-3</v>
      </c>
      <c r="BA35" s="10">
        <v>0.1076</v>
      </c>
      <c r="BB35" s="10">
        <v>0.1033</v>
      </c>
    </row>
    <row r="36" spans="1:54" s="7" customFormat="1">
      <c r="A36" s="3" t="s">
        <v>39</v>
      </c>
      <c r="B36" s="23" t="s">
        <v>47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572579114.41999996</v>
      </c>
      <c r="H36" s="1">
        <v>0.76924266592946999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549933852.54999995</v>
      </c>
      <c r="P36" s="1">
        <v>0.41530337584061999</v>
      </c>
      <c r="Q36" s="1" t="s">
        <v>26</v>
      </c>
      <c r="R36" s="1" t="s">
        <v>26</v>
      </c>
      <c r="S36" s="2">
        <v>312480777</v>
      </c>
      <c r="T36" s="1">
        <v>1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549933852.54999995</v>
      </c>
      <c r="AB36" s="1">
        <v>1</v>
      </c>
      <c r="AC36" s="1" t="s">
        <v>26</v>
      </c>
      <c r="AD36" s="1" t="s">
        <v>26</v>
      </c>
      <c r="AE36" s="2">
        <v>1984927596.52</v>
      </c>
      <c r="AF36" s="1">
        <v>0.67512709427662998</v>
      </c>
      <c r="AG36" s="1" t="s">
        <v>26</v>
      </c>
      <c r="AH36" s="1" t="s">
        <v>26</v>
      </c>
      <c r="AI36" s="2">
        <v>50784017.5</v>
      </c>
      <c r="AJ36" s="1">
        <v>0.82539366789934998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50784017.5</v>
      </c>
      <c r="AR36" s="1">
        <v>0.18023586234038999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2035711614.02</v>
      </c>
      <c r="AZ36" s="1">
        <v>0.60896170737041999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9150120.8399999999</v>
      </c>
      <c r="D37" s="1">
        <v>1</v>
      </c>
      <c r="E37" s="1" t="s">
        <v>26</v>
      </c>
      <c r="F37" s="1" t="s">
        <v>26</v>
      </c>
      <c r="G37" s="2">
        <v>171762222.56</v>
      </c>
      <c r="H37" s="1">
        <v>0.23075733407053001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774239955.17999995</v>
      </c>
      <c r="P37" s="1">
        <v>0.58469662415937995</v>
      </c>
      <c r="Q37" s="1" t="s">
        <v>26</v>
      </c>
      <c r="R37" s="1" t="s">
        <v>26</v>
      </c>
      <c r="S37" s="2" t="s">
        <v>26</v>
      </c>
      <c r="T37" s="1" t="s">
        <v>26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955152298.58000004</v>
      </c>
      <c r="AF37" s="1">
        <v>0.32487290572337002</v>
      </c>
      <c r="AG37" s="1" t="s">
        <v>26</v>
      </c>
      <c r="AH37" s="1" t="s">
        <v>26</v>
      </c>
      <c r="AI37" s="2">
        <v>10743008.300000001</v>
      </c>
      <c r="AJ37" s="1">
        <v>0.17460633210064999</v>
      </c>
      <c r="AK37" s="1" t="s">
        <v>26</v>
      </c>
      <c r="AL37" s="1" t="s">
        <v>26</v>
      </c>
      <c r="AM37" s="2">
        <v>220237196.03999999</v>
      </c>
      <c r="AN37" s="1">
        <v>1</v>
      </c>
      <c r="AO37" s="1" t="s">
        <v>26</v>
      </c>
      <c r="AP37" s="1" t="s">
        <v>26</v>
      </c>
      <c r="AQ37" s="2">
        <v>230980204.34</v>
      </c>
      <c r="AR37" s="1">
        <v>0.81976413765960998</v>
      </c>
      <c r="AS37" s="1" t="s">
        <v>26</v>
      </c>
      <c r="AT37" s="1" t="s">
        <v>26</v>
      </c>
      <c r="AU37" s="2">
        <v>121078088.81</v>
      </c>
      <c r="AV37" s="1">
        <v>1</v>
      </c>
      <c r="AW37" s="1" t="s">
        <v>26</v>
      </c>
      <c r="AX37" s="1" t="s">
        <v>26</v>
      </c>
      <c r="AY37" s="2">
        <v>1307210591.73</v>
      </c>
      <c r="AZ37" s="1">
        <v>0.39103829262958001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10" t="s">
        <v>26</v>
      </c>
      <c r="F38" s="10" t="s">
        <v>26</v>
      </c>
      <c r="G38" s="9" t="s">
        <v>26</v>
      </c>
      <c r="H38" s="10" t="s">
        <v>26</v>
      </c>
      <c r="I38" s="10" t="s">
        <v>26</v>
      </c>
      <c r="J38" s="10" t="s">
        <v>26</v>
      </c>
      <c r="K38" s="9" t="s">
        <v>26</v>
      </c>
      <c r="L38" s="10" t="s">
        <v>26</v>
      </c>
      <c r="M38" s="10" t="s">
        <v>26</v>
      </c>
      <c r="N38" s="10" t="s">
        <v>26</v>
      </c>
      <c r="O38" s="9">
        <v>100827316.42</v>
      </c>
      <c r="P38" s="10">
        <v>4.2309061948999998E-4</v>
      </c>
      <c r="Q38" s="10">
        <v>0.13500000000000001</v>
      </c>
      <c r="R38" s="10">
        <v>0.1346</v>
      </c>
      <c r="S38" s="9" t="s">
        <v>26</v>
      </c>
      <c r="T38" s="10" t="s">
        <v>26</v>
      </c>
      <c r="U38" s="10" t="s">
        <v>26</v>
      </c>
      <c r="V38" s="10" t="s">
        <v>26</v>
      </c>
      <c r="W38" s="9" t="s">
        <v>26</v>
      </c>
      <c r="X38" s="10" t="s">
        <v>26</v>
      </c>
      <c r="Y38" s="10" t="s">
        <v>26</v>
      </c>
      <c r="Z38" s="10" t="s">
        <v>26</v>
      </c>
      <c r="AA38" s="9" t="s">
        <v>26</v>
      </c>
      <c r="AB38" s="10" t="s">
        <v>26</v>
      </c>
      <c r="AC38" s="10" t="s">
        <v>26</v>
      </c>
      <c r="AD38" s="10" t="s">
        <v>26</v>
      </c>
      <c r="AE38" s="9">
        <v>100827316.42</v>
      </c>
      <c r="AF38" s="10">
        <v>1.4822443523999999E-4</v>
      </c>
      <c r="AG38" s="10">
        <v>0.13500000000000001</v>
      </c>
      <c r="AH38" s="10">
        <v>0.13489999999999999</v>
      </c>
      <c r="AI38" s="9">
        <v>7004131.6699999999</v>
      </c>
      <c r="AJ38" s="10">
        <v>3.9907537341999998E-4</v>
      </c>
      <c r="AK38" s="10">
        <v>0.13500000000000001</v>
      </c>
      <c r="AL38" s="10">
        <v>0.1346</v>
      </c>
      <c r="AM38" s="9" t="s">
        <v>26</v>
      </c>
      <c r="AN38" s="10" t="s">
        <v>26</v>
      </c>
      <c r="AO38" s="10" t="s">
        <v>26</v>
      </c>
      <c r="AP38" s="10" t="s">
        <v>26</v>
      </c>
      <c r="AQ38" s="9">
        <v>7004131.6699999999</v>
      </c>
      <c r="AR38" s="10">
        <v>1.6699295773999999E-4</v>
      </c>
      <c r="AS38" s="10">
        <v>0.13500000000000001</v>
      </c>
      <c r="AT38" s="10">
        <v>0.1348</v>
      </c>
      <c r="AU38" s="9" t="s">
        <v>26</v>
      </c>
      <c r="AV38" s="10" t="s">
        <v>26</v>
      </c>
      <c r="AW38" s="10" t="s">
        <v>26</v>
      </c>
      <c r="AX38" s="10" t="s">
        <v>26</v>
      </c>
      <c r="AY38" s="9">
        <v>107831448.09</v>
      </c>
      <c r="AZ38" s="10">
        <v>1.3995617460999999E-4</v>
      </c>
      <c r="BA38" s="10">
        <v>0.13500000000000001</v>
      </c>
      <c r="BB38" s="10">
        <v>0.13489999999999999</v>
      </c>
    </row>
    <row r="39" spans="1:54" s="7" customFormat="1">
      <c r="A39" s="3" t="s">
        <v>41</v>
      </c>
      <c r="B39" s="23" t="s">
        <v>44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100827316.42</v>
      </c>
      <c r="P39" s="1">
        <v>1</v>
      </c>
      <c r="Q39" s="1" t="s">
        <v>26</v>
      </c>
      <c r="R39" s="1" t="s">
        <v>26</v>
      </c>
      <c r="S39" s="2" t="s">
        <v>26</v>
      </c>
      <c r="T39" s="1" t="s">
        <v>26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100827316.42</v>
      </c>
      <c r="AF39" s="1">
        <v>1</v>
      </c>
      <c r="AG39" s="1" t="s">
        <v>26</v>
      </c>
      <c r="AH39" s="1" t="s">
        <v>26</v>
      </c>
      <c r="AI39" s="2">
        <v>7004131.6699999999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7004131.6699999999</v>
      </c>
      <c r="AR39" s="1">
        <v>1</v>
      </c>
      <c r="AS39" s="1" t="s">
        <v>26</v>
      </c>
      <c r="AT39" s="1" t="s">
        <v>26</v>
      </c>
      <c r="AU39" s="2" t="s">
        <v>26</v>
      </c>
      <c r="AV39" s="1" t="s">
        <v>26</v>
      </c>
      <c r="AW39" s="1" t="s">
        <v>26</v>
      </c>
      <c r="AX39" s="1" t="s">
        <v>26</v>
      </c>
      <c r="AY39" s="2">
        <v>107831448.09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24642847.059999999</v>
      </c>
      <c r="D40" s="10">
        <v>3.4739154527E-3</v>
      </c>
      <c r="E40" s="10">
        <v>0.13500000000000001</v>
      </c>
      <c r="F40" s="10">
        <v>0.13150000000000001</v>
      </c>
      <c r="G40" s="9">
        <v>2704361349</v>
      </c>
      <c r="H40" s="10">
        <v>1.6871120045409999E-2</v>
      </c>
      <c r="I40" s="10">
        <v>0.13500000000000001</v>
      </c>
      <c r="J40" s="10">
        <v>0.1181</v>
      </c>
      <c r="K40" s="9" t="s">
        <v>26</v>
      </c>
      <c r="L40" s="10" t="s">
        <v>26</v>
      </c>
      <c r="M40" s="10" t="s">
        <v>26</v>
      </c>
      <c r="N40" s="10" t="s">
        <v>26</v>
      </c>
      <c r="O40" s="9">
        <v>4755750170.2799997</v>
      </c>
      <c r="P40" s="10">
        <v>1.9956033316189999E-2</v>
      </c>
      <c r="Q40" s="10">
        <v>0.05</v>
      </c>
      <c r="R40" s="10">
        <v>0.03</v>
      </c>
      <c r="S40" s="9">
        <v>2163969445.48</v>
      </c>
      <c r="T40" s="10">
        <v>1.8384497759379999E-2</v>
      </c>
      <c r="U40" s="10">
        <v>0.13500000000000001</v>
      </c>
      <c r="V40" s="10">
        <v>0.1166</v>
      </c>
      <c r="W40" s="9">
        <v>877506595.88</v>
      </c>
      <c r="X40" s="10">
        <v>0.13025242298726999</v>
      </c>
      <c r="Y40" s="10">
        <v>0.15</v>
      </c>
      <c r="Z40" s="10">
        <v>1.9699999999999999E-2</v>
      </c>
      <c r="AA40" s="9">
        <v>3954864540</v>
      </c>
      <c r="AB40" s="10">
        <v>2.6950853371300001E-2</v>
      </c>
      <c r="AC40" s="10">
        <v>0.13500000000000001</v>
      </c>
      <c r="AD40" s="10">
        <v>0.108</v>
      </c>
      <c r="AE40" s="9">
        <v>14481094947.700001</v>
      </c>
      <c r="AF40" s="10">
        <v>2.128839878351E-2</v>
      </c>
      <c r="AG40" s="10">
        <v>0.13600000000000001</v>
      </c>
      <c r="AH40" s="10">
        <v>0.1147</v>
      </c>
      <c r="AI40" s="9">
        <v>240057670.40000001</v>
      </c>
      <c r="AJ40" s="10">
        <v>1.367779890092E-2</v>
      </c>
      <c r="AK40" s="10">
        <v>0.13500000000000001</v>
      </c>
      <c r="AL40" s="10">
        <v>0.12130000000000001</v>
      </c>
      <c r="AM40" s="9" t="s">
        <v>26</v>
      </c>
      <c r="AN40" s="10" t="s">
        <v>26</v>
      </c>
      <c r="AO40" s="10" t="s">
        <v>26</v>
      </c>
      <c r="AP40" s="10" t="s">
        <v>26</v>
      </c>
      <c r="AQ40" s="9">
        <v>240057670.40000001</v>
      </c>
      <c r="AR40" s="10">
        <v>5.7234704167200001E-3</v>
      </c>
      <c r="AS40" s="10">
        <v>0.13500000000000001</v>
      </c>
      <c r="AT40" s="10">
        <v>0.1293</v>
      </c>
      <c r="AU40" s="9">
        <v>1109979273.72</v>
      </c>
      <c r="AV40" s="10">
        <v>2.2986157907799998E-2</v>
      </c>
      <c r="AW40" s="10">
        <v>0.13500000000000001</v>
      </c>
      <c r="AX40" s="10">
        <v>0.112</v>
      </c>
      <c r="AY40" s="9">
        <v>15831131891.82</v>
      </c>
      <c r="AZ40" s="10">
        <v>2.054748126471E-2</v>
      </c>
      <c r="BA40" s="10">
        <v>0.13589999999999999</v>
      </c>
      <c r="BB40" s="10">
        <v>0.1154</v>
      </c>
    </row>
    <row r="41" spans="1:54" s="7" customFormat="1">
      <c r="A41" s="3" t="s">
        <v>39</v>
      </c>
      <c r="B41" s="23" t="s">
        <v>40</v>
      </c>
      <c r="C41" s="2">
        <v>24642847.059999999</v>
      </c>
      <c r="D41" s="1">
        <v>1</v>
      </c>
      <c r="E41" s="1" t="s">
        <v>26</v>
      </c>
      <c r="F41" s="1" t="s">
        <v>26</v>
      </c>
      <c r="G41" s="2">
        <v>2704361349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4698326330.6999998</v>
      </c>
      <c r="P41" s="1">
        <v>0.98792538768354998</v>
      </c>
      <c r="Q41" s="1" t="s">
        <v>26</v>
      </c>
      <c r="R41" s="1" t="s">
        <v>26</v>
      </c>
      <c r="S41" s="2">
        <v>2163969445.48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3954864540</v>
      </c>
      <c r="AB41" s="1">
        <v>1</v>
      </c>
      <c r="AC41" s="1" t="s">
        <v>26</v>
      </c>
      <c r="AD41" s="1" t="s">
        <v>26</v>
      </c>
      <c r="AE41" s="2">
        <v>13546164512.24</v>
      </c>
      <c r="AF41" s="1">
        <v>0.93543786303200005</v>
      </c>
      <c r="AG41" s="1" t="s">
        <v>26</v>
      </c>
      <c r="AH41" s="1" t="s">
        <v>26</v>
      </c>
      <c r="AI41" s="2">
        <v>240057670.40000001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240057670.40000001</v>
      </c>
      <c r="AR41" s="1">
        <v>1</v>
      </c>
      <c r="AS41" s="1" t="s">
        <v>26</v>
      </c>
      <c r="AT41" s="1" t="s">
        <v>26</v>
      </c>
      <c r="AU41" s="2">
        <v>1109979273.72</v>
      </c>
      <c r="AV41" s="1">
        <v>1</v>
      </c>
      <c r="AW41" s="1" t="s">
        <v>26</v>
      </c>
      <c r="AX41" s="1" t="s">
        <v>26</v>
      </c>
      <c r="AY41" s="2">
        <v>14896201456.360001</v>
      </c>
      <c r="AZ41" s="1">
        <v>0.94094355085607995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2" t="s">
        <v>26</v>
      </c>
      <c r="D42" s="1" t="s">
        <v>26</v>
      </c>
      <c r="E42" s="1" t="s">
        <v>26</v>
      </c>
      <c r="F42" s="1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57423839.579999998</v>
      </c>
      <c r="P42" s="1">
        <v>1.207461231645E-2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877506595.88</v>
      </c>
      <c r="X42" s="1">
        <v>1</v>
      </c>
      <c r="Y42" s="1" t="s">
        <v>26</v>
      </c>
      <c r="Z42" s="1" t="s">
        <v>26</v>
      </c>
      <c r="AA42" s="2" t="s">
        <v>26</v>
      </c>
      <c r="AB42" s="1" t="s">
        <v>26</v>
      </c>
      <c r="AC42" s="1" t="s">
        <v>26</v>
      </c>
      <c r="AD42" s="1" t="s">
        <v>26</v>
      </c>
      <c r="AE42" s="2">
        <v>934930435.46000004</v>
      </c>
      <c r="AF42" s="1">
        <v>6.4562136968000006E-2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1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934930435.46000004</v>
      </c>
      <c r="AZ42" s="1">
        <v>5.9056449143919998E-2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10" t="s">
        <v>26</v>
      </c>
      <c r="F43" s="10" t="s">
        <v>26</v>
      </c>
      <c r="G43" s="9" t="s">
        <v>26</v>
      </c>
      <c r="H43" s="10" t="s">
        <v>26</v>
      </c>
      <c r="I43" s="10" t="s">
        <v>26</v>
      </c>
      <c r="J43" s="10" t="s">
        <v>26</v>
      </c>
      <c r="K43" s="9" t="s">
        <v>26</v>
      </c>
      <c r="L43" s="10" t="s">
        <v>26</v>
      </c>
      <c r="M43" s="10" t="s">
        <v>26</v>
      </c>
      <c r="N43" s="10" t="s">
        <v>26</v>
      </c>
      <c r="O43" s="9" t="s">
        <v>26</v>
      </c>
      <c r="P43" s="10" t="s">
        <v>26</v>
      </c>
      <c r="Q43" s="10" t="s">
        <v>26</v>
      </c>
      <c r="R43" s="10" t="s">
        <v>26</v>
      </c>
      <c r="S43" s="9" t="s">
        <v>26</v>
      </c>
      <c r="T43" s="10" t="s">
        <v>26</v>
      </c>
      <c r="U43" s="10" t="s">
        <v>26</v>
      </c>
      <c r="V43" s="10" t="s">
        <v>26</v>
      </c>
      <c r="W43" s="9" t="s">
        <v>26</v>
      </c>
      <c r="X43" s="10" t="s">
        <v>26</v>
      </c>
      <c r="Y43" s="10" t="s">
        <v>26</v>
      </c>
      <c r="Z43" s="10" t="s">
        <v>26</v>
      </c>
      <c r="AA43" s="9">
        <v>91268703.349999994</v>
      </c>
      <c r="AB43" s="10">
        <v>6.2196047841999997E-4</v>
      </c>
      <c r="AC43" s="10">
        <v>0.15</v>
      </c>
      <c r="AD43" s="10">
        <v>0.14940000000000001</v>
      </c>
      <c r="AE43" s="9">
        <v>91268703.349999994</v>
      </c>
      <c r="AF43" s="10">
        <v>1.3417248904999999E-4</v>
      </c>
      <c r="AG43" s="10">
        <v>0.15</v>
      </c>
      <c r="AH43" s="10">
        <v>0.14990000000000001</v>
      </c>
      <c r="AI43" s="9" t="s">
        <v>26</v>
      </c>
      <c r="AJ43" s="10" t="s">
        <v>26</v>
      </c>
      <c r="AK43" s="10" t="s">
        <v>26</v>
      </c>
      <c r="AL43" s="10" t="s">
        <v>26</v>
      </c>
      <c r="AM43" s="9">
        <v>956207233.90999997</v>
      </c>
      <c r="AN43" s="10">
        <v>3.920203142492E-2</v>
      </c>
      <c r="AO43" s="10">
        <v>0.15</v>
      </c>
      <c r="AP43" s="10">
        <v>0.1108</v>
      </c>
      <c r="AQ43" s="9">
        <v>956207233.90999997</v>
      </c>
      <c r="AR43" s="10">
        <v>2.2797954368290001E-2</v>
      </c>
      <c r="AS43" s="10">
        <v>0.15</v>
      </c>
      <c r="AT43" s="10">
        <v>0.12720000000000001</v>
      </c>
      <c r="AU43" s="9" t="s">
        <v>26</v>
      </c>
      <c r="AV43" s="10" t="s">
        <v>26</v>
      </c>
      <c r="AW43" s="10" t="s">
        <v>26</v>
      </c>
      <c r="AX43" s="10" t="s">
        <v>26</v>
      </c>
      <c r="AY43" s="9">
        <v>1047475937.26</v>
      </c>
      <c r="AZ43" s="10">
        <v>1.35953590325E-3</v>
      </c>
      <c r="BA43" s="10">
        <v>0.15</v>
      </c>
      <c r="BB43" s="10">
        <v>0.14860000000000001</v>
      </c>
    </row>
    <row r="44" spans="1:54" s="7" customFormat="1">
      <c r="A44" s="3" t="s">
        <v>41</v>
      </c>
      <c r="B44" s="23" t="s">
        <v>35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 t="s">
        <v>26</v>
      </c>
      <c r="L44" s="1" t="s">
        <v>26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91268703.349999994</v>
      </c>
      <c r="AB44" s="1">
        <v>1</v>
      </c>
      <c r="AC44" s="1" t="s">
        <v>26</v>
      </c>
      <c r="AD44" s="1" t="s">
        <v>26</v>
      </c>
      <c r="AE44" s="2">
        <v>91268703.349999994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956207233.90999997</v>
      </c>
      <c r="AN44" s="1">
        <v>1</v>
      </c>
      <c r="AO44" s="1" t="s">
        <v>26</v>
      </c>
      <c r="AP44" s="1" t="s">
        <v>26</v>
      </c>
      <c r="AQ44" s="2">
        <v>956207233.90999997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1047475937.26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10" t="s">
        <v>26</v>
      </c>
      <c r="F45" s="10" t="s">
        <v>26</v>
      </c>
      <c r="G45" s="9" t="s">
        <v>26</v>
      </c>
      <c r="H45" s="10" t="s">
        <v>26</v>
      </c>
      <c r="I45" s="10" t="s">
        <v>26</v>
      </c>
      <c r="J45" s="10" t="s">
        <v>26</v>
      </c>
      <c r="K45" s="9" t="s">
        <v>26</v>
      </c>
      <c r="L45" s="10" t="s">
        <v>26</v>
      </c>
      <c r="M45" s="10" t="s">
        <v>26</v>
      </c>
      <c r="N45" s="10" t="s">
        <v>26</v>
      </c>
      <c r="O45" s="9">
        <v>521490001.80000001</v>
      </c>
      <c r="P45" s="10">
        <v>2.1882713509699999E-3</v>
      </c>
      <c r="Q45" s="10">
        <v>0.15</v>
      </c>
      <c r="R45" s="10">
        <v>0.14779999999999999</v>
      </c>
      <c r="S45" s="9" t="s">
        <v>26</v>
      </c>
      <c r="T45" s="10" t="s">
        <v>26</v>
      </c>
      <c r="U45" s="10" t="s">
        <v>26</v>
      </c>
      <c r="V45" s="10" t="s">
        <v>26</v>
      </c>
      <c r="W45" s="9" t="s">
        <v>26</v>
      </c>
      <c r="X45" s="10" t="s">
        <v>26</v>
      </c>
      <c r="Y45" s="10" t="s">
        <v>26</v>
      </c>
      <c r="Z45" s="10" t="s">
        <v>26</v>
      </c>
      <c r="AA45" s="9" t="s">
        <v>26</v>
      </c>
      <c r="AB45" s="10" t="s">
        <v>26</v>
      </c>
      <c r="AC45" s="10" t="s">
        <v>26</v>
      </c>
      <c r="AD45" s="10" t="s">
        <v>26</v>
      </c>
      <c r="AE45" s="9">
        <v>521490001.80000001</v>
      </c>
      <c r="AF45" s="10">
        <v>7.6663312823000004E-4</v>
      </c>
      <c r="AG45" s="10">
        <v>0.15</v>
      </c>
      <c r="AH45" s="10">
        <v>0.1492</v>
      </c>
      <c r="AI45" s="9" t="s">
        <v>26</v>
      </c>
      <c r="AJ45" s="10" t="s">
        <v>26</v>
      </c>
      <c r="AK45" s="10" t="s">
        <v>26</v>
      </c>
      <c r="AL45" s="10" t="s">
        <v>26</v>
      </c>
      <c r="AM45" s="9" t="s">
        <v>26</v>
      </c>
      <c r="AN45" s="10" t="s">
        <v>26</v>
      </c>
      <c r="AO45" s="10" t="s">
        <v>26</v>
      </c>
      <c r="AP45" s="10" t="s">
        <v>26</v>
      </c>
      <c r="AQ45" s="9" t="s">
        <v>26</v>
      </c>
      <c r="AR45" s="10" t="s">
        <v>26</v>
      </c>
      <c r="AS45" s="10" t="s">
        <v>26</v>
      </c>
      <c r="AT45" s="10" t="s">
        <v>26</v>
      </c>
      <c r="AU45" s="9" t="s">
        <v>26</v>
      </c>
      <c r="AV45" s="10" t="s">
        <v>26</v>
      </c>
      <c r="AW45" s="10" t="s">
        <v>26</v>
      </c>
      <c r="AX45" s="10" t="s">
        <v>26</v>
      </c>
      <c r="AY45" s="9">
        <v>521490001.80000001</v>
      </c>
      <c r="AZ45" s="10">
        <v>6.7685027924000005E-4</v>
      </c>
      <c r="BA45" s="10">
        <v>0.15</v>
      </c>
      <c r="BB45" s="10">
        <v>0.14929999999999999</v>
      </c>
    </row>
    <row r="46" spans="1:54" s="7" customFormat="1">
      <c r="A46" s="3" t="s">
        <v>41</v>
      </c>
      <c r="B46" s="23" t="s">
        <v>35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521490001.80000001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521490001.80000001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521490001.80000001</v>
      </c>
      <c r="AZ46" s="1">
        <v>1</v>
      </c>
      <c r="BA46" s="1" t="s">
        <v>26</v>
      </c>
      <c r="BB46" s="1" t="s">
        <v>26</v>
      </c>
    </row>
    <row r="47" spans="1:54" s="7" customFormat="1">
      <c r="A47" s="12" t="s">
        <v>55</v>
      </c>
      <c r="B47" s="40" t="s">
        <v>25</v>
      </c>
      <c r="C47" s="42">
        <v>69190242.010000005</v>
      </c>
      <c r="D47" s="43">
        <v>9.7537857662899994E-3</v>
      </c>
      <c r="E47" s="43" t="s">
        <v>26</v>
      </c>
      <c r="F47" s="43" t="s">
        <v>26</v>
      </c>
      <c r="G47" s="42">
        <v>303384585</v>
      </c>
      <c r="H47" s="43">
        <v>1.8926604447099999E-3</v>
      </c>
      <c r="I47" s="43" t="s">
        <v>26</v>
      </c>
      <c r="J47" s="43" t="s">
        <v>26</v>
      </c>
      <c r="K47" s="42">
        <v>99960634.680000007</v>
      </c>
      <c r="L47" s="43">
        <v>2.9865946368789999E-2</v>
      </c>
      <c r="M47" s="43" t="s">
        <v>26</v>
      </c>
      <c r="N47" s="43" t="s">
        <v>26</v>
      </c>
      <c r="O47" s="42">
        <v>3478365719.1500001</v>
      </c>
      <c r="P47" s="43">
        <v>1.4595884916550001E-2</v>
      </c>
      <c r="Q47" s="43" t="s">
        <v>26</v>
      </c>
      <c r="R47" s="43" t="s">
        <v>26</v>
      </c>
      <c r="S47" s="42">
        <v>1165196384.8</v>
      </c>
      <c r="T47" s="43">
        <v>9.8991926019799999E-3</v>
      </c>
      <c r="U47" s="43" t="s">
        <v>26</v>
      </c>
      <c r="V47" s="43" t="s">
        <v>26</v>
      </c>
      <c r="W47" s="42">
        <v>71293371.319999993</v>
      </c>
      <c r="X47" s="43">
        <v>1.0582409751630001E-2</v>
      </c>
      <c r="Y47" s="43" t="s">
        <v>26</v>
      </c>
      <c r="Z47" s="43" t="s">
        <v>26</v>
      </c>
      <c r="AA47" s="42">
        <v>2467544244.3400002</v>
      </c>
      <c r="AB47" s="43">
        <v>1.6815347894669999E-2</v>
      </c>
      <c r="AC47" s="43" t="s">
        <v>26</v>
      </c>
      <c r="AD47" s="43" t="s">
        <v>26</v>
      </c>
      <c r="AE47" s="42">
        <v>7654935181.3000002</v>
      </c>
      <c r="AF47" s="43">
        <v>1.125338335188E-2</v>
      </c>
      <c r="AG47" s="43" t="s">
        <v>26</v>
      </c>
      <c r="AH47" s="43" t="s">
        <v>26</v>
      </c>
      <c r="AI47" s="42">
        <v>209636222</v>
      </c>
      <c r="AJ47" s="43">
        <v>1.194447185165E-2</v>
      </c>
      <c r="AK47" s="43" t="s">
        <v>26</v>
      </c>
      <c r="AL47" s="43" t="s">
        <v>26</v>
      </c>
      <c r="AM47" s="42">
        <v>227140846.53999999</v>
      </c>
      <c r="AN47" s="43">
        <v>9.3121891240400007E-3</v>
      </c>
      <c r="AO47" s="43" t="s">
        <v>26</v>
      </c>
      <c r="AP47" s="43" t="s">
        <v>26</v>
      </c>
      <c r="AQ47" s="42">
        <v>436777068.54000002</v>
      </c>
      <c r="AR47" s="43">
        <v>1.041366695896E-2</v>
      </c>
      <c r="AS47" s="43" t="s">
        <v>26</v>
      </c>
      <c r="AT47" s="43" t="s">
        <v>26</v>
      </c>
      <c r="AU47" s="42">
        <v>523806281</v>
      </c>
      <c r="AV47" s="43">
        <v>1.0847314155530001E-2</v>
      </c>
      <c r="AW47" s="43" t="s">
        <v>26</v>
      </c>
      <c r="AX47" s="43" t="s">
        <v>26</v>
      </c>
      <c r="AY47" s="42">
        <v>8615518530.8400002</v>
      </c>
      <c r="AZ47" s="43">
        <v>1.1182220374890001E-2</v>
      </c>
      <c r="BA47" s="43" t="s">
        <v>26</v>
      </c>
      <c r="BB47" s="43" t="s">
        <v>26</v>
      </c>
    </row>
    <row r="48" spans="1:54" s="7" customFormat="1">
      <c r="A48" s="5" t="s">
        <v>56</v>
      </c>
      <c r="B48" s="20" t="s">
        <v>25</v>
      </c>
      <c r="C48" s="9">
        <v>36636590.899999999</v>
      </c>
      <c r="D48" s="10">
        <v>5.16467999626E-3</v>
      </c>
      <c r="E48" s="10">
        <v>0.12</v>
      </c>
      <c r="F48" s="10">
        <v>0.1148</v>
      </c>
      <c r="G48" s="9" t="s">
        <v>26</v>
      </c>
      <c r="H48" s="10" t="s">
        <v>26</v>
      </c>
      <c r="I48" s="10" t="s">
        <v>26</v>
      </c>
      <c r="J48" s="10" t="s">
        <v>26</v>
      </c>
      <c r="K48" s="9">
        <v>31402792.199999999</v>
      </c>
      <c r="L48" s="10">
        <v>9.3824345021200004E-3</v>
      </c>
      <c r="M48" s="10">
        <v>0.12</v>
      </c>
      <c r="N48" s="10">
        <v>0.1106</v>
      </c>
      <c r="O48" s="9">
        <v>840548071.22000003</v>
      </c>
      <c r="P48" s="10">
        <v>3.5270997660799999E-3</v>
      </c>
      <c r="Q48" s="10">
        <v>0.12</v>
      </c>
      <c r="R48" s="10">
        <v>0.11650000000000001</v>
      </c>
      <c r="S48" s="9">
        <v>314027922</v>
      </c>
      <c r="T48" s="10">
        <v>2.6678960927299998E-3</v>
      </c>
      <c r="U48" s="10">
        <v>0.12</v>
      </c>
      <c r="V48" s="10">
        <v>0.1173</v>
      </c>
      <c r="W48" s="9" t="s">
        <v>26</v>
      </c>
      <c r="X48" s="10" t="s">
        <v>26</v>
      </c>
      <c r="Y48" s="10" t="s">
        <v>26</v>
      </c>
      <c r="Z48" s="10" t="s">
        <v>26</v>
      </c>
      <c r="AA48" s="9">
        <v>921148571.20000005</v>
      </c>
      <c r="AB48" s="10">
        <v>6.2772668506100001E-3</v>
      </c>
      <c r="AC48" s="10">
        <v>0.12</v>
      </c>
      <c r="AD48" s="10">
        <v>0.1137</v>
      </c>
      <c r="AE48" s="9">
        <v>2143763947.52</v>
      </c>
      <c r="AF48" s="10">
        <v>3.15150905214E-3</v>
      </c>
      <c r="AG48" s="10">
        <v>0.12</v>
      </c>
      <c r="AH48" s="10">
        <v>0.1168</v>
      </c>
      <c r="AI48" s="9" t="s">
        <v>26</v>
      </c>
      <c r="AJ48" s="10" t="s">
        <v>26</v>
      </c>
      <c r="AK48" s="10" t="s">
        <v>26</v>
      </c>
      <c r="AL48" s="10" t="s">
        <v>26</v>
      </c>
      <c r="AM48" s="9" t="s">
        <v>26</v>
      </c>
      <c r="AN48" s="10" t="s">
        <v>26</v>
      </c>
      <c r="AO48" s="10" t="s">
        <v>26</v>
      </c>
      <c r="AP48" s="10" t="s">
        <v>26</v>
      </c>
      <c r="AQ48" s="9" t="s">
        <v>26</v>
      </c>
      <c r="AR48" s="10" t="s">
        <v>26</v>
      </c>
      <c r="AS48" s="10" t="s">
        <v>26</v>
      </c>
      <c r="AT48" s="10" t="s">
        <v>26</v>
      </c>
      <c r="AU48" s="9">
        <v>209351948</v>
      </c>
      <c r="AV48" s="10">
        <v>4.3353935059600003E-3</v>
      </c>
      <c r="AW48" s="10">
        <v>0.12</v>
      </c>
      <c r="AX48" s="10">
        <v>0.1157</v>
      </c>
      <c r="AY48" s="9">
        <v>2353115895.52</v>
      </c>
      <c r="AZ48" s="10">
        <v>3.0541470507199999E-3</v>
      </c>
      <c r="BA48" s="10">
        <v>0.12</v>
      </c>
      <c r="BB48" s="10">
        <v>0.1169</v>
      </c>
    </row>
    <row r="49" spans="1:54" s="7" customFormat="1">
      <c r="A49" s="3" t="s">
        <v>39</v>
      </c>
      <c r="B49" s="23" t="s">
        <v>57</v>
      </c>
      <c r="C49" s="2">
        <v>36636590.899999999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31402792.199999999</v>
      </c>
      <c r="L49" s="1">
        <v>1</v>
      </c>
      <c r="M49" s="1" t="s">
        <v>26</v>
      </c>
      <c r="N49" s="1" t="s">
        <v>26</v>
      </c>
      <c r="O49" s="2">
        <v>840548071.22000003</v>
      </c>
      <c r="P49" s="1">
        <v>1</v>
      </c>
      <c r="Q49" s="1" t="s">
        <v>26</v>
      </c>
      <c r="R49" s="1" t="s">
        <v>26</v>
      </c>
      <c r="S49" s="2">
        <v>314027922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921148571.20000005</v>
      </c>
      <c r="AB49" s="1">
        <v>1</v>
      </c>
      <c r="AC49" s="1" t="s">
        <v>26</v>
      </c>
      <c r="AD49" s="1" t="s">
        <v>26</v>
      </c>
      <c r="AE49" s="2">
        <v>2143763947.52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209351948</v>
      </c>
      <c r="AV49" s="1">
        <v>1</v>
      </c>
      <c r="AW49" s="1" t="s">
        <v>26</v>
      </c>
      <c r="AX49" s="1" t="s">
        <v>26</v>
      </c>
      <c r="AY49" s="2">
        <v>2353115895.52</v>
      </c>
      <c r="AZ49" s="1">
        <v>1</v>
      </c>
      <c r="BA49" s="1" t="s">
        <v>26</v>
      </c>
      <c r="BB49" s="1" t="s">
        <v>26</v>
      </c>
    </row>
    <row r="50" spans="1:54" s="28" customFormat="1">
      <c r="A50" s="5" t="s">
        <v>58</v>
      </c>
      <c r="B50" s="20" t="s">
        <v>25</v>
      </c>
      <c r="C50" s="9">
        <v>32553651.109999999</v>
      </c>
      <c r="D50" s="10">
        <v>4.5891057700199996E-3</v>
      </c>
      <c r="E50" s="10">
        <v>0.09</v>
      </c>
      <c r="F50" s="10">
        <v>8.5400000000000004E-2</v>
      </c>
      <c r="G50" s="9" t="s">
        <v>26</v>
      </c>
      <c r="H50" s="10" t="s">
        <v>26</v>
      </c>
      <c r="I50" s="10" t="s">
        <v>26</v>
      </c>
      <c r="J50" s="10" t="s">
        <v>26</v>
      </c>
      <c r="K50" s="9">
        <v>16148786.98</v>
      </c>
      <c r="L50" s="10">
        <v>4.8248873910200002E-3</v>
      </c>
      <c r="M50" s="10">
        <v>0.09</v>
      </c>
      <c r="N50" s="10">
        <v>8.5199999999999998E-2</v>
      </c>
      <c r="O50" s="9">
        <v>376704311.93000001</v>
      </c>
      <c r="P50" s="10">
        <v>1.58072302582E-3</v>
      </c>
      <c r="Q50" s="10">
        <v>0.09</v>
      </c>
      <c r="R50" s="10">
        <v>8.8400000000000006E-2</v>
      </c>
      <c r="S50" s="9">
        <v>285150663.39999998</v>
      </c>
      <c r="T50" s="10">
        <v>2.4225627322600001E-3</v>
      </c>
      <c r="U50" s="10">
        <v>0.09</v>
      </c>
      <c r="V50" s="10">
        <v>8.7599999999999997E-2</v>
      </c>
      <c r="W50" s="9" t="s">
        <v>26</v>
      </c>
      <c r="X50" s="10" t="s">
        <v>26</v>
      </c>
      <c r="Y50" s="10" t="s">
        <v>26</v>
      </c>
      <c r="Z50" s="10" t="s">
        <v>26</v>
      </c>
      <c r="AA50" s="9">
        <v>103027568.86</v>
      </c>
      <c r="AB50" s="10">
        <v>7.0209254285999998E-4</v>
      </c>
      <c r="AC50" s="10">
        <v>0.09</v>
      </c>
      <c r="AD50" s="10">
        <v>8.9300000000000004E-2</v>
      </c>
      <c r="AE50" s="9">
        <v>813584982.27999997</v>
      </c>
      <c r="AF50" s="10">
        <v>1.19603673684E-3</v>
      </c>
      <c r="AG50" s="10">
        <v>0.09</v>
      </c>
      <c r="AH50" s="10">
        <v>8.8800000000000004E-2</v>
      </c>
      <c r="AI50" s="9" t="s">
        <v>26</v>
      </c>
      <c r="AJ50" s="10" t="s">
        <v>26</v>
      </c>
      <c r="AK50" s="10" t="s">
        <v>26</v>
      </c>
      <c r="AL50" s="10" t="s">
        <v>26</v>
      </c>
      <c r="AM50" s="9" t="s">
        <v>26</v>
      </c>
      <c r="AN50" s="10" t="s">
        <v>26</v>
      </c>
      <c r="AO50" s="10" t="s">
        <v>26</v>
      </c>
      <c r="AP50" s="10" t="s">
        <v>26</v>
      </c>
      <c r="AQ50" s="9" t="s">
        <v>26</v>
      </c>
      <c r="AR50" s="10" t="s">
        <v>26</v>
      </c>
      <c r="AS50" s="10" t="s">
        <v>26</v>
      </c>
      <c r="AT50" s="10" t="s">
        <v>26</v>
      </c>
      <c r="AU50" s="9" t="s">
        <v>26</v>
      </c>
      <c r="AV50" s="10" t="s">
        <v>26</v>
      </c>
      <c r="AW50" s="10" t="s">
        <v>26</v>
      </c>
      <c r="AX50" s="10" t="s">
        <v>26</v>
      </c>
      <c r="AY50" s="9">
        <v>813584982.27999997</v>
      </c>
      <c r="AZ50" s="10">
        <v>1.05596506269E-3</v>
      </c>
      <c r="BA50" s="10">
        <v>0.09</v>
      </c>
      <c r="BB50" s="10">
        <v>8.8900000000000007E-2</v>
      </c>
    </row>
    <row r="51" spans="1:54" s="7" customFormat="1">
      <c r="A51" s="3" t="s">
        <v>39</v>
      </c>
      <c r="B51" s="23" t="s">
        <v>47</v>
      </c>
      <c r="C51" s="2">
        <v>32553651.109999999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16148786.98</v>
      </c>
      <c r="L51" s="1">
        <v>1</v>
      </c>
      <c r="M51" s="1" t="s">
        <v>26</v>
      </c>
      <c r="N51" s="1" t="s">
        <v>26</v>
      </c>
      <c r="O51" s="2">
        <v>376704311.93000001</v>
      </c>
      <c r="P51" s="1">
        <v>1</v>
      </c>
      <c r="Q51" s="1" t="s">
        <v>26</v>
      </c>
      <c r="R51" s="1" t="s">
        <v>26</v>
      </c>
      <c r="S51" s="2">
        <v>285150663.39999998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103027568.86</v>
      </c>
      <c r="AB51" s="1">
        <v>1</v>
      </c>
      <c r="AC51" s="1" t="s">
        <v>26</v>
      </c>
      <c r="AD51" s="1" t="s">
        <v>26</v>
      </c>
      <c r="AE51" s="2">
        <v>813584982.27999997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813584982.27999997</v>
      </c>
      <c r="AZ51" s="1">
        <v>1</v>
      </c>
      <c r="BA51" s="1" t="s">
        <v>26</v>
      </c>
      <c r="BB51" s="1" t="s">
        <v>26</v>
      </c>
    </row>
    <row r="52" spans="1:54" s="28" customFormat="1">
      <c r="A52" s="5" t="s">
        <v>60</v>
      </c>
      <c r="B52" s="20" t="s">
        <v>25</v>
      </c>
      <c r="C52" s="9" t="s">
        <v>26</v>
      </c>
      <c r="D52" s="10" t="s">
        <v>26</v>
      </c>
      <c r="E52" s="10" t="s">
        <v>26</v>
      </c>
      <c r="F52" s="10" t="s">
        <v>26</v>
      </c>
      <c r="G52" s="9">
        <v>303384585</v>
      </c>
      <c r="H52" s="10">
        <v>1.8926604447099999E-3</v>
      </c>
      <c r="I52" s="10">
        <v>0.12</v>
      </c>
      <c r="J52" s="10">
        <v>0.1181</v>
      </c>
      <c r="K52" s="9">
        <v>52409055.5</v>
      </c>
      <c r="L52" s="10">
        <v>1.5658624475650001E-2</v>
      </c>
      <c r="M52" s="10">
        <v>0.12</v>
      </c>
      <c r="N52" s="10">
        <v>0.1043</v>
      </c>
      <c r="O52" s="9">
        <v>2261113336</v>
      </c>
      <c r="P52" s="10">
        <v>9.4880621246399999E-3</v>
      </c>
      <c r="Q52" s="10">
        <v>0.12</v>
      </c>
      <c r="R52" s="10">
        <v>0.1105</v>
      </c>
      <c r="S52" s="9">
        <v>566017799.39999998</v>
      </c>
      <c r="T52" s="10">
        <v>4.8087337769800002E-3</v>
      </c>
      <c r="U52" s="10">
        <v>0.12</v>
      </c>
      <c r="V52" s="10">
        <v>0.1152</v>
      </c>
      <c r="W52" s="9">
        <v>71293371.319999993</v>
      </c>
      <c r="X52" s="10">
        <v>1.0582409751630001E-2</v>
      </c>
      <c r="Y52" s="10">
        <v>0.12939999999999999</v>
      </c>
      <c r="Z52" s="10">
        <v>0.1188</v>
      </c>
      <c r="AA52" s="9">
        <v>1443368104.28</v>
      </c>
      <c r="AB52" s="10">
        <v>9.8359885012000003E-3</v>
      </c>
      <c r="AC52" s="10">
        <v>0.12</v>
      </c>
      <c r="AD52" s="10">
        <v>0.11020000000000001</v>
      </c>
      <c r="AE52" s="9">
        <v>4697586251.5</v>
      </c>
      <c r="AF52" s="10">
        <v>6.9058375629099996E-3</v>
      </c>
      <c r="AG52" s="10">
        <v>0.1201</v>
      </c>
      <c r="AH52" s="10">
        <v>0.1132</v>
      </c>
      <c r="AI52" s="9">
        <v>209636222</v>
      </c>
      <c r="AJ52" s="10">
        <v>1.194447185165E-2</v>
      </c>
      <c r="AK52" s="10">
        <v>0.12</v>
      </c>
      <c r="AL52" s="10">
        <v>0.1081</v>
      </c>
      <c r="AM52" s="9">
        <v>227140846.53999999</v>
      </c>
      <c r="AN52" s="10">
        <v>9.3121891240400007E-3</v>
      </c>
      <c r="AO52" s="10">
        <v>0.12</v>
      </c>
      <c r="AP52" s="10">
        <v>0.11070000000000001</v>
      </c>
      <c r="AQ52" s="9">
        <v>436777068.54000002</v>
      </c>
      <c r="AR52" s="10">
        <v>1.041366695896E-2</v>
      </c>
      <c r="AS52" s="10">
        <v>0.12</v>
      </c>
      <c r="AT52" s="10">
        <v>0.1096</v>
      </c>
      <c r="AU52" s="9">
        <v>314454333</v>
      </c>
      <c r="AV52" s="10">
        <v>6.5119206495700003E-3</v>
      </c>
      <c r="AW52" s="10">
        <v>0.12</v>
      </c>
      <c r="AX52" s="10">
        <v>0.1135</v>
      </c>
      <c r="AY52" s="9">
        <v>5448817653.04</v>
      </c>
      <c r="AZ52" s="10">
        <v>7.0721082614799997E-3</v>
      </c>
      <c r="BA52" s="10">
        <v>0.1201</v>
      </c>
      <c r="BB52" s="10">
        <v>0.113</v>
      </c>
    </row>
    <row r="53" spans="1:54" s="7" customFormat="1">
      <c r="A53" s="3" t="s">
        <v>39</v>
      </c>
      <c r="B53" s="23" t="s">
        <v>57</v>
      </c>
      <c r="C53" s="2" t="s">
        <v>26</v>
      </c>
      <c r="D53" s="1" t="s">
        <v>26</v>
      </c>
      <c r="E53" s="1" t="s">
        <v>26</v>
      </c>
      <c r="F53" s="1" t="s">
        <v>26</v>
      </c>
      <c r="G53" s="2">
        <v>303384585</v>
      </c>
      <c r="H53" s="1">
        <v>1</v>
      </c>
      <c r="I53" s="1" t="s">
        <v>26</v>
      </c>
      <c r="J53" s="1" t="s">
        <v>26</v>
      </c>
      <c r="K53" s="2">
        <v>52409055.5</v>
      </c>
      <c r="L53" s="1">
        <v>1</v>
      </c>
      <c r="M53" s="1" t="s">
        <v>26</v>
      </c>
      <c r="N53" s="1" t="s">
        <v>26</v>
      </c>
      <c r="O53" s="2">
        <v>2261113336</v>
      </c>
      <c r="P53" s="1">
        <v>1</v>
      </c>
      <c r="Q53" s="1" t="s">
        <v>26</v>
      </c>
      <c r="R53" s="1" t="s">
        <v>26</v>
      </c>
      <c r="S53" s="2">
        <v>566017799.39999998</v>
      </c>
      <c r="T53" s="1">
        <v>1</v>
      </c>
      <c r="U53" s="1" t="s">
        <v>26</v>
      </c>
      <c r="V53" s="1" t="s">
        <v>26</v>
      </c>
      <c r="W53" s="2">
        <v>48852737.369999997</v>
      </c>
      <c r="X53" s="1">
        <v>0.68523533766870004</v>
      </c>
      <c r="Y53" s="1" t="s">
        <v>26</v>
      </c>
      <c r="Z53" s="1" t="s">
        <v>26</v>
      </c>
      <c r="AA53" s="2">
        <v>1443368104.28</v>
      </c>
      <c r="AB53" s="1">
        <v>1</v>
      </c>
      <c r="AC53" s="1" t="s">
        <v>26</v>
      </c>
      <c r="AD53" s="1" t="s">
        <v>26</v>
      </c>
      <c r="AE53" s="2">
        <v>4675145617.5500002</v>
      </c>
      <c r="AF53" s="1">
        <v>0.99522294371011999</v>
      </c>
      <c r="AG53" s="1" t="s">
        <v>26</v>
      </c>
      <c r="AH53" s="1" t="s">
        <v>26</v>
      </c>
      <c r="AI53" s="2">
        <v>209636222</v>
      </c>
      <c r="AJ53" s="1">
        <v>1</v>
      </c>
      <c r="AK53" s="1" t="s">
        <v>26</v>
      </c>
      <c r="AL53" s="1" t="s">
        <v>26</v>
      </c>
      <c r="AM53" s="2">
        <v>227140846.53999999</v>
      </c>
      <c r="AN53" s="1">
        <v>1</v>
      </c>
      <c r="AO53" s="1" t="s">
        <v>26</v>
      </c>
      <c r="AP53" s="1" t="s">
        <v>26</v>
      </c>
      <c r="AQ53" s="2">
        <v>436777068.54000002</v>
      </c>
      <c r="AR53" s="1">
        <v>1</v>
      </c>
      <c r="AS53" s="1" t="s">
        <v>26</v>
      </c>
      <c r="AT53" s="1" t="s">
        <v>26</v>
      </c>
      <c r="AU53" s="2">
        <v>314454333</v>
      </c>
      <c r="AV53" s="1">
        <v>1</v>
      </c>
      <c r="AW53" s="1" t="s">
        <v>26</v>
      </c>
      <c r="AX53" s="1" t="s">
        <v>26</v>
      </c>
      <c r="AY53" s="2">
        <v>5426377019.0900002</v>
      </c>
      <c r="AZ53" s="1">
        <v>0.99588155901354003</v>
      </c>
      <c r="BA53" s="1" t="s">
        <v>26</v>
      </c>
      <c r="BB53" s="1" t="s">
        <v>26</v>
      </c>
    </row>
    <row r="54" spans="1:54" s="7" customFormat="1">
      <c r="A54" s="3" t="s">
        <v>41</v>
      </c>
      <c r="B54" s="23" t="s">
        <v>35</v>
      </c>
      <c r="C54" s="2" t="s">
        <v>26</v>
      </c>
      <c r="D54" s="1" t="s">
        <v>26</v>
      </c>
      <c r="E54" s="1" t="s">
        <v>26</v>
      </c>
      <c r="F54" s="1" t="s">
        <v>26</v>
      </c>
      <c r="G54" s="2" t="s">
        <v>26</v>
      </c>
      <c r="H54" s="1" t="s">
        <v>26</v>
      </c>
      <c r="I54" s="1" t="s">
        <v>26</v>
      </c>
      <c r="J54" s="1" t="s">
        <v>26</v>
      </c>
      <c r="K54" s="2" t="s">
        <v>26</v>
      </c>
      <c r="L54" s="1" t="s">
        <v>26</v>
      </c>
      <c r="M54" s="1" t="s">
        <v>26</v>
      </c>
      <c r="N54" s="1" t="s">
        <v>26</v>
      </c>
      <c r="O54" s="2" t="s">
        <v>26</v>
      </c>
      <c r="P54" s="1" t="s">
        <v>26</v>
      </c>
      <c r="Q54" s="1" t="s">
        <v>26</v>
      </c>
      <c r="R54" s="1" t="s">
        <v>26</v>
      </c>
      <c r="S54" s="2" t="s">
        <v>26</v>
      </c>
      <c r="T54" s="1" t="s">
        <v>26</v>
      </c>
      <c r="U54" s="1" t="s">
        <v>26</v>
      </c>
      <c r="V54" s="1" t="s">
        <v>26</v>
      </c>
      <c r="W54" s="2">
        <v>22440633.949999999</v>
      </c>
      <c r="X54" s="1">
        <v>0.31476466233130002</v>
      </c>
      <c r="Y54" s="1" t="s">
        <v>26</v>
      </c>
      <c r="Z54" s="1" t="s">
        <v>26</v>
      </c>
      <c r="AA54" s="2" t="s">
        <v>26</v>
      </c>
      <c r="AB54" s="1" t="s">
        <v>26</v>
      </c>
      <c r="AC54" s="1" t="s">
        <v>26</v>
      </c>
      <c r="AD54" s="1" t="s">
        <v>26</v>
      </c>
      <c r="AE54" s="2">
        <v>22440633.949999999</v>
      </c>
      <c r="AF54" s="1">
        <v>4.7770562898800002E-3</v>
      </c>
      <c r="AG54" s="1" t="s">
        <v>26</v>
      </c>
      <c r="AH54" s="1" t="s">
        <v>26</v>
      </c>
      <c r="AI54" s="2" t="s">
        <v>26</v>
      </c>
      <c r="AJ54" s="1" t="s">
        <v>26</v>
      </c>
      <c r="AK54" s="1" t="s">
        <v>26</v>
      </c>
      <c r="AL54" s="1" t="s">
        <v>26</v>
      </c>
      <c r="AM54" s="2" t="s">
        <v>26</v>
      </c>
      <c r="AN54" s="1" t="s">
        <v>26</v>
      </c>
      <c r="AO54" s="1" t="s">
        <v>26</v>
      </c>
      <c r="AP54" s="1" t="s">
        <v>26</v>
      </c>
      <c r="AQ54" s="2" t="s">
        <v>26</v>
      </c>
      <c r="AR54" s="1" t="s">
        <v>26</v>
      </c>
      <c r="AS54" s="1" t="s">
        <v>26</v>
      </c>
      <c r="AT54" s="1" t="s">
        <v>26</v>
      </c>
      <c r="AU54" s="2" t="s">
        <v>26</v>
      </c>
      <c r="AV54" s="1" t="s">
        <v>26</v>
      </c>
      <c r="AW54" s="1" t="s">
        <v>26</v>
      </c>
      <c r="AX54" s="1" t="s">
        <v>26</v>
      </c>
      <c r="AY54" s="2">
        <v>22440633.949999999</v>
      </c>
      <c r="AZ54" s="1">
        <v>4.1184409864599997E-3</v>
      </c>
      <c r="BA54" s="1" t="s">
        <v>26</v>
      </c>
      <c r="BB54" s="1" t="s">
        <v>26</v>
      </c>
    </row>
    <row r="55" spans="1:54" s="7" customFormat="1">
      <c r="A55" s="12" t="s">
        <v>61</v>
      </c>
      <c r="B55" s="40" t="s">
        <v>25</v>
      </c>
      <c r="C55" s="42">
        <v>32100014.920000002</v>
      </c>
      <c r="D55" s="43">
        <v>4.5251564314399998E-3</v>
      </c>
      <c r="E55" s="43" t="s">
        <v>26</v>
      </c>
      <c r="F55" s="43" t="s">
        <v>26</v>
      </c>
      <c r="G55" s="42" t="s">
        <v>26</v>
      </c>
      <c r="H55" s="43" t="s">
        <v>26</v>
      </c>
      <c r="I55" s="43" t="s">
        <v>26</v>
      </c>
      <c r="J55" s="43" t="s">
        <v>26</v>
      </c>
      <c r="K55" s="42">
        <v>32674610.73</v>
      </c>
      <c r="L55" s="43">
        <v>9.7624247265600001E-3</v>
      </c>
      <c r="M55" s="43" t="s">
        <v>26</v>
      </c>
      <c r="N55" s="43" t="s">
        <v>26</v>
      </c>
      <c r="O55" s="42">
        <v>100619485.88</v>
      </c>
      <c r="P55" s="43">
        <v>4.2221852295999999E-4</v>
      </c>
      <c r="Q55" s="43" t="s">
        <v>26</v>
      </c>
      <c r="R55" s="43" t="s">
        <v>26</v>
      </c>
      <c r="S55" s="42" t="s">
        <v>26</v>
      </c>
      <c r="T55" s="43" t="s">
        <v>26</v>
      </c>
      <c r="U55" s="43" t="s">
        <v>26</v>
      </c>
      <c r="V55" s="43" t="s">
        <v>26</v>
      </c>
      <c r="W55" s="42" t="s">
        <v>26</v>
      </c>
      <c r="X55" s="43" t="s">
        <v>26</v>
      </c>
      <c r="Y55" s="43" t="s">
        <v>26</v>
      </c>
      <c r="Z55" s="43" t="s">
        <v>26</v>
      </c>
      <c r="AA55" s="42">
        <v>139658030.99000001</v>
      </c>
      <c r="AB55" s="43">
        <v>9.5171480015999999E-4</v>
      </c>
      <c r="AC55" s="43" t="s">
        <v>26</v>
      </c>
      <c r="AD55" s="43" t="s">
        <v>26</v>
      </c>
      <c r="AE55" s="42">
        <v>305052142.51999998</v>
      </c>
      <c r="AF55" s="43">
        <v>4.4845170087E-4</v>
      </c>
      <c r="AG55" s="43" t="s">
        <v>26</v>
      </c>
      <c r="AH55" s="43" t="s">
        <v>26</v>
      </c>
      <c r="AI55" s="42">
        <v>27049999.920000002</v>
      </c>
      <c r="AJ55" s="43">
        <v>1.54123156556E-3</v>
      </c>
      <c r="AK55" s="43" t="s">
        <v>26</v>
      </c>
      <c r="AL55" s="43" t="s">
        <v>26</v>
      </c>
      <c r="AM55" s="42" t="s">
        <v>26</v>
      </c>
      <c r="AN55" s="43" t="s">
        <v>26</v>
      </c>
      <c r="AO55" s="43" t="s">
        <v>26</v>
      </c>
      <c r="AP55" s="43" t="s">
        <v>26</v>
      </c>
      <c r="AQ55" s="42">
        <v>27049999.920000002</v>
      </c>
      <c r="AR55" s="43">
        <v>6.4492783778E-4</v>
      </c>
      <c r="AS55" s="43" t="s">
        <v>26</v>
      </c>
      <c r="AT55" s="43" t="s">
        <v>26</v>
      </c>
      <c r="AU55" s="42" t="s">
        <v>26</v>
      </c>
      <c r="AV55" s="43" t="s">
        <v>26</v>
      </c>
      <c r="AW55" s="43" t="s">
        <v>26</v>
      </c>
      <c r="AX55" s="43" t="s">
        <v>26</v>
      </c>
      <c r="AY55" s="42">
        <v>332102142.44</v>
      </c>
      <c r="AZ55" s="43">
        <v>4.3104072383E-4</v>
      </c>
      <c r="BA55" s="43" t="s">
        <v>26</v>
      </c>
      <c r="BB55" s="43" t="s">
        <v>26</v>
      </c>
    </row>
    <row r="56" spans="1:54" s="7" customFormat="1">
      <c r="A56" s="5" t="s">
        <v>62</v>
      </c>
      <c r="B56" s="20" t="s">
        <v>25</v>
      </c>
      <c r="C56" s="9">
        <v>10025548</v>
      </c>
      <c r="D56" s="10">
        <v>1.4133069135299999E-3</v>
      </c>
      <c r="E56" s="10">
        <v>0.09</v>
      </c>
      <c r="F56" s="10">
        <v>8.8599999999999998E-2</v>
      </c>
      <c r="G56" s="9" t="s">
        <v>26</v>
      </c>
      <c r="H56" s="10" t="s">
        <v>26</v>
      </c>
      <c r="I56" s="10" t="s">
        <v>26</v>
      </c>
      <c r="J56" s="10" t="s">
        <v>26</v>
      </c>
      <c r="K56" s="9" t="s">
        <v>26</v>
      </c>
      <c r="L56" s="10" t="s">
        <v>26</v>
      </c>
      <c r="M56" s="10" t="s">
        <v>26</v>
      </c>
      <c r="N56" s="10" t="s">
        <v>26</v>
      </c>
      <c r="O56" s="9" t="s">
        <v>26</v>
      </c>
      <c r="P56" s="10" t="s">
        <v>26</v>
      </c>
      <c r="Q56" s="10" t="s">
        <v>26</v>
      </c>
      <c r="R56" s="10" t="s">
        <v>26</v>
      </c>
      <c r="S56" s="9" t="s">
        <v>26</v>
      </c>
      <c r="T56" s="10" t="s">
        <v>26</v>
      </c>
      <c r="U56" s="10" t="s">
        <v>26</v>
      </c>
      <c r="V56" s="10" t="s">
        <v>26</v>
      </c>
      <c r="W56" s="9" t="s">
        <v>26</v>
      </c>
      <c r="X56" s="10" t="s">
        <v>26</v>
      </c>
      <c r="Y56" s="10" t="s">
        <v>26</v>
      </c>
      <c r="Z56" s="10" t="s">
        <v>26</v>
      </c>
      <c r="AA56" s="9" t="s">
        <v>26</v>
      </c>
      <c r="AB56" s="10" t="s">
        <v>26</v>
      </c>
      <c r="AC56" s="10" t="s">
        <v>26</v>
      </c>
      <c r="AD56" s="10" t="s">
        <v>26</v>
      </c>
      <c r="AE56" s="9">
        <v>10025548</v>
      </c>
      <c r="AF56" s="10">
        <v>1.4738378869999999E-5</v>
      </c>
      <c r="AG56" s="10">
        <v>0.09</v>
      </c>
      <c r="AH56" s="10">
        <v>0.09</v>
      </c>
      <c r="AI56" s="9" t="s">
        <v>26</v>
      </c>
      <c r="AJ56" s="10" t="s">
        <v>26</v>
      </c>
      <c r="AK56" s="10" t="s">
        <v>26</v>
      </c>
      <c r="AL56" s="10" t="s">
        <v>26</v>
      </c>
      <c r="AM56" s="9" t="s">
        <v>26</v>
      </c>
      <c r="AN56" s="10" t="s">
        <v>26</v>
      </c>
      <c r="AO56" s="10" t="s">
        <v>26</v>
      </c>
      <c r="AP56" s="10" t="s">
        <v>26</v>
      </c>
      <c r="AQ56" s="9" t="s">
        <v>26</v>
      </c>
      <c r="AR56" s="10" t="s">
        <v>26</v>
      </c>
      <c r="AS56" s="10" t="s">
        <v>26</v>
      </c>
      <c r="AT56" s="10" t="s">
        <v>26</v>
      </c>
      <c r="AU56" s="9" t="s">
        <v>26</v>
      </c>
      <c r="AV56" s="10" t="s">
        <v>26</v>
      </c>
      <c r="AW56" s="10" t="s">
        <v>26</v>
      </c>
      <c r="AX56" s="10" t="s">
        <v>26</v>
      </c>
      <c r="AY56" s="9">
        <v>10025548</v>
      </c>
      <c r="AZ56" s="10">
        <v>1.3012320349999999E-5</v>
      </c>
      <c r="BA56" s="10">
        <v>0.09</v>
      </c>
      <c r="BB56" s="10">
        <v>0.09</v>
      </c>
    </row>
    <row r="57" spans="1:54" s="7" customFormat="1">
      <c r="A57" s="3" t="s">
        <v>39</v>
      </c>
      <c r="B57" s="23" t="s">
        <v>47</v>
      </c>
      <c r="C57" s="2">
        <v>10025548</v>
      </c>
      <c r="D57" s="1">
        <v>1</v>
      </c>
      <c r="E57" s="1" t="s">
        <v>26</v>
      </c>
      <c r="F57" s="1" t="s">
        <v>26</v>
      </c>
      <c r="G57" s="2" t="s">
        <v>26</v>
      </c>
      <c r="H57" s="1" t="s">
        <v>26</v>
      </c>
      <c r="I57" s="1" t="s">
        <v>26</v>
      </c>
      <c r="J57" s="1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 t="s">
        <v>26</v>
      </c>
      <c r="P57" s="1" t="s">
        <v>26</v>
      </c>
      <c r="Q57" s="1" t="s">
        <v>26</v>
      </c>
      <c r="R57" s="1" t="s">
        <v>26</v>
      </c>
      <c r="S57" s="2" t="s">
        <v>26</v>
      </c>
      <c r="T57" s="1" t="s">
        <v>26</v>
      </c>
      <c r="U57" s="1" t="s">
        <v>26</v>
      </c>
      <c r="V57" s="1" t="s">
        <v>26</v>
      </c>
      <c r="W57" s="2" t="s">
        <v>26</v>
      </c>
      <c r="X57" s="1" t="s">
        <v>26</v>
      </c>
      <c r="Y57" s="1" t="s">
        <v>26</v>
      </c>
      <c r="Z57" s="1" t="s">
        <v>26</v>
      </c>
      <c r="AA57" s="2" t="s">
        <v>26</v>
      </c>
      <c r="AB57" s="1" t="s">
        <v>26</v>
      </c>
      <c r="AC57" s="1" t="s">
        <v>26</v>
      </c>
      <c r="AD57" s="1" t="s">
        <v>26</v>
      </c>
      <c r="AE57" s="2">
        <v>10025548</v>
      </c>
      <c r="AF57" s="1">
        <v>1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10025548</v>
      </c>
      <c r="AZ57" s="1">
        <v>1</v>
      </c>
      <c r="BA57" s="1" t="s">
        <v>26</v>
      </c>
      <c r="BB57" s="1" t="s">
        <v>26</v>
      </c>
    </row>
    <row r="58" spans="1:54" s="7" customFormat="1">
      <c r="A58" s="5" t="s">
        <v>63</v>
      </c>
      <c r="B58" s="20" t="s">
        <v>25</v>
      </c>
      <c r="C58" s="9" t="s">
        <v>26</v>
      </c>
      <c r="D58" s="10" t="s">
        <v>26</v>
      </c>
      <c r="E58" s="10" t="s">
        <v>26</v>
      </c>
      <c r="F58" s="10" t="s">
        <v>26</v>
      </c>
      <c r="G58" s="9" t="s">
        <v>26</v>
      </c>
      <c r="H58" s="10" t="s">
        <v>26</v>
      </c>
      <c r="I58" s="10" t="s">
        <v>26</v>
      </c>
      <c r="J58" s="10" t="s">
        <v>26</v>
      </c>
      <c r="K58" s="9" t="s">
        <v>26</v>
      </c>
      <c r="L58" s="10" t="s">
        <v>26</v>
      </c>
      <c r="M58" s="10" t="s">
        <v>26</v>
      </c>
      <c r="N58" s="10" t="s">
        <v>26</v>
      </c>
      <c r="O58" s="9" t="s">
        <v>26</v>
      </c>
      <c r="P58" s="10" t="s">
        <v>26</v>
      </c>
      <c r="Q58" s="10" t="s">
        <v>26</v>
      </c>
      <c r="R58" s="10" t="s">
        <v>26</v>
      </c>
      <c r="S58" s="9" t="s">
        <v>26</v>
      </c>
      <c r="T58" s="10" t="s">
        <v>26</v>
      </c>
      <c r="U58" s="10" t="s">
        <v>26</v>
      </c>
      <c r="V58" s="10" t="s">
        <v>26</v>
      </c>
      <c r="W58" s="9" t="s">
        <v>26</v>
      </c>
      <c r="X58" s="10" t="s">
        <v>26</v>
      </c>
      <c r="Y58" s="10" t="s">
        <v>26</v>
      </c>
      <c r="Z58" s="10" t="s">
        <v>26</v>
      </c>
      <c r="AA58" s="9">
        <v>94006735.140000001</v>
      </c>
      <c r="AB58" s="10">
        <v>6.4061909302999998E-4</v>
      </c>
      <c r="AC58" s="10">
        <v>0.13500000000000001</v>
      </c>
      <c r="AD58" s="10">
        <v>0.13439999999999999</v>
      </c>
      <c r="AE58" s="9">
        <v>94006735.140000001</v>
      </c>
      <c r="AF58" s="10">
        <v>1.3819762064000001E-4</v>
      </c>
      <c r="AG58" s="10">
        <v>0.13500000000000001</v>
      </c>
      <c r="AH58" s="10">
        <v>0.13489999999999999</v>
      </c>
      <c r="AI58" s="9" t="s">
        <v>26</v>
      </c>
      <c r="AJ58" s="10" t="s">
        <v>26</v>
      </c>
      <c r="AK58" s="10" t="s">
        <v>26</v>
      </c>
      <c r="AL58" s="10" t="s">
        <v>26</v>
      </c>
      <c r="AM58" s="9" t="s">
        <v>26</v>
      </c>
      <c r="AN58" s="10" t="s">
        <v>26</v>
      </c>
      <c r="AO58" s="10" t="s">
        <v>26</v>
      </c>
      <c r="AP58" s="10" t="s">
        <v>26</v>
      </c>
      <c r="AQ58" s="9" t="s">
        <v>26</v>
      </c>
      <c r="AR58" s="10" t="s">
        <v>26</v>
      </c>
      <c r="AS58" s="10" t="s">
        <v>26</v>
      </c>
      <c r="AT58" s="10" t="s">
        <v>26</v>
      </c>
      <c r="AU58" s="9" t="s">
        <v>26</v>
      </c>
      <c r="AV58" s="10" t="s">
        <v>26</v>
      </c>
      <c r="AW58" s="10" t="s">
        <v>26</v>
      </c>
      <c r="AX58" s="10" t="s">
        <v>26</v>
      </c>
      <c r="AY58" s="9">
        <v>94006735.140000001</v>
      </c>
      <c r="AZ58" s="10">
        <v>1.2201285683E-4</v>
      </c>
      <c r="BA58" s="10">
        <v>0.13500000000000001</v>
      </c>
      <c r="BB58" s="10">
        <v>0.13489999999999999</v>
      </c>
    </row>
    <row r="59" spans="1:54" s="7" customFormat="1">
      <c r="A59" s="3" t="s">
        <v>41</v>
      </c>
      <c r="B59" s="23" t="s">
        <v>44</v>
      </c>
      <c r="C59" s="2" t="s">
        <v>26</v>
      </c>
      <c r="D59" s="1" t="s">
        <v>26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>
        <v>94006735.140000001</v>
      </c>
      <c r="AB59" s="1">
        <v>1</v>
      </c>
      <c r="AC59" s="1" t="s">
        <v>26</v>
      </c>
      <c r="AD59" s="1" t="s">
        <v>26</v>
      </c>
      <c r="AE59" s="2">
        <v>94006735.140000001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94006735.140000001</v>
      </c>
      <c r="AZ59" s="1">
        <v>1</v>
      </c>
      <c r="BA59" s="1" t="s">
        <v>26</v>
      </c>
      <c r="BB59" s="1" t="s">
        <v>26</v>
      </c>
    </row>
    <row r="60" spans="1:54" s="28" customFormat="1">
      <c r="A60" s="5" t="s">
        <v>64</v>
      </c>
      <c r="B60" s="20" t="s">
        <v>25</v>
      </c>
      <c r="C60" s="9">
        <v>22074466.920000002</v>
      </c>
      <c r="D60" s="10">
        <v>3.1118495179099999E-3</v>
      </c>
      <c r="E60" s="10">
        <v>0.12</v>
      </c>
      <c r="F60" s="10">
        <v>0.1169</v>
      </c>
      <c r="G60" s="9" t="s">
        <v>26</v>
      </c>
      <c r="H60" s="10" t="s">
        <v>26</v>
      </c>
      <c r="I60" s="10" t="s">
        <v>26</v>
      </c>
      <c r="J60" s="10" t="s">
        <v>26</v>
      </c>
      <c r="K60" s="9" t="s">
        <v>26</v>
      </c>
      <c r="L60" s="10" t="s">
        <v>26</v>
      </c>
      <c r="M60" s="10" t="s">
        <v>26</v>
      </c>
      <c r="N60" s="10" t="s">
        <v>26</v>
      </c>
      <c r="O60" s="9" t="s">
        <v>26</v>
      </c>
      <c r="P60" s="10" t="s">
        <v>26</v>
      </c>
      <c r="Q60" s="10" t="s">
        <v>26</v>
      </c>
      <c r="R60" s="10" t="s">
        <v>26</v>
      </c>
      <c r="S60" s="9" t="s">
        <v>26</v>
      </c>
      <c r="T60" s="10" t="s">
        <v>26</v>
      </c>
      <c r="U60" s="10" t="s">
        <v>26</v>
      </c>
      <c r="V60" s="10" t="s">
        <v>26</v>
      </c>
      <c r="W60" s="9" t="s">
        <v>26</v>
      </c>
      <c r="X60" s="10" t="s">
        <v>26</v>
      </c>
      <c r="Y60" s="10" t="s">
        <v>26</v>
      </c>
      <c r="Z60" s="10" t="s">
        <v>26</v>
      </c>
      <c r="AA60" s="9" t="s">
        <v>26</v>
      </c>
      <c r="AB60" s="10" t="s">
        <v>26</v>
      </c>
      <c r="AC60" s="10" t="s">
        <v>26</v>
      </c>
      <c r="AD60" s="10" t="s">
        <v>26</v>
      </c>
      <c r="AE60" s="9">
        <v>22074466.920000002</v>
      </c>
      <c r="AF60" s="10">
        <v>3.2451279159999999E-5</v>
      </c>
      <c r="AG60" s="10">
        <v>0.12</v>
      </c>
      <c r="AH60" s="10">
        <v>0.12</v>
      </c>
      <c r="AI60" s="9" t="s">
        <v>26</v>
      </c>
      <c r="AJ60" s="10" t="s">
        <v>26</v>
      </c>
      <c r="AK60" s="10" t="s">
        <v>26</v>
      </c>
      <c r="AL60" s="10" t="s">
        <v>26</v>
      </c>
      <c r="AM60" s="9" t="s">
        <v>26</v>
      </c>
      <c r="AN60" s="10" t="s">
        <v>26</v>
      </c>
      <c r="AO60" s="10" t="s">
        <v>26</v>
      </c>
      <c r="AP60" s="10" t="s">
        <v>26</v>
      </c>
      <c r="AQ60" s="9" t="s">
        <v>26</v>
      </c>
      <c r="AR60" s="10" t="s">
        <v>26</v>
      </c>
      <c r="AS60" s="10" t="s">
        <v>26</v>
      </c>
      <c r="AT60" s="10" t="s">
        <v>26</v>
      </c>
      <c r="AU60" s="9" t="s">
        <v>26</v>
      </c>
      <c r="AV60" s="10" t="s">
        <v>26</v>
      </c>
      <c r="AW60" s="10" t="s">
        <v>26</v>
      </c>
      <c r="AX60" s="10" t="s">
        <v>26</v>
      </c>
      <c r="AY60" s="9">
        <v>22074466.920000002</v>
      </c>
      <c r="AZ60" s="10">
        <v>2.8650806429999999E-5</v>
      </c>
      <c r="BA60" s="10">
        <v>0.12</v>
      </c>
      <c r="BB60" s="10">
        <v>0.12</v>
      </c>
    </row>
    <row r="61" spans="1:54" s="7" customFormat="1">
      <c r="A61" s="3" t="s">
        <v>39</v>
      </c>
      <c r="B61" s="23" t="s">
        <v>57</v>
      </c>
      <c r="C61" s="2">
        <v>22074466.920000002</v>
      </c>
      <c r="D61" s="1">
        <v>1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2">
        <v>22074466.920000002</v>
      </c>
      <c r="AF61" s="1">
        <v>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22074466.920000002</v>
      </c>
      <c r="AZ61" s="1">
        <v>1</v>
      </c>
      <c r="BA61" s="1" t="s">
        <v>26</v>
      </c>
      <c r="BB61" s="1" t="s">
        <v>26</v>
      </c>
    </row>
    <row r="62" spans="1:54" s="28" customFormat="1">
      <c r="A62" s="5" t="s">
        <v>65</v>
      </c>
      <c r="B62" s="20" t="s">
        <v>25</v>
      </c>
      <c r="C62" s="9" t="s">
        <v>26</v>
      </c>
      <c r="D62" s="10" t="s">
        <v>26</v>
      </c>
      <c r="E62" s="10" t="s">
        <v>26</v>
      </c>
      <c r="F62" s="10" t="s">
        <v>26</v>
      </c>
      <c r="G62" s="9" t="s">
        <v>26</v>
      </c>
      <c r="H62" s="10" t="s">
        <v>26</v>
      </c>
      <c r="I62" s="10" t="s">
        <v>26</v>
      </c>
      <c r="J62" s="10" t="s">
        <v>26</v>
      </c>
      <c r="K62" s="9">
        <v>32674610.73</v>
      </c>
      <c r="L62" s="10">
        <v>9.7624247265600001E-3</v>
      </c>
      <c r="M62" s="10">
        <v>0.13500000000000001</v>
      </c>
      <c r="N62" s="10">
        <v>0.12520000000000001</v>
      </c>
      <c r="O62" s="9">
        <v>100619485.88</v>
      </c>
      <c r="P62" s="10">
        <v>4.2221852295999999E-4</v>
      </c>
      <c r="Q62" s="10">
        <v>0.13500000000000001</v>
      </c>
      <c r="R62" s="10">
        <v>0.1346</v>
      </c>
      <c r="S62" s="9" t="s">
        <v>26</v>
      </c>
      <c r="T62" s="10" t="s">
        <v>26</v>
      </c>
      <c r="U62" s="10" t="s">
        <v>26</v>
      </c>
      <c r="V62" s="10" t="s">
        <v>26</v>
      </c>
      <c r="W62" s="9" t="s">
        <v>26</v>
      </c>
      <c r="X62" s="10" t="s">
        <v>26</v>
      </c>
      <c r="Y62" s="10" t="s">
        <v>26</v>
      </c>
      <c r="Z62" s="10" t="s">
        <v>26</v>
      </c>
      <c r="AA62" s="9">
        <v>45651295.850000001</v>
      </c>
      <c r="AB62" s="10">
        <v>3.1109570713000001E-4</v>
      </c>
      <c r="AC62" s="10">
        <v>0.13500000000000001</v>
      </c>
      <c r="AD62" s="10">
        <v>0.13469999999999999</v>
      </c>
      <c r="AE62" s="9">
        <v>178945392.46000001</v>
      </c>
      <c r="AF62" s="10">
        <v>2.6306442219E-4</v>
      </c>
      <c r="AG62" s="10">
        <v>0.13500000000000001</v>
      </c>
      <c r="AH62" s="10">
        <v>0.13469999999999999</v>
      </c>
      <c r="AI62" s="9">
        <v>27049999.920000002</v>
      </c>
      <c r="AJ62" s="10">
        <v>1.54123156556E-3</v>
      </c>
      <c r="AK62" s="10">
        <v>0.13500000000000001</v>
      </c>
      <c r="AL62" s="10">
        <v>0.13350000000000001</v>
      </c>
      <c r="AM62" s="9" t="s">
        <v>26</v>
      </c>
      <c r="AN62" s="10" t="s">
        <v>26</v>
      </c>
      <c r="AO62" s="10" t="s">
        <v>26</v>
      </c>
      <c r="AP62" s="10" t="s">
        <v>26</v>
      </c>
      <c r="AQ62" s="9">
        <v>27049999.920000002</v>
      </c>
      <c r="AR62" s="10">
        <v>6.4492783778E-4</v>
      </c>
      <c r="AS62" s="10">
        <v>0.13500000000000001</v>
      </c>
      <c r="AT62" s="10">
        <v>0.13439999999999999</v>
      </c>
      <c r="AU62" s="9" t="s">
        <v>26</v>
      </c>
      <c r="AV62" s="10" t="s">
        <v>26</v>
      </c>
      <c r="AW62" s="10" t="s">
        <v>26</v>
      </c>
      <c r="AX62" s="10" t="s">
        <v>26</v>
      </c>
      <c r="AY62" s="9">
        <v>205995392.38</v>
      </c>
      <c r="AZ62" s="10">
        <v>2.6736474020999998E-4</v>
      </c>
      <c r="BA62" s="10">
        <v>0.13500000000000001</v>
      </c>
      <c r="BB62" s="10">
        <v>0.13469999999999999</v>
      </c>
    </row>
    <row r="63" spans="1:54" s="7" customFormat="1">
      <c r="A63" s="3" t="s">
        <v>41</v>
      </c>
      <c r="B63" s="23" t="s">
        <v>44</v>
      </c>
      <c r="C63" s="2" t="s">
        <v>26</v>
      </c>
      <c r="D63" s="1" t="s">
        <v>26</v>
      </c>
      <c r="E63" s="1" t="s">
        <v>26</v>
      </c>
      <c r="F63" s="1" t="s">
        <v>26</v>
      </c>
      <c r="G63" s="2" t="s">
        <v>26</v>
      </c>
      <c r="H63" s="1" t="s">
        <v>26</v>
      </c>
      <c r="I63" s="1" t="s">
        <v>26</v>
      </c>
      <c r="J63" s="1" t="s">
        <v>26</v>
      </c>
      <c r="K63" s="2">
        <v>32674610.73</v>
      </c>
      <c r="L63" s="1">
        <v>1</v>
      </c>
      <c r="M63" s="1" t="s">
        <v>26</v>
      </c>
      <c r="N63" s="1" t="s">
        <v>26</v>
      </c>
      <c r="O63" s="2">
        <v>100619485.88</v>
      </c>
      <c r="P63" s="1">
        <v>1</v>
      </c>
      <c r="Q63" s="1" t="s">
        <v>26</v>
      </c>
      <c r="R63" s="1" t="s">
        <v>26</v>
      </c>
      <c r="S63" s="2" t="s">
        <v>26</v>
      </c>
      <c r="T63" s="1" t="s">
        <v>26</v>
      </c>
      <c r="U63" s="1" t="s">
        <v>26</v>
      </c>
      <c r="V63" s="1" t="s">
        <v>26</v>
      </c>
      <c r="W63" s="2" t="s">
        <v>26</v>
      </c>
      <c r="X63" s="1" t="s">
        <v>26</v>
      </c>
      <c r="Y63" s="1" t="s">
        <v>26</v>
      </c>
      <c r="Z63" s="1" t="s">
        <v>26</v>
      </c>
      <c r="AA63" s="2">
        <v>45651295.850000001</v>
      </c>
      <c r="AB63" s="1">
        <v>1</v>
      </c>
      <c r="AC63" s="1" t="s">
        <v>26</v>
      </c>
      <c r="AD63" s="1" t="s">
        <v>26</v>
      </c>
      <c r="AE63" s="2">
        <v>178945392.46000001</v>
      </c>
      <c r="AF63" s="1">
        <v>1</v>
      </c>
      <c r="AG63" s="1" t="s">
        <v>26</v>
      </c>
      <c r="AH63" s="1" t="s">
        <v>26</v>
      </c>
      <c r="AI63" s="2">
        <v>27049999.920000002</v>
      </c>
      <c r="AJ63" s="1">
        <v>1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>
        <v>27049999.920000002</v>
      </c>
      <c r="AR63" s="1">
        <v>1</v>
      </c>
      <c r="AS63" s="1" t="s">
        <v>26</v>
      </c>
      <c r="AT63" s="1" t="s">
        <v>26</v>
      </c>
      <c r="AU63" s="2" t="s">
        <v>26</v>
      </c>
      <c r="AV63" s="1" t="s">
        <v>26</v>
      </c>
      <c r="AW63" s="1" t="s">
        <v>26</v>
      </c>
      <c r="AX63" s="1" t="s">
        <v>26</v>
      </c>
      <c r="AY63" s="2">
        <v>205995392.38</v>
      </c>
      <c r="AZ63" s="1">
        <v>1</v>
      </c>
      <c r="BA63" s="1" t="s">
        <v>26</v>
      </c>
      <c r="BB63" s="1" t="s">
        <v>26</v>
      </c>
    </row>
    <row r="64" spans="1:54" s="7" customFormat="1">
      <c r="A64" s="12" t="s">
        <v>66</v>
      </c>
      <c r="B64" s="40" t="s">
        <v>25</v>
      </c>
      <c r="C64" s="42">
        <v>1167254080.01</v>
      </c>
      <c r="D64" s="43">
        <v>0.16454843776374001</v>
      </c>
      <c r="E64" s="43" t="s">
        <v>26</v>
      </c>
      <c r="F64" s="43" t="s">
        <v>26</v>
      </c>
      <c r="G64" s="42">
        <v>6655119669.9099998</v>
      </c>
      <c r="H64" s="43">
        <v>4.1517869980329997E-2</v>
      </c>
      <c r="I64" s="43" t="s">
        <v>26</v>
      </c>
      <c r="J64" s="43" t="s">
        <v>26</v>
      </c>
      <c r="K64" s="42">
        <v>706242050.65999997</v>
      </c>
      <c r="L64" s="43">
        <v>0.21100893642699001</v>
      </c>
      <c r="M64" s="43" t="s">
        <v>26</v>
      </c>
      <c r="N64" s="43" t="s">
        <v>26</v>
      </c>
      <c r="O64" s="42">
        <v>10738161042.5</v>
      </c>
      <c r="P64" s="43">
        <v>4.5059368521489999E-2</v>
      </c>
      <c r="Q64" s="43" t="s">
        <v>26</v>
      </c>
      <c r="R64" s="43" t="s">
        <v>26</v>
      </c>
      <c r="S64" s="42">
        <v>6184399192.8900003</v>
      </c>
      <c r="T64" s="43">
        <v>5.2540978959890003E-2</v>
      </c>
      <c r="U64" s="43" t="s">
        <v>26</v>
      </c>
      <c r="V64" s="43" t="s">
        <v>26</v>
      </c>
      <c r="W64" s="42" t="s">
        <v>26</v>
      </c>
      <c r="X64" s="43" t="s">
        <v>26</v>
      </c>
      <c r="Y64" s="43" t="s">
        <v>26</v>
      </c>
      <c r="Z64" s="43" t="s">
        <v>26</v>
      </c>
      <c r="AA64" s="42">
        <v>5153320326.6800003</v>
      </c>
      <c r="AB64" s="43">
        <v>3.511786031986E-2</v>
      </c>
      <c r="AC64" s="43" t="s">
        <v>26</v>
      </c>
      <c r="AD64" s="43" t="s">
        <v>26</v>
      </c>
      <c r="AE64" s="42">
        <v>30604496362.650002</v>
      </c>
      <c r="AF64" s="43">
        <v>4.4991122942669999E-2</v>
      </c>
      <c r="AG64" s="43" t="s">
        <v>26</v>
      </c>
      <c r="AH64" s="43" t="s">
        <v>26</v>
      </c>
      <c r="AI64" s="42">
        <v>1080745733.02</v>
      </c>
      <c r="AJ64" s="43">
        <v>6.1577798262580002E-2</v>
      </c>
      <c r="AK64" s="43" t="s">
        <v>26</v>
      </c>
      <c r="AL64" s="43" t="s">
        <v>26</v>
      </c>
      <c r="AM64" s="42">
        <v>2193301857.02</v>
      </c>
      <c r="AN64" s="43">
        <v>8.9919721660800006E-2</v>
      </c>
      <c r="AO64" s="43" t="s">
        <v>26</v>
      </c>
      <c r="AP64" s="43" t="s">
        <v>26</v>
      </c>
      <c r="AQ64" s="42">
        <v>3274047590.04</v>
      </c>
      <c r="AR64" s="43">
        <v>7.8060053208460004E-2</v>
      </c>
      <c r="AS64" s="43" t="s">
        <v>26</v>
      </c>
      <c r="AT64" s="43" t="s">
        <v>26</v>
      </c>
      <c r="AU64" s="42">
        <v>1466040992.8</v>
      </c>
      <c r="AV64" s="43">
        <v>3.0359710814119999E-2</v>
      </c>
      <c r="AW64" s="43" t="s">
        <v>26</v>
      </c>
      <c r="AX64" s="43" t="s">
        <v>26</v>
      </c>
      <c r="AY64" s="42">
        <v>35344584945.489998</v>
      </c>
      <c r="AZ64" s="43">
        <v>4.5874306520789998E-2</v>
      </c>
      <c r="BA64" s="43" t="s">
        <v>26</v>
      </c>
      <c r="BB64" s="43" t="s">
        <v>26</v>
      </c>
    </row>
    <row r="65" spans="1:54" s="7" customFormat="1">
      <c r="A65" s="5" t="s">
        <v>67</v>
      </c>
      <c r="B65" s="20" t="s">
        <v>25</v>
      </c>
      <c r="C65" s="9">
        <v>292676062.00999999</v>
      </c>
      <c r="D65" s="10">
        <v>4.1258702453349998E-2</v>
      </c>
      <c r="E65" s="10">
        <v>0.08</v>
      </c>
      <c r="F65" s="10">
        <v>3.8699999999999998E-2</v>
      </c>
      <c r="G65" s="9" t="s">
        <v>26</v>
      </c>
      <c r="H65" s="10" t="s">
        <v>26</v>
      </c>
      <c r="I65" s="10" t="s">
        <v>26</v>
      </c>
      <c r="J65" s="10" t="s">
        <v>26</v>
      </c>
      <c r="K65" s="9">
        <v>192106748.06999999</v>
      </c>
      <c r="L65" s="10">
        <v>5.73970928987E-2</v>
      </c>
      <c r="M65" s="10">
        <v>0.08</v>
      </c>
      <c r="N65" s="10">
        <v>2.2599999999999999E-2</v>
      </c>
      <c r="O65" s="9" t="s">
        <v>26</v>
      </c>
      <c r="P65" s="10" t="s">
        <v>26</v>
      </c>
      <c r="Q65" s="10" t="s">
        <v>26</v>
      </c>
      <c r="R65" s="10" t="s">
        <v>26</v>
      </c>
      <c r="S65" s="9">
        <v>494102565.38999999</v>
      </c>
      <c r="T65" s="10">
        <v>4.1977614449599998E-3</v>
      </c>
      <c r="U65" s="10">
        <v>0.08</v>
      </c>
      <c r="V65" s="10">
        <v>7.5800000000000006E-2</v>
      </c>
      <c r="W65" s="9" t="s">
        <v>26</v>
      </c>
      <c r="X65" s="10" t="s">
        <v>26</v>
      </c>
      <c r="Y65" s="10" t="s">
        <v>26</v>
      </c>
      <c r="Z65" s="10" t="s">
        <v>26</v>
      </c>
      <c r="AA65" s="9" t="s">
        <v>26</v>
      </c>
      <c r="AB65" s="10" t="s">
        <v>26</v>
      </c>
      <c r="AC65" s="10" t="s">
        <v>26</v>
      </c>
      <c r="AD65" s="10" t="s">
        <v>26</v>
      </c>
      <c r="AE65" s="9">
        <v>978885375.47000003</v>
      </c>
      <c r="AF65" s="10">
        <v>1.4390418895499999E-3</v>
      </c>
      <c r="AG65" s="10">
        <v>0.08</v>
      </c>
      <c r="AH65" s="10">
        <v>7.8600000000000003E-2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 t="s">
        <v>26</v>
      </c>
      <c r="AV65" s="10" t="s">
        <v>26</v>
      </c>
      <c r="AW65" s="10" t="s">
        <v>26</v>
      </c>
      <c r="AX65" s="10" t="s">
        <v>26</v>
      </c>
      <c r="AY65" s="9">
        <v>978885375.47000003</v>
      </c>
      <c r="AZ65" s="10">
        <v>1.27051110749E-3</v>
      </c>
      <c r="BA65" s="10">
        <v>0.08</v>
      </c>
      <c r="BB65" s="10">
        <v>7.8700000000000006E-2</v>
      </c>
    </row>
    <row r="66" spans="1:54" s="7" customFormat="1">
      <c r="A66" s="3" t="s">
        <v>68</v>
      </c>
      <c r="B66" s="23" t="s">
        <v>57</v>
      </c>
      <c r="C66" s="2">
        <v>292676062.00999999</v>
      </c>
      <c r="D66" s="1">
        <v>1</v>
      </c>
      <c r="E66" s="1" t="s">
        <v>26</v>
      </c>
      <c r="F66" s="1" t="s">
        <v>26</v>
      </c>
      <c r="G66" s="2" t="s">
        <v>26</v>
      </c>
      <c r="H66" s="1" t="s">
        <v>26</v>
      </c>
      <c r="I66" s="1" t="s">
        <v>26</v>
      </c>
      <c r="J66" s="1" t="s">
        <v>26</v>
      </c>
      <c r="K66" s="2">
        <v>192106748.06999999</v>
      </c>
      <c r="L66" s="1">
        <v>1</v>
      </c>
      <c r="M66" s="1" t="s">
        <v>26</v>
      </c>
      <c r="N66" s="1" t="s">
        <v>26</v>
      </c>
      <c r="O66" s="2" t="s">
        <v>26</v>
      </c>
      <c r="P66" s="1" t="s">
        <v>26</v>
      </c>
      <c r="Q66" s="1" t="s">
        <v>26</v>
      </c>
      <c r="R66" s="1" t="s">
        <v>26</v>
      </c>
      <c r="S66" s="2">
        <v>494102565.38999999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978885375.47000003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978885375.47000003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69</v>
      </c>
      <c r="B67" s="20" t="s">
        <v>25</v>
      </c>
      <c r="C67" s="9" t="s">
        <v>26</v>
      </c>
      <c r="D67" s="10" t="s">
        <v>26</v>
      </c>
      <c r="E67" s="10" t="s">
        <v>26</v>
      </c>
      <c r="F67" s="10" t="s">
        <v>26</v>
      </c>
      <c r="G67" s="9">
        <v>521848428.10000002</v>
      </c>
      <c r="H67" s="10">
        <v>3.25554404157E-3</v>
      </c>
      <c r="I67" s="10">
        <v>0.08</v>
      </c>
      <c r="J67" s="10">
        <v>7.6700000000000004E-2</v>
      </c>
      <c r="K67" s="9">
        <v>51048374.119999997</v>
      </c>
      <c r="L67" s="10">
        <v>1.525208406852E-2</v>
      </c>
      <c r="M67" s="10">
        <v>0.08</v>
      </c>
      <c r="N67" s="10">
        <v>6.4699999999999994E-2</v>
      </c>
      <c r="O67" s="9">
        <v>459913856.36000001</v>
      </c>
      <c r="P67" s="10">
        <v>1.92988611922E-3</v>
      </c>
      <c r="Q67" s="10">
        <v>2.9100000000000001E-2</v>
      </c>
      <c r="R67" s="10">
        <v>2.7199999999999998E-2</v>
      </c>
      <c r="S67" s="9">
        <v>100611309</v>
      </c>
      <c r="T67" s="10">
        <v>8.5476640566000003E-4</v>
      </c>
      <c r="U67" s="10">
        <v>0.08</v>
      </c>
      <c r="V67" s="10">
        <v>7.9100000000000004E-2</v>
      </c>
      <c r="W67" s="9" t="s">
        <v>26</v>
      </c>
      <c r="X67" s="10" t="s">
        <v>26</v>
      </c>
      <c r="Y67" s="10" t="s">
        <v>26</v>
      </c>
      <c r="Z67" s="10" t="s">
        <v>26</v>
      </c>
      <c r="AA67" s="9">
        <v>42549727.399999999</v>
      </c>
      <c r="AB67" s="10">
        <v>2.8995973250999998E-4</v>
      </c>
      <c r="AC67" s="10">
        <v>0.08</v>
      </c>
      <c r="AD67" s="10">
        <v>7.9699999999999993E-2</v>
      </c>
      <c r="AE67" s="9">
        <v>1175971694.98</v>
      </c>
      <c r="AF67" s="10">
        <v>1.72877496427E-3</v>
      </c>
      <c r="AG67" s="10">
        <v>6.0100000000000001E-2</v>
      </c>
      <c r="AH67" s="10">
        <v>5.8400000000000001E-2</v>
      </c>
      <c r="AI67" s="9" t="s">
        <v>26</v>
      </c>
      <c r="AJ67" s="10" t="s">
        <v>26</v>
      </c>
      <c r="AK67" s="10" t="s">
        <v>26</v>
      </c>
      <c r="AL67" s="10" t="s">
        <v>26</v>
      </c>
      <c r="AM67" s="9" t="s">
        <v>26</v>
      </c>
      <c r="AN67" s="10" t="s">
        <v>26</v>
      </c>
      <c r="AO67" s="10" t="s">
        <v>26</v>
      </c>
      <c r="AP67" s="10" t="s">
        <v>26</v>
      </c>
      <c r="AQ67" s="9" t="s">
        <v>26</v>
      </c>
      <c r="AR67" s="10" t="s">
        <v>26</v>
      </c>
      <c r="AS67" s="10" t="s">
        <v>26</v>
      </c>
      <c r="AT67" s="10" t="s">
        <v>26</v>
      </c>
      <c r="AU67" s="9">
        <v>100611309</v>
      </c>
      <c r="AV67" s="10">
        <v>2.0835230807800002E-3</v>
      </c>
      <c r="AW67" s="10">
        <v>0.08</v>
      </c>
      <c r="AX67" s="10">
        <v>7.7899999999999997E-2</v>
      </c>
      <c r="AY67" s="9">
        <v>1276583003.98</v>
      </c>
      <c r="AZ67" s="10">
        <v>1.65689765813E-3</v>
      </c>
      <c r="BA67" s="10">
        <v>6.1699999999999998E-2</v>
      </c>
      <c r="BB67" s="10">
        <v>0.06</v>
      </c>
    </row>
    <row r="68" spans="1:54" s="7" customFormat="1">
      <c r="A68" s="3" t="s">
        <v>68</v>
      </c>
      <c r="B68" s="23" t="s">
        <v>57</v>
      </c>
      <c r="C68" s="2" t="s">
        <v>26</v>
      </c>
      <c r="D68" s="1" t="s">
        <v>26</v>
      </c>
      <c r="E68" s="1" t="s">
        <v>26</v>
      </c>
      <c r="F68" s="1" t="s">
        <v>26</v>
      </c>
      <c r="G68" s="2">
        <v>521848428.10000002</v>
      </c>
      <c r="H68" s="1">
        <v>1</v>
      </c>
      <c r="I68" s="1" t="s">
        <v>26</v>
      </c>
      <c r="J68" s="1" t="s">
        <v>26</v>
      </c>
      <c r="K68" s="2">
        <v>51048374.119999997</v>
      </c>
      <c r="L68" s="1">
        <v>1</v>
      </c>
      <c r="M68" s="1" t="s">
        <v>26</v>
      </c>
      <c r="N68" s="1" t="s">
        <v>26</v>
      </c>
      <c r="O68" s="2">
        <v>167420504.19999999</v>
      </c>
      <c r="P68" s="1">
        <v>0.36402578849234002</v>
      </c>
      <c r="Q68" s="1" t="s">
        <v>26</v>
      </c>
      <c r="R68" s="1" t="s">
        <v>26</v>
      </c>
      <c r="S68" s="2">
        <v>100611309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42549727.399999999</v>
      </c>
      <c r="AB68" s="1">
        <v>1</v>
      </c>
      <c r="AC68" s="1" t="s">
        <v>26</v>
      </c>
      <c r="AD68" s="1" t="s">
        <v>26</v>
      </c>
      <c r="AE68" s="2">
        <v>883478342.82000005</v>
      </c>
      <c r="AF68" s="1">
        <v>0.75127517659770005</v>
      </c>
      <c r="AG68" s="1" t="s">
        <v>26</v>
      </c>
      <c r="AH68" s="1" t="s">
        <v>26</v>
      </c>
      <c r="AI68" s="2" t="s">
        <v>26</v>
      </c>
      <c r="AJ68" s="1" t="s">
        <v>26</v>
      </c>
      <c r="AK68" s="1" t="s">
        <v>26</v>
      </c>
      <c r="AL68" s="1" t="s">
        <v>26</v>
      </c>
      <c r="AM68" s="2" t="s">
        <v>26</v>
      </c>
      <c r="AN68" s="1" t="s">
        <v>26</v>
      </c>
      <c r="AO68" s="1" t="s">
        <v>26</v>
      </c>
      <c r="AP68" s="1" t="s">
        <v>26</v>
      </c>
      <c r="AQ68" s="2" t="s">
        <v>26</v>
      </c>
      <c r="AR68" s="1" t="s">
        <v>26</v>
      </c>
      <c r="AS68" s="1" t="s">
        <v>26</v>
      </c>
      <c r="AT68" s="1" t="s">
        <v>26</v>
      </c>
      <c r="AU68" s="2">
        <v>100611309</v>
      </c>
      <c r="AV68" s="1">
        <v>1</v>
      </c>
      <c r="AW68" s="1" t="s">
        <v>26</v>
      </c>
      <c r="AX68" s="1" t="s">
        <v>26</v>
      </c>
      <c r="AY68" s="2">
        <v>984089651.82000005</v>
      </c>
      <c r="AZ68" s="1">
        <v>0.77087792078689998</v>
      </c>
      <c r="BA68" s="1" t="s">
        <v>26</v>
      </c>
      <c r="BB68" s="1" t="s">
        <v>26</v>
      </c>
    </row>
    <row r="69" spans="1:54" s="28" customFormat="1">
      <c r="A69" s="3" t="s">
        <v>68</v>
      </c>
      <c r="B69" s="23" t="s">
        <v>116</v>
      </c>
      <c r="C69" s="2" t="s">
        <v>26</v>
      </c>
      <c r="D69" s="1" t="s">
        <v>26</v>
      </c>
      <c r="E69" s="1" t="s">
        <v>26</v>
      </c>
      <c r="F69" s="1" t="s">
        <v>26</v>
      </c>
      <c r="G69" s="2" t="s">
        <v>26</v>
      </c>
      <c r="H69" s="1" t="s">
        <v>26</v>
      </c>
      <c r="I69" s="1" t="s">
        <v>26</v>
      </c>
      <c r="J69" s="1" t="s">
        <v>26</v>
      </c>
      <c r="K69" s="2" t="s">
        <v>26</v>
      </c>
      <c r="L69" s="1" t="s">
        <v>26</v>
      </c>
      <c r="M69" s="1" t="s">
        <v>26</v>
      </c>
      <c r="N69" s="1" t="s">
        <v>26</v>
      </c>
      <c r="O69" s="2">
        <v>292493352.16000003</v>
      </c>
      <c r="P69" s="1">
        <v>0.63597421150765998</v>
      </c>
      <c r="Q69" s="1" t="s">
        <v>26</v>
      </c>
      <c r="R69" s="1" t="s">
        <v>26</v>
      </c>
      <c r="S69" s="2" t="s">
        <v>26</v>
      </c>
      <c r="T69" s="1" t="s">
        <v>26</v>
      </c>
      <c r="U69" s="1" t="s">
        <v>26</v>
      </c>
      <c r="V69" s="1" t="s">
        <v>26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2">
        <v>292493352.16000003</v>
      </c>
      <c r="AF69" s="1">
        <v>0.24872482340230001</v>
      </c>
      <c r="AG69" s="1" t="s">
        <v>26</v>
      </c>
      <c r="AH69" s="1" t="s">
        <v>26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2">
        <v>292493352.16000003</v>
      </c>
      <c r="AZ69" s="1">
        <v>0.22912207921309999</v>
      </c>
      <c r="BA69" s="1" t="s">
        <v>26</v>
      </c>
      <c r="BB69" s="1" t="s">
        <v>26</v>
      </c>
    </row>
    <row r="70" spans="1:54" s="7" customFormat="1">
      <c r="A70" s="5" t="s">
        <v>70</v>
      </c>
      <c r="B70" s="20" t="s">
        <v>25</v>
      </c>
      <c r="C70" s="9" t="s">
        <v>26</v>
      </c>
      <c r="D70" s="10" t="s">
        <v>26</v>
      </c>
      <c r="E70" s="10" t="s">
        <v>26</v>
      </c>
      <c r="F70" s="10" t="s">
        <v>26</v>
      </c>
      <c r="G70" s="9">
        <v>512080167.77999997</v>
      </c>
      <c r="H70" s="10">
        <v>3.1946048876500001E-3</v>
      </c>
      <c r="I70" s="10">
        <v>0.09</v>
      </c>
      <c r="J70" s="10">
        <v>8.6800000000000002E-2</v>
      </c>
      <c r="K70" s="9" t="s">
        <v>26</v>
      </c>
      <c r="L70" s="10" t="s">
        <v>26</v>
      </c>
      <c r="M70" s="10" t="s">
        <v>26</v>
      </c>
      <c r="N70" s="10" t="s">
        <v>26</v>
      </c>
      <c r="O70" s="9">
        <v>1127723179.8900001</v>
      </c>
      <c r="P70" s="10">
        <v>4.7321412066499997E-3</v>
      </c>
      <c r="Q70" s="10">
        <v>0.09</v>
      </c>
      <c r="R70" s="10">
        <v>8.5300000000000001E-2</v>
      </c>
      <c r="S70" s="9">
        <v>515305923.47000003</v>
      </c>
      <c r="T70" s="10">
        <v>4.3778994270099996E-3</v>
      </c>
      <c r="U70" s="10">
        <v>0.09</v>
      </c>
      <c r="V70" s="10">
        <v>8.5599999999999996E-2</v>
      </c>
      <c r="W70" s="9" t="s">
        <v>26</v>
      </c>
      <c r="X70" s="10" t="s">
        <v>26</v>
      </c>
      <c r="Y70" s="10" t="s">
        <v>26</v>
      </c>
      <c r="Z70" s="10" t="s">
        <v>26</v>
      </c>
      <c r="AA70" s="9">
        <v>1371443608.47</v>
      </c>
      <c r="AB70" s="10">
        <v>9.3458512232299992E-3</v>
      </c>
      <c r="AC70" s="10">
        <v>0.09</v>
      </c>
      <c r="AD70" s="10">
        <v>8.0699999999999994E-2</v>
      </c>
      <c r="AE70" s="9">
        <v>3526552879.6100001</v>
      </c>
      <c r="AF70" s="10">
        <v>5.1843223391200002E-3</v>
      </c>
      <c r="AG70" s="10">
        <v>0.09</v>
      </c>
      <c r="AH70" s="10">
        <v>8.48E-2</v>
      </c>
      <c r="AI70" s="9">
        <v>96091163.299999997</v>
      </c>
      <c r="AJ70" s="10">
        <v>5.4749994265200002E-3</v>
      </c>
      <c r="AK70" s="10">
        <v>0.09</v>
      </c>
      <c r="AL70" s="10">
        <v>8.4500000000000006E-2</v>
      </c>
      <c r="AM70" s="9">
        <v>13520081.82</v>
      </c>
      <c r="AN70" s="10">
        <v>5.5428849895999995E-4</v>
      </c>
      <c r="AO70" s="10">
        <v>0.09</v>
      </c>
      <c r="AP70" s="10">
        <v>8.9399999999999993E-2</v>
      </c>
      <c r="AQ70" s="9">
        <v>109611245.12</v>
      </c>
      <c r="AR70" s="10">
        <v>2.6133583556799999E-3</v>
      </c>
      <c r="AS70" s="10">
        <v>0.09</v>
      </c>
      <c r="AT70" s="10">
        <v>8.7400000000000005E-2</v>
      </c>
      <c r="AU70" s="9">
        <v>185845994.91999999</v>
      </c>
      <c r="AV70" s="10">
        <v>3.8486172552100002E-3</v>
      </c>
      <c r="AW70" s="10">
        <v>0.09</v>
      </c>
      <c r="AX70" s="10">
        <v>8.6199999999999999E-2</v>
      </c>
      <c r="AY70" s="9">
        <v>3822010119.6500001</v>
      </c>
      <c r="AZ70" s="10">
        <v>4.9606485413500002E-3</v>
      </c>
      <c r="BA70" s="10">
        <v>0.09</v>
      </c>
      <c r="BB70" s="10">
        <v>8.5000000000000006E-2</v>
      </c>
    </row>
    <row r="71" spans="1:54" s="28" customFormat="1">
      <c r="A71" s="3" t="s">
        <v>68</v>
      </c>
      <c r="B71" s="23" t="s">
        <v>40</v>
      </c>
      <c r="C71" s="2" t="s">
        <v>26</v>
      </c>
      <c r="D71" s="1" t="s">
        <v>26</v>
      </c>
      <c r="E71" s="1" t="s">
        <v>26</v>
      </c>
      <c r="F71" s="1" t="s">
        <v>26</v>
      </c>
      <c r="G71" s="2">
        <v>512080167.77999997</v>
      </c>
      <c r="H71" s="1">
        <v>1</v>
      </c>
      <c r="I71" s="1" t="s">
        <v>26</v>
      </c>
      <c r="J71" s="1" t="s">
        <v>26</v>
      </c>
      <c r="K71" s="2" t="s">
        <v>26</v>
      </c>
      <c r="L71" s="1" t="s">
        <v>26</v>
      </c>
      <c r="M71" s="1" t="s">
        <v>26</v>
      </c>
      <c r="N71" s="1" t="s">
        <v>26</v>
      </c>
      <c r="O71" s="2">
        <v>1127723179.8900001</v>
      </c>
      <c r="P71" s="1">
        <v>1</v>
      </c>
      <c r="Q71" s="1" t="s">
        <v>26</v>
      </c>
      <c r="R71" s="1" t="s">
        <v>26</v>
      </c>
      <c r="S71" s="2">
        <v>515305923.47000003</v>
      </c>
      <c r="T71" s="1">
        <v>1</v>
      </c>
      <c r="U71" s="1" t="s">
        <v>26</v>
      </c>
      <c r="V71" s="1" t="s">
        <v>26</v>
      </c>
      <c r="W71" s="2" t="s">
        <v>26</v>
      </c>
      <c r="X71" s="1" t="s">
        <v>26</v>
      </c>
      <c r="Y71" s="1" t="s">
        <v>26</v>
      </c>
      <c r="Z71" s="1" t="s">
        <v>26</v>
      </c>
      <c r="AA71" s="2">
        <v>1371443608.47</v>
      </c>
      <c r="AB71" s="1">
        <v>1</v>
      </c>
      <c r="AC71" s="1" t="s">
        <v>26</v>
      </c>
      <c r="AD71" s="1" t="s">
        <v>26</v>
      </c>
      <c r="AE71" s="2">
        <v>3526552879.6100001</v>
      </c>
      <c r="AF71" s="1">
        <v>1</v>
      </c>
      <c r="AG71" s="1" t="s">
        <v>26</v>
      </c>
      <c r="AH71" s="1" t="s">
        <v>26</v>
      </c>
      <c r="AI71" s="2">
        <v>96091163.299999997</v>
      </c>
      <c r="AJ71" s="1">
        <v>1</v>
      </c>
      <c r="AK71" s="1" t="s">
        <v>26</v>
      </c>
      <c r="AL71" s="1" t="s">
        <v>26</v>
      </c>
      <c r="AM71" s="2">
        <v>13520081.82</v>
      </c>
      <c r="AN71" s="1">
        <v>1</v>
      </c>
      <c r="AO71" s="1" t="s">
        <v>26</v>
      </c>
      <c r="AP71" s="1" t="s">
        <v>26</v>
      </c>
      <c r="AQ71" s="2">
        <v>109611245.12</v>
      </c>
      <c r="AR71" s="1">
        <v>1</v>
      </c>
      <c r="AS71" s="1" t="s">
        <v>26</v>
      </c>
      <c r="AT71" s="1" t="s">
        <v>26</v>
      </c>
      <c r="AU71" s="2">
        <v>185845994.91999999</v>
      </c>
      <c r="AV71" s="1">
        <v>1</v>
      </c>
      <c r="AW71" s="1" t="s">
        <v>26</v>
      </c>
      <c r="AX71" s="1" t="s">
        <v>26</v>
      </c>
      <c r="AY71" s="2">
        <v>3822010119.6500001</v>
      </c>
      <c r="AZ71" s="1">
        <v>1</v>
      </c>
      <c r="BA71" s="1" t="s">
        <v>26</v>
      </c>
      <c r="BB71" s="1" t="s">
        <v>26</v>
      </c>
    </row>
    <row r="72" spans="1:54" s="7" customFormat="1">
      <c r="A72" s="5" t="s">
        <v>71</v>
      </c>
      <c r="B72" s="20" t="s">
        <v>25</v>
      </c>
      <c r="C72" s="9">
        <v>354693983.86000001</v>
      </c>
      <c r="D72" s="10">
        <v>5.0001402374929997E-2</v>
      </c>
      <c r="E72" s="10">
        <v>0.08</v>
      </c>
      <c r="F72" s="10">
        <v>0.03</v>
      </c>
      <c r="G72" s="9">
        <v>472945047.30000001</v>
      </c>
      <c r="H72" s="10">
        <v>2.9504609917700001E-3</v>
      </c>
      <c r="I72" s="10">
        <v>0.08</v>
      </c>
      <c r="J72" s="10">
        <v>7.6999999999999999E-2</v>
      </c>
      <c r="K72" s="9">
        <v>166223243.30000001</v>
      </c>
      <c r="L72" s="10">
        <v>4.9663694968879998E-2</v>
      </c>
      <c r="M72" s="10">
        <v>0.08</v>
      </c>
      <c r="N72" s="10">
        <v>3.0300000000000001E-2</v>
      </c>
      <c r="O72" s="9">
        <v>1458035571.6500001</v>
      </c>
      <c r="P72" s="10">
        <v>6.1181949013799997E-3</v>
      </c>
      <c r="Q72" s="10">
        <v>0.08</v>
      </c>
      <c r="R72" s="10">
        <v>7.3899999999999993E-2</v>
      </c>
      <c r="S72" s="9">
        <v>314461563.47000003</v>
      </c>
      <c r="T72" s="10">
        <v>2.6715801931000002E-3</v>
      </c>
      <c r="U72" s="10">
        <v>0.08</v>
      </c>
      <c r="V72" s="10">
        <v>7.7299999999999994E-2</v>
      </c>
      <c r="W72" s="9" t="s">
        <v>26</v>
      </c>
      <c r="X72" s="10" t="s">
        <v>26</v>
      </c>
      <c r="Y72" s="10" t="s">
        <v>26</v>
      </c>
      <c r="Z72" s="10" t="s">
        <v>26</v>
      </c>
      <c r="AA72" s="9" t="s">
        <v>26</v>
      </c>
      <c r="AB72" s="10" t="s">
        <v>26</v>
      </c>
      <c r="AC72" s="10" t="s">
        <v>26</v>
      </c>
      <c r="AD72" s="10" t="s">
        <v>26</v>
      </c>
      <c r="AE72" s="9">
        <v>2766359409.5799999</v>
      </c>
      <c r="AF72" s="10">
        <v>4.0667755098899999E-3</v>
      </c>
      <c r="AG72" s="10">
        <v>0.08</v>
      </c>
      <c r="AH72" s="10">
        <v>7.5899999999999995E-2</v>
      </c>
      <c r="AI72" s="9" t="s">
        <v>26</v>
      </c>
      <c r="AJ72" s="10" t="s">
        <v>26</v>
      </c>
      <c r="AK72" s="10" t="s">
        <v>26</v>
      </c>
      <c r="AL72" s="10" t="s">
        <v>26</v>
      </c>
      <c r="AM72" s="9" t="s">
        <v>26</v>
      </c>
      <c r="AN72" s="10" t="s">
        <v>26</v>
      </c>
      <c r="AO72" s="10" t="s">
        <v>26</v>
      </c>
      <c r="AP72" s="10" t="s">
        <v>26</v>
      </c>
      <c r="AQ72" s="9" t="s">
        <v>26</v>
      </c>
      <c r="AR72" s="10" t="s">
        <v>26</v>
      </c>
      <c r="AS72" s="10" t="s">
        <v>26</v>
      </c>
      <c r="AT72" s="10" t="s">
        <v>26</v>
      </c>
      <c r="AU72" s="9" t="s">
        <v>26</v>
      </c>
      <c r="AV72" s="10" t="s">
        <v>26</v>
      </c>
      <c r="AW72" s="10" t="s">
        <v>26</v>
      </c>
      <c r="AX72" s="10" t="s">
        <v>26</v>
      </c>
      <c r="AY72" s="9">
        <v>2766359409.5799999</v>
      </c>
      <c r="AZ72" s="10">
        <v>3.5905024686900002E-3</v>
      </c>
      <c r="BA72" s="10">
        <v>0.08</v>
      </c>
      <c r="BB72" s="10">
        <v>7.6399999999999996E-2</v>
      </c>
    </row>
    <row r="73" spans="1:54" s="7" customFormat="1">
      <c r="A73" s="3" t="s">
        <v>68</v>
      </c>
      <c r="B73" s="23" t="s">
        <v>57</v>
      </c>
      <c r="C73" s="2">
        <v>354693983.86000001</v>
      </c>
      <c r="D73" s="1">
        <v>1</v>
      </c>
      <c r="E73" s="1" t="s">
        <v>26</v>
      </c>
      <c r="F73" s="1" t="s">
        <v>26</v>
      </c>
      <c r="G73" s="2">
        <v>472945047.30000001</v>
      </c>
      <c r="H73" s="1">
        <v>1</v>
      </c>
      <c r="I73" s="1" t="s">
        <v>26</v>
      </c>
      <c r="J73" s="1" t="s">
        <v>26</v>
      </c>
      <c r="K73" s="2">
        <v>166223243.30000001</v>
      </c>
      <c r="L73" s="1">
        <v>1</v>
      </c>
      <c r="M73" s="1" t="s">
        <v>26</v>
      </c>
      <c r="N73" s="1" t="s">
        <v>26</v>
      </c>
      <c r="O73" s="2">
        <v>1458035571.6500001</v>
      </c>
      <c r="P73" s="1">
        <v>1</v>
      </c>
      <c r="Q73" s="1" t="s">
        <v>26</v>
      </c>
      <c r="R73" s="1" t="s">
        <v>26</v>
      </c>
      <c r="S73" s="2">
        <v>314461563.47000003</v>
      </c>
      <c r="T73" s="1">
        <v>1</v>
      </c>
      <c r="U73" s="1" t="s">
        <v>26</v>
      </c>
      <c r="V73" s="1" t="s">
        <v>26</v>
      </c>
      <c r="W73" s="2" t="s">
        <v>26</v>
      </c>
      <c r="X73" s="1" t="s">
        <v>26</v>
      </c>
      <c r="Y73" s="1" t="s">
        <v>26</v>
      </c>
      <c r="Z73" s="1" t="s">
        <v>26</v>
      </c>
      <c r="AA73" s="2" t="s">
        <v>26</v>
      </c>
      <c r="AB73" s="1" t="s">
        <v>26</v>
      </c>
      <c r="AC73" s="1" t="s">
        <v>26</v>
      </c>
      <c r="AD73" s="1" t="s">
        <v>26</v>
      </c>
      <c r="AE73" s="2">
        <v>2766359409.5799999</v>
      </c>
      <c r="AF73" s="1">
        <v>1</v>
      </c>
      <c r="AG73" s="1" t="s">
        <v>26</v>
      </c>
      <c r="AH73" s="1" t="s">
        <v>26</v>
      </c>
      <c r="AI73" s="2" t="s">
        <v>26</v>
      </c>
      <c r="AJ73" s="1" t="s">
        <v>26</v>
      </c>
      <c r="AK73" s="1" t="s">
        <v>26</v>
      </c>
      <c r="AL73" s="1" t="s">
        <v>26</v>
      </c>
      <c r="AM73" s="2" t="s">
        <v>26</v>
      </c>
      <c r="AN73" s="1" t="s">
        <v>26</v>
      </c>
      <c r="AO73" s="1" t="s">
        <v>26</v>
      </c>
      <c r="AP73" s="1" t="s">
        <v>26</v>
      </c>
      <c r="AQ73" s="2" t="s">
        <v>26</v>
      </c>
      <c r="AR73" s="1" t="s">
        <v>26</v>
      </c>
      <c r="AS73" s="1" t="s">
        <v>26</v>
      </c>
      <c r="AT73" s="1" t="s">
        <v>26</v>
      </c>
      <c r="AU73" s="2" t="s">
        <v>26</v>
      </c>
      <c r="AV73" s="1" t="s">
        <v>26</v>
      </c>
      <c r="AW73" s="1" t="s">
        <v>26</v>
      </c>
      <c r="AX73" s="1" t="s">
        <v>26</v>
      </c>
      <c r="AY73" s="2">
        <v>2766359409.5799999</v>
      </c>
      <c r="AZ73" s="1">
        <v>1</v>
      </c>
      <c r="BA73" s="1" t="s">
        <v>26</v>
      </c>
      <c r="BB73" s="1" t="s">
        <v>26</v>
      </c>
    </row>
    <row r="74" spans="1:54" s="7" customFormat="1">
      <c r="A74" s="5" t="s">
        <v>72</v>
      </c>
      <c r="B74" s="20" t="s">
        <v>25</v>
      </c>
      <c r="C74" s="9" t="s">
        <v>26</v>
      </c>
      <c r="D74" s="10" t="s">
        <v>26</v>
      </c>
      <c r="E74" s="10" t="s">
        <v>26</v>
      </c>
      <c r="F74" s="10" t="s">
        <v>26</v>
      </c>
      <c r="G74" s="9">
        <v>2589174096.6100001</v>
      </c>
      <c r="H74" s="10">
        <v>1.6152525999719999E-2</v>
      </c>
      <c r="I74" s="10">
        <v>0.09</v>
      </c>
      <c r="J74" s="10">
        <v>7.3800000000000004E-2</v>
      </c>
      <c r="K74" s="9" t="s">
        <v>26</v>
      </c>
      <c r="L74" s="10" t="s">
        <v>26</v>
      </c>
      <c r="M74" s="10" t="s">
        <v>26</v>
      </c>
      <c r="N74" s="10" t="s">
        <v>26</v>
      </c>
      <c r="O74" s="9">
        <v>2179845957.1199999</v>
      </c>
      <c r="P74" s="10">
        <v>9.1470487277299992E-3</v>
      </c>
      <c r="Q74" s="10">
        <v>0.09</v>
      </c>
      <c r="R74" s="10">
        <v>8.09E-2</v>
      </c>
      <c r="S74" s="9">
        <v>1364560163.48</v>
      </c>
      <c r="T74" s="10">
        <v>1.1592933218370001E-2</v>
      </c>
      <c r="U74" s="10">
        <v>0.09</v>
      </c>
      <c r="V74" s="10">
        <v>7.8399999999999997E-2</v>
      </c>
      <c r="W74" s="9" t="s">
        <v>26</v>
      </c>
      <c r="X74" s="10" t="s">
        <v>26</v>
      </c>
      <c r="Y74" s="10" t="s">
        <v>26</v>
      </c>
      <c r="Z74" s="10" t="s">
        <v>26</v>
      </c>
      <c r="AA74" s="9">
        <v>1817545754.27</v>
      </c>
      <c r="AB74" s="10">
        <v>1.2385862682150001E-2</v>
      </c>
      <c r="AC74" s="10">
        <v>0.09</v>
      </c>
      <c r="AD74" s="10">
        <v>7.7600000000000002E-2</v>
      </c>
      <c r="AE74" s="9">
        <v>7951125971.4799995</v>
      </c>
      <c r="AF74" s="10">
        <v>1.16888081371E-2</v>
      </c>
      <c r="AG74" s="10">
        <v>0.09</v>
      </c>
      <c r="AH74" s="10">
        <v>7.8299999999999995E-2</v>
      </c>
      <c r="AI74" s="9">
        <v>16202554.800000001</v>
      </c>
      <c r="AJ74" s="10">
        <v>9.2317519314000002E-4</v>
      </c>
      <c r="AK74" s="10">
        <v>0.09</v>
      </c>
      <c r="AL74" s="10">
        <v>8.9099999999999999E-2</v>
      </c>
      <c r="AM74" s="9">
        <v>115806862.47</v>
      </c>
      <c r="AN74" s="10">
        <v>4.7477828035300002E-3</v>
      </c>
      <c r="AO74" s="10">
        <v>0.09</v>
      </c>
      <c r="AP74" s="10">
        <v>8.5300000000000001E-2</v>
      </c>
      <c r="AQ74" s="9">
        <v>132009417.27</v>
      </c>
      <c r="AR74" s="10">
        <v>3.14737701659E-3</v>
      </c>
      <c r="AS74" s="10">
        <v>0.09</v>
      </c>
      <c r="AT74" s="10">
        <v>8.6900000000000005E-2</v>
      </c>
      <c r="AU74" s="9">
        <v>478491686.41000003</v>
      </c>
      <c r="AV74" s="10">
        <v>9.9089106632899993E-3</v>
      </c>
      <c r="AW74" s="10">
        <v>0.09</v>
      </c>
      <c r="AX74" s="10">
        <v>8.0100000000000005E-2</v>
      </c>
      <c r="AY74" s="9">
        <v>8561627075.1599998</v>
      </c>
      <c r="AZ74" s="10">
        <v>1.1112273785880001E-2</v>
      </c>
      <c r="BA74" s="10">
        <v>0.09</v>
      </c>
      <c r="BB74" s="10">
        <v>7.8899999999999998E-2</v>
      </c>
    </row>
    <row r="75" spans="1:54" s="7" customFormat="1">
      <c r="A75" s="3" t="s">
        <v>68</v>
      </c>
      <c r="B75" s="23" t="s">
        <v>40</v>
      </c>
      <c r="C75" s="2" t="s">
        <v>26</v>
      </c>
      <c r="D75" s="1" t="s">
        <v>26</v>
      </c>
      <c r="E75" s="1" t="s">
        <v>26</v>
      </c>
      <c r="F75" s="1" t="s">
        <v>26</v>
      </c>
      <c r="G75" s="2">
        <v>2589174096.6100001</v>
      </c>
      <c r="H75" s="1">
        <v>1</v>
      </c>
      <c r="I75" s="1" t="s">
        <v>26</v>
      </c>
      <c r="J75" s="1" t="s">
        <v>26</v>
      </c>
      <c r="K75" s="2" t="s">
        <v>26</v>
      </c>
      <c r="L75" s="1" t="s">
        <v>26</v>
      </c>
      <c r="M75" s="1" t="s">
        <v>26</v>
      </c>
      <c r="N75" s="1" t="s">
        <v>26</v>
      </c>
      <c r="O75" s="2">
        <v>2179845957.1199999</v>
      </c>
      <c r="P75" s="1">
        <v>1</v>
      </c>
      <c r="Q75" s="1" t="s">
        <v>26</v>
      </c>
      <c r="R75" s="1" t="s">
        <v>26</v>
      </c>
      <c r="S75" s="2">
        <v>1364560163.48</v>
      </c>
      <c r="T75" s="1">
        <v>1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>
        <v>1817545754.27</v>
      </c>
      <c r="AB75" s="1">
        <v>1</v>
      </c>
      <c r="AC75" s="1" t="s">
        <v>26</v>
      </c>
      <c r="AD75" s="1" t="s">
        <v>26</v>
      </c>
      <c r="AE75" s="2">
        <v>7951125971.4799995</v>
      </c>
      <c r="AF75" s="1">
        <v>1</v>
      </c>
      <c r="AG75" s="1" t="s">
        <v>26</v>
      </c>
      <c r="AH75" s="1" t="s">
        <v>26</v>
      </c>
      <c r="AI75" s="2">
        <v>16202554.800000001</v>
      </c>
      <c r="AJ75" s="1">
        <v>1</v>
      </c>
      <c r="AK75" s="1" t="s">
        <v>26</v>
      </c>
      <c r="AL75" s="1" t="s">
        <v>26</v>
      </c>
      <c r="AM75" s="2">
        <v>115806862.47</v>
      </c>
      <c r="AN75" s="1">
        <v>1</v>
      </c>
      <c r="AO75" s="1" t="s">
        <v>26</v>
      </c>
      <c r="AP75" s="1" t="s">
        <v>26</v>
      </c>
      <c r="AQ75" s="2">
        <v>132009417.27</v>
      </c>
      <c r="AR75" s="1">
        <v>1</v>
      </c>
      <c r="AS75" s="1" t="s">
        <v>26</v>
      </c>
      <c r="AT75" s="1" t="s">
        <v>26</v>
      </c>
      <c r="AU75" s="2">
        <v>478491686.41000003</v>
      </c>
      <c r="AV75" s="1">
        <v>1</v>
      </c>
      <c r="AW75" s="1" t="s">
        <v>26</v>
      </c>
      <c r="AX75" s="1" t="s">
        <v>26</v>
      </c>
      <c r="AY75" s="2">
        <v>8561627075.1599998</v>
      </c>
      <c r="AZ75" s="1">
        <v>1</v>
      </c>
      <c r="BA75" s="1" t="s">
        <v>26</v>
      </c>
      <c r="BB75" s="1" t="s">
        <v>26</v>
      </c>
    </row>
    <row r="76" spans="1:54" s="7" customFormat="1">
      <c r="A76" s="5" t="s">
        <v>73</v>
      </c>
      <c r="B76" s="20" t="s">
        <v>25</v>
      </c>
      <c r="C76" s="9">
        <v>87552026.689999998</v>
      </c>
      <c r="D76" s="10">
        <v>1.234225646465E-2</v>
      </c>
      <c r="E76" s="10">
        <v>0.08</v>
      </c>
      <c r="F76" s="10">
        <v>6.7699999999999996E-2</v>
      </c>
      <c r="G76" s="9">
        <v>220356926.16</v>
      </c>
      <c r="H76" s="10">
        <v>1.37469356876E-3</v>
      </c>
      <c r="I76" s="10">
        <v>0.08</v>
      </c>
      <c r="J76" s="10">
        <v>7.8600000000000003E-2</v>
      </c>
      <c r="K76" s="9">
        <v>105358096.39</v>
      </c>
      <c r="L76" s="10">
        <v>3.147858420842E-2</v>
      </c>
      <c r="M76" s="10">
        <v>0.08</v>
      </c>
      <c r="N76" s="10">
        <v>4.8500000000000001E-2</v>
      </c>
      <c r="O76" s="9">
        <v>2716984438.9499998</v>
      </c>
      <c r="P76" s="10">
        <v>1.140098408073E-2</v>
      </c>
      <c r="Q76" s="10">
        <v>0.08</v>
      </c>
      <c r="R76" s="10">
        <v>6.8599999999999994E-2</v>
      </c>
      <c r="S76" s="9">
        <v>2864031531.9899998</v>
      </c>
      <c r="T76" s="10">
        <v>2.433203546041E-2</v>
      </c>
      <c r="U76" s="10">
        <v>0.08</v>
      </c>
      <c r="V76" s="10">
        <v>5.57E-2</v>
      </c>
      <c r="W76" s="9" t="s">
        <v>26</v>
      </c>
      <c r="X76" s="10" t="s">
        <v>26</v>
      </c>
      <c r="Y76" s="10" t="s">
        <v>26</v>
      </c>
      <c r="Z76" s="10" t="s">
        <v>26</v>
      </c>
      <c r="AA76" s="9">
        <v>1880017889.3399999</v>
      </c>
      <c r="AB76" s="10">
        <v>1.281158582261E-2</v>
      </c>
      <c r="AC76" s="10">
        <v>0.08</v>
      </c>
      <c r="AD76" s="10">
        <v>6.7199999999999996E-2</v>
      </c>
      <c r="AE76" s="9">
        <v>7874300909.5200005</v>
      </c>
      <c r="AF76" s="10">
        <v>1.157586898702E-2</v>
      </c>
      <c r="AG76" s="10">
        <v>0.08</v>
      </c>
      <c r="AH76" s="10">
        <v>6.8400000000000002E-2</v>
      </c>
      <c r="AI76" s="9">
        <v>605856991.41999996</v>
      </c>
      <c r="AJ76" s="10">
        <v>3.4519997122150002E-2</v>
      </c>
      <c r="AK76" s="10">
        <v>0.08</v>
      </c>
      <c r="AL76" s="10">
        <v>4.5499999999999999E-2</v>
      </c>
      <c r="AM76" s="9">
        <v>1687155081.1800001</v>
      </c>
      <c r="AN76" s="10">
        <v>6.9169008731170004E-2</v>
      </c>
      <c r="AO76" s="10">
        <v>0.08</v>
      </c>
      <c r="AP76" s="10">
        <v>1.0800000000000001E-2</v>
      </c>
      <c r="AQ76" s="9">
        <v>2293012072.5999999</v>
      </c>
      <c r="AR76" s="10">
        <v>5.4670141307450001E-2</v>
      </c>
      <c r="AS76" s="10">
        <v>0.08</v>
      </c>
      <c r="AT76" s="10">
        <v>2.53E-2</v>
      </c>
      <c r="AU76" s="9">
        <v>701092002.47000003</v>
      </c>
      <c r="AV76" s="10">
        <v>1.451865981485E-2</v>
      </c>
      <c r="AW76" s="10">
        <v>0.08</v>
      </c>
      <c r="AX76" s="10">
        <v>6.5500000000000003E-2</v>
      </c>
      <c r="AY76" s="9">
        <v>10868404984.59</v>
      </c>
      <c r="AZ76" s="10">
        <v>1.410627801753E-2</v>
      </c>
      <c r="BA76" s="10">
        <v>0.08</v>
      </c>
      <c r="BB76" s="10">
        <v>6.59E-2</v>
      </c>
    </row>
    <row r="77" spans="1:54" s="7" customFormat="1">
      <c r="A77" s="3" t="s">
        <v>68</v>
      </c>
      <c r="B77" s="23" t="s">
        <v>57</v>
      </c>
      <c r="C77" s="2">
        <v>87552026.689999998</v>
      </c>
      <c r="D77" s="1">
        <v>1</v>
      </c>
      <c r="E77" s="1" t="s">
        <v>26</v>
      </c>
      <c r="F77" s="1" t="s">
        <v>26</v>
      </c>
      <c r="G77" s="2">
        <v>220356926.16</v>
      </c>
      <c r="H77" s="1">
        <v>1</v>
      </c>
      <c r="I77" s="1" t="s">
        <v>26</v>
      </c>
      <c r="J77" s="1" t="s">
        <v>26</v>
      </c>
      <c r="K77" s="2">
        <v>105358096.39</v>
      </c>
      <c r="L77" s="1">
        <v>1</v>
      </c>
      <c r="M77" s="1" t="s">
        <v>26</v>
      </c>
      <c r="N77" s="1" t="s">
        <v>26</v>
      </c>
      <c r="O77" s="2">
        <v>2716984438.9499998</v>
      </c>
      <c r="P77" s="1">
        <v>1</v>
      </c>
      <c r="Q77" s="1" t="s">
        <v>26</v>
      </c>
      <c r="R77" s="1" t="s">
        <v>26</v>
      </c>
      <c r="S77" s="2">
        <v>2864031531.9899998</v>
      </c>
      <c r="T77" s="1">
        <v>1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>
        <v>1880017889.3399999</v>
      </c>
      <c r="AB77" s="1">
        <v>1</v>
      </c>
      <c r="AC77" s="1" t="s">
        <v>26</v>
      </c>
      <c r="AD77" s="1" t="s">
        <v>26</v>
      </c>
      <c r="AE77" s="2">
        <v>7874300909.5200005</v>
      </c>
      <c r="AF77" s="1">
        <v>1</v>
      </c>
      <c r="AG77" s="1" t="s">
        <v>26</v>
      </c>
      <c r="AH77" s="1" t="s">
        <v>26</v>
      </c>
      <c r="AI77" s="2">
        <v>605856991.41999996</v>
      </c>
      <c r="AJ77" s="1">
        <v>1</v>
      </c>
      <c r="AK77" s="1" t="s">
        <v>26</v>
      </c>
      <c r="AL77" s="1" t="s">
        <v>26</v>
      </c>
      <c r="AM77" s="2">
        <v>1687155081.1800001</v>
      </c>
      <c r="AN77" s="1">
        <v>1</v>
      </c>
      <c r="AO77" s="1" t="s">
        <v>26</v>
      </c>
      <c r="AP77" s="1" t="s">
        <v>26</v>
      </c>
      <c r="AQ77" s="2">
        <v>2293012072.5999999</v>
      </c>
      <c r="AR77" s="1">
        <v>1</v>
      </c>
      <c r="AS77" s="1" t="s">
        <v>26</v>
      </c>
      <c r="AT77" s="1" t="s">
        <v>26</v>
      </c>
      <c r="AU77" s="2">
        <v>701092002.47000003</v>
      </c>
      <c r="AV77" s="1">
        <v>1</v>
      </c>
      <c r="AW77" s="1" t="s">
        <v>26</v>
      </c>
      <c r="AX77" s="1" t="s">
        <v>26</v>
      </c>
      <c r="AY77" s="2">
        <v>10868404984.59</v>
      </c>
      <c r="AZ77" s="1">
        <v>1</v>
      </c>
      <c r="BA77" s="1" t="s">
        <v>26</v>
      </c>
      <c r="BB77" s="1" t="s">
        <v>26</v>
      </c>
    </row>
    <row r="78" spans="1:54" s="7" customFormat="1">
      <c r="A78" s="5" t="s">
        <v>74</v>
      </c>
      <c r="B78" s="20" t="s">
        <v>25</v>
      </c>
      <c r="C78" s="9">
        <v>256579859.16999999</v>
      </c>
      <c r="D78" s="10">
        <v>3.617020125361E-2</v>
      </c>
      <c r="E78" s="10">
        <v>0.08</v>
      </c>
      <c r="F78" s="10">
        <v>4.3799999999999999E-2</v>
      </c>
      <c r="G78" s="9">
        <v>870975226.05999994</v>
      </c>
      <c r="H78" s="10">
        <v>5.4335666351900003E-3</v>
      </c>
      <c r="I78" s="10">
        <v>0.08</v>
      </c>
      <c r="J78" s="10">
        <v>7.46E-2</v>
      </c>
      <c r="K78" s="9">
        <v>107599838.8</v>
      </c>
      <c r="L78" s="10">
        <v>3.2148365455850002E-2</v>
      </c>
      <c r="M78" s="10">
        <v>0.08</v>
      </c>
      <c r="N78" s="10">
        <v>4.7899999999999998E-2</v>
      </c>
      <c r="O78" s="9">
        <v>1859495313.2</v>
      </c>
      <c r="P78" s="10">
        <v>7.8027964238800004E-3</v>
      </c>
      <c r="Q78" s="10">
        <v>0.08</v>
      </c>
      <c r="R78" s="10">
        <v>7.22E-2</v>
      </c>
      <c r="S78" s="9" t="s">
        <v>26</v>
      </c>
      <c r="T78" s="10" t="s">
        <v>26</v>
      </c>
      <c r="U78" s="10" t="s">
        <v>26</v>
      </c>
      <c r="V78" s="10" t="s">
        <v>26</v>
      </c>
      <c r="W78" s="9" t="s">
        <v>26</v>
      </c>
      <c r="X78" s="10" t="s">
        <v>26</v>
      </c>
      <c r="Y78" s="10" t="s">
        <v>26</v>
      </c>
      <c r="Z78" s="10" t="s">
        <v>26</v>
      </c>
      <c r="AA78" s="9" t="s">
        <v>26</v>
      </c>
      <c r="AB78" s="10" t="s">
        <v>26</v>
      </c>
      <c r="AC78" s="10" t="s">
        <v>26</v>
      </c>
      <c r="AD78" s="10" t="s">
        <v>26</v>
      </c>
      <c r="AE78" s="9">
        <v>3094650237.23</v>
      </c>
      <c r="AF78" s="10">
        <v>4.5493899862900002E-3</v>
      </c>
      <c r="AG78" s="10">
        <v>0.08</v>
      </c>
      <c r="AH78" s="10">
        <v>7.5499999999999998E-2</v>
      </c>
      <c r="AI78" s="9" t="s">
        <v>26</v>
      </c>
      <c r="AJ78" s="10" t="s">
        <v>26</v>
      </c>
      <c r="AK78" s="10" t="s">
        <v>26</v>
      </c>
      <c r="AL78" s="10" t="s">
        <v>26</v>
      </c>
      <c r="AM78" s="9">
        <v>376819831.55000001</v>
      </c>
      <c r="AN78" s="10">
        <v>1.544864162714E-2</v>
      </c>
      <c r="AO78" s="10">
        <v>0.08</v>
      </c>
      <c r="AP78" s="10">
        <v>6.4600000000000005E-2</v>
      </c>
      <c r="AQ78" s="9">
        <v>376819831.55000001</v>
      </c>
      <c r="AR78" s="10">
        <v>8.9841626585600003E-3</v>
      </c>
      <c r="AS78" s="10">
        <v>0.08</v>
      </c>
      <c r="AT78" s="10">
        <v>7.0999999999999994E-2</v>
      </c>
      <c r="AU78" s="9" t="s">
        <v>26</v>
      </c>
      <c r="AV78" s="10" t="s">
        <v>26</v>
      </c>
      <c r="AW78" s="10" t="s">
        <v>26</v>
      </c>
      <c r="AX78" s="10" t="s">
        <v>26</v>
      </c>
      <c r="AY78" s="9">
        <v>3471470068.7800002</v>
      </c>
      <c r="AZ78" s="10">
        <v>4.5056769589600001E-3</v>
      </c>
      <c r="BA78" s="10">
        <v>0.08</v>
      </c>
      <c r="BB78" s="10">
        <v>7.5499999999999998E-2</v>
      </c>
    </row>
    <row r="79" spans="1:54" s="7" customFormat="1">
      <c r="A79" s="3" t="s">
        <v>68</v>
      </c>
      <c r="B79" s="23" t="s">
        <v>57</v>
      </c>
      <c r="C79" s="2">
        <v>256579859.16999999</v>
      </c>
      <c r="D79" s="1">
        <v>1</v>
      </c>
      <c r="E79" s="1" t="s">
        <v>26</v>
      </c>
      <c r="F79" s="1" t="s">
        <v>26</v>
      </c>
      <c r="G79" s="2">
        <v>870975226.05999994</v>
      </c>
      <c r="H79" s="1">
        <v>1</v>
      </c>
      <c r="I79" s="1" t="s">
        <v>26</v>
      </c>
      <c r="J79" s="1" t="s">
        <v>26</v>
      </c>
      <c r="K79" s="2">
        <v>107599838.8</v>
      </c>
      <c r="L79" s="1">
        <v>1</v>
      </c>
      <c r="M79" s="1" t="s">
        <v>26</v>
      </c>
      <c r="N79" s="1" t="s">
        <v>26</v>
      </c>
      <c r="O79" s="2">
        <v>1859495313.2</v>
      </c>
      <c r="P79" s="1">
        <v>1</v>
      </c>
      <c r="Q79" s="1" t="s">
        <v>26</v>
      </c>
      <c r="R79" s="1" t="s">
        <v>26</v>
      </c>
      <c r="S79" s="2" t="s">
        <v>26</v>
      </c>
      <c r="T79" s="1" t="s">
        <v>26</v>
      </c>
      <c r="U79" s="1" t="s">
        <v>26</v>
      </c>
      <c r="V79" s="1" t="s">
        <v>26</v>
      </c>
      <c r="W79" s="2" t="s">
        <v>26</v>
      </c>
      <c r="X79" s="1" t="s">
        <v>26</v>
      </c>
      <c r="Y79" s="1" t="s">
        <v>26</v>
      </c>
      <c r="Z79" s="1" t="s">
        <v>26</v>
      </c>
      <c r="AA79" s="2" t="s">
        <v>26</v>
      </c>
      <c r="AB79" s="1" t="s">
        <v>26</v>
      </c>
      <c r="AC79" s="1" t="s">
        <v>26</v>
      </c>
      <c r="AD79" s="1" t="s">
        <v>26</v>
      </c>
      <c r="AE79" s="2">
        <v>3094650237.23</v>
      </c>
      <c r="AF79" s="1">
        <v>1</v>
      </c>
      <c r="AG79" s="1" t="s">
        <v>26</v>
      </c>
      <c r="AH79" s="1" t="s">
        <v>26</v>
      </c>
      <c r="AI79" s="2" t="s">
        <v>26</v>
      </c>
      <c r="AJ79" s="1" t="s">
        <v>26</v>
      </c>
      <c r="AK79" s="1" t="s">
        <v>26</v>
      </c>
      <c r="AL79" s="1" t="s">
        <v>26</v>
      </c>
      <c r="AM79" s="2">
        <v>376819831.55000001</v>
      </c>
      <c r="AN79" s="1">
        <v>1</v>
      </c>
      <c r="AO79" s="1" t="s">
        <v>26</v>
      </c>
      <c r="AP79" s="1" t="s">
        <v>26</v>
      </c>
      <c r="AQ79" s="2">
        <v>376819831.55000001</v>
      </c>
      <c r="AR79" s="1">
        <v>1</v>
      </c>
      <c r="AS79" s="1" t="s">
        <v>26</v>
      </c>
      <c r="AT79" s="1" t="s">
        <v>26</v>
      </c>
      <c r="AU79" s="2" t="s">
        <v>26</v>
      </c>
      <c r="AV79" s="1" t="s">
        <v>26</v>
      </c>
      <c r="AW79" s="1" t="s">
        <v>26</v>
      </c>
      <c r="AX79" s="1" t="s">
        <v>26</v>
      </c>
      <c r="AY79" s="2">
        <v>3471470068.7800002</v>
      </c>
      <c r="AZ79" s="1">
        <v>1</v>
      </c>
      <c r="BA79" s="1" t="s">
        <v>26</v>
      </c>
      <c r="BB79" s="1" t="s">
        <v>26</v>
      </c>
    </row>
    <row r="80" spans="1:54" s="7" customFormat="1">
      <c r="A80" s="5" t="s">
        <v>75</v>
      </c>
      <c r="B80" s="20" t="s">
        <v>25</v>
      </c>
      <c r="C80" s="9">
        <v>139158318.88</v>
      </c>
      <c r="D80" s="10">
        <v>1.9617223332669999E-2</v>
      </c>
      <c r="E80" s="10">
        <v>0.06</v>
      </c>
      <c r="F80" s="10">
        <v>4.0399999999999998E-2</v>
      </c>
      <c r="G80" s="9">
        <v>658467836.46000004</v>
      </c>
      <c r="H80" s="10">
        <v>4.1078422893000002E-3</v>
      </c>
      <c r="I80" s="10">
        <v>0.06</v>
      </c>
      <c r="J80" s="10">
        <v>5.5899999999999998E-2</v>
      </c>
      <c r="K80" s="9">
        <v>33710720.229999997</v>
      </c>
      <c r="L80" s="10">
        <v>1.007199049571E-2</v>
      </c>
      <c r="M80" s="10">
        <v>0.06</v>
      </c>
      <c r="N80" s="10">
        <v>4.99E-2</v>
      </c>
      <c r="O80" s="9">
        <v>508574535.49000001</v>
      </c>
      <c r="P80" s="10">
        <v>2.1340755949400001E-3</v>
      </c>
      <c r="Q80" s="10">
        <v>0.06</v>
      </c>
      <c r="R80" s="10">
        <v>5.79E-2</v>
      </c>
      <c r="S80" s="9">
        <v>330553454.08999997</v>
      </c>
      <c r="T80" s="10">
        <v>2.8082925333200001E-3</v>
      </c>
      <c r="U80" s="10">
        <v>0.06</v>
      </c>
      <c r="V80" s="10">
        <v>5.7200000000000001E-2</v>
      </c>
      <c r="W80" s="9" t="s">
        <v>26</v>
      </c>
      <c r="X80" s="10" t="s">
        <v>26</v>
      </c>
      <c r="Y80" s="10" t="s">
        <v>26</v>
      </c>
      <c r="Z80" s="10" t="s">
        <v>26</v>
      </c>
      <c r="AA80" s="9">
        <v>41763347.200000003</v>
      </c>
      <c r="AB80" s="10">
        <v>2.8460085934999999E-4</v>
      </c>
      <c r="AC80" s="10">
        <v>0.06</v>
      </c>
      <c r="AD80" s="10">
        <v>5.9700000000000003E-2</v>
      </c>
      <c r="AE80" s="9">
        <v>1712228212.3499999</v>
      </c>
      <c r="AF80" s="10">
        <v>2.51711608304E-3</v>
      </c>
      <c r="AG80" s="10">
        <v>0.06</v>
      </c>
      <c r="AH80" s="10">
        <v>5.7500000000000002E-2</v>
      </c>
      <c r="AI80" s="9">
        <v>233043918.5</v>
      </c>
      <c r="AJ80" s="10">
        <v>1.3278175394330001E-2</v>
      </c>
      <c r="AK80" s="10">
        <v>0.06</v>
      </c>
      <c r="AL80" s="10">
        <v>4.6699999999999998E-2</v>
      </c>
      <c r="AM80" s="9" t="s">
        <v>26</v>
      </c>
      <c r="AN80" s="10" t="s">
        <v>26</v>
      </c>
      <c r="AO80" s="10" t="s">
        <v>26</v>
      </c>
      <c r="AP80" s="10" t="s">
        <v>26</v>
      </c>
      <c r="AQ80" s="9">
        <v>233043918.5</v>
      </c>
      <c r="AR80" s="10">
        <v>5.5562480928400002E-3</v>
      </c>
      <c r="AS80" s="10">
        <v>0.06</v>
      </c>
      <c r="AT80" s="10">
        <v>5.4399999999999997E-2</v>
      </c>
      <c r="AU80" s="9" t="s">
        <v>26</v>
      </c>
      <c r="AV80" s="10" t="s">
        <v>26</v>
      </c>
      <c r="AW80" s="10" t="s">
        <v>26</v>
      </c>
      <c r="AX80" s="10" t="s">
        <v>26</v>
      </c>
      <c r="AY80" s="9">
        <v>1945272130.8499999</v>
      </c>
      <c r="AZ80" s="10">
        <v>2.52480005451E-3</v>
      </c>
      <c r="BA80" s="10">
        <v>0.06</v>
      </c>
      <c r="BB80" s="10">
        <v>5.7500000000000002E-2</v>
      </c>
    </row>
    <row r="81" spans="1:54" s="7" customFormat="1">
      <c r="A81" s="3" t="s">
        <v>68</v>
      </c>
      <c r="B81" s="23" t="s">
        <v>47</v>
      </c>
      <c r="C81" s="2">
        <v>139158318.88</v>
      </c>
      <c r="D81" s="1">
        <v>1</v>
      </c>
      <c r="E81" s="1" t="s">
        <v>26</v>
      </c>
      <c r="F81" s="1" t="s">
        <v>26</v>
      </c>
      <c r="G81" s="2">
        <v>658467836.46000004</v>
      </c>
      <c r="H81" s="1">
        <v>1</v>
      </c>
      <c r="I81" s="1" t="s">
        <v>26</v>
      </c>
      <c r="J81" s="1" t="s">
        <v>26</v>
      </c>
      <c r="K81" s="2">
        <v>33710720.229999997</v>
      </c>
      <c r="L81" s="1">
        <v>1</v>
      </c>
      <c r="M81" s="1" t="s">
        <v>26</v>
      </c>
      <c r="N81" s="1" t="s">
        <v>26</v>
      </c>
      <c r="O81" s="2">
        <v>508574535.49000001</v>
      </c>
      <c r="P81" s="1">
        <v>1</v>
      </c>
      <c r="Q81" s="1" t="s">
        <v>26</v>
      </c>
      <c r="R81" s="1" t="s">
        <v>26</v>
      </c>
      <c r="S81" s="2">
        <v>330553454.08999997</v>
      </c>
      <c r="T81" s="1">
        <v>1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>
        <v>41763347.200000003</v>
      </c>
      <c r="AB81" s="1">
        <v>1</v>
      </c>
      <c r="AC81" s="1" t="s">
        <v>26</v>
      </c>
      <c r="AD81" s="1" t="s">
        <v>26</v>
      </c>
      <c r="AE81" s="2">
        <v>1712228212.3499999</v>
      </c>
      <c r="AF81" s="1">
        <v>1</v>
      </c>
      <c r="AG81" s="1" t="s">
        <v>26</v>
      </c>
      <c r="AH81" s="1" t="s">
        <v>26</v>
      </c>
      <c r="AI81" s="2">
        <v>233043918.5</v>
      </c>
      <c r="AJ81" s="1">
        <v>1</v>
      </c>
      <c r="AK81" s="1" t="s">
        <v>26</v>
      </c>
      <c r="AL81" s="1" t="s">
        <v>26</v>
      </c>
      <c r="AM81" s="2" t="s">
        <v>26</v>
      </c>
      <c r="AN81" s="1" t="s">
        <v>26</v>
      </c>
      <c r="AO81" s="1" t="s">
        <v>26</v>
      </c>
      <c r="AP81" s="1" t="s">
        <v>26</v>
      </c>
      <c r="AQ81" s="2">
        <v>233043918.5</v>
      </c>
      <c r="AR81" s="1">
        <v>1</v>
      </c>
      <c r="AS81" s="1" t="s">
        <v>26</v>
      </c>
      <c r="AT81" s="1" t="s">
        <v>26</v>
      </c>
      <c r="AU81" s="2" t="s">
        <v>26</v>
      </c>
      <c r="AV81" s="1" t="s">
        <v>26</v>
      </c>
      <c r="AW81" s="1" t="s">
        <v>26</v>
      </c>
      <c r="AX81" s="1" t="s">
        <v>26</v>
      </c>
      <c r="AY81" s="2">
        <v>1945272130.8499999</v>
      </c>
      <c r="AZ81" s="1">
        <v>1</v>
      </c>
      <c r="BA81" s="1" t="s">
        <v>26</v>
      </c>
      <c r="BB81" s="1" t="s">
        <v>26</v>
      </c>
    </row>
    <row r="82" spans="1:54" s="7" customFormat="1">
      <c r="A82" s="5" t="s">
        <v>76</v>
      </c>
      <c r="B82" s="20" t="s">
        <v>25</v>
      </c>
      <c r="C82" s="9">
        <v>36593829.399999999</v>
      </c>
      <c r="D82" s="10">
        <v>5.15865188452E-3</v>
      </c>
      <c r="E82" s="10">
        <v>0.06</v>
      </c>
      <c r="F82" s="10">
        <v>5.4800000000000001E-2</v>
      </c>
      <c r="G82" s="9">
        <v>809271941.44000006</v>
      </c>
      <c r="H82" s="10">
        <v>5.0486315663600002E-3</v>
      </c>
      <c r="I82" s="10">
        <v>0.06</v>
      </c>
      <c r="J82" s="10">
        <v>5.5E-2</v>
      </c>
      <c r="K82" s="9">
        <v>50195029.75</v>
      </c>
      <c r="L82" s="10">
        <v>1.499712433092E-2</v>
      </c>
      <c r="M82" s="10">
        <v>0.06</v>
      </c>
      <c r="N82" s="10">
        <v>4.4999999999999998E-2</v>
      </c>
      <c r="O82" s="9">
        <v>427588189.83999997</v>
      </c>
      <c r="P82" s="10">
        <v>1.79424146697E-3</v>
      </c>
      <c r="Q82" s="10">
        <v>0.06</v>
      </c>
      <c r="R82" s="10">
        <v>5.8200000000000002E-2</v>
      </c>
      <c r="S82" s="9">
        <v>200772682</v>
      </c>
      <c r="T82" s="10">
        <v>1.70571027705E-3</v>
      </c>
      <c r="U82" s="10">
        <v>0.06</v>
      </c>
      <c r="V82" s="10">
        <v>5.8299999999999998E-2</v>
      </c>
      <c r="W82" s="9" t="s">
        <v>26</v>
      </c>
      <c r="X82" s="10" t="s">
        <v>26</v>
      </c>
      <c r="Y82" s="10" t="s">
        <v>26</v>
      </c>
      <c r="Z82" s="10" t="s">
        <v>26</v>
      </c>
      <c r="AA82" s="9" t="s">
        <v>26</v>
      </c>
      <c r="AB82" s="10" t="s">
        <v>26</v>
      </c>
      <c r="AC82" s="10" t="s">
        <v>26</v>
      </c>
      <c r="AD82" s="10" t="s">
        <v>26</v>
      </c>
      <c r="AE82" s="9">
        <v>1524421672.4300001</v>
      </c>
      <c r="AF82" s="10">
        <v>2.2410250463900001E-3</v>
      </c>
      <c r="AG82" s="10">
        <v>0.06</v>
      </c>
      <c r="AH82" s="10">
        <v>5.7799999999999997E-2</v>
      </c>
      <c r="AI82" s="9">
        <v>129551105</v>
      </c>
      <c r="AJ82" s="10">
        <v>7.38145112643E-3</v>
      </c>
      <c r="AK82" s="10">
        <v>0.06</v>
      </c>
      <c r="AL82" s="10">
        <v>5.2600000000000001E-2</v>
      </c>
      <c r="AM82" s="9" t="s">
        <v>26</v>
      </c>
      <c r="AN82" s="10" t="s">
        <v>26</v>
      </c>
      <c r="AO82" s="10" t="s">
        <v>26</v>
      </c>
      <c r="AP82" s="10" t="s">
        <v>26</v>
      </c>
      <c r="AQ82" s="9">
        <v>129551105</v>
      </c>
      <c r="AR82" s="10">
        <v>3.0887657773500002E-3</v>
      </c>
      <c r="AS82" s="10">
        <v>0.06</v>
      </c>
      <c r="AT82" s="10">
        <v>5.6899999999999999E-2</v>
      </c>
      <c r="AU82" s="9" t="s">
        <v>26</v>
      </c>
      <c r="AV82" s="10" t="s">
        <v>26</v>
      </c>
      <c r="AW82" s="10" t="s">
        <v>26</v>
      </c>
      <c r="AX82" s="10" t="s">
        <v>26</v>
      </c>
      <c r="AY82" s="9">
        <v>1653972777.4300001</v>
      </c>
      <c r="AZ82" s="10">
        <v>2.1467179282500001E-3</v>
      </c>
      <c r="BA82" s="10">
        <v>0.06</v>
      </c>
      <c r="BB82" s="10">
        <v>5.79E-2</v>
      </c>
    </row>
    <row r="83" spans="1:54" s="7" customFormat="1">
      <c r="A83" s="3" t="s">
        <v>68</v>
      </c>
      <c r="B83" s="23" t="s">
        <v>47</v>
      </c>
      <c r="C83" s="2">
        <v>36593829.399999999</v>
      </c>
      <c r="D83" s="1">
        <v>1</v>
      </c>
      <c r="E83" s="1" t="s">
        <v>26</v>
      </c>
      <c r="F83" s="1" t="s">
        <v>26</v>
      </c>
      <c r="G83" s="2">
        <v>809271941.44000006</v>
      </c>
      <c r="H83" s="1">
        <v>1</v>
      </c>
      <c r="I83" s="1" t="s">
        <v>26</v>
      </c>
      <c r="J83" s="1" t="s">
        <v>26</v>
      </c>
      <c r="K83" s="2">
        <v>50195029.75</v>
      </c>
      <c r="L83" s="1">
        <v>1</v>
      </c>
      <c r="M83" s="1" t="s">
        <v>26</v>
      </c>
      <c r="N83" s="1" t="s">
        <v>26</v>
      </c>
      <c r="O83" s="2">
        <v>427588189.83999997</v>
      </c>
      <c r="P83" s="1">
        <v>1</v>
      </c>
      <c r="Q83" s="1" t="s">
        <v>26</v>
      </c>
      <c r="R83" s="1" t="s">
        <v>26</v>
      </c>
      <c r="S83" s="2">
        <v>200772682</v>
      </c>
      <c r="T83" s="1">
        <v>1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 t="s">
        <v>26</v>
      </c>
      <c r="AB83" s="1" t="s">
        <v>26</v>
      </c>
      <c r="AC83" s="1" t="s">
        <v>26</v>
      </c>
      <c r="AD83" s="1" t="s">
        <v>26</v>
      </c>
      <c r="AE83" s="2">
        <v>1524421672.4300001</v>
      </c>
      <c r="AF83" s="1">
        <v>1</v>
      </c>
      <c r="AG83" s="1" t="s">
        <v>26</v>
      </c>
      <c r="AH83" s="1" t="s">
        <v>26</v>
      </c>
      <c r="AI83" s="2">
        <v>129551105</v>
      </c>
      <c r="AJ83" s="1">
        <v>1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>
        <v>129551105</v>
      </c>
      <c r="AR83" s="1">
        <v>1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1653972777.4300001</v>
      </c>
      <c r="AZ83" s="1">
        <v>1</v>
      </c>
      <c r="BA83" s="1" t="s">
        <v>26</v>
      </c>
      <c r="BB83" s="1" t="s">
        <v>26</v>
      </c>
    </row>
    <row r="84" spans="1:54" s="7" customFormat="1">
      <c r="A84" s="12" t="s">
        <v>77</v>
      </c>
      <c r="B84" s="40" t="s">
        <v>25</v>
      </c>
      <c r="C84" s="42" t="s">
        <v>26</v>
      </c>
      <c r="D84" s="43" t="s">
        <v>26</v>
      </c>
      <c r="E84" s="43" t="s">
        <v>26</v>
      </c>
      <c r="F84" s="43" t="s">
        <v>26</v>
      </c>
      <c r="G84" s="42" t="s">
        <v>26</v>
      </c>
      <c r="H84" s="43" t="s">
        <v>26</v>
      </c>
      <c r="I84" s="43" t="s">
        <v>26</v>
      </c>
      <c r="J84" s="43" t="s">
        <v>26</v>
      </c>
      <c r="K84" s="42" t="s">
        <v>26</v>
      </c>
      <c r="L84" s="43" t="s">
        <v>26</v>
      </c>
      <c r="M84" s="43" t="s">
        <v>26</v>
      </c>
      <c r="N84" s="43" t="s">
        <v>26</v>
      </c>
      <c r="O84" s="42">
        <v>125876512.5</v>
      </c>
      <c r="P84" s="43">
        <v>5.2820181617000003E-4</v>
      </c>
      <c r="Q84" s="43" t="s">
        <v>26</v>
      </c>
      <c r="R84" s="43" t="s">
        <v>26</v>
      </c>
      <c r="S84" s="42">
        <v>221257244.84999999</v>
      </c>
      <c r="T84" s="43">
        <v>1.8797415696800001E-3</v>
      </c>
      <c r="U84" s="43" t="s">
        <v>26</v>
      </c>
      <c r="V84" s="43" t="s">
        <v>26</v>
      </c>
      <c r="W84" s="42" t="s">
        <v>26</v>
      </c>
      <c r="X84" s="43" t="s">
        <v>26</v>
      </c>
      <c r="Y84" s="43" t="s">
        <v>26</v>
      </c>
      <c r="Z84" s="43" t="s">
        <v>26</v>
      </c>
      <c r="AA84" s="42">
        <v>139974681.90000001</v>
      </c>
      <c r="AB84" s="43">
        <v>9.5387265212999999E-4</v>
      </c>
      <c r="AC84" s="43" t="s">
        <v>26</v>
      </c>
      <c r="AD84" s="43" t="s">
        <v>26</v>
      </c>
      <c r="AE84" s="42">
        <v>487108439.25</v>
      </c>
      <c r="AF84" s="43">
        <v>7.1608940781000001E-4</v>
      </c>
      <c r="AG84" s="43" t="s">
        <v>26</v>
      </c>
      <c r="AH84" s="43" t="s">
        <v>26</v>
      </c>
      <c r="AI84" s="42">
        <v>8775678.7300000004</v>
      </c>
      <c r="AJ84" s="43">
        <v>5.0001305390000002E-4</v>
      </c>
      <c r="AK84" s="43" t="s">
        <v>26</v>
      </c>
      <c r="AL84" s="43" t="s">
        <v>26</v>
      </c>
      <c r="AM84" s="42" t="s">
        <v>26</v>
      </c>
      <c r="AN84" s="43" t="s">
        <v>26</v>
      </c>
      <c r="AO84" s="43" t="s">
        <v>26</v>
      </c>
      <c r="AP84" s="43" t="s">
        <v>26</v>
      </c>
      <c r="AQ84" s="42">
        <v>8775678.7300000004</v>
      </c>
      <c r="AR84" s="43">
        <v>2.0923029668000001E-4</v>
      </c>
      <c r="AS84" s="43" t="s">
        <v>26</v>
      </c>
      <c r="AT84" s="43" t="s">
        <v>26</v>
      </c>
      <c r="AU84" s="42">
        <v>26327036.190000001</v>
      </c>
      <c r="AV84" s="43">
        <v>5.4519703695E-4</v>
      </c>
      <c r="AW84" s="43" t="s">
        <v>26</v>
      </c>
      <c r="AX84" s="43" t="s">
        <v>26</v>
      </c>
      <c r="AY84" s="42">
        <v>522211154.17000002</v>
      </c>
      <c r="AZ84" s="43">
        <v>6.7778627452999996E-4</v>
      </c>
      <c r="BA84" s="43" t="s">
        <v>26</v>
      </c>
      <c r="BB84" s="43" t="s">
        <v>26</v>
      </c>
    </row>
    <row r="85" spans="1:54" s="7" customFormat="1">
      <c r="A85" s="5" t="s">
        <v>78</v>
      </c>
      <c r="B85" s="20" t="s">
        <v>25</v>
      </c>
      <c r="C85" s="9" t="s">
        <v>26</v>
      </c>
      <c r="D85" s="10" t="s">
        <v>26</v>
      </c>
      <c r="E85" s="10" t="s">
        <v>26</v>
      </c>
      <c r="F85" s="10" t="s">
        <v>26</v>
      </c>
      <c r="G85" s="9" t="s">
        <v>26</v>
      </c>
      <c r="H85" s="10" t="s">
        <v>26</v>
      </c>
      <c r="I85" s="10" t="s">
        <v>26</v>
      </c>
      <c r="J85" s="10" t="s">
        <v>26</v>
      </c>
      <c r="K85" s="9" t="s">
        <v>26</v>
      </c>
      <c r="L85" s="10" t="s">
        <v>26</v>
      </c>
      <c r="M85" s="10" t="s">
        <v>26</v>
      </c>
      <c r="N85" s="10" t="s">
        <v>26</v>
      </c>
      <c r="O85" s="9" t="s">
        <v>26</v>
      </c>
      <c r="P85" s="10" t="s">
        <v>26</v>
      </c>
      <c r="Q85" s="10" t="s">
        <v>26</v>
      </c>
      <c r="R85" s="10" t="s">
        <v>26</v>
      </c>
      <c r="S85" s="9">
        <v>70205429.849999994</v>
      </c>
      <c r="T85" s="10">
        <v>5.9644629939999995E-4</v>
      </c>
      <c r="U85" s="10">
        <v>0.1</v>
      </c>
      <c r="V85" s="10">
        <v>9.9400000000000002E-2</v>
      </c>
      <c r="W85" s="9" t="s">
        <v>26</v>
      </c>
      <c r="X85" s="10" t="s">
        <v>26</v>
      </c>
      <c r="Y85" s="10" t="s">
        <v>26</v>
      </c>
      <c r="Z85" s="10" t="s">
        <v>26</v>
      </c>
      <c r="AA85" s="9" t="s">
        <v>26</v>
      </c>
      <c r="AB85" s="10" t="s">
        <v>26</v>
      </c>
      <c r="AC85" s="10" t="s">
        <v>26</v>
      </c>
      <c r="AD85" s="10" t="s">
        <v>26</v>
      </c>
      <c r="AE85" s="9">
        <v>70205429.849999994</v>
      </c>
      <c r="AF85" s="10">
        <v>1.0320774726E-4</v>
      </c>
      <c r="AG85" s="10">
        <v>0.1</v>
      </c>
      <c r="AH85" s="10">
        <v>9.9900000000000003E-2</v>
      </c>
      <c r="AI85" s="9">
        <v>8775678.7300000004</v>
      </c>
      <c r="AJ85" s="10">
        <v>5.0001305390000002E-4</v>
      </c>
      <c r="AK85" s="10">
        <v>0.1</v>
      </c>
      <c r="AL85" s="10">
        <v>9.9500000000000005E-2</v>
      </c>
      <c r="AM85" s="9" t="s">
        <v>26</v>
      </c>
      <c r="AN85" s="10" t="s">
        <v>26</v>
      </c>
      <c r="AO85" s="10" t="s">
        <v>26</v>
      </c>
      <c r="AP85" s="10" t="s">
        <v>26</v>
      </c>
      <c r="AQ85" s="9">
        <v>8775678.7300000004</v>
      </c>
      <c r="AR85" s="10">
        <v>2.0923029668000001E-4</v>
      </c>
      <c r="AS85" s="10">
        <v>0.1</v>
      </c>
      <c r="AT85" s="10">
        <v>9.98E-2</v>
      </c>
      <c r="AU85" s="9">
        <v>26327036.190000001</v>
      </c>
      <c r="AV85" s="10">
        <v>5.4519703695E-4</v>
      </c>
      <c r="AW85" s="10">
        <v>0.1</v>
      </c>
      <c r="AX85" s="10">
        <v>9.9500000000000005E-2</v>
      </c>
      <c r="AY85" s="9">
        <v>105308144.77</v>
      </c>
      <c r="AZ85" s="10">
        <v>1.3668113856E-4</v>
      </c>
      <c r="BA85" s="10">
        <v>0.1</v>
      </c>
      <c r="BB85" s="10">
        <v>9.9900000000000003E-2</v>
      </c>
    </row>
    <row r="86" spans="1:54" s="7" customFormat="1">
      <c r="A86" s="3" t="s">
        <v>79</v>
      </c>
      <c r="B86" s="23" t="s">
        <v>29</v>
      </c>
      <c r="C86" s="2" t="s">
        <v>26</v>
      </c>
      <c r="D86" s="1" t="s">
        <v>26</v>
      </c>
      <c r="E86" s="1" t="s">
        <v>26</v>
      </c>
      <c r="F86" s="1" t="s">
        <v>26</v>
      </c>
      <c r="G86" s="2" t="s">
        <v>26</v>
      </c>
      <c r="H86" s="1" t="s">
        <v>26</v>
      </c>
      <c r="I86" s="1" t="s">
        <v>26</v>
      </c>
      <c r="J86" s="1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2" t="s">
        <v>26</v>
      </c>
      <c r="P86" s="1" t="s">
        <v>26</v>
      </c>
      <c r="Q86" s="1" t="s">
        <v>26</v>
      </c>
      <c r="R86" s="1" t="s">
        <v>26</v>
      </c>
      <c r="S86" s="2">
        <v>70205429.849999994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70205429.849999994</v>
      </c>
      <c r="AF86" s="1">
        <v>1</v>
      </c>
      <c r="AG86" s="1" t="s">
        <v>26</v>
      </c>
      <c r="AH86" s="1" t="s">
        <v>26</v>
      </c>
      <c r="AI86" s="2">
        <v>8775678.7300000004</v>
      </c>
      <c r="AJ86" s="1">
        <v>1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>
        <v>8775678.7300000004</v>
      </c>
      <c r="AR86" s="1">
        <v>1</v>
      </c>
      <c r="AS86" s="1" t="s">
        <v>26</v>
      </c>
      <c r="AT86" s="1" t="s">
        <v>26</v>
      </c>
      <c r="AU86" s="2">
        <v>26327036.190000001</v>
      </c>
      <c r="AV86" s="1">
        <v>1</v>
      </c>
      <c r="AW86" s="1" t="s">
        <v>26</v>
      </c>
      <c r="AX86" s="1" t="s">
        <v>26</v>
      </c>
      <c r="AY86" s="2">
        <v>105308144.77</v>
      </c>
      <c r="AZ86" s="1">
        <v>1</v>
      </c>
      <c r="BA86" s="1" t="s">
        <v>26</v>
      </c>
      <c r="BB86" s="1" t="s">
        <v>26</v>
      </c>
    </row>
    <row r="87" spans="1:54" s="7" customFormat="1">
      <c r="A87" s="5" t="s">
        <v>80</v>
      </c>
      <c r="B87" s="20" t="s">
        <v>25</v>
      </c>
      <c r="C87" s="9" t="s">
        <v>26</v>
      </c>
      <c r="D87" s="10" t="s">
        <v>26</v>
      </c>
      <c r="E87" s="10" t="s">
        <v>26</v>
      </c>
      <c r="F87" s="10" t="s">
        <v>26</v>
      </c>
      <c r="G87" s="9" t="s">
        <v>26</v>
      </c>
      <c r="H87" s="10" t="s">
        <v>26</v>
      </c>
      <c r="I87" s="10" t="s">
        <v>26</v>
      </c>
      <c r="J87" s="10" t="s">
        <v>26</v>
      </c>
      <c r="K87" s="9" t="s">
        <v>26</v>
      </c>
      <c r="L87" s="10" t="s">
        <v>26</v>
      </c>
      <c r="M87" s="10" t="s">
        <v>26</v>
      </c>
      <c r="N87" s="10" t="s">
        <v>26</v>
      </c>
      <c r="O87" s="9">
        <v>125876512.5</v>
      </c>
      <c r="P87" s="10">
        <v>5.2820181617000003E-4</v>
      </c>
      <c r="Q87" s="10">
        <v>0.09</v>
      </c>
      <c r="R87" s="10">
        <v>8.9499999999999996E-2</v>
      </c>
      <c r="S87" s="9">
        <v>151051815</v>
      </c>
      <c r="T87" s="10">
        <v>1.28329527028E-3</v>
      </c>
      <c r="U87" s="10">
        <v>0.09</v>
      </c>
      <c r="V87" s="10">
        <v>8.8700000000000001E-2</v>
      </c>
      <c r="W87" s="9" t="s">
        <v>26</v>
      </c>
      <c r="X87" s="10" t="s">
        <v>26</v>
      </c>
      <c r="Y87" s="10" t="s">
        <v>26</v>
      </c>
      <c r="Z87" s="10" t="s">
        <v>26</v>
      </c>
      <c r="AA87" s="9">
        <v>139974681.90000001</v>
      </c>
      <c r="AB87" s="10">
        <v>9.5387265212999999E-4</v>
      </c>
      <c r="AC87" s="10">
        <v>0.09</v>
      </c>
      <c r="AD87" s="10">
        <v>8.8999999999999996E-2</v>
      </c>
      <c r="AE87" s="9">
        <v>416903009.39999998</v>
      </c>
      <c r="AF87" s="10">
        <v>6.1288166055000002E-4</v>
      </c>
      <c r="AG87" s="10">
        <v>0.09</v>
      </c>
      <c r="AH87" s="10">
        <v>8.9399999999999993E-2</v>
      </c>
      <c r="AI87" s="9" t="s">
        <v>26</v>
      </c>
      <c r="AJ87" s="10" t="s">
        <v>26</v>
      </c>
      <c r="AK87" s="10" t="s">
        <v>26</v>
      </c>
      <c r="AL87" s="10" t="s">
        <v>26</v>
      </c>
      <c r="AM87" s="9" t="s">
        <v>26</v>
      </c>
      <c r="AN87" s="10" t="s">
        <v>26</v>
      </c>
      <c r="AO87" s="10" t="s">
        <v>26</v>
      </c>
      <c r="AP87" s="10" t="s">
        <v>26</v>
      </c>
      <c r="AQ87" s="9" t="s">
        <v>26</v>
      </c>
      <c r="AR87" s="10" t="s">
        <v>26</v>
      </c>
      <c r="AS87" s="10" t="s">
        <v>26</v>
      </c>
      <c r="AT87" s="10" t="s">
        <v>26</v>
      </c>
      <c r="AU87" s="9" t="s">
        <v>26</v>
      </c>
      <c r="AV87" s="10" t="s">
        <v>26</v>
      </c>
      <c r="AW87" s="10" t="s">
        <v>26</v>
      </c>
      <c r="AX87" s="10" t="s">
        <v>26</v>
      </c>
      <c r="AY87" s="9">
        <v>416903009.39999998</v>
      </c>
      <c r="AZ87" s="10">
        <v>5.4110513596999997E-4</v>
      </c>
      <c r="BA87" s="10">
        <v>0.09</v>
      </c>
      <c r="BB87" s="10">
        <v>8.9499999999999996E-2</v>
      </c>
    </row>
    <row r="88" spans="1:54" s="7" customFormat="1">
      <c r="A88" s="3" t="s">
        <v>79</v>
      </c>
      <c r="B88" s="23" t="s">
        <v>40</v>
      </c>
      <c r="C88" s="2" t="s">
        <v>26</v>
      </c>
      <c r="D88" s="1" t="s">
        <v>26</v>
      </c>
      <c r="E88" s="1" t="s">
        <v>26</v>
      </c>
      <c r="F88" s="1" t="s">
        <v>26</v>
      </c>
      <c r="G88" s="2" t="s">
        <v>26</v>
      </c>
      <c r="H88" s="1" t="s">
        <v>26</v>
      </c>
      <c r="I88" s="1" t="s">
        <v>26</v>
      </c>
      <c r="J88" s="1" t="s">
        <v>26</v>
      </c>
      <c r="K88" s="2" t="s">
        <v>26</v>
      </c>
      <c r="L88" s="1" t="s">
        <v>26</v>
      </c>
      <c r="M88" s="1" t="s">
        <v>26</v>
      </c>
      <c r="N88" s="1" t="s">
        <v>26</v>
      </c>
      <c r="O88" s="2">
        <v>125876512.5</v>
      </c>
      <c r="P88" s="1">
        <v>1</v>
      </c>
      <c r="Q88" s="1" t="s">
        <v>26</v>
      </c>
      <c r="R88" s="1" t="s">
        <v>26</v>
      </c>
      <c r="S88" s="2">
        <v>151051815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>
        <v>139974681.90000001</v>
      </c>
      <c r="AB88" s="1">
        <v>1</v>
      </c>
      <c r="AC88" s="1" t="s">
        <v>26</v>
      </c>
      <c r="AD88" s="1" t="s">
        <v>26</v>
      </c>
      <c r="AE88" s="2">
        <v>416903009.39999998</v>
      </c>
      <c r="AF88" s="1">
        <v>1</v>
      </c>
      <c r="AG88" s="1" t="s">
        <v>26</v>
      </c>
      <c r="AH88" s="1" t="s">
        <v>26</v>
      </c>
      <c r="AI88" s="2" t="s">
        <v>26</v>
      </c>
      <c r="AJ88" s="1" t="s">
        <v>26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 t="s">
        <v>26</v>
      </c>
      <c r="AR88" s="1" t="s">
        <v>26</v>
      </c>
      <c r="AS88" s="1" t="s">
        <v>26</v>
      </c>
      <c r="AT88" s="1" t="s">
        <v>26</v>
      </c>
      <c r="AU88" s="2" t="s">
        <v>26</v>
      </c>
      <c r="AV88" s="1" t="s">
        <v>26</v>
      </c>
      <c r="AW88" s="1" t="s">
        <v>26</v>
      </c>
      <c r="AX88" s="1" t="s">
        <v>26</v>
      </c>
      <c r="AY88" s="2">
        <v>416903009.39999998</v>
      </c>
      <c r="AZ88" s="1">
        <v>1</v>
      </c>
      <c r="BA88" s="1" t="s">
        <v>26</v>
      </c>
      <c r="BB88" s="1" t="s">
        <v>26</v>
      </c>
    </row>
    <row r="89" spans="1:54" s="28" customFormat="1">
      <c r="A89" s="12" t="s">
        <v>81</v>
      </c>
      <c r="B89" s="40" t="s">
        <v>25</v>
      </c>
      <c r="C89" s="42" t="s">
        <v>26</v>
      </c>
      <c r="D89" s="43" t="s">
        <v>26</v>
      </c>
      <c r="E89" s="43" t="s">
        <v>26</v>
      </c>
      <c r="F89" s="43" t="s">
        <v>26</v>
      </c>
      <c r="G89" s="42">
        <v>691962943.91999996</v>
      </c>
      <c r="H89" s="43">
        <v>4.31680104368E-3</v>
      </c>
      <c r="I89" s="43">
        <v>0.05</v>
      </c>
      <c r="J89" s="43">
        <f>I89-H89</f>
        <v>4.5683198956320004E-2</v>
      </c>
      <c r="K89" s="42">
        <v>23267345.489999998</v>
      </c>
      <c r="L89" s="43">
        <v>6.9517495039199996E-3</v>
      </c>
      <c r="M89" s="43">
        <v>0.05</v>
      </c>
      <c r="N89" s="43">
        <f>M89-L89</f>
        <v>4.3048250496080007E-2</v>
      </c>
      <c r="O89" s="42">
        <v>1802793017.55</v>
      </c>
      <c r="P89" s="43">
        <v>7.56486279394E-3</v>
      </c>
      <c r="Q89" s="43">
        <v>0.05</v>
      </c>
      <c r="R89" s="43">
        <f>Q89-P89</f>
        <v>4.243513720606E-2</v>
      </c>
      <c r="S89" s="42">
        <v>1596515241.71</v>
      </c>
      <c r="T89" s="43">
        <v>1.356356068028E-2</v>
      </c>
      <c r="U89" s="43">
        <v>0.05</v>
      </c>
      <c r="V89" s="43">
        <f>U89-T89</f>
        <v>3.6436439319720001E-2</v>
      </c>
      <c r="W89" s="42" t="s">
        <v>26</v>
      </c>
      <c r="X89" s="43" t="s">
        <v>26</v>
      </c>
      <c r="Y89" s="43" t="s">
        <v>26</v>
      </c>
      <c r="Z89" s="43" t="s">
        <v>26</v>
      </c>
      <c r="AA89" s="42">
        <v>366469765.69999999</v>
      </c>
      <c r="AB89" s="43">
        <v>2.49734796742E-3</v>
      </c>
      <c r="AC89" s="43">
        <v>0.05</v>
      </c>
      <c r="AD89" s="43">
        <f>AC89-AB89</f>
        <v>4.7502652032580001E-2</v>
      </c>
      <c r="AE89" s="42">
        <v>4481008314.3699999</v>
      </c>
      <c r="AF89" s="43">
        <v>6.5874502095999996E-3</v>
      </c>
      <c r="AG89" s="43">
        <v>0.05</v>
      </c>
      <c r="AH89" s="43">
        <f>AG89-AF89</f>
        <v>4.3412549790400004E-2</v>
      </c>
      <c r="AI89" s="42" t="s">
        <v>26</v>
      </c>
      <c r="AJ89" s="43" t="s">
        <v>26</v>
      </c>
      <c r="AK89" s="43" t="s">
        <v>26</v>
      </c>
      <c r="AL89" s="43" t="s">
        <v>26</v>
      </c>
      <c r="AM89" s="42" t="s">
        <v>26</v>
      </c>
      <c r="AN89" s="43" t="s">
        <v>26</v>
      </c>
      <c r="AO89" s="43" t="s">
        <v>26</v>
      </c>
      <c r="AP89" s="43" t="s">
        <v>26</v>
      </c>
      <c r="AQ89" s="42" t="s">
        <v>26</v>
      </c>
      <c r="AR89" s="43" t="s">
        <v>26</v>
      </c>
      <c r="AS89" s="43" t="s">
        <v>26</v>
      </c>
      <c r="AT89" s="43" t="s">
        <v>26</v>
      </c>
      <c r="AU89" s="42">
        <v>628976214</v>
      </c>
      <c r="AV89" s="43">
        <v>1.3025240126150001E-2</v>
      </c>
      <c r="AW89" s="43">
        <v>0.05</v>
      </c>
      <c r="AX89" s="43">
        <f>AW89-AV89</f>
        <v>3.6974759873850002E-2</v>
      </c>
      <c r="AY89" s="42">
        <v>5109984528.3699999</v>
      </c>
      <c r="AZ89" s="43">
        <v>6.6323312873099996E-3</v>
      </c>
      <c r="BA89" s="43">
        <v>0.05</v>
      </c>
      <c r="BB89" s="43">
        <f>BA89-AZ89</f>
        <v>4.3367668712690002E-2</v>
      </c>
    </row>
    <row r="90" spans="1:54" s="7" customFormat="1">
      <c r="A90" s="5" t="s">
        <v>82</v>
      </c>
      <c r="B90" s="20" t="s">
        <v>25</v>
      </c>
      <c r="C90" s="9" t="s">
        <v>26</v>
      </c>
      <c r="D90" s="10" t="s">
        <v>26</v>
      </c>
      <c r="E90" s="10" t="s">
        <v>26</v>
      </c>
      <c r="F90" s="10" t="s">
        <v>26</v>
      </c>
      <c r="G90" s="9" t="s">
        <v>26</v>
      </c>
      <c r="H90" s="10" t="s">
        <v>26</v>
      </c>
      <c r="I90" s="10" t="s">
        <v>26</v>
      </c>
      <c r="J90" s="10" t="s">
        <v>26</v>
      </c>
      <c r="K90" s="9" t="s">
        <v>26</v>
      </c>
      <c r="L90" s="10" t="s">
        <v>26</v>
      </c>
      <c r="M90" s="10" t="s">
        <v>26</v>
      </c>
      <c r="N90" s="10" t="s">
        <v>26</v>
      </c>
      <c r="O90" s="9" t="s">
        <v>26</v>
      </c>
      <c r="P90" s="10" t="s">
        <v>26</v>
      </c>
      <c r="Q90" s="10" t="s">
        <v>26</v>
      </c>
      <c r="R90" s="10" t="s">
        <v>26</v>
      </c>
      <c r="S90" s="9">
        <v>697115303.85000002</v>
      </c>
      <c r="T90" s="10">
        <v>5.9225026344199997E-3</v>
      </c>
      <c r="U90" s="1" t="s">
        <v>26</v>
      </c>
      <c r="V90" s="1" t="s">
        <v>26</v>
      </c>
      <c r="W90" s="9" t="s">
        <v>26</v>
      </c>
      <c r="X90" s="10" t="s">
        <v>26</v>
      </c>
      <c r="Y90" s="10" t="s">
        <v>26</v>
      </c>
      <c r="Z90" s="10" t="s">
        <v>26</v>
      </c>
      <c r="AA90" s="9" t="s">
        <v>26</v>
      </c>
      <c r="AB90" s="10" t="s">
        <v>26</v>
      </c>
      <c r="AC90" s="10" t="s">
        <v>26</v>
      </c>
      <c r="AD90" s="10" t="s">
        <v>26</v>
      </c>
      <c r="AE90" s="9">
        <v>697115303.85000002</v>
      </c>
      <c r="AF90" s="10">
        <v>1.0248167448700001E-3</v>
      </c>
      <c r="AG90" s="1" t="s">
        <v>26</v>
      </c>
      <c r="AH90" s="1" t="s">
        <v>26</v>
      </c>
      <c r="AI90" s="9" t="s">
        <v>26</v>
      </c>
      <c r="AJ90" s="10" t="s">
        <v>26</v>
      </c>
      <c r="AK90" s="10" t="s">
        <v>26</v>
      </c>
      <c r="AL90" s="10" t="s">
        <v>26</v>
      </c>
      <c r="AM90" s="9" t="s">
        <v>26</v>
      </c>
      <c r="AN90" s="10" t="s">
        <v>26</v>
      </c>
      <c r="AO90" s="10" t="s">
        <v>26</v>
      </c>
      <c r="AP90" s="10" t="s">
        <v>26</v>
      </c>
      <c r="AQ90" s="9" t="s">
        <v>26</v>
      </c>
      <c r="AR90" s="10" t="s">
        <v>26</v>
      </c>
      <c r="AS90" s="10" t="s">
        <v>26</v>
      </c>
      <c r="AT90" s="10" t="s">
        <v>26</v>
      </c>
      <c r="AU90" s="9">
        <v>628976214</v>
      </c>
      <c r="AV90" s="10">
        <v>1.3025240126150001E-2</v>
      </c>
      <c r="AW90" s="1" t="s">
        <v>26</v>
      </c>
      <c r="AX90" s="1" t="s">
        <v>26</v>
      </c>
      <c r="AY90" s="9">
        <v>1326091517.8499999</v>
      </c>
      <c r="AZ90" s="10">
        <v>1.7211555563100001E-3</v>
      </c>
      <c r="BA90" s="1" t="s">
        <v>26</v>
      </c>
      <c r="BB90" s="1" t="s">
        <v>26</v>
      </c>
    </row>
    <row r="91" spans="1:54" s="28" customFormat="1">
      <c r="A91" s="3" t="s">
        <v>83</v>
      </c>
      <c r="B91" s="23" t="s">
        <v>40</v>
      </c>
      <c r="C91" s="2" t="s">
        <v>26</v>
      </c>
      <c r="D91" s="1" t="s">
        <v>26</v>
      </c>
      <c r="E91" s="1" t="s">
        <v>26</v>
      </c>
      <c r="F91" s="1" t="s">
        <v>26</v>
      </c>
      <c r="G91" s="2" t="s">
        <v>26</v>
      </c>
      <c r="H91" s="1" t="s">
        <v>26</v>
      </c>
      <c r="I91" s="1" t="s">
        <v>26</v>
      </c>
      <c r="J91" s="1" t="s">
        <v>26</v>
      </c>
      <c r="K91" s="2" t="s">
        <v>26</v>
      </c>
      <c r="L91" s="1" t="s">
        <v>26</v>
      </c>
      <c r="M91" s="1" t="s">
        <v>26</v>
      </c>
      <c r="N91" s="1" t="s">
        <v>26</v>
      </c>
      <c r="O91" s="2" t="s">
        <v>26</v>
      </c>
      <c r="P91" s="1" t="s">
        <v>26</v>
      </c>
      <c r="Q91" s="1" t="s">
        <v>26</v>
      </c>
      <c r="R91" s="1" t="s">
        <v>26</v>
      </c>
      <c r="S91" s="2">
        <v>697115303.85000002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 t="s">
        <v>26</v>
      </c>
      <c r="AB91" s="1" t="s">
        <v>26</v>
      </c>
      <c r="AC91" s="1" t="s">
        <v>26</v>
      </c>
      <c r="AD91" s="1" t="s">
        <v>26</v>
      </c>
      <c r="AE91" s="2">
        <v>697115303.85000002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>
        <v>628976214</v>
      </c>
      <c r="AV91" s="1">
        <v>1</v>
      </c>
      <c r="AW91" s="1" t="s">
        <v>26</v>
      </c>
      <c r="AX91" s="1" t="s">
        <v>26</v>
      </c>
      <c r="AY91" s="2">
        <v>1326091517.8499999</v>
      </c>
      <c r="AZ91" s="1">
        <v>1</v>
      </c>
      <c r="BA91" s="1" t="s">
        <v>26</v>
      </c>
      <c r="BB91" s="1" t="s">
        <v>26</v>
      </c>
    </row>
    <row r="92" spans="1:54" s="7" customFormat="1">
      <c r="A92" s="5" t="s">
        <v>84</v>
      </c>
      <c r="B92" s="20" t="s">
        <v>25</v>
      </c>
      <c r="C92" s="9" t="s">
        <v>26</v>
      </c>
      <c r="D92" s="10" t="s">
        <v>26</v>
      </c>
      <c r="E92" s="10" t="s">
        <v>26</v>
      </c>
      <c r="F92" s="10" t="s">
        <v>26</v>
      </c>
      <c r="G92" s="9">
        <v>691962943.91999996</v>
      </c>
      <c r="H92" s="10">
        <v>4.31680104368E-3</v>
      </c>
      <c r="I92" s="1" t="s">
        <v>26</v>
      </c>
      <c r="J92" s="1" t="s">
        <v>26</v>
      </c>
      <c r="K92" s="9">
        <v>23267345.489999998</v>
      </c>
      <c r="L92" s="10">
        <v>6.9517495039199996E-3</v>
      </c>
      <c r="M92" s="1" t="s">
        <v>26</v>
      </c>
      <c r="N92" s="1" t="s">
        <v>26</v>
      </c>
      <c r="O92" s="9">
        <v>1802793017.55</v>
      </c>
      <c r="P92" s="10">
        <v>7.56486279394E-3</v>
      </c>
      <c r="Q92" s="1" t="s">
        <v>26</v>
      </c>
      <c r="R92" s="1" t="s">
        <v>26</v>
      </c>
      <c r="S92" s="9">
        <v>899399937.86000001</v>
      </c>
      <c r="T92" s="10">
        <v>7.6410580458599999E-3</v>
      </c>
      <c r="U92" s="1" t="s">
        <v>26</v>
      </c>
      <c r="V92" s="1" t="s">
        <v>26</v>
      </c>
      <c r="W92" s="9" t="s">
        <v>26</v>
      </c>
      <c r="X92" s="10" t="s">
        <v>26</v>
      </c>
      <c r="Y92" s="10" t="s">
        <v>26</v>
      </c>
      <c r="Z92" s="10" t="s">
        <v>26</v>
      </c>
      <c r="AA92" s="9">
        <v>366469765.69999999</v>
      </c>
      <c r="AB92" s="10">
        <v>2.49734796742E-3</v>
      </c>
      <c r="AC92" s="1" t="s">
        <v>26</v>
      </c>
      <c r="AD92" s="1" t="s">
        <v>26</v>
      </c>
      <c r="AE92" s="9">
        <v>3783893010.52</v>
      </c>
      <c r="AF92" s="10">
        <v>5.5626334647300001E-3</v>
      </c>
      <c r="AG92" s="1" t="s">
        <v>26</v>
      </c>
      <c r="AH92" s="1" t="s">
        <v>26</v>
      </c>
      <c r="AI92" s="9" t="s">
        <v>26</v>
      </c>
      <c r="AJ92" s="10" t="s">
        <v>26</v>
      </c>
      <c r="AK92" s="10" t="s">
        <v>26</v>
      </c>
      <c r="AL92" s="10" t="s">
        <v>26</v>
      </c>
      <c r="AM92" s="9" t="s">
        <v>26</v>
      </c>
      <c r="AN92" s="10" t="s">
        <v>26</v>
      </c>
      <c r="AO92" s="10" t="s">
        <v>26</v>
      </c>
      <c r="AP92" s="10" t="s">
        <v>26</v>
      </c>
      <c r="AQ92" s="9" t="s">
        <v>26</v>
      </c>
      <c r="AR92" s="10" t="s">
        <v>26</v>
      </c>
      <c r="AS92" s="10" t="s">
        <v>26</v>
      </c>
      <c r="AT92" s="10" t="s">
        <v>26</v>
      </c>
      <c r="AU92" s="9" t="s">
        <v>26</v>
      </c>
      <c r="AV92" s="10" t="s">
        <v>26</v>
      </c>
      <c r="AW92" s="10" t="s">
        <v>26</v>
      </c>
      <c r="AX92" s="10" t="s">
        <v>26</v>
      </c>
      <c r="AY92" s="9">
        <v>3783893010.52</v>
      </c>
      <c r="AZ92" s="10">
        <v>4.9111757310000004E-3</v>
      </c>
      <c r="BA92" s="1" t="s">
        <v>26</v>
      </c>
      <c r="BB92" s="1" t="s">
        <v>26</v>
      </c>
    </row>
    <row r="93" spans="1:54" s="7" customFormat="1">
      <c r="A93" s="3" t="s">
        <v>85</v>
      </c>
      <c r="B93" s="23" t="s">
        <v>40</v>
      </c>
      <c r="C93" s="2" t="s">
        <v>26</v>
      </c>
      <c r="D93" s="1" t="s">
        <v>26</v>
      </c>
      <c r="E93" s="1" t="s">
        <v>26</v>
      </c>
      <c r="F93" s="1" t="s">
        <v>26</v>
      </c>
      <c r="G93" s="2">
        <v>691962943.91999996</v>
      </c>
      <c r="H93" s="1">
        <v>1</v>
      </c>
      <c r="I93" s="1" t="s">
        <v>26</v>
      </c>
      <c r="J93" s="1" t="s">
        <v>26</v>
      </c>
      <c r="K93" s="2">
        <v>23267345.489999998</v>
      </c>
      <c r="L93" s="1">
        <v>1</v>
      </c>
      <c r="M93" s="1" t="s">
        <v>26</v>
      </c>
      <c r="N93" s="1" t="s">
        <v>26</v>
      </c>
      <c r="O93" s="2">
        <v>1802793017.55</v>
      </c>
      <c r="P93" s="1">
        <v>1</v>
      </c>
      <c r="Q93" s="1" t="s">
        <v>26</v>
      </c>
      <c r="R93" s="1" t="s">
        <v>26</v>
      </c>
      <c r="S93" s="2">
        <v>899399937.86000001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>
        <v>366469765.69999999</v>
      </c>
      <c r="AB93" s="1">
        <v>1</v>
      </c>
      <c r="AC93" s="1" t="s">
        <v>26</v>
      </c>
      <c r="AD93" s="1" t="s">
        <v>26</v>
      </c>
      <c r="AE93" s="2">
        <v>3783893010.52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 t="s">
        <v>26</v>
      </c>
      <c r="AV93" s="1" t="s">
        <v>26</v>
      </c>
      <c r="AW93" s="1" t="s">
        <v>26</v>
      </c>
      <c r="AX93" s="1" t="s">
        <v>26</v>
      </c>
      <c r="AY93" s="2">
        <v>3783893010.52</v>
      </c>
      <c r="AZ93" s="1">
        <v>1</v>
      </c>
      <c r="BA93" s="1" t="s">
        <v>26</v>
      </c>
      <c r="BB93" s="1" t="s">
        <v>26</v>
      </c>
    </row>
    <row r="94" spans="1:54" s="28" customFormat="1">
      <c r="A94" s="12" t="s">
        <v>86</v>
      </c>
      <c r="B94" s="40" t="s">
        <v>25</v>
      </c>
      <c r="C94" s="42">
        <v>58888705.450000003</v>
      </c>
      <c r="D94" s="43">
        <v>8.3015725964700002E-3</v>
      </c>
      <c r="E94" s="43">
        <v>0.15</v>
      </c>
      <c r="F94" s="43">
        <f>E94-D94</f>
        <v>0.14169842740353</v>
      </c>
      <c r="G94" s="42">
        <v>8742178448.5400009</v>
      </c>
      <c r="H94" s="43">
        <v>5.4537956667010001E-2</v>
      </c>
      <c r="I94" s="43">
        <v>0.15</v>
      </c>
      <c r="J94" s="43">
        <f>I94-H94</f>
        <v>9.5462043332989993E-2</v>
      </c>
      <c r="K94" s="42">
        <v>193241837.91</v>
      </c>
      <c r="L94" s="43">
        <v>5.7736231724630001E-2</v>
      </c>
      <c r="M94" s="43">
        <v>0.15</v>
      </c>
      <c r="N94" s="43">
        <f>M94-L94</f>
        <v>9.2263768275370001E-2</v>
      </c>
      <c r="O94" s="42">
        <v>26277435119.040001</v>
      </c>
      <c r="P94" s="43">
        <v>0.11026512157362001</v>
      </c>
      <c r="Q94" s="43">
        <v>0.15</v>
      </c>
      <c r="R94" s="43">
        <f>Q94-P94</f>
        <v>3.9734878426379988E-2</v>
      </c>
      <c r="S94" s="42">
        <v>6032554145.2200003</v>
      </c>
      <c r="T94" s="43">
        <v>5.1250944599889998E-2</v>
      </c>
      <c r="U94" s="43">
        <v>0.15</v>
      </c>
      <c r="V94" s="43">
        <f>U94-T94</f>
        <v>9.8749055400110003E-2</v>
      </c>
      <c r="W94" s="42" t="s">
        <v>26</v>
      </c>
      <c r="X94" s="43" t="s">
        <v>26</v>
      </c>
      <c r="Y94" s="43" t="s">
        <v>26</v>
      </c>
      <c r="Z94" s="43" t="s">
        <v>26</v>
      </c>
      <c r="AA94" s="42">
        <v>6105792237.0900002</v>
      </c>
      <c r="AB94" s="43">
        <v>4.1608583462989998E-2</v>
      </c>
      <c r="AC94" s="43">
        <v>0.15</v>
      </c>
      <c r="AD94" s="43">
        <f>AC94-AB94</f>
        <v>0.10839141653701</v>
      </c>
      <c r="AE94" s="42">
        <v>47410090493.25</v>
      </c>
      <c r="AF94" s="43">
        <v>6.9696726416589999E-2</v>
      </c>
      <c r="AG94" s="43">
        <v>0.15</v>
      </c>
      <c r="AH94" s="43">
        <f>AG94-AF94</f>
        <v>8.0303273583409995E-2</v>
      </c>
      <c r="AI94" s="42" t="s">
        <v>26</v>
      </c>
      <c r="AJ94" s="43" t="s">
        <v>26</v>
      </c>
      <c r="AK94" s="43" t="s">
        <v>26</v>
      </c>
      <c r="AL94" s="43" t="s">
        <v>26</v>
      </c>
      <c r="AM94" s="42" t="s">
        <v>26</v>
      </c>
      <c r="AN94" s="43" t="s">
        <v>26</v>
      </c>
      <c r="AO94" s="43" t="s">
        <v>26</v>
      </c>
      <c r="AP94" s="43" t="s">
        <v>26</v>
      </c>
      <c r="AQ94" s="42" t="s">
        <v>26</v>
      </c>
      <c r="AR94" s="43" t="s">
        <v>26</v>
      </c>
      <c r="AS94" s="43" t="s">
        <v>26</v>
      </c>
      <c r="AT94" s="43" t="s">
        <v>26</v>
      </c>
      <c r="AU94" s="42">
        <v>1852009523.4100001</v>
      </c>
      <c r="AV94" s="43">
        <v>3.8352593025620003E-2</v>
      </c>
      <c r="AW94" s="43" t="s">
        <v>26</v>
      </c>
      <c r="AX94" s="43" t="s">
        <v>26</v>
      </c>
      <c r="AY94" s="42">
        <v>49262100016.660004</v>
      </c>
      <c r="AZ94" s="43">
        <v>6.3938073668360004E-2</v>
      </c>
      <c r="BA94" s="43">
        <v>0.15</v>
      </c>
      <c r="BB94" s="43">
        <f>BA94-AZ94</f>
        <v>8.606192633163999E-2</v>
      </c>
    </row>
    <row r="95" spans="1:54" s="7" customFormat="1">
      <c r="A95" s="5" t="s">
        <v>87</v>
      </c>
      <c r="B95" s="20" t="s">
        <v>25</v>
      </c>
      <c r="C95" s="9" t="s">
        <v>26</v>
      </c>
      <c r="D95" s="10" t="s">
        <v>26</v>
      </c>
      <c r="E95" s="10" t="s">
        <v>26</v>
      </c>
      <c r="F95" s="10" t="s">
        <v>26</v>
      </c>
      <c r="G95" s="9">
        <v>573796832.02999997</v>
      </c>
      <c r="H95" s="10">
        <v>3.5796234251099998E-3</v>
      </c>
      <c r="I95" s="1" t="s">
        <v>26</v>
      </c>
      <c r="J95" s="1" t="s">
        <v>26</v>
      </c>
      <c r="K95" s="9">
        <v>67505509.650000006</v>
      </c>
      <c r="L95" s="10">
        <v>2.0169098938379999E-2</v>
      </c>
      <c r="M95" s="1" t="s">
        <v>26</v>
      </c>
      <c r="N95" s="1" t="s">
        <v>26</v>
      </c>
      <c r="O95" s="9" t="s">
        <v>26</v>
      </c>
      <c r="P95" s="10" t="s">
        <v>26</v>
      </c>
      <c r="Q95" s="10" t="s">
        <v>26</v>
      </c>
      <c r="R95" s="10" t="s">
        <v>26</v>
      </c>
      <c r="S95" s="9">
        <v>722615796.5</v>
      </c>
      <c r="T95" s="10">
        <v>6.1391479068200003E-3</v>
      </c>
      <c r="U95" s="1" t="s">
        <v>26</v>
      </c>
      <c r="V95" s="1" t="s">
        <v>26</v>
      </c>
      <c r="W95" s="9" t="s">
        <v>26</v>
      </c>
      <c r="X95" s="10" t="s">
        <v>26</v>
      </c>
      <c r="Y95" s="10" t="s">
        <v>26</v>
      </c>
      <c r="Z95" s="10" t="s">
        <v>26</v>
      </c>
      <c r="AA95" s="9">
        <v>447991109.5</v>
      </c>
      <c r="AB95" s="10">
        <v>3.0528840069399999E-3</v>
      </c>
      <c r="AC95" s="1" t="s">
        <v>26</v>
      </c>
      <c r="AD95" s="1" t="s">
        <v>26</v>
      </c>
      <c r="AE95" s="9">
        <v>1811909247.6800001</v>
      </c>
      <c r="AF95" s="10">
        <v>2.66365539094E-3</v>
      </c>
      <c r="AG95" s="1" t="s">
        <v>26</v>
      </c>
      <c r="AH95" s="1" t="s">
        <v>26</v>
      </c>
      <c r="AI95" s="9" t="s">
        <v>26</v>
      </c>
      <c r="AJ95" s="10" t="s">
        <v>26</v>
      </c>
      <c r="AK95" s="10" t="s">
        <v>26</v>
      </c>
      <c r="AL95" s="10" t="s">
        <v>26</v>
      </c>
      <c r="AM95" s="9" t="s">
        <v>26</v>
      </c>
      <c r="AN95" s="10" t="s">
        <v>26</v>
      </c>
      <c r="AO95" s="10" t="s">
        <v>26</v>
      </c>
      <c r="AP95" s="10" t="s">
        <v>26</v>
      </c>
      <c r="AQ95" s="9" t="s">
        <v>26</v>
      </c>
      <c r="AR95" s="10" t="s">
        <v>26</v>
      </c>
      <c r="AS95" s="10" t="s">
        <v>26</v>
      </c>
      <c r="AT95" s="10" t="s">
        <v>26</v>
      </c>
      <c r="AU95" s="9" t="s">
        <v>26</v>
      </c>
      <c r="AV95" s="10" t="s">
        <v>26</v>
      </c>
      <c r="AW95" s="10" t="s">
        <v>26</v>
      </c>
      <c r="AX95" s="10" t="s">
        <v>26</v>
      </c>
      <c r="AY95" s="9">
        <v>1811909247.6800001</v>
      </c>
      <c r="AZ95" s="10">
        <v>2.35170621876E-3</v>
      </c>
      <c r="BA95" s="1" t="s">
        <v>26</v>
      </c>
      <c r="BB95" s="1" t="s">
        <v>26</v>
      </c>
    </row>
    <row r="96" spans="1:54" s="28" customFormat="1">
      <c r="A96" s="3" t="s">
        <v>88</v>
      </c>
      <c r="B96" s="23" t="s">
        <v>47</v>
      </c>
      <c r="C96" s="2" t="s">
        <v>26</v>
      </c>
      <c r="D96" s="1" t="s">
        <v>26</v>
      </c>
      <c r="E96" s="1" t="s">
        <v>26</v>
      </c>
      <c r="F96" s="1" t="s">
        <v>26</v>
      </c>
      <c r="G96" s="2">
        <v>573796832.02999997</v>
      </c>
      <c r="H96" s="1">
        <v>1</v>
      </c>
      <c r="I96" s="1" t="s">
        <v>26</v>
      </c>
      <c r="J96" s="1" t="s">
        <v>26</v>
      </c>
      <c r="K96" s="2">
        <v>67505509.650000006</v>
      </c>
      <c r="L96" s="1">
        <v>1</v>
      </c>
      <c r="M96" s="1" t="s">
        <v>26</v>
      </c>
      <c r="N96" s="1" t="s">
        <v>26</v>
      </c>
      <c r="O96" s="2" t="s">
        <v>26</v>
      </c>
      <c r="P96" s="1" t="s">
        <v>26</v>
      </c>
      <c r="Q96" s="1" t="s">
        <v>26</v>
      </c>
      <c r="R96" s="1" t="s">
        <v>26</v>
      </c>
      <c r="S96" s="2">
        <v>722615796.5</v>
      </c>
      <c r="T96" s="1">
        <v>1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>
        <v>447991109.5</v>
      </c>
      <c r="AB96" s="1">
        <v>1</v>
      </c>
      <c r="AC96" s="1" t="s">
        <v>26</v>
      </c>
      <c r="AD96" s="1" t="s">
        <v>26</v>
      </c>
      <c r="AE96" s="2">
        <v>1811909247.6800001</v>
      </c>
      <c r="AF96" s="1">
        <v>1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2">
        <v>1811909247.6800001</v>
      </c>
      <c r="AZ96" s="1">
        <v>1</v>
      </c>
      <c r="BA96" s="1" t="s">
        <v>26</v>
      </c>
      <c r="BB96" s="1" t="s">
        <v>26</v>
      </c>
    </row>
    <row r="97" spans="1:54" s="7" customFormat="1">
      <c r="A97" s="5" t="s">
        <v>89</v>
      </c>
      <c r="B97" s="20" t="s">
        <v>25</v>
      </c>
      <c r="C97" s="9" t="s">
        <v>26</v>
      </c>
      <c r="D97" s="10" t="s">
        <v>26</v>
      </c>
      <c r="E97" s="10" t="s">
        <v>26</v>
      </c>
      <c r="F97" s="10" t="s">
        <v>26</v>
      </c>
      <c r="G97" s="9">
        <v>1910213402.3599999</v>
      </c>
      <c r="H97" s="10">
        <v>1.1916839306800001E-2</v>
      </c>
      <c r="I97" s="1" t="s">
        <v>26</v>
      </c>
      <c r="J97" s="1" t="s">
        <v>26</v>
      </c>
      <c r="K97" s="9" t="s">
        <v>26</v>
      </c>
      <c r="L97" s="10" t="s">
        <v>26</v>
      </c>
      <c r="M97" s="10" t="s">
        <v>26</v>
      </c>
      <c r="N97" s="10" t="s">
        <v>26</v>
      </c>
      <c r="O97" s="9">
        <v>3425504228.3699999</v>
      </c>
      <c r="P97" s="10">
        <v>1.4374068035220001E-2</v>
      </c>
      <c r="Q97" s="1" t="s">
        <v>26</v>
      </c>
      <c r="R97" s="1" t="s">
        <v>26</v>
      </c>
      <c r="S97" s="9">
        <v>1248405985.45</v>
      </c>
      <c r="T97" s="10">
        <v>1.0606118811079999E-2</v>
      </c>
      <c r="U97" s="1" t="s">
        <v>26</v>
      </c>
      <c r="V97" s="1" t="s">
        <v>26</v>
      </c>
      <c r="W97" s="9" t="s">
        <v>26</v>
      </c>
      <c r="X97" s="10" t="s">
        <v>26</v>
      </c>
      <c r="Y97" s="10" t="s">
        <v>26</v>
      </c>
      <c r="Z97" s="10" t="s">
        <v>26</v>
      </c>
      <c r="AA97" s="9">
        <v>1908995445.3099999</v>
      </c>
      <c r="AB97" s="10">
        <v>1.3009056520810001E-2</v>
      </c>
      <c r="AC97" s="1" t="s">
        <v>26</v>
      </c>
      <c r="AD97" s="1" t="s">
        <v>26</v>
      </c>
      <c r="AE97" s="9">
        <v>8493119061.4899998</v>
      </c>
      <c r="AF97" s="10">
        <v>1.248558248874E-2</v>
      </c>
      <c r="AG97" s="1" t="s">
        <v>26</v>
      </c>
      <c r="AH97" s="1" t="s">
        <v>26</v>
      </c>
      <c r="AI97" s="9" t="s">
        <v>26</v>
      </c>
      <c r="AJ97" s="10" t="s">
        <v>26</v>
      </c>
      <c r="AK97" s="10" t="s">
        <v>26</v>
      </c>
      <c r="AL97" s="10" t="s">
        <v>26</v>
      </c>
      <c r="AM97" s="9" t="s">
        <v>26</v>
      </c>
      <c r="AN97" s="10" t="s">
        <v>26</v>
      </c>
      <c r="AO97" s="10" t="s">
        <v>26</v>
      </c>
      <c r="AP97" s="10" t="s">
        <v>26</v>
      </c>
      <c r="AQ97" s="9" t="s">
        <v>26</v>
      </c>
      <c r="AR97" s="10" t="s">
        <v>26</v>
      </c>
      <c r="AS97" s="10" t="s">
        <v>26</v>
      </c>
      <c r="AT97" s="10" t="s">
        <v>26</v>
      </c>
      <c r="AU97" s="9">
        <v>313167208.80000001</v>
      </c>
      <c r="AV97" s="10">
        <v>6.4852660616799996E-3</v>
      </c>
      <c r="AW97" s="10">
        <v>0.15</v>
      </c>
      <c r="AX97" s="10">
        <v>0.14351473393832001</v>
      </c>
      <c r="AY97" s="9">
        <v>8806286270.2900009</v>
      </c>
      <c r="AZ97" s="10">
        <v>1.1429820898910001E-2</v>
      </c>
      <c r="BA97" s="1" t="s">
        <v>26</v>
      </c>
      <c r="BB97" s="1" t="s">
        <v>26</v>
      </c>
    </row>
    <row r="98" spans="1:54" s="7" customFormat="1">
      <c r="A98" s="3" t="s">
        <v>88</v>
      </c>
      <c r="B98" s="23" t="s">
        <v>47</v>
      </c>
      <c r="C98" s="2" t="s">
        <v>26</v>
      </c>
      <c r="D98" s="1" t="s">
        <v>26</v>
      </c>
      <c r="E98" s="1" t="s">
        <v>26</v>
      </c>
      <c r="F98" s="1" t="s">
        <v>26</v>
      </c>
      <c r="G98" s="2">
        <v>1910213402.3599999</v>
      </c>
      <c r="H98" s="1">
        <v>1</v>
      </c>
      <c r="I98" s="1" t="s">
        <v>26</v>
      </c>
      <c r="J98" s="1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2">
        <v>3425504228.3699999</v>
      </c>
      <c r="P98" s="1">
        <v>1</v>
      </c>
      <c r="Q98" s="1" t="s">
        <v>26</v>
      </c>
      <c r="R98" s="1" t="s">
        <v>26</v>
      </c>
      <c r="S98" s="2">
        <v>1248405985.45</v>
      </c>
      <c r="T98" s="1">
        <v>1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2">
        <v>1908995445.3099999</v>
      </c>
      <c r="AB98" s="1">
        <v>1</v>
      </c>
      <c r="AC98" s="1" t="s">
        <v>26</v>
      </c>
      <c r="AD98" s="1" t="s">
        <v>26</v>
      </c>
      <c r="AE98" s="2">
        <v>8493119061.4899998</v>
      </c>
      <c r="AF98" s="1">
        <v>1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2">
        <v>313167208.80000001</v>
      </c>
      <c r="AV98" s="1">
        <v>1</v>
      </c>
      <c r="AW98" s="1" t="s">
        <v>26</v>
      </c>
      <c r="AX98" s="1" t="s">
        <v>26</v>
      </c>
      <c r="AY98" s="2">
        <v>8806286270.2900009</v>
      </c>
      <c r="AZ98" s="1">
        <v>1</v>
      </c>
      <c r="BA98" s="1" t="s">
        <v>26</v>
      </c>
      <c r="BB98" s="1" t="s">
        <v>26</v>
      </c>
    </row>
    <row r="99" spans="1:54" s="28" customFormat="1">
      <c r="A99" s="5" t="s">
        <v>90</v>
      </c>
      <c r="B99" s="20" t="s">
        <v>25</v>
      </c>
      <c r="C99" s="9" t="s">
        <v>26</v>
      </c>
      <c r="D99" s="10" t="s">
        <v>26</v>
      </c>
      <c r="E99" s="10" t="s">
        <v>26</v>
      </c>
      <c r="F99" s="10" t="s">
        <v>26</v>
      </c>
      <c r="G99" s="9">
        <v>2018757511.95</v>
      </c>
      <c r="H99" s="10">
        <v>1.259399020004E-2</v>
      </c>
      <c r="I99" s="1" t="s">
        <v>26</v>
      </c>
      <c r="J99" s="1" t="s">
        <v>26</v>
      </c>
      <c r="K99" s="9" t="s">
        <v>26</v>
      </c>
      <c r="L99" s="10" t="s">
        <v>26</v>
      </c>
      <c r="M99" s="10" t="s">
        <v>26</v>
      </c>
      <c r="N99" s="10" t="s">
        <v>26</v>
      </c>
      <c r="O99" s="9">
        <v>1314295255.1700001</v>
      </c>
      <c r="P99" s="10">
        <v>5.5150331620400003E-3</v>
      </c>
      <c r="Q99" s="1" t="s">
        <v>26</v>
      </c>
      <c r="R99" s="1" t="s">
        <v>26</v>
      </c>
      <c r="S99" s="9">
        <v>1314295255.1800001</v>
      </c>
      <c r="T99" s="10">
        <v>1.1165896184209999E-2</v>
      </c>
      <c r="U99" s="1" t="s">
        <v>26</v>
      </c>
      <c r="V99" s="1" t="s">
        <v>26</v>
      </c>
      <c r="W99" s="9" t="s">
        <v>26</v>
      </c>
      <c r="X99" s="10" t="s">
        <v>26</v>
      </c>
      <c r="Y99" s="10" t="s">
        <v>26</v>
      </c>
      <c r="Z99" s="10" t="s">
        <v>26</v>
      </c>
      <c r="AA99" s="9">
        <v>1260934867.8099999</v>
      </c>
      <c r="AB99" s="10">
        <v>8.5927774236999998E-3</v>
      </c>
      <c r="AC99" s="1" t="s">
        <v>26</v>
      </c>
      <c r="AD99" s="1" t="s">
        <v>26</v>
      </c>
      <c r="AE99" s="9">
        <v>5908282890.1099997</v>
      </c>
      <c r="AF99" s="10">
        <v>8.6856610459800001E-3</v>
      </c>
      <c r="AG99" s="1" t="s">
        <v>26</v>
      </c>
      <c r="AH99" s="1" t="s">
        <v>26</v>
      </c>
      <c r="AI99" s="9" t="s">
        <v>26</v>
      </c>
      <c r="AJ99" s="10" t="s">
        <v>26</v>
      </c>
      <c r="AK99" s="10" t="s">
        <v>26</v>
      </c>
      <c r="AL99" s="10" t="s">
        <v>26</v>
      </c>
      <c r="AM99" s="9" t="s">
        <v>26</v>
      </c>
      <c r="AN99" s="10" t="s">
        <v>26</v>
      </c>
      <c r="AO99" s="10" t="s">
        <v>26</v>
      </c>
      <c r="AP99" s="10" t="s">
        <v>26</v>
      </c>
      <c r="AQ99" s="9" t="s">
        <v>26</v>
      </c>
      <c r="AR99" s="10" t="s">
        <v>26</v>
      </c>
      <c r="AS99" s="10" t="s">
        <v>26</v>
      </c>
      <c r="AT99" s="10" t="s">
        <v>26</v>
      </c>
      <c r="AU99" s="9" t="s">
        <v>26</v>
      </c>
      <c r="AV99" s="10" t="s">
        <v>26</v>
      </c>
      <c r="AW99" s="10" t="s">
        <v>26</v>
      </c>
      <c r="AX99" s="10" t="s">
        <v>26</v>
      </c>
      <c r="AY99" s="9">
        <v>5908282890.1099997</v>
      </c>
      <c r="AZ99" s="10">
        <v>7.6684555988000003E-3</v>
      </c>
      <c r="BA99" s="1" t="s">
        <v>26</v>
      </c>
      <c r="BB99" s="1" t="s">
        <v>26</v>
      </c>
    </row>
    <row r="100" spans="1:54" s="28" customFormat="1">
      <c r="A100" s="3" t="s">
        <v>88</v>
      </c>
      <c r="B100" s="23" t="s">
        <v>47</v>
      </c>
      <c r="C100" s="2" t="s">
        <v>26</v>
      </c>
      <c r="D100" s="1" t="s">
        <v>26</v>
      </c>
      <c r="E100" s="1" t="s">
        <v>26</v>
      </c>
      <c r="F100" s="1" t="s">
        <v>26</v>
      </c>
      <c r="G100" s="2">
        <v>2018757511.95</v>
      </c>
      <c r="H100" s="1">
        <v>1</v>
      </c>
      <c r="I100" s="1" t="s">
        <v>26</v>
      </c>
      <c r="J100" s="1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2">
        <v>1314295255.1700001</v>
      </c>
      <c r="P100" s="1">
        <v>1</v>
      </c>
      <c r="Q100" s="1" t="s">
        <v>26</v>
      </c>
      <c r="R100" s="1" t="s">
        <v>26</v>
      </c>
      <c r="S100" s="2">
        <v>1314295255.1800001</v>
      </c>
      <c r="T100" s="1">
        <v>1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18">
        <v>1260934867.8099999</v>
      </c>
      <c r="AB100" s="19">
        <v>1</v>
      </c>
      <c r="AC100" s="1" t="s">
        <v>26</v>
      </c>
      <c r="AD100" s="1" t="s">
        <v>26</v>
      </c>
      <c r="AE100" s="2">
        <v>5908282890.1099997</v>
      </c>
      <c r="AF100" s="1">
        <v>1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2">
        <v>5908282890.1099997</v>
      </c>
      <c r="AZ100" s="1">
        <v>1</v>
      </c>
      <c r="BA100" s="1" t="s">
        <v>26</v>
      </c>
      <c r="BB100" s="1" t="s">
        <v>26</v>
      </c>
    </row>
    <row r="101" spans="1:54" s="7" customFormat="1">
      <c r="A101" s="5" t="s">
        <v>91</v>
      </c>
      <c r="B101" s="20" t="s">
        <v>25</v>
      </c>
      <c r="C101" s="9" t="s">
        <v>26</v>
      </c>
      <c r="D101" s="10" t="s">
        <v>26</v>
      </c>
      <c r="E101" s="10" t="s">
        <v>26</v>
      </c>
      <c r="F101" s="10" t="s">
        <v>26</v>
      </c>
      <c r="G101" s="9">
        <v>490531944.81</v>
      </c>
      <c r="H101" s="10">
        <v>3.0601766032699999E-3</v>
      </c>
      <c r="I101" s="1" t="s">
        <v>26</v>
      </c>
      <c r="J101" s="1" t="s">
        <v>26</v>
      </c>
      <c r="K101" s="9" t="s">
        <v>26</v>
      </c>
      <c r="L101" s="10" t="s">
        <v>26</v>
      </c>
      <c r="M101" s="10" t="s">
        <v>26</v>
      </c>
      <c r="N101" s="10" t="s">
        <v>26</v>
      </c>
      <c r="O101" s="9">
        <v>4242249281.98</v>
      </c>
      <c r="P101" s="10">
        <v>1.780128580678E-2</v>
      </c>
      <c r="Q101" s="1" t="s">
        <v>26</v>
      </c>
      <c r="R101" s="1" t="s">
        <v>26</v>
      </c>
      <c r="S101" s="9">
        <v>956074756.04999995</v>
      </c>
      <c r="T101" s="10">
        <v>8.1225519367299995E-3</v>
      </c>
      <c r="U101" s="1" t="s">
        <v>26</v>
      </c>
      <c r="V101" s="1" t="s">
        <v>26</v>
      </c>
      <c r="W101" s="9" t="s">
        <v>26</v>
      </c>
      <c r="X101" s="10" t="s">
        <v>26</v>
      </c>
      <c r="Y101" s="10" t="s">
        <v>26</v>
      </c>
      <c r="Z101" s="10" t="s">
        <v>26</v>
      </c>
      <c r="AA101" s="9">
        <v>1314236107.8099999</v>
      </c>
      <c r="AB101" s="10">
        <v>8.9560045049899995E-3</v>
      </c>
      <c r="AC101" s="1" t="s">
        <v>26</v>
      </c>
      <c r="AD101" s="1" t="s">
        <v>26</v>
      </c>
      <c r="AE101" s="9">
        <v>7003092090.6499996</v>
      </c>
      <c r="AF101" s="10">
        <v>1.0295120478239999E-2</v>
      </c>
      <c r="AG101" s="1" t="s">
        <v>26</v>
      </c>
      <c r="AH101" s="1" t="s">
        <v>26</v>
      </c>
      <c r="AI101" s="9" t="s">
        <v>26</v>
      </c>
      <c r="AJ101" s="10" t="s">
        <v>26</v>
      </c>
      <c r="AK101" s="10" t="s">
        <v>26</v>
      </c>
      <c r="AL101" s="10" t="s">
        <v>26</v>
      </c>
      <c r="AM101" s="9" t="s">
        <v>26</v>
      </c>
      <c r="AN101" s="10" t="s">
        <v>26</v>
      </c>
      <c r="AO101" s="10" t="s">
        <v>26</v>
      </c>
      <c r="AP101" s="10" t="s">
        <v>26</v>
      </c>
      <c r="AQ101" s="9" t="s">
        <v>26</v>
      </c>
      <c r="AR101" s="10" t="s">
        <v>26</v>
      </c>
      <c r="AS101" s="10" t="s">
        <v>26</v>
      </c>
      <c r="AT101" s="10" t="s">
        <v>26</v>
      </c>
      <c r="AU101" s="9">
        <v>365160256.68000001</v>
      </c>
      <c r="AV101" s="10">
        <v>7.5619712191300004E-3</v>
      </c>
      <c r="AW101" s="10">
        <v>0.15</v>
      </c>
      <c r="AX101" s="10">
        <v>0.14243802878087</v>
      </c>
      <c r="AY101" s="9">
        <v>7368252347.3299999</v>
      </c>
      <c r="AZ101" s="10">
        <v>9.5633734905999999E-3</v>
      </c>
      <c r="BA101" s="1" t="s">
        <v>26</v>
      </c>
      <c r="BB101" s="1" t="s">
        <v>26</v>
      </c>
    </row>
    <row r="102" spans="1:54" s="7" customFormat="1">
      <c r="A102" s="3" t="s">
        <v>88</v>
      </c>
      <c r="B102" s="23" t="s">
        <v>47</v>
      </c>
      <c r="C102" s="2" t="s">
        <v>26</v>
      </c>
      <c r="D102" s="1" t="s">
        <v>26</v>
      </c>
      <c r="E102" s="1" t="s">
        <v>26</v>
      </c>
      <c r="F102" s="1" t="s">
        <v>26</v>
      </c>
      <c r="G102" s="2">
        <v>490531944.81</v>
      </c>
      <c r="H102" s="1">
        <v>1</v>
      </c>
      <c r="I102" s="1" t="s">
        <v>26</v>
      </c>
      <c r="J102" s="1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2">
        <v>4242249281.98</v>
      </c>
      <c r="P102" s="1">
        <v>1</v>
      </c>
      <c r="Q102" s="1" t="s">
        <v>26</v>
      </c>
      <c r="R102" s="1" t="s">
        <v>26</v>
      </c>
      <c r="S102" s="2">
        <v>956074756.04999995</v>
      </c>
      <c r="T102" s="1">
        <v>1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2">
        <v>1314236107.8099999</v>
      </c>
      <c r="AB102" s="1">
        <v>1</v>
      </c>
      <c r="AC102" s="1" t="s">
        <v>26</v>
      </c>
      <c r="AD102" s="1" t="s">
        <v>26</v>
      </c>
      <c r="AE102" s="2">
        <v>7003092090.6499996</v>
      </c>
      <c r="AF102" s="1">
        <v>1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>
        <v>365160256.68000001</v>
      </c>
      <c r="AV102" s="1">
        <v>1</v>
      </c>
      <c r="AW102" s="1" t="s">
        <v>26</v>
      </c>
      <c r="AX102" s="1" t="s">
        <v>26</v>
      </c>
      <c r="AY102" s="2">
        <v>7368252347.3299999</v>
      </c>
      <c r="AZ102" s="1">
        <v>1</v>
      </c>
      <c r="BA102" s="1" t="s">
        <v>26</v>
      </c>
      <c r="BB102" s="1" t="s">
        <v>26</v>
      </c>
    </row>
    <row r="103" spans="1:54" s="28" customFormat="1">
      <c r="A103" s="5" t="s">
        <v>92</v>
      </c>
      <c r="B103" s="20" t="s">
        <v>25</v>
      </c>
      <c r="C103" s="9" t="s">
        <v>26</v>
      </c>
      <c r="D103" s="10" t="s">
        <v>26</v>
      </c>
      <c r="E103" s="10" t="s">
        <v>26</v>
      </c>
      <c r="F103" s="10" t="s">
        <v>26</v>
      </c>
      <c r="G103" s="9" t="s">
        <v>26</v>
      </c>
      <c r="H103" s="10" t="s">
        <v>26</v>
      </c>
      <c r="I103" s="1" t="s">
        <v>26</v>
      </c>
      <c r="J103" s="1" t="s">
        <v>26</v>
      </c>
      <c r="K103" s="9" t="s">
        <v>26</v>
      </c>
      <c r="L103" s="10" t="s">
        <v>26</v>
      </c>
      <c r="M103" s="10" t="s">
        <v>26</v>
      </c>
      <c r="N103" s="10" t="s">
        <v>26</v>
      </c>
      <c r="O103" s="9">
        <v>1526511950.5999999</v>
      </c>
      <c r="P103" s="10">
        <v>6.4055348268999999E-3</v>
      </c>
      <c r="Q103" s="1" t="s">
        <v>26</v>
      </c>
      <c r="R103" s="1" t="s">
        <v>26</v>
      </c>
      <c r="S103" s="9" t="s">
        <v>26</v>
      </c>
      <c r="T103" s="10" t="s">
        <v>26</v>
      </c>
      <c r="U103" s="10" t="s">
        <v>26</v>
      </c>
      <c r="V103" s="10" t="s">
        <v>26</v>
      </c>
      <c r="W103" s="9" t="s">
        <v>26</v>
      </c>
      <c r="X103" s="10" t="s">
        <v>26</v>
      </c>
      <c r="Y103" s="10" t="s">
        <v>26</v>
      </c>
      <c r="Z103" s="10" t="s">
        <v>26</v>
      </c>
      <c r="AA103" s="9" t="s">
        <v>26</v>
      </c>
      <c r="AB103" s="10" t="s">
        <v>26</v>
      </c>
      <c r="AC103" s="1" t="s">
        <v>26</v>
      </c>
      <c r="AD103" s="1" t="s">
        <v>26</v>
      </c>
      <c r="AE103" s="9">
        <v>1526511950.5999999</v>
      </c>
      <c r="AF103" s="10">
        <v>2.2440979269499998E-3</v>
      </c>
      <c r="AG103" s="1" t="s">
        <v>26</v>
      </c>
      <c r="AH103" s="1" t="s">
        <v>26</v>
      </c>
      <c r="AI103" s="9" t="s">
        <v>26</v>
      </c>
      <c r="AJ103" s="10" t="s">
        <v>26</v>
      </c>
      <c r="AK103" s="10" t="s">
        <v>26</v>
      </c>
      <c r="AL103" s="10" t="s">
        <v>26</v>
      </c>
      <c r="AM103" s="9" t="s">
        <v>26</v>
      </c>
      <c r="AN103" s="10" t="s">
        <v>26</v>
      </c>
      <c r="AO103" s="10" t="s">
        <v>26</v>
      </c>
      <c r="AP103" s="10" t="s">
        <v>26</v>
      </c>
      <c r="AQ103" s="9" t="s">
        <v>26</v>
      </c>
      <c r="AR103" s="10" t="s">
        <v>26</v>
      </c>
      <c r="AS103" s="10" t="s">
        <v>26</v>
      </c>
      <c r="AT103" s="10" t="s">
        <v>26</v>
      </c>
      <c r="AU103" s="9" t="s">
        <v>26</v>
      </c>
      <c r="AV103" s="10" t="s">
        <v>26</v>
      </c>
      <c r="AW103" s="10" t="s">
        <v>26</v>
      </c>
      <c r="AX103" s="10" t="s">
        <v>26</v>
      </c>
      <c r="AY103" s="9">
        <v>1526511950.5999999</v>
      </c>
      <c r="AZ103" s="10">
        <v>1.9812844665600001E-3</v>
      </c>
      <c r="BA103" s="1" t="s">
        <v>26</v>
      </c>
      <c r="BB103" s="1" t="s">
        <v>26</v>
      </c>
    </row>
    <row r="104" spans="1:54" s="7" customFormat="1">
      <c r="A104" s="3" t="s">
        <v>88</v>
      </c>
      <c r="B104" s="23" t="s">
        <v>47</v>
      </c>
      <c r="C104" s="2" t="s">
        <v>26</v>
      </c>
      <c r="D104" s="1" t="s">
        <v>26</v>
      </c>
      <c r="E104" s="1" t="s">
        <v>26</v>
      </c>
      <c r="F104" s="1" t="s">
        <v>26</v>
      </c>
      <c r="G104" s="2" t="s">
        <v>26</v>
      </c>
      <c r="H104" s="1" t="s">
        <v>26</v>
      </c>
      <c r="I104" s="1" t="s">
        <v>26</v>
      </c>
      <c r="J104" s="1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2">
        <v>1526511950.5999999</v>
      </c>
      <c r="P104" s="1">
        <v>1</v>
      </c>
      <c r="Q104" s="1" t="s">
        <v>26</v>
      </c>
      <c r="R104" s="1" t="s">
        <v>26</v>
      </c>
      <c r="S104" s="2" t="s">
        <v>26</v>
      </c>
      <c r="T104" s="1" t="s">
        <v>26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 t="s">
        <v>26</v>
      </c>
      <c r="AB104" s="1" t="s">
        <v>26</v>
      </c>
      <c r="AC104" s="1" t="s">
        <v>26</v>
      </c>
      <c r="AD104" s="1" t="s">
        <v>26</v>
      </c>
      <c r="AE104" s="2">
        <v>1526511950.5999999</v>
      </c>
      <c r="AF104" s="1">
        <v>1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2">
        <v>1526511950.5999999</v>
      </c>
      <c r="AZ104" s="1">
        <v>1</v>
      </c>
      <c r="BA104" s="1" t="s">
        <v>26</v>
      </c>
      <c r="BB104" s="1" t="s">
        <v>26</v>
      </c>
    </row>
    <row r="105" spans="1:54" s="7" customFormat="1">
      <c r="A105" s="5" t="s">
        <v>93</v>
      </c>
      <c r="B105" s="20" t="s">
        <v>25</v>
      </c>
      <c r="C105" s="9" t="s">
        <v>26</v>
      </c>
      <c r="D105" s="10" t="s">
        <v>26</v>
      </c>
      <c r="E105" s="10" t="s">
        <v>26</v>
      </c>
      <c r="F105" s="10" t="s">
        <v>26</v>
      </c>
      <c r="G105" s="9" t="s">
        <v>26</v>
      </c>
      <c r="H105" s="10" t="s">
        <v>26</v>
      </c>
      <c r="I105" s="1" t="s">
        <v>26</v>
      </c>
      <c r="J105" s="1" t="s">
        <v>26</v>
      </c>
      <c r="K105" s="9" t="s">
        <v>26</v>
      </c>
      <c r="L105" s="10" t="s">
        <v>26</v>
      </c>
      <c r="M105" s="10" t="s">
        <v>26</v>
      </c>
      <c r="N105" s="10" t="s">
        <v>26</v>
      </c>
      <c r="O105" s="9">
        <v>325285487.66000003</v>
      </c>
      <c r="P105" s="10">
        <v>1.36495984789E-3</v>
      </c>
      <c r="Q105" s="1" t="s">
        <v>26</v>
      </c>
      <c r="R105" s="1" t="s">
        <v>26</v>
      </c>
      <c r="S105" s="9" t="s">
        <v>26</v>
      </c>
      <c r="T105" s="10" t="s">
        <v>26</v>
      </c>
      <c r="U105" s="10" t="s">
        <v>26</v>
      </c>
      <c r="V105" s="10" t="s">
        <v>26</v>
      </c>
      <c r="W105" s="9" t="s">
        <v>26</v>
      </c>
      <c r="X105" s="10" t="s">
        <v>26</v>
      </c>
      <c r="Y105" s="10" t="s">
        <v>26</v>
      </c>
      <c r="Z105" s="10" t="s">
        <v>26</v>
      </c>
      <c r="AA105" s="9">
        <v>325285487.66000003</v>
      </c>
      <c r="AB105" s="10">
        <v>2.21669323767E-3</v>
      </c>
      <c r="AC105" s="1" t="s">
        <v>26</v>
      </c>
      <c r="AD105" s="1" t="s">
        <v>26</v>
      </c>
      <c r="AE105" s="9">
        <v>650570975.32000005</v>
      </c>
      <c r="AF105" s="10">
        <v>9.5639275964000002E-4</v>
      </c>
      <c r="AG105" s="1" t="s">
        <v>26</v>
      </c>
      <c r="AH105" s="1" t="s">
        <v>26</v>
      </c>
      <c r="AI105" s="9" t="s">
        <v>26</v>
      </c>
      <c r="AJ105" s="10" t="s">
        <v>26</v>
      </c>
      <c r="AK105" s="10" t="s">
        <v>26</v>
      </c>
      <c r="AL105" s="10" t="s">
        <v>26</v>
      </c>
      <c r="AM105" s="9" t="s">
        <v>26</v>
      </c>
      <c r="AN105" s="10" t="s">
        <v>26</v>
      </c>
      <c r="AO105" s="10" t="s">
        <v>26</v>
      </c>
      <c r="AP105" s="10" t="s">
        <v>26</v>
      </c>
      <c r="AQ105" s="9" t="s">
        <v>26</v>
      </c>
      <c r="AR105" s="10" t="s">
        <v>26</v>
      </c>
      <c r="AS105" s="10" t="s">
        <v>26</v>
      </c>
      <c r="AT105" s="10" t="s">
        <v>26</v>
      </c>
      <c r="AU105" s="9" t="s">
        <v>26</v>
      </c>
      <c r="AV105" s="10" t="s">
        <v>26</v>
      </c>
      <c r="AW105" s="10" t="s">
        <v>26</v>
      </c>
      <c r="AX105" s="10" t="s">
        <v>26</v>
      </c>
      <c r="AY105" s="9">
        <v>650570975.32000005</v>
      </c>
      <c r="AZ105" s="10">
        <v>8.4438655542999998E-4</v>
      </c>
      <c r="BA105" s="1" t="s">
        <v>26</v>
      </c>
      <c r="BB105" s="1" t="s">
        <v>26</v>
      </c>
    </row>
    <row r="106" spans="1:54" s="7" customFormat="1">
      <c r="A106" s="3" t="s">
        <v>88</v>
      </c>
      <c r="B106" s="23" t="s">
        <v>47</v>
      </c>
      <c r="C106" s="2" t="s">
        <v>26</v>
      </c>
      <c r="D106" s="1" t="s">
        <v>26</v>
      </c>
      <c r="E106" s="1" t="s">
        <v>26</v>
      </c>
      <c r="F106" s="1" t="s">
        <v>26</v>
      </c>
      <c r="G106" s="2" t="s">
        <v>26</v>
      </c>
      <c r="H106" s="1" t="s">
        <v>26</v>
      </c>
      <c r="I106" s="1" t="s">
        <v>26</v>
      </c>
      <c r="J106" s="1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2">
        <v>325285487.66000003</v>
      </c>
      <c r="P106" s="1">
        <v>1</v>
      </c>
      <c r="Q106" s="1" t="s">
        <v>26</v>
      </c>
      <c r="R106" s="1" t="s">
        <v>26</v>
      </c>
      <c r="S106" s="2" t="s">
        <v>26</v>
      </c>
      <c r="T106" s="1" t="s">
        <v>26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>
        <v>325285487.66000003</v>
      </c>
      <c r="AB106" s="1">
        <v>1</v>
      </c>
      <c r="AC106" s="1" t="s">
        <v>26</v>
      </c>
      <c r="AD106" s="1" t="s">
        <v>26</v>
      </c>
      <c r="AE106" s="2">
        <v>650570975.32000005</v>
      </c>
      <c r="AF106" s="1">
        <v>1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2">
        <v>650570975.32000005</v>
      </c>
      <c r="AZ106" s="1">
        <v>1</v>
      </c>
      <c r="BA106" s="1" t="s">
        <v>26</v>
      </c>
      <c r="BB106" s="1" t="s">
        <v>26</v>
      </c>
    </row>
    <row r="107" spans="1:54" s="7" customFormat="1">
      <c r="A107" s="5" t="s">
        <v>94</v>
      </c>
      <c r="B107" s="20" t="s">
        <v>25</v>
      </c>
      <c r="C107" s="9" t="s">
        <v>26</v>
      </c>
      <c r="D107" s="10" t="s">
        <v>26</v>
      </c>
      <c r="E107" s="10" t="s">
        <v>26</v>
      </c>
      <c r="F107" s="10" t="s">
        <v>26</v>
      </c>
      <c r="G107" s="9" t="s">
        <v>26</v>
      </c>
      <c r="H107" s="10" t="s">
        <v>26</v>
      </c>
      <c r="I107" s="1" t="s">
        <v>26</v>
      </c>
      <c r="J107" s="1" t="s">
        <v>26</v>
      </c>
      <c r="K107" s="9" t="s">
        <v>26</v>
      </c>
      <c r="L107" s="10" t="s">
        <v>26</v>
      </c>
      <c r="M107" s="10" t="s">
        <v>26</v>
      </c>
      <c r="N107" s="10" t="s">
        <v>26</v>
      </c>
      <c r="O107" s="9">
        <v>6160278772.5</v>
      </c>
      <c r="P107" s="10">
        <v>2.5849702784919999E-2</v>
      </c>
      <c r="Q107" s="1" t="s">
        <v>26</v>
      </c>
      <c r="R107" s="1" t="s">
        <v>26</v>
      </c>
      <c r="S107" s="9" t="s">
        <v>26</v>
      </c>
      <c r="T107" s="10" t="s">
        <v>26</v>
      </c>
      <c r="U107" s="10" t="s">
        <v>26</v>
      </c>
      <c r="V107" s="10" t="s">
        <v>26</v>
      </c>
      <c r="W107" s="9" t="s">
        <v>26</v>
      </c>
      <c r="X107" s="10" t="s">
        <v>26</v>
      </c>
      <c r="Y107" s="10" t="s">
        <v>26</v>
      </c>
      <c r="Z107" s="10" t="s">
        <v>26</v>
      </c>
      <c r="AA107" s="9" t="s">
        <v>26</v>
      </c>
      <c r="AB107" s="10" t="s">
        <v>26</v>
      </c>
      <c r="AC107" s="1" t="s">
        <v>26</v>
      </c>
      <c r="AD107" s="1" t="s">
        <v>26</v>
      </c>
      <c r="AE107" s="9">
        <v>6160278772.5</v>
      </c>
      <c r="AF107" s="10">
        <v>9.0561156873999998E-3</v>
      </c>
      <c r="AG107" s="1" t="s">
        <v>26</v>
      </c>
      <c r="AH107" s="1" t="s">
        <v>26</v>
      </c>
      <c r="AI107" s="9" t="s">
        <v>26</v>
      </c>
      <c r="AJ107" s="10" t="s">
        <v>26</v>
      </c>
      <c r="AK107" s="10" t="s">
        <v>26</v>
      </c>
      <c r="AL107" s="10" t="s">
        <v>26</v>
      </c>
      <c r="AM107" s="9" t="s">
        <v>26</v>
      </c>
      <c r="AN107" s="10" t="s">
        <v>26</v>
      </c>
      <c r="AO107" s="10" t="s">
        <v>26</v>
      </c>
      <c r="AP107" s="10" t="s">
        <v>26</v>
      </c>
      <c r="AQ107" s="9" t="s">
        <v>26</v>
      </c>
      <c r="AR107" s="10" t="s">
        <v>26</v>
      </c>
      <c r="AS107" s="10" t="s">
        <v>26</v>
      </c>
      <c r="AT107" s="10" t="s">
        <v>26</v>
      </c>
      <c r="AU107" s="9" t="s">
        <v>26</v>
      </c>
      <c r="AV107" s="10" t="s">
        <v>26</v>
      </c>
      <c r="AW107" s="10" t="s">
        <v>26</v>
      </c>
      <c r="AX107" s="10" t="s">
        <v>26</v>
      </c>
      <c r="AY107" s="9">
        <v>6160278772.5</v>
      </c>
      <c r="AZ107" s="10">
        <v>7.9955251164800008E-3</v>
      </c>
      <c r="BA107" s="1" t="s">
        <v>26</v>
      </c>
      <c r="BB107" s="1" t="s">
        <v>26</v>
      </c>
    </row>
    <row r="108" spans="1:54" s="7" customFormat="1">
      <c r="A108" s="3" t="s">
        <v>88</v>
      </c>
      <c r="B108" s="23" t="s">
        <v>47</v>
      </c>
      <c r="C108" s="2" t="s">
        <v>26</v>
      </c>
      <c r="D108" s="1" t="s">
        <v>26</v>
      </c>
      <c r="E108" s="1" t="s">
        <v>26</v>
      </c>
      <c r="F108" s="1" t="s">
        <v>26</v>
      </c>
      <c r="G108" s="2" t="s">
        <v>26</v>
      </c>
      <c r="H108" s="1" t="s">
        <v>26</v>
      </c>
      <c r="I108" s="1" t="s">
        <v>26</v>
      </c>
      <c r="J108" s="1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2">
        <v>6160278772.5</v>
      </c>
      <c r="P108" s="1">
        <v>1</v>
      </c>
      <c r="Q108" s="1" t="s">
        <v>26</v>
      </c>
      <c r="R108" s="1" t="s">
        <v>26</v>
      </c>
      <c r="S108" s="2" t="s">
        <v>26</v>
      </c>
      <c r="T108" s="1" t="s">
        <v>26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2">
        <v>6160278772.5</v>
      </c>
      <c r="AF108" s="1">
        <v>1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2">
        <v>6160278772.5</v>
      </c>
      <c r="AZ108" s="1">
        <v>1</v>
      </c>
      <c r="BA108" s="1" t="s">
        <v>26</v>
      </c>
      <c r="BB108" s="1" t="s">
        <v>26</v>
      </c>
    </row>
    <row r="109" spans="1:54" s="7" customFormat="1">
      <c r="A109" s="5" t="s">
        <v>95</v>
      </c>
      <c r="B109" s="20" t="s">
        <v>25</v>
      </c>
      <c r="C109" s="9" t="s">
        <v>26</v>
      </c>
      <c r="D109" s="10" t="s">
        <v>26</v>
      </c>
      <c r="E109" s="10" t="s">
        <v>26</v>
      </c>
      <c r="F109" s="10" t="s">
        <v>26</v>
      </c>
      <c r="G109" s="9" t="s">
        <v>26</v>
      </c>
      <c r="H109" s="10" t="s">
        <v>26</v>
      </c>
      <c r="I109" s="1" t="s">
        <v>26</v>
      </c>
      <c r="J109" s="1" t="s">
        <v>26</v>
      </c>
      <c r="K109" s="9" t="s">
        <v>26</v>
      </c>
      <c r="L109" s="10" t="s">
        <v>26</v>
      </c>
      <c r="M109" s="10" t="s">
        <v>26</v>
      </c>
      <c r="N109" s="10" t="s">
        <v>26</v>
      </c>
      <c r="O109" s="9" t="s">
        <v>26</v>
      </c>
      <c r="P109" s="10" t="s">
        <v>26</v>
      </c>
      <c r="Q109" s="1" t="s">
        <v>26</v>
      </c>
      <c r="R109" s="1" t="s">
        <v>26</v>
      </c>
      <c r="S109" s="9">
        <v>137023073.91999999</v>
      </c>
      <c r="T109" s="10">
        <v>1.1641108892400001E-3</v>
      </c>
      <c r="U109" s="1" t="s">
        <v>26</v>
      </c>
      <c r="V109" s="1" t="s">
        <v>26</v>
      </c>
      <c r="W109" s="9" t="s">
        <v>26</v>
      </c>
      <c r="X109" s="10" t="s">
        <v>26</v>
      </c>
      <c r="Y109" s="10" t="s">
        <v>26</v>
      </c>
      <c r="Z109" s="10" t="s">
        <v>26</v>
      </c>
      <c r="AA109" s="9" t="s">
        <v>26</v>
      </c>
      <c r="AB109" s="10" t="s">
        <v>26</v>
      </c>
      <c r="AC109" s="1" t="s">
        <v>26</v>
      </c>
      <c r="AD109" s="1" t="s">
        <v>26</v>
      </c>
      <c r="AE109" s="9">
        <v>137023073.91999999</v>
      </c>
      <c r="AF109" s="10">
        <v>2.0143517121000001E-4</v>
      </c>
      <c r="AG109" s="1" t="s">
        <v>26</v>
      </c>
      <c r="AH109" s="1" t="s">
        <v>26</v>
      </c>
      <c r="AI109" s="9" t="s">
        <v>26</v>
      </c>
      <c r="AJ109" s="10" t="s">
        <v>26</v>
      </c>
      <c r="AK109" s="10" t="s">
        <v>26</v>
      </c>
      <c r="AL109" s="10" t="s">
        <v>26</v>
      </c>
      <c r="AM109" s="9" t="s">
        <v>26</v>
      </c>
      <c r="AN109" s="10" t="s">
        <v>26</v>
      </c>
      <c r="AO109" s="10" t="s">
        <v>26</v>
      </c>
      <c r="AP109" s="10" t="s">
        <v>26</v>
      </c>
      <c r="AQ109" s="9" t="s">
        <v>26</v>
      </c>
      <c r="AR109" s="10" t="s">
        <v>26</v>
      </c>
      <c r="AS109" s="10" t="s">
        <v>26</v>
      </c>
      <c r="AT109" s="10" t="s">
        <v>26</v>
      </c>
      <c r="AU109" s="9">
        <v>175529558.21000001</v>
      </c>
      <c r="AV109" s="10">
        <v>3.6349779117800002E-3</v>
      </c>
      <c r="AW109" s="10">
        <v>0.15</v>
      </c>
      <c r="AX109" s="10">
        <v>0.14636502208822</v>
      </c>
      <c r="AY109" s="9">
        <v>312552632.13</v>
      </c>
      <c r="AZ109" s="10">
        <v>4.0566709927999998E-4</v>
      </c>
      <c r="BA109" s="1" t="s">
        <v>26</v>
      </c>
      <c r="BB109" s="1" t="s">
        <v>26</v>
      </c>
    </row>
    <row r="110" spans="1:54" s="7" customFormat="1">
      <c r="A110" s="3" t="s">
        <v>88</v>
      </c>
      <c r="B110" s="23" t="s">
        <v>47</v>
      </c>
      <c r="C110" s="2" t="s">
        <v>26</v>
      </c>
      <c r="D110" s="1" t="s">
        <v>26</v>
      </c>
      <c r="E110" s="1" t="s">
        <v>26</v>
      </c>
      <c r="F110" s="1" t="s">
        <v>26</v>
      </c>
      <c r="G110" s="2" t="s">
        <v>26</v>
      </c>
      <c r="H110" s="1" t="s">
        <v>26</v>
      </c>
      <c r="I110" s="1" t="s">
        <v>26</v>
      </c>
      <c r="J110" s="1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 t="s">
        <v>26</v>
      </c>
      <c r="P110" s="1" t="s">
        <v>26</v>
      </c>
      <c r="Q110" s="1" t="s">
        <v>26</v>
      </c>
      <c r="R110" s="1" t="s">
        <v>26</v>
      </c>
      <c r="S110" s="2">
        <v>137023073.91999999</v>
      </c>
      <c r="T110" s="1">
        <v>1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2">
        <v>137023073.91999999</v>
      </c>
      <c r="AF110" s="1">
        <v>1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>
        <v>175529558.21000001</v>
      </c>
      <c r="AV110" s="1">
        <v>1</v>
      </c>
      <c r="AW110" s="1" t="s">
        <v>26</v>
      </c>
      <c r="AX110" s="1" t="s">
        <v>26</v>
      </c>
      <c r="AY110" s="2">
        <v>312552632.13</v>
      </c>
      <c r="AZ110" s="1">
        <v>1</v>
      </c>
      <c r="BA110" s="1" t="s">
        <v>26</v>
      </c>
      <c r="BB110" s="1" t="s">
        <v>26</v>
      </c>
    </row>
    <row r="111" spans="1:54" s="7" customFormat="1">
      <c r="A111" s="5" t="s">
        <v>96</v>
      </c>
      <c r="B111" s="20" t="s">
        <v>25</v>
      </c>
      <c r="C111" s="9" t="s">
        <v>26</v>
      </c>
      <c r="D111" s="10" t="s">
        <v>26</v>
      </c>
      <c r="E111" s="10" t="s">
        <v>26</v>
      </c>
      <c r="F111" s="10" t="s">
        <v>26</v>
      </c>
      <c r="G111" s="9" t="s">
        <v>26</v>
      </c>
      <c r="H111" s="10" t="s">
        <v>26</v>
      </c>
      <c r="I111" s="1" t="s">
        <v>26</v>
      </c>
      <c r="J111" s="1" t="s">
        <v>26</v>
      </c>
      <c r="K111" s="9">
        <v>88543461.659999996</v>
      </c>
      <c r="L111" s="10">
        <v>2.6454756772100001E-2</v>
      </c>
      <c r="M111" s="1" t="s">
        <v>26</v>
      </c>
      <c r="N111" s="1" t="s">
        <v>26</v>
      </c>
      <c r="O111" s="9" t="s">
        <v>26</v>
      </c>
      <c r="P111" s="10" t="s">
        <v>26</v>
      </c>
      <c r="Q111" s="1" t="s">
        <v>26</v>
      </c>
      <c r="R111" s="1" t="s">
        <v>26</v>
      </c>
      <c r="S111" s="9">
        <v>284071036.62</v>
      </c>
      <c r="T111" s="10">
        <v>2.4133905158200001E-3</v>
      </c>
      <c r="U111" s="1" t="s">
        <v>26</v>
      </c>
      <c r="V111" s="1" t="s">
        <v>26</v>
      </c>
      <c r="W111" s="9" t="s">
        <v>26</v>
      </c>
      <c r="X111" s="10" t="s">
        <v>26</v>
      </c>
      <c r="Y111" s="10" t="s">
        <v>26</v>
      </c>
      <c r="Z111" s="10" t="s">
        <v>26</v>
      </c>
      <c r="AA111" s="9" t="s">
        <v>26</v>
      </c>
      <c r="AB111" s="10" t="s">
        <v>26</v>
      </c>
      <c r="AC111" s="1" t="s">
        <v>26</v>
      </c>
      <c r="AD111" s="1" t="s">
        <v>26</v>
      </c>
      <c r="AE111" s="9">
        <v>372614498.27999997</v>
      </c>
      <c r="AF111" s="10">
        <v>5.4777391215999997E-4</v>
      </c>
      <c r="AG111" s="1" t="s">
        <v>26</v>
      </c>
      <c r="AH111" s="1" t="s">
        <v>26</v>
      </c>
      <c r="AI111" s="9" t="s">
        <v>26</v>
      </c>
      <c r="AJ111" s="10" t="s">
        <v>26</v>
      </c>
      <c r="AK111" s="10" t="s">
        <v>26</v>
      </c>
      <c r="AL111" s="10" t="s">
        <v>26</v>
      </c>
      <c r="AM111" s="9" t="s">
        <v>26</v>
      </c>
      <c r="AN111" s="10" t="s">
        <v>26</v>
      </c>
      <c r="AO111" s="10" t="s">
        <v>26</v>
      </c>
      <c r="AP111" s="10" t="s">
        <v>26</v>
      </c>
      <c r="AQ111" s="9" t="s">
        <v>26</v>
      </c>
      <c r="AR111" s="10" t="s">
        <v>26</v>
      </c>
      <c r="AS111" s="10" t="s">
        <v>26</v>
      </c>
      <c r="AT111" s="10" t="s">
        <v>26</v>
      </c>
      <c r="AU111" s="9" t="s">
        <v>26</v>
      </c>
      <c r="AV111" s="10" t="s">
        <v>26</v>
      </c>
      <c r="AW111" s="10" t="s">
        <v>26</v>
      </c>
      <c r="AX111" s="10" t="s">
        <v>26</v>
      </c>
      <c r="AY111" s="9">
        <v>372614498.27999997</v>
      </c>
      <c r="AZ111" s="10">
        <v>4.8362236350000002E-4</v>
      </c>
      <c r="BA111" s="1" t="s">
        <v>26</v>
      </c>
      <c r="BB111" s="1" t="s">
        <v>26</v>
      </c>
    </row>
    <row r="112" spans="1:54" s="7" customFormat="1">
      <c r="A112" s="3" t="s">
        <v>88</v>
      </c>
      <c r="B112" s="23" t="s">
        <v>47</v>
      </c>
      <c r="C112" s="2" t="s">
        <v>26</v>
      </c>
      <c r="D112" s="1" t="s">
        <v>26</v>
      </c>
      <c r="E112" s="1" t="s">
        <v>26</v>
      </c>
      <c r="F112" s="1" t="s">
        <v>26</v>
      </c>
      <c r="G112" s="2" t="s">
        <v>26</v>
      </c>
      <c r="H112" s="1" t="s">
        <v>26</v>
      </c>
      <c r="I112" s="1" t="s">
        <v>26</v>
      </c>
      <c r="J112" s="1" t="s">
        <v>26</v>
      </c>
      <c r="K112" s="2">
        <v>88543461.659999996</v>
      </c>
      <c r="L112" s="1">
        <v>1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2">
        <v>284071036.62</v>
      </c>
      <c r="T112" s="1">
        <v>1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2">
        <v>372614498.27999997</v>
      </c>
      <c r="AF112" s="1">
        <v>1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 t="s">
        <v>26</v>
      </c>
      <c r="AV112" s="1" t="s">
        <v>26</v>
      </c>
      <c r="AW112" s="1" t="s">
        <v>26</v>
      </c>
      <c r="AX112" s="1" t="s">
        <v>26</v>
      </c>
      <c r="AY112" s="2">
        <v>372614498.27999997</v>
      </c>
      <c r="AZ112" s="1">
        <v>1</v>
      </c>
      <c r="BA112" s="1" t="s">
        <v>26</v>
      </c>
      <c r="BB112" s="1" t="s">
        <v>26</v>
      </c>
    </row>
    <row r="113" spans="1:54" s="7" customFormat="1">
      <c r="A113" s="5" t="s">
        <v>117</v>
      </c>
      <c r="B113" s="20" t="s">
        <v>25</v>
      </c>
      <c r="C113" s="9" t="s">
        <v>26</v>
      </c>
      <c r="D113" s="10" t="s">
        <v>26</v>
      </c>
      <c r="E113" s="10" t="s">
        <v>26</v>
      </c>
      <c r="F113" s="10" t="s">
        <v>26</v>
      </c>
      <c r="G113" s="9">
        <v>960689818.75999999</v>
      </c>
      <c r="H113" s="10">
        <v>5.9932498534999998E-3</v>
      </c>
      <c r="I113" s="1" t="s">
        <v>26</v>
      </c>
      <c r="J113" s="1" t="s">
        <v>26</v>
      </c>
      <c r="K113" s="9" t="s">
        <v>26</v>
      </c>
      <c r="L113" s="10" t="s">
        <v>26</v>
      </c>
      <c r="M113" s="1" t="s">
        <v>26</v>
      </c>
      <c r="N113" s="1" t="s">
        <v>26</v>
      </c>
      <c r="O113" s="9" t="s">
        <v>26</v>
      </c>
      <c r="P113" s="10" t="s">
        <v>26</v>
      </c>
      <c r="Q113" s="1" t="s">
        <v>26</v>
      </c>
      <c r="R113" s="1" t="s">
        <v>26</v>
      </c>
      <c r="S113" s="9" t="s">
        <v>26</v>
      </c>
      <c r="T113" s="10" t="s">
        <v>26</v>
      </c>
      <c r="U113" s="1" t="s">
        <v>26</v>
      </c>
      <c r="V113" s="1" t="s">
        <v>26</v>
      </c>
      <c r="W113" s="9" t="s">
        <v>26</v>
      </c>
      <c r="X113" s="10" t="s">
        <v>26</v>
      </c>
      <c r="Y113" s="10" t="s">
        <v>26</v>
      </c>
      <c r="Z113" s="10" t="s">
        <v>26</v>
      </c>
      <c r="AA113" s="9" t="s">
        <v>26</v>
      </c>
      <c r="AB113" s="10" t="s">
        <v>26</v>
      </c>
      <c r="AC113" s="1" t="s">
        <v>26</v>
      </c>
      <c r="AD113" s="1" t="s">
        <v>26</v>
      </c>
      <c r="AE113" s="9">
        <v>960689818.75999999</v>
      </c>
      <c r="AF113" s="10">
        <v>1.4122929269399999E-3</v>
      </c>
      <c r="AG113" s="1" t="s">
        <v>26</v>
      </c>
      <c r="AH113" s="1" t="s">
        <v>26</v>
      </c>
      <c r="AI113" s="9" t="s">
        <v>26</v>
      </c>
      <c r="AJ113" s="10" t="s">
        <v>26</v>
      </c>
      <c r="AK113" s="10" t="s">
        <v>26</v>
      </c>
      <c r="AL113" s="10" t="s">
        <v>26</v>
      </c>
      <c r="AM113" s="9" t="s">
        <v>26</v>
      </c>
      <c r="AN113" s="10" t="s">
        <v>26</v>
      </c>
      <c r="AO113" s="10" t="s">
        <v>26</v>
      </c>
      <c r="AP113" s="10" t="s">
        <v>26</v>
      </c>
      <c r="AQ113" s="9" t="s">
        <v>26</v>
      </c>
      <c r="AR113" s="10" t="s">
        <v>26</v>
      </c>
      <c r="AS113" s="10" t="s">
        <v>26</v>
      </c>
      <c r="AT113" s="10" t="s">
        <v>26</v>
      </c>
      <c r="AU113" s="9" t="s">
        <v>26</v>
      </c>
      <c r="AV113" s="10" t="s">
        <v>26</v>
      </c>
      <c r="AW113" s="10" t="s">
        <v>26</v>
      </c>
      <c r="AX113" s="10" t="s">
        <v>26</v>
      </c>
      <c r="AY113" s="9">
        <v>960689818.75999999</v>
      </c>
      <c r="AZ113" s="10">
        <v>1.24689480115E-3</v>
      </c>
      <c r="BA113" s="1" t="s">
        <v>26</v>
      </c>
      <c r="BB113" s="1" t="s">
        <v>26</v>
      </c>
    </row>
    <row r="114" spans="1:54" s="7" customFormat="1">
      <c r="A114" s="3" t="s">
        <v>88</v>
      </c>
      <c r="B114" s="23" t="s">
        <v>47</v>
      </c>
      <c r="C114" s="2" t="s">
        <v>26</v>
      </c>
      <c r="D114" s="1" t="s">
        <v>26</v>
      </c>
      <c r="E114" s="1" t="s">
        <v>26</v>
      </c>
      <c r="F114" s="1" t="s">
        <v>26</v>
      </c>
      <c r="G114" s="2">
        <v>960689818.75999999</v>
      </c>
      <c r="H114" s="1">
        <v>1</v>
      </c>
      <c r="I114" s="1" t="s">
        <v>26</v>
      </c>
      <c r="J114" s="1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 t="s">
        <v>26</v>
      </c>
      <c r="P114" s="1" t="s">
        <v>26</v>
      </c>
      <c r="Q114" s="1" t="s">
        <v>26</v>
      </c>
      <c r="R114" s="1" t="s">
        <v>26</v>
      </c>
      <c r="S114" s="2" t="s">
        <v>26</v>
      </c>
      <c r="T114" s="1" t="s">
        <v>26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2">
        <v>960689818.75999999</v>
      </c>
      <c r="AF114" s="1">
        <v>1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2">
        <v>960689818.75999999</v>
      </c>
      <c r="AZ114" s="1">
        <v>1</v>
      </c>
      <c r="BA114" s="1" t="s">
        <v>26</v>
      </c>
      <c r="BB114" s="1" t="s">
        <v>26</v>
      </c>
    </row>
    <row r="115" spans="1:54" s="7" customFormat="1">
      <c r="A115" s="5" t="s">
        <v>97</v>
      </c>
      <c r="B115" s="20" t="s">
        <v>25</v>
      </c>
      <c r="C115" s="9" t="s">
        <v>26</v>
      </c>
      <c r="D115" s="10" t="s">
        <v>26</v>
      </c>
      <c r="E115" s="10" t="s">
        <v>26</v>
      </c>
      <c r="F115" s="10" t="s">
        <v>26</v>
      </c>
      <c r="G115" s="9">
        <v>726412566.00999999</v>
      </c>
      <c r="H115" s="10">
        <v>4.5317145240899998E-3</v>
      </c>
      <c r="I115" s="1" t="s">
        <v>26</v>
      </c>
      <c r="J115" s="1" t="s">
        <v>26</v>
      </c>
      <c r="K115" s="9" t="s">
        <v>26</v>
      </c>
      <c r="L115" s="10" t="s">
        <v>26</v>
      </c>
      <c r="M115" s="1" t="s">
        <v>26</v>
      </c>
      <c r="N115" s="1" t="s">
        <v>26</v>
      </c>
      <c r="O115" s="9">
        <v>2093671802.6700001</v>
      </c>
      <c r="P115" s="10">
        <v>8.7854455661600002E-3</v>
      </c>
      <c r="Q115" s="1" t="s">
        <v>26</v>
      </c>
      <c r="R115" s="1" t="s">
        <v>26</v>
      </c>
      <c r="S115" s="9">
        <v>110397955.87</v>
      </c>
      <c r="T115" s="10">
        <v>9.3791110432000005E-4</v>
      </c>
      <c r="U115" s="1" t="s">
        <v>26</v>
      </c>
      <c r="V115" s="1" t="s">
        <v>26</v>
      </c>
      <c r="W115" s="9" t="s">
        <v>26</v>
      </c>
      <c r="X115" s="10" t="s">
        <v>26</v>
      </c>
      <c r="Y115" s="10" t="s">
        <v>26</v>
      </c>
      <c r="Z115" s="10" t="s">
        <v>26</v>
      </c>
      <c r="AA115" s="9" t="s">
        <v>26</v>
      </c>
      <c r="AB115" s="10" t="s">
        <v>26</v>
      </c>
      <c r="AC115" s="1" t="s">
        <v>26</v>
      </c>
      <c r="AD115" s="1" t="s">
        <v>26</v>
      </c>
      <c r="AE115" s="9">
        <v>2930482324.5500002</v>
      </c>
      <c r="AF115" s="10">
        <v>4.3080496729300003E-3</v>
      </c>
      <c r="AG115" s="1" t="s">
        <v>26</v>
      </c>
      <c r="AH115" s="1" t="s">
        <v>26</v>
      </c>
      <c r="AI115" s="9" t="s">
        <v>26</v>
      </c>
      <c r="AJ115" s="10" t="s">
        <v>26</v>
      </c>
      <c r="AK115" s="10" t="s">
        <v>26</v>
      </c>
      <c r="AL115" s="10" t="s">
        <v>26</v>
      </c>
      <c r="AM115" s="9" t="s">
        <v>26</v>
      </c>
      <c r="AN115" s="10" t="s">
        <v>26</v>
      </c>
      <c r="AO115" s="10" t="s">
        <v>26</v>
      </c>
      <c r="AP115" s="10" t="s">
        <v>26</v>
      </c>
      <c r="AQ115" s="9" t="s">
        <v>26</v>
      </c>
      <c r="AR115" s="10" t="s">
        <v>26</v>
      </c>
      <c r="AS115" s="10" t="s">
        <v>26</v>
      </c>
      <c r="AT115" s="10" t="s">
        <v>26</v>
      </c>
      <c r="AU115" s="9" t="s">
        <v>26</v>
      </c>
      <c r="AV115" s="10" t="s">
        <v>26</v>
      </c>
      <c r="AW115" s="10" t="s">
        <v>26</v>
      </c>
      <c r="AX115" s="10" t="s">
        <v>26</v>
      </c>
      <c r="AY115" s="9">
        <v>2930482324.5500002</v>
      </c>
      <c r="AZ115" s="10">
        <v>3.8035202455299999E-3</v>
      </c>
      <c r="BA115" s="1" t="s">
        <v>26</v>
      </c>
      <c r="BB115" s="1" t="s">
        <v>26</v>
      </c>
    </row>
    <row r="116" spans="1:54" s="7" customFormat="1">
      <c r="A116" s="3" t="s">
        <v>88</v>
      </c>
      <c r="B116" s="23" t="s">
        <v>47</v>
      </c>
      <c r="C116" s="2" t="s">
        <v>26</v>
      </c>
      <c r="D116" s="1" t="s">
        <v>26</v>
      </c>
      <c r="E116" s="1" t="s">
        <v>26</v>
      </c>
      <c r="F116" s="1" t="s">
        <v>26</v>
      </c>
      <c r="G116" s="2">
        <v>726412566.00999999</v>
      </c>
      <c r="H116" s="1">
        <v>1</v>
      </c>
      <c r="I116" s="1" t="s">
        <v>26</v>
      </c>
      <c r="J116" s="1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2">
        <v>2093671802.6700001</v>
      </c>
      <c r="P116" s="1">
        <v>1</v>
      </c>
      <c r="Q116" s="1" t="s">
        <v>26</v>
      </c>
      <c r="R116" s="1" t="s">
        <v>26</v>
      </c>
      <c r="S116" s="2">
        <v>110397955.87</v>
      </c>
      <c r="T116" s="1">
        <v>1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2">
        <v>2930482324.5500002</v>
      </c>
      <c r="AF116" s="1">
        <v>1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2">
        <v>2930482324.5500002</v>
      </c>
      <c r="AZ116" s="1">
        <v>1</v>
      </c>
      <c r="BA116" s="1" t="s">
        <v>26</v>
      </c>
      <c r="BB116" s="1" t="s">
        <v>26</v>
      </c>
    </row>
    <row r="117" spans="1:54" s="7" customFormat="1">
      <c r="A117" s="5" t="s">
        <v>98</v>
      </c>
      <c r="B117" s="20" t="s">
        <v>25</v>
      </c>
      <c r="C117" s="9" t="s">
        <v>26</v>
      </c>
      <c r="D117" s="10" t="s">
        <v>26</v>
      </c>
      <c r="E117" s="10" t="s">
        <v>26</v>
      </c>
      <c r="F117" s="10" t="s">
        <v>26</v>
      </c>
      <c r="G117" s="9">
        <v>1496210226.6199999</v>
      </c>
      <c r="H117" s="10">
        <v>9.3340863475200007E-3</v>
      </c>
      <c r="I117" s="1" t="s">
        <v>26</v>
      </c>
      <c r="J117" s="1" t="s">
        <v>26</v>
      </c>
      <c r="K117" s="9" t="s">
        <v>26</v>
      </c>
      <c r="L117" s="10" t="s">
        <v>26</v>
      </c>
      <c r="M117" s="1" t="s">
        <v>26</v>
      </c>
      <c r="N117" s="1" t="s">
        <v>26</v>
      </c>
      <c r="O117" s="9">
        <v>3564830356.1399999</v>
      </c>
      <c r="P117" s="10">
        <v>1.495870699817E-2</v>
      </c>
      <c r="Q117" s="1" t="s">
        <v>26</v>
      </c>
      <c r="R117" s="1" t="s">
        <v>26</v>
      </c>
      <c r="S117" s="9">
        <v>998152499.72000003</v>
      </c>
      <c r="T117" s="10">
        <v>8.4800330397199995E-3</v>
      </c>
      <c r="U117" s="1" t="s">
        <v>26</v>
      </c>
      <c r="V117" s="1" t="s">
        <v>26</v>
      </c>
      <c r="W117" s="9" t="s">
        <v>26</v>
      </c>
      <c r="X117" s="10" t="s">
        <v>26</v>
      </c>
      <c r="Y117" s="10" t="s">
        <v>26</v>
      </c>
      <c r="Z117" s="10" t="s">
        <v>26</v>
      </c>
      <c r="AA117" s="9" t="s">
        <v>26</v>
      </c>
      <c r="AB117" s="10" t="s">
        <v>26</v>
      </c>
      <c r="AC117" s="1" t="s">
        <v>26</v>
      </c>
      <c r="AD117" s="1" t="s">
        <v>26</v>
      </c>
      <c r="AE117" s="9">
        <v>6059193082.4799995</v>
      </c>
      <c r="AF117" s="10">
        <v>8.9075114217499994E-3</v>
      </c>
      <c r="AG117" s="1" t="s">
        <v>26</v>
      </c>
      <c r="AH117" s="1" t="s">
        <v>26</v>
      </c>
      <c r="AI117" s="9" t="s">
        <v>26</v>
      </c>
      <c r="AJ117" s="10" t="s">
        <v>26</v>
      </c>
      <c r="AK117" s="10" t="s">
        <v>26</v>
      </c>
      <c r="AL117" s="10" t="s">
        <v>26</v>
      </c>
      <c r="AM117" s="9" t="s">
        <v>26</v>
      </c>
      <c r="AN117" s="10" t="s">
        <v>26</v>
      </c>
      <c r="AO117" s="10" t="s">
        <v>26</v>
      </c>
      <c r="AP117" s="10" t="s">
        <v>26</v>
      </c>
      <c r="AQ117" s="9" t="s">
        <v>26</v>
      </c>
      <c r="AR117" s="10" t="s">
        <v>26</v>
      </c>
      <c r="AS117" s="10" t="s">
        <v>26</v>
      </c>
      <c r="AT117" s="10" t="s">
        <v>26</v>
      </c>
      <c r="AU117" s="9">
        <v>998152499.72000003</v>
      </c>
      <c r="AV117" s="10">
        <v>2.0670377833029999E-2</v>
      </c>
      <c r="AW117" s="10">
        <v>0.15</v>
      </c>
      <c r="AX117" s="10">
        <v>0.12932962216697</v>
      </c>
      <c r="AY117" s="9">
        <v>7057345582.1999998</v>
      </c>
      <c r="AZ117" s="10">
        <v>9.1598425886300003E-3</v>
      </c>
      <c r="BA117" s="1" t="s">
        <v>26</v>
      </c>
      <c r="BB117" s="1" t="s">
        <v>26</v>
      </c>
    </row>
    <row r="118" spans="1:54" s="7" customFormat="1">
      <c r="A118" s="3" t="s">
        <v>88</v>
      </c>
      <c r="B118" s="23" t="s">
        <v>40</v>
      </c>
      <c r="C118" s="2" t="s">
        <v>26</v>
      </c>
      <c r="D118" s="1" t="s">
        <v>26</v>
      </c>
      <c r="E118" s="1" t="s">
        <v>26</v>
      </c>
      <c r="F118" s="1" t="s">
        <v>26</v>
      </c>
      <c r="G118" s="2">
        <v>1496210226.6199999</v>
      </c>
      <c r="H118" s="1">
        <v>1</v>
      </c>
      <c r="I118" s="1" t="s">
        <v>26</v>
      </c>
      <c r="J118" s="1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2">
        <v>3564830356.1399999</v>
      </c>
      <c r="P118" s="1">
        <v>1</v>
      </c>
      <c r="Q118" s="1" t="s">
        <v>26</v>
      </c>
      <c r="R118" s="1" t="s">
        <v>26</v>
      </c>
      <c r="S118" s="2">
        <v>998152499.72000003</v>
      </c>
      <c r="T118" s="1">
        <v>1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" t="s">
        <v>26</v>
      </c>
      <c r="AD118" s="1" t="s">
        <v>26</v>
      </c>
      <c r="AE118" s="2">
        <v>6059193082.4799995</v>
      </c>
      <c r="AF118" s="1">
        <v>1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2">
        <v>998152499.72000003</v>
      </c>
      <c r="AV118" s="1">
        <v>1</v>
      </c>
      <c r="AW118" s="1" t="s">
        <v>26</v>
      </c>
      <c r="AX118" s="1" t="s">
        <v>26</v>
      </c>
      <c r="AY118" s="2">
        <v>7057345582.1999998</v>
      </c>
      <c r="AZ118" s="1">
        <v>1</v>
      </c>
      <c r="BA118" s="1" t="s">
        <v>26</v>
      </c>
      <c r="BB118" s="1" t="s">
        <v>26</v>
      </c>
    </row>
    <row r="119" spans="1:54" s="7" customFormat="1">
      <c r="A119" s="5" t="s">
        <v>99</v>
      </c>
      <c r="B119" s="20" t="s">
        <v>25</v>
      </c>
      <c r="C119" s="9" t="s">
        <v>26</v>
      </c>
      <c r="D119" s="10" t="s">
        <v>26</v>
      </c>
      <c r="E119" s="10" t="s">
        <v>26</v>
      </c>
      <c r="F119" s="10" t="s">
        <v>26</v>
      </c>
      <c r="G119" s="9">
        <v>565566146</v>
      </c>
      <c r="H119" s="10">
        <v>3.5282764066700001E-3</v>
      </c>
      <c r="I119" s="1" t="s">
        <v>26</v>
      </c>
      <c r="J119" s="1" t="s">
        <v>26</v>
      </c>
      <c r="K119" s="9" t="s">
        <v>26</v>
      </c>
      <c r="L119" s="10" t="s">
        <v>26</v>
      </c>
      <c r="M119" s="1" t="s">
        <v>26</v>
      </c>
      <c r="N119" s="1" t="s">
        <v>26</v>
      </c>
      <c r="O119" s="9">
        <v>784202706.72000003</v>
      </c>
      <c r="P119" s="10">
        <v>3.29066388721E-3</v>
      </c>
      <c r="Q119" s="1" t="s">
        <v>26</v>
      </c>
      <c r="R119" s="1" t="s">
        <v>26</v>
      </c>
      <c r="S119" s="9">
        <v>261517785.91</v>
      </c>
      <c r="T119" s="10">
        <v>2.2217842119500002E-3</v>
      </c>
      <c r="U119" s="1" t="s">
        <v>26</v>
      </c>
      <c r="V119" s="1" t="s">
        <v>26</v>
      </c>
      <c r="W119" s="9" t="s">
        <v>26</v>
      </c>
      <c r="X119" s="10" t="s">
        <v>26</v>
      </c>
      <c r="Y119" s="10" t="s">
        <v>26</v>
      </c>
      <c r="Z119" s="10" t="s">
        <v>26</v>
      </c>
      <c r="AA119" s="9">
        <v>848349219</v>
      </c>
      <c r="AB119" s="10">
        <v>5.7811677688799998E-3</v>
      </c>
      <c r="AC119" s="1" t="s">
        <v>26</v>
      </c>
      <c r="AD119" s="1" t="s">
        <v>26</v>
      </c>
      <c r="AE119" s="9">
        <v>2459635857.6300001</v>
      </c>
      <c r="AF119" s="10">
        <v>3.6158666999000001E-3</v>
      </c>
      <c r="AG119" s="1" t="s">
        <v>26</v>
      </c>
      <c r="AH119" s="1" t="s">
        <v>26</v>
      </c>
      <c r="AI119" s="9" t="s">
        <v>26</v>
      </c>
      <c r="AJ119" s="10" t="s">
        <v>26</v>
      </c>
      <c r="AK119" s="10" t="s">
        <v>26</v>
      </c>
      <c r="AL119" s="10" t="s">
        <v>26</v>
      </c>
      <c r="AM119" s="9" t="s">
        <v>26</v>
      </c>
      <c r="AN119" s="10" t="s">
        <v>26</v>
      </c>
      <c r="AO119" s="10" t="s">
        <v>26</v>
      </c>
      <c r="AP119" s="10" t="s">
        <v>26</v>
      </c>
      <c r="AQ119" s="9" t="s">
        <v>26</v>
      </c>
      <c r="AR119" s="10" t="s">
        <v>26</v>
      </c>
      <c r="AS119" s="10" t="s">
        <v>26</v>
      </c>
      <c r="AT119" s="10" t="s">
        <v>26</v>
      </c>
      <c r="AU119" s="9" t="s">
        <v>26</v>
      </c>
      <c r="AV119" s="10" t="s">
        <v>26</v>
      </c>
      <c r="AW119" s="10" t="s">
        <v>26</v>
      </c>
      <c r="AX119" s="10" t="s">
        <v>26</v>
      </c>
      <c r="AY119" s="9">
        <v>2459635857.6300001</v>
      </c>
      <c r="AZ119" s="10">
        <v>3.1924010265399999E-3</v>
      </c>
      <c r="BA119" s="1" t="s">
        <v>26</v>
      </c>
      <c r="BB119" s="1" t="s">
        <v>26</v>
      </c>
    </row>
    <row r="120" spans="1:54" s="7" customFormat="1">
      <c r="A120" s="3" t="s">
        <v>88</v>
      </c>
      <c r="B120" s="23" t="s">
        <v>47</v>
      </c>
      <c r="C120" s="2" t="s">
        <v>26</v>
      </c>
      <c r="D120" s="1" t="s">
        <v>26</v>
      </c>
      <c r="E120" s="1" t="s">
        <v>26</v>
      </c>
      <c r="F120" s="1" t="s">
        <v>26</v>
      </c>
      <c r="G120" s="2">
        <v>565566146</v>
      </c>
      <c r="H120" s="1">
        <v>1</v>
      </c>
      <c r="I120" s="1" t="s">
        <v>26</v>
      </c>
      <c r="J120" s="1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2">
        <v>784202706.72000003</v>
      </c>
      <c r="P120" s="1">
        <v>1</v>
      </c>
      <c r="Q120" s="1" t="s">
        <v>26</v>
      </c>
      <c r="R120" s="1" t="s">
        <v>26</v>
      </c>
      <c r="S120" s="2">
        <v>261517785.91</v>
      </c>
      <c r="T120" s="1">
        <v>1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45">
        <v>848349220</v>
      </c>
      <c r="AB120" s="46">
        <v>2</v>
      </c>
      <c r="AC120" s="1" t="s">
        <v>26</v>
      </c>
      <c r="AD120" s="1" t="s">
        <v>26</v>
      </c>
      <c r="AE120" s="2">
        <v>2459635857.6300001</v>
      </c>
      <c r="AF120" s="1">
        <v>1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2">
        <v>2459635857.6300001</v>
      </c>
      <c r="AZ120" s="1">
        <v>1</v>
      </c>
      <c r="BA120" s="1" t="s">
        <v>26</v>
      </c>
      <c r="BB120" s="1" t="s">
        <v>26</v>
      </c>
    </row>
    <row r="121" spans="1:54" s="7" customFormat="1">
      <c r="A121" s="5" t="s">
        <v>100</v>
      </c>
      <c r="B121" s="20" t="s">
        <v>25</v>
      </c>
      <c r="C121" s="9" t="s">
        <v>26</v>
      </c>
      <c r="D121" s="10" t="s">
        <v>26</v>
      </c>
      <c r="E121" s="10" t="s">
        <v>26</v>
      </c>
      <c r="F121" s="10" t="s">
        <v>26</v>
      </c>
      <c r="G121" s="9" t="s">
        <v>26</v>
      </c>
      <c r="H121" s="10" t="s">
        <v>26</v>
      </c>
      <c r="I121" s="1" t="s">
        <v>26</v>
      </c>
      <c r="J121" s="1" t="s">
        <v>26</v>
      </c>
      <c r="K121" s="9" t="s">
        <v>26</v>
      </c>
      <c r="L121" s="10" t="s">
        <v>26</v>
      </c>
      <c r="M121" s="1" t="s">
        <v>26</v>
      </c>
      <c r="N121" s="1" t="s">
        <v>26</v>
      </c>
      <c r="O121" s="9">
        <v>372846724.74000001</v>
      </c>
      <c r="P121" s="10">
        <v>1.5645358553999999E-3</v>
      </c>
      <c r="Q121" s="1" t="s">
        <v>26</v>
      </c>
      <c r="R121" s="1" t="s">
        <v>26</v>
      </c>
      <c r="S121" s="9" t="s">
        <v>26</v>
      </c>
      <c r="T121" s="10" t="s">
        <v>26</v>
      </c>
      <c r="U121" s="1" t="s">
        <v>26</v>
      </c>
      <c r="V121" s="1" t="s">
        <v>26</v>
      </c>
      <c r="W121" s="9" t="s">
        <v>26</v>
      </c>
      <c r="X121" s="10" t="s">
        <v>26</v>
      </c>
      <c r="Y121" s="10" t="s">
        <v>26</v>
      </c>
      <c r="Z121" s="10" t="s">
        <v>26</v>
      </c>
      <c r="AA121" s="9" t="s">
        <v>26</v>
      </c>
      <c r="AB121" s="10" t="s">
        <v>26</v>
      </c>
      <c r="AC121" s="1" t="s">
        <v>26</v>
      </c>
      <c r="AD121" s="1" t="s">
        <v>26</v>
      </c>
      <c r="AE121" s="9">
        <v>372846724.74000001</v>
      </c>
      <c r="AF121" s="10">
        <v>5.4811530413E-4</v>
      </c>
      <c r="AG121" s="1" t="s">
        <v>26</v>
      </c>
      <c r="AH121" s="1" t="s">
        <v>26</v>
      </c>
      <c r="AI121" s="9" t="s">
        <v>26</v>
      </c>
      <c r="AJ121" s="10" t="s">
        <v>26</v>
      </c>
      <c r="AK121" s="10" t="s">
        <v>26</v>
      </c>
      <c r="AL121" s="10" t="s">
        <v>26</v>
      </c>
      <c r="AM121" s="9" t="s">
        <v>26</v>
      </c>
      <c r="AN121" s="10" t="s">
        <v>26</v>
      </c>
      <c r="AO121" s="10" t="s">
        <v>26</v>
      </c>
      <c r="AP121" s="10" t="s">
        <v>26</v>
      </c>
      <c r="AQ121" s="9" t="s">
        <v>26</v>
      </c>
      <c r="AR121" s="10" t="s">
        <v>26</v>
      </c>
      <c r="AS121" s="10" t="s">
        <v>26</v>
      </c>
      <c r="AT121" s="10" t="s">
        <v>26</v>
      </c>
      <c r="AU121" s="9" t="s">
        <v>26</v>
      </c>
      <c r="AV121" s="10" t="s">
        <v>26</v>
      </c>
      <c r="AW121" s="10" t="s">
        <v>26</v>
      </c>
      <c r="AX121" s="10" t="s">
        <v>26</v>
      </c>
      <c r="AY121" s="9">
        <v>372846724.74000001</v>
      </c>
      <c r="AZ121" s="10">
        <v>4.8392377396000002E-4</v>
      </c>
      <c r="BA121" s="1" t="s">
        <v>26</v>
      </c>
      <c r="BB121" s="1" t="s">
        <v>26</v>
      </c>
    </row>
    <row r="122" spans="1:54" s="28" customFormat="1">
      <c r="A122" s="3" t="s">
        <v>88</v>
      </c>
      <c r="B122" s="23" t="s">
        <v>57</v>
      </c>
      <c r="C122" s="2" t="s">
        <v>26</v>
      </c>
      <c r="D122" s="1" t="s">
        <v>26</v>
      </c>
      <c r="E122" s="1" t="s">
        <v>26</v>
      </c>
      <c r="F122" s="1" t="s">
        <v>26</v>
      </c>
      <c r="G122" s="2" t="s">
        <v>26</v>
      </c>
      <c r="H122" s="1" t="s">
        <v>26</v>
      </c>
      <c r="I122" s="1" t="s">
        <v>26</v>
      </c>
      <c r="J122" s="1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2">
        <v>372846724.74000001</v>
      </c>
      <c r="P122" s="1">
        <v>1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2">
        <v>372846724.74000001</v>
      </c>
      <c r="AF122" s="1">
        <v>1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2">
        <v>372846724.74000001</v>
      </c>
      <c r="AZ122" s="1">
        <v>1</v>
      </c>
      <c r="BA122" s="1" t="s">
        <v>26</v>
      </c>
      <c r="BB122" s="1" t="s">
        <v>26</v>
      </c>
    </row>
    <row r="123" spans="1:54" s="7" customFormat="1">
      <c r="A123" s="5" t="s">
        <v>101</v>
      </c>
      <c r="B123" s="20" t="s">
        <v>25</v>
      </c>
      <c r="C123" s="9" t="s">
        <v>26</v>
      </c>
      <c r="D123" s="10" t="s">
        <v>26</v>
      </c>
      <c r="E123" s="10" t="s">
        <v>26</v>
      </c>
      <c r="F123" s="10" t="s">
        <v>26</v>
      </c>
      <c r="G123" s="9" t="s">
        <v>26</v>
      </c>
      <c r="H123" s="10" t="s">
        <v>26</v>
      </c>
      <c r="I123" s="1" t="s">
        <v>26</v>
      </c>
      <c r="J123" s="1" t="s">
        <v>26</v>
      </c>
      <c r="K123" s="9" t="s">
        <v>26</v>
      </c>
      <c r="L123" s="10" t="s">
        <v>26</v>
      </c>
      <c r="M123" s="1" t="s">
        <v>26</v>
      </c>
      <c r="N123" s="1" t="s">
        <v>26</v>
      </c>
      <c r="O123" s="9">
        <v>32321463.07</v>
      </c>
      <c r="P123" s="10">
        <v>1.3562701377000001E-4</v>
      </c>
      <c r="Q123" s="1" t="s">
        <v>26</v>
      </c>
      <c r="R123" s="1" t="s">
        <v>26</v>
      </c>
      <c r="S123" s="9" t="s">
        <v>26</v>
      </c>
      <c r="T123" s="10" t="s">
        <v>26</v>
      </c>
      <c r="U123" s="1" t="s">
        <v>26</v>
      </c>
      <c r="V123" s="1" t="s">
        <v>26</v>
      </c>
      <c r="W123" s="9" t="s">
        <v>26</v>
      </c>
      <c r="X123" s="10" t="s">
        <v>26</v>
      </c>
      <c r="Y123" s="10" t="s">
        <v>26</v>
      </c>
      <c r="Z123" s="10" t="s">
        <v>26</v>
      </c>
      <c r="AA123" s="9" t="s">
        <v>26</v>
      </c>
      <c r="AB123" s="10" t="s">
        <v>26</v>
      </c>
      <c r="AC123" s="1" t="s">
        <v>26</v>
      </c>
      <c r="AD123" s="1" t="s">
        <v>26</v>
      </c>
      <c r="AE123" s="9">
        <v>32321463.07</v>
      </c>
      <c r="AF123" s="10">
        <v>4.7515205000000002E-5</v>
      </c>
      <c r="AG123" s="1" t="s">
        <v>26</v>
      </c>
      <c r="AH123" s="1" t="s">
        <v>26</v>
      </c>
      <c r="AI123" s="9" t="s">
        <v>26</v>
      </c>
      <c r="AJ123" s="10" t="s">
        <v>26</v>
      </c>
      <c r="AK123" s="10" t="s">
        <v>26</v>
      </c>
      <c r="AL123" s="10" t="s">
        <v>26</v>
      </c>
      <c r="AM123" s="9" t="s">
        <v>26</v>
      </c>
      <c r="AN123" s="10" t="s">
        <v>26</v>
      </c>
      <c r="AO123" s="10" t="s">
        <v>26</v>
      </c>
      <c r="AP123" s="10" t="s">
        <v>26</v>
      </c>
      <c r="AQ123" s="9" t="s">
        <v>26</v>
      </c>
      <c r="AR123" s="10" t="s">
        <v>26</v>
      </c>
      <c r="AS123" s="10" t="s">
        <v>26</v>
      </c>
      <c r="AT123" s="10" t="s">
        <v>26</v>
      </c>
      <c r="AU123" s="9" t="s">
        <v>26</v>
      </c>
      <c r="AV123" s="10" t="s">
        <v>26</v>
      </c>
      <c r="AW123" s="10" t="s">
        <v>26</v>
      </c>
      <c r="AX123" s="10" t="s">
        <v>26</v>
      </c>
      <c r="AY123" s="9">
        <v>32321463.07</v>
      </c>
      <c r="AZ123" s="10">
        <v>4.195054791E-5</v>
      </c>
      <c r="BA123" s="1" t="s">
        <v>26</v>
      </c>
      <c r="BB123" s="1" t="s">
        <v>26</v>
      </c>
    </row>
    <row r="124" spans="1:54" s="7" customFormat="1">
      <c r="A124" s="3" t="s">
        <v>88</v>
      </c>
      <c r="B124" s="23" t="s">
        <v>57</v>
      </c>
      <c r="C124" s="2" t="s">
        <v>26</v>
      </c>
      <c r="D124" s="1" t="s">
        <v>26</v>
      </c>
      <c r="E124" s="1" t="s">
        <v>26</v>
      </c>
      <c r="F124" s="1" t="s">
        <v>26</v>
      </c>
      <c r="G124" s="2" t="s">
        <v>26</v>
      </c>
      <c r="H124" s="1" t="s">
        <v>26</v>
      </c>
      <c r="I124" s="1" t="s">
        <v>26</v>
      </c>
      <c r="J124" s="1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2">
        <v>32321463.07</v>
      </c>
      <c r="P124" s="1">
        <v>1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2">
        <v>32321463.07</v>
      </c>
      <c r="AF124" s="1">
        <v>1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2">
        <v>32321463.07</v>
      </c>
      <c r="AZ124" s="1">
        <v>1</v>
      </c>
      <c r="BA124" s="1" t="s">
        <v>26</v>
      </c>
      <c r="BB124" s="1" t="s">
        <v>26</v>
      </c>
    </row>
    <row r="125" spans="1:54" s="7" customFormat="1">
      <c r="A125" s="5" t="s">
        <v>102</v>
      </c>
      <c r="B125" s="20" t="s">
        <v>25</v>
      </c>
      <c r="C125" s="9" t="s">
        <v>26</v>
      </c>
      <c r="D125" s="10" t="s">
        <v>26</v>
      </c>
      <c r="E125" s="10" t="s">
        <v>26</v>
      </c>
      <c r="F125" s="10" t="s">
        <v>26</v>
      </c>
      <c r="G125" s="9" t="s">
        <v>26</v>
      </c>
      <c r="H125" s="10" t="s">
        <v>26</v>
      </c>
      <c r="I125" s="1" t="s">
        <v>26</v>
      </c>
      <c r="J125" s="1" t="s">
        <v>26</v>
      </c>
      <c r="K125" s="9" t="s">
        <v>26</v>
      </c>
      <c r="L125" s="10" t="s">
        <v>26</v>
      </c>
      <c r="M125" s="1" t="s">
        <v>26</v>
      </c>
      <c r="N125" s="1" t="s">
        <v>26</v>
      </c>
      <c r="O125" s="9">
        <v>1822591377.9200001</v>
      </c>
      <c r="P125" s="10">
        <v>7.6479404841100001E-3</v>
      </c>
      <c r="Q125" s="1" t="s">
        <v>26</v>
      </c>
      <c r="R125" s="1" t="s">
        <v>26</v>
      </c>
      <c r="S125" s="9" t="s">
        <v>26</v>
      </c>
      <c r="T125" s="10" t="s">
        <v>26</v>
      </c>
      <c r="U125" s="1" t="s">
        <v>26</v>
      </c>
      <c r="V125" s="1" t="s">
        <v>26</v>
      </c>
      <c r="W125" s="9" t="s">
        <v>26</v>
      </c>
      <c r="X125" s="10" t="s">
        <v>26</v>
      </c>
      <c r="Y125" s="10" t="s">
        <v>26</v>
      </c>
      <c r="Z125" s="10" t="s">
        <v>26</v>
      </c>
      <c r="AA125" s="9" t="s">
        <v>26</v>
      </c>
      <c r="AB125" s="10" t="s">
        <v>26</v>
      </c>
      <c r="AC125" s="1" t="s">
        <v>26</v>
      </c>
      <c r="AD125" s="1" t="s">
        <v>26</v>
      </c>
      <c r="AE125" s="9">
        <v>1822591377.9200001</v>
      </c>
      <c r="AF125" s="10">
        <v>2.6793589996199998E-3</v>
      </c>
      <c r="AG125" s="1" t="s">
        <v>26</v>
      </c>
      <c r="AH125" s="1" t="s">
        <v>26</v>
      </c>
      <c r="AI125" s="9" t="s">
        <v>26</v>
      </c>
      <c r="AJ125" s="10" t="s">
        <v>26</v>
      </c>
      <c r="AK125" s="10" t="s">
        <v>26</v>
      </c>
      <c r="AL125" s="10" t="s">
        <v>26</v>
      </c>
      <c r="AM125" s="9" t="s">
        <v>26</v>
      </c>
      <c r="AN125" s="10" t="s">
        <v>26</v>
      </c>
      <c r="AO125" s="10" t="s">
        <v>26</v>
      </c>
      <c r="AP125" s="10" t="s">
        <v>26</v>
      </c>
      <c r="AQ125" s="9" t="s">
        <v>26</v>
      </c>
      <c r="AR125" s="10" t="s">
        <v>26</v>
      </c>
      <c r="AS125" s="10" t="s">
        <v>26</v>
      </c>
      <c r="AT125" s="10" t="s">
        <v>26</v>
      </c>
      <c r="AU125" s="9" t="s">
        <v>26</v>
      </c>
      <c r="AV125" s="10" t="s">
        <v>26</v>
      </c>
      <c r="AW125" s="10" t="s">
        <v>26</v>
      </c>
      <c r="AX125" s="10" t="s">
        <v>26</v>
      </c>
      <c r="AY125" s="9">
        <v>1822591377.9200001</v>
      </c>
      <c r="AZ125" s="10">
        <v>2.3655707277900001E-3</v>
      </c>
      <c r="BA125" s="1" t="s">
        <v>26</v>
      </c>
      <c r="BB125" s="1" t="s">
        <v>26</v>
      </c>
    </row>
    <row r="126" spans="1:54" s="7" customFormat="1">
      <c r="A126" s="3" t="s">
        <v>88</v>
      </c>
      <c r="B126" s="23" t="s">
        <v>47</v>
      </c>
      <c r="C126" s="2" t="s">
        <v>26</v>
      </c>
      <c r="D126" s="1" t="s">
        <v>26</v>
      </c>
      <c r="E126" s="1" t="s">
        <v>26</v>
      </c>
      <c r="F126" s="1" t="s">
        <v>26</v>
      </c>
      <c r="G126" s="2" t="s">
        <v>26</v>
      </c>
      <c r="H126" s="1" t="s">
        <v>26</v>
      </c>
      <c r="I126" s="1" t="s">
        <v>26</v>
      </c>
      <c r="J126" s="1" t="s">
        <v>26</v>
      </c>
      <c r="K126" s="2" t="s">
        <v>26</v>
      </c>
      <c r="L126" s="1" t="s">
        <v>26</v>
      </c>
      <c r="M126" s="1" t="s">
        <v>26</v>
      </c>
      <c r="N126" s="1" t="s">
        <v>26</v>
      </c>
      <c r="O126" s="2">
        <v>1822591377.9200001</v>
      </c>
      <c r="P126" s="1">
        <v>1</v>
      </c>
      <c r="Q126" s="1" t="s">
        <v>26</v>
      </c>
      <c r="R126" s="1" t="s">
        <v>26</v>
      </c>
      <c r="S126" s="2" t="s">
        <v>26</v>
      </c>
      <c r="T126" s="1" t="s">
        <v>26</v>
      </c>
      <c r="U126" s="1" t="s">
        <v>26</v>
      </c>
      <c r="V126" s="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2">
        <v>1822591377.9200001</v>
      </c>
      <c r="AF126" s="1">
        <v>1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2">
        <v>1822591377.9200001</v>
      </c>
      <c r="AZ126" s="1">
        <v>1</v>
      </c>
      <c r="BA126" s="1" t="s">
        <v>26</v>
      </c>
      <c r="BB126" s="1" t="s">
        <v>26</v>
      </c>
    </row>
    <row r="127" spans="1:54" s="7" customFormat="1">
      <c r="A127" s="5" t="s">
        <v>103</v>
      </c>
      <c r="B127" s="20" t="s">
        <v>25</v>
      </c>
      <c r="C127" s="9" t="s">
        <v>26</v>
      </c>
      <c r="D127" s="10" t="s">
        <v>26</v>
      </c>
      <c r="E127" s="10" t="s">
        <v>26</v>
      </c>
      <c r="F127" s="10" t="s">
        <v>26</v>
      </c>
      <c r="G127" s="9" t="s">
        <v>26</v>
      </c>
      <c r="H127" s="10" t="s">
        <v>26</v>
      </c>
      <c r="I127" s="1" t="s">
        <v>26</v>
      </c>
      <c r="J127" s="1" t="s">
        <v>26</v>
      </c>
      <c r="K127" s="9" t="s">
        <v>26</v>
      </c>
      <c r="L127" s="10" t="s">
        <v>26</v>
      </c>
      <c r="M127" s="1" t="s">
        <v>26</v>
      </c>
      <c r="N127" s="1" t="s">
        <v>26</v>
      </c>
      <c r="O127" s="9">
        <v>612845711.5</v>
      </c>
      <c r="P127" s="10">
        <v>2.57161730505E-3</v>
      </c>
      <c r="Q127" s="1" t="s">
        <v>26</v>
      </c>
      <c r="R127" s="1" t="s">
        <v>26</v>
      </c>
      <c r="S127" s="9" t="s">
        <v>26</v>
      </c>
      <c r="T127" s="10" t="s">
        <v>26</v>
      </c>
      <c r="U127" s="1" t="s">
        <v>26</v>
      </c>
      <c r="V127" s="1" t="s">
        <v>26</v>
      </c>
      <c r="W127" s="9" t="s">
        <v>26</v>
      </c>
      <c r="X127" s="10" t="s">
        <v>26</v>
      </c>
      <c r="Y127" s="10" t="s">
        <v>26</v>
      </c>
      <c r="Z127" s="10" t="s">
        <v>26</v>
      </c>
      <c r="AA127" s="9" t="s">
        <v>26</v>
      </c>
      <c r="AB127" s="10" t="s">
        <v>26</v>
      </c>
      <c r="AC127" s="1" t="s">
        <v>26</v>
      </c>
      <c r="AD127" s="1" t="s">
        <v>26</v>
      </c>
      <c r="AE127" s="9">
        <v>612845711.5</v>
      </c>
      <c r="AF127" s="10">
        <v>9.0093352376000003E-4</v>
      </c>
      <c r="AG127" s="1" t="s">
        <v>26</v>
      </c>
      <c r="AH127" s="1" t="s">
        <v>26</v>
      </c>
      <c r="AI127" s="9" t="s">
        <v>26</v>
      </c>
      <c r="AJ127" s="10" t="s">
        <v>26</v>
      </c>
      <c r="AK127" s="10" t="s">
        <v>26</v>
      </c>
      <c r="AL127" s="10" t="s">
        <v>26</v>
      </c>
      <c r="AM127" s="9" t="s">
        <v>26</v>
      </c>
      <c r="AN127" s="10" t="s">
        <v>26</v>
      </c>
      <c r="AO127" s="10" t="s">
        <v>26</v>
      </c>
      <c r="AP127" s="10" t="s">
        <v>26</v>
      </c>
      <c r="AQ127" s="9" t="s">
        <v>26</v>
      </c>
      <c r="AR127" s="10" t="s">
        <v>26</v>
      </c>
      <c r="AS127" s="10" t="s">
        <v>26</v>
      </c>
      <c r="AT127" s="10" t="s">
        <v>26</v>
      </c>
      <c r="AU127" s="9" t="s">
        <v>26</v>
      </c>
      <c r="AV127" s="10" t="s">
        <v>26</v>
      </c>
      <c r="AW127" s="10" t="s">
        <v>26</v>
      </c>
      <c r="AX127" s="10" t="s">
        <v>26</v>
      </c>
      <c r="AY127" s="9">
        <v>612845711.5</v>
      </c>
      <c r="AZ127" s="10">
        <v>7.9542232743000005E-4</v>
      </c>
      <c r="BA127" s="1" t="s">
        <v>26</v>
      </c>
      <c r="BB127" s="1" t="s">
        <v>26</v>
      </c>
    </row>
    <row r="128" spans="1:54" s="7" customFormat="1">
      <c r="A128" s="3" t="s">
        <v>88</v>
      </c>
      <c r="B128" s="23" t="s">
        <v>120</v>
      </c>
      <c r="C128" s="2" t="s">
        <v>26</v>
      </c>
      <c r="D128" s="1" t="s">
        <v>26</v>
      </c>
      <c r="E128" s="1" t="s">
        <v>26</v>
      </c>
      <c r="F128" s="1" t="s">
        <v>26</v>
      </c>
      <c r="G128" s="2" t="s">
        <v>26</v>
      </c>
      <c r="H128" s="1" t="s">
        <v>26</v>
      </c>
      <c r="I128" s="1" t="s">
        <v>26</v>
      </c>
      <c r="J128" s="1" t="s">
        <v>26</v>
      </c>
      <c r="K128" s="2" t="s">
        <v>26</v>
      </c>
      <c r="L128" s="1" t="s">
        <v>26</v>
      </c>
      <c r="M128" s="1" t="s">
        <v>26</v>
      </c>
      <c r="N128" s="1" t="s">
        <v>26</v>
      </c>
      <c r="O128" s="2">
        <v>612845711.5</v>
      </c>
      <c r="P128" s="1">
        <v>1</v>
      </c>
      <c r="Q128" s="1" t="s">
        <v>26</v>
      </c>
      <c r="R128" s="1" t="s">
        <v>26</v>
      </c>
      <c r="S128" s="2" t="s">
        <v>26</v>
      </c>
      <c r="T128" s="1" t="s">
        <v>26</v>
      </c>
      <c r="U128" s="1" t="s">
        <v>26</v>
      </c>
      <c r="V128" s="1" t="s">
        <v>26</v>
      </c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" t="s">
        <v>26</v>
      </c>
      <c r="AD128" s="1" t="s">
        <v>26</v>
      </c>
      <c r="AE128" s="2">
        <v>612845711.5</v>
      </c>
      <c r="AF128" s="1">
        <v>1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2">
        <v>612845711.5</v>
      </c>
      <c r="AZ128" s="1">
        <v>1</v>
      </c>
      <c r="BA128" s="1" t="s">
        <v>26</v>
      </c>
      <c r="BB128" s="1" t="s">
        <v>26</v>
      </c>
    </row>
    <row r="129" spans="1:54" s="7" customFormat="1">
      <c r="A129" s="5" t="s">
        <v>121</v>
      </c>
      <c r="B129" s="20" t="s">
        <v>25</v>
      </c>
      <c r="C129" s="9">
        <v>58888705.450000003</v>
      </c>
      <c r="D129" s="10">
        <v>8.3015725964700002E-3</v>
      </c>
      <c r="E129" s="10" t="s">
        <v>26</v>
      </c>
      <c r="F129" s="10" t="s">
        <v>26</v>
      </c>
      <c r="G129" s="9" t="s">
        <v>26</v>
      </c>
      <c r="H129" s="10" t="s">
        <v>26</v>
      </c>
      <c r="I129" s="1" t="s">
        <v>26</v>
      </c>
      <c r="J129" s="1" t="s">
        <v>26</v>
      </c>
      <c r="K129" s="9">
        <v>37192866.600000001</v>
      </c>
      <c r="L129" s="10">
        <v>1.1112376014150001E-2</v>
      </c>
      <c r="M129" s="1" t="s">
        <v>26</v>
      </c>
      <c r="N129" s="1" t="s">
        <v>26</v>
      </c>
      <c r="O129" s="9" t="s">
        <v>26</v>
      </c>
      <c r="P129" s="10" t="s">
        <v>26</v>
      </c>
      <c r="Q129" s="1" t="s">
        <v>26</v>
      </c>
      <c r="R129" s="1" t="s">
        <v>26</v>
      </c>
      <c r="S129" s="9" t="s">
        <v>26</v>
      </c>
      <c r="T129" s="10" t="s">
        <v>26</v>
      </c>
      <c r="U129" s="1" t="s">
        <v>26</v>
      </c>
      <c r="V129" s="1" t="s">
        <v>26</v>
      </c>
      <c r="W129" s="9" t="s">
        <v>26</v>
      </c>
      <c r="X129" s="10" t="s">
        <v>26</v>
      </c>
      <c r="Y129" s="10" t="s">
        <v>26</v>
      </c>
      <c r="Z129" s="10" t="s">
        <v>26</v>
      </c>
      <c r="AA129" s="9" t="s">
        <v>26</v>
      </c>
      <c r="AB129" s="10" t="s">
        <v>26</v>
      </c>
      <c r="AC129" s="1" t="s">
        <v>26</v>
      </c>
      <c r="AD129" s="1" t="s">
        <v>26</v>
      </c>
      <c r="AE129" s="9">
        <v>96081572.049999997</v>
      </c>
      <c r="AF129" s="10">
        <v>1.4124780128E-4</v>
      </c>
      <c r="AG129" s="1" t="s">
        <v>26</v>
      </c>
      <c r="AH129" s="1" t="s">
        <v>26</v>
      </c>
      <c r="AI129" s="9" t="s">
        <v>26</v>
      </c>
      <c r="AJ129" s="10" t="s">
        <v>26</v>
      </c>
      <c r="AK129" s="10" t="s">
        <v>26</v>
      </c>
      <c r="AL129" s="10" t="s">
        <v>26</v>
      </c>
      <c r="AM129" s="9" t="s">
        <v>26</v>
      </c>
      <c r="AN129" s="10" t="s">
        <v>26</v>
      </c>
      <c r="AO129" s="10" t="s">
        <v>26</v>
      </c>
      <c r="AP129" s="10" t="s">
        <v>26</v>
      </c>
      <c r="AQ129" s="9" t="s">
        <v>26</v>
      </c>
      <c r="AR129" s="10" t="s">
        <v>26</v>
      </c>
      <c r="AS129" s="10" t="s">
        <v>26</v>
      </c>
      <c r="AT129" s="10" t="s">
        <v>26</v>
      </c>
      <c r="AU129" s="9" t="s">
        <v>26</v>
      </c>
      <c r="AV129" s="10" t="s">
        <v>26</v>
      </c>
      <c r="AW129" s="10" t="s">
        <v>26</v>
      </c>
      <c r="AX129" s="10" t="s">
        <v>26</v>
      </c>
      <c r="AY129" s="9">
        <v>96081572.049999997</v>
      </c>
      <c r="AZ129" s="10">
        <v>1.247058211E-4</v>
      </c>
      <c r="BA129" s="1" t="s">
        <v>26</v>
      </c>
      <c r="BB129" s="1" t="s">
        <v>26</v>
      </c>
    </row>
    <row r="130" spans="1:54" s="25" customFormat="1">
      <c r="A130" s="3" t="s">
        <v>88</v>
      </c>
      <c r="B130" s="23" t="s">
        <v>47</v>
      </c>
      <c r="C130" s="2">
        <v>58888705.450000003</v>
      </c>
      <c r="D130" s="1">
        <v>1</v>
      </c>
      <c r="E130" s="1" t="s">
        <v>26</v>
      </c>
      <c r="F130" s="1" t="s">
        <v>26</v>
      </c>
      <c r="G130" s="2" t="s">
        <v>26</v>
      </c>
      <c r="H130" s="1" t="s">
        <v>26</v>
      </c>
      <c r="I130" s="1" t="s">
        <v>26</v>
      </c>
      <c r="J130" s="1" t="s">
        <v>26</v>
      </c>
      <c r="K130" s="2">
        <v>37192866.600000001</v>
      </c>
      <c r="L130" s="1">
        <v>1</v>
      </c>
      <c r="M130" s="1" t="s">
        <v>26</v>
      </c>
      <c r="N130" s="1" t="s">
        <v>26</v>
      </c>
      <c r="O130" s="2" t="s">
        <v>26</v>
      </c>
      <c r="P130" s="1" t="s">
        <v>26</v>
      </c>
      <c r="Q130" s="1" t="s">
        <v>26</v>
      </c>
      <c r="R130" s="1" t="s">
        <v>26</v>
      </c>
      <c r="S130" s="2" t="s">
        <v>26</v>
      </c>
      <c r="T130" s="1" t="s">
        <v>26</v>
      </c>
      <c r="U130" s="1" t="s">
        <v>26</v>
      </c>
      <c r="V130" s="1" t="s">
        <v>26</v>
      </c>
      <c r="W130" s="2" t="s">
        <v>26</v>
      </c>
      <c r="X130" s="1" t="s">
        <v>26</v>
      </c>
      <c r="Y130" s="1" t="s">
        <v>26</v>
      </c>
      <c r="Z130" s="1" t="s">
        <v>26</v>
      </c>
      <c r="AA130" s="2" t="s">
        <v>26</v>
      </c>
      <c r="AB130" s="1" t="s">
        <v>26</v>
      </c>
      <c r="AC130" s="1" t="s">
        <v>26</v>
      </c>
      <c r="AD130" s="1" t="s">
        <v>26</v>
      </c>
      <c r="AE130" s="2">
        <v>96081572.049999997</v>
      </c>
      <c r="AF130" s="1">
        <v>1</v>
      </c>
      <c r="AG130" s="1" t="s">
        <v>26</v>
      </c>
      <c r="AH130" s="1" t="s">
        <v>26</v>
      </c>
      <c r="AI130" s="2" t="s">
        <v>26</v>
      </c>
      <c r="AJ130" s="1" t="s">
        <v>26</v>
      </c>
      <c r="AK130" s="1" t="s">
        <v>26</v>
      </c>
      <c r="AL130" s="1" t="s">
        <v>26</v>
      </c>
      <c r="AM130" s="2" t="s">
        <v>26</v>
      </c>
      <c r="AN130" s="1" t="s">
        <v>26</v>
      </c>
      <c r="AO130" s="1" t="s">
        <v>26</v>
      </c>
      <c r="AP130" s="1" t="s">
        <v>26</v>
      </c>
      <c r="AQ130" s="2" t="s">
        <v>26</v>
      </c>
      <c r="AR130" s="1" t="s">
        <v>26</v>
      </c>
      <c r="AS130" s="1" t="s">
        <v>26</v>
      </c>
      <c r="AT130" s="1" t="s">
        <v>26</v>
      </c>
      <c r="AU130" s="2" t="s">
        <v>26</v>
      </c>
      <c r="AV130" s="1" t="s">
        <v>26</v>
      </c>
      <c r="AW130" s="1" t="s">
        <v>26</v>
      </c>
      <c r="AX130" s="1" t="s">
        <v>26</v>
      </c>
      <c r="AY130" s="2">
        <v>96081572.049999997</v>
      </c>
      <c r="AZ130" s="1">
        <v>1</v>
      </c>
      <c r="BA130" s="1" t="s">
        <v>26</v>
      </c>
      <c r="BB130" s="1" t="s">
        <v>26</v>
      </c>
    </row>
    <row r="131" spans="1:54" s="7" customFormat="1">
      <c r="A131" s="12" t="s">
        <v>106</v>
      </c>
      <c r="B131" s="40" t="s">
        <v>25</v>
      </c>
      <c r="C131" s="42" t="s">
        <v>26</v>
      </c>
      <c r="D131" s="43" t="s">
        <v>26</v>
      </c>
      <c r="E131" s="43" t="s">
        <v>26</v>
      </c>
      <c r="F131" s="43" t="s">
        <v>26</v>
      </c>
      <c r="G131" s="42">
        <v>154121894.97</v>
      </c>
      <c r="H131" s="43">
        <v>9.6148726302E-4</v>
      </c>
      <c r="I131" s="43">
        <v>0.05</v>
      </c>
      <c r="J131" s="43">
        <f>+I131-H131</f>
        <v>4.9038512736980004E-2</v>
      </c>
      <c r="K131" s="42" t="s">
        <v>26</v>
      </c>
      <c r="L131" s="43" t="s">
        <v>26</v>
      </c>
      <c r="M131" s="43" t="s">
        <v>26</v>
      </c>
      <c r="N131" s="43" t="s">
        <v>26</v>
      </c>
      <c r="O131" s="42" t="s">
        <v>26</v>
      </c>
      <c r="P131" s="43" t="s">
        <v>26</v>
      </c>
      <c r="Q131" s="43" t="s">
        <v>26</v>
      </c>
      <c r="R131" s="43" t="s">
        <v>26</v>
      </c>
      <c r="S131" s="42">
        <v>154121894.97</v>
      </c>
      <c r="T131" s="43">
        <v>1.3093778374100001E-3</v>
      </c>
      <c r="U131" s="43">
        <v>0.05</v>
      </c>
      <c r="V131" s="43">
        <f>+U131-T131</f>
        <v>4.869062216259E-2</v>
      </c>
      <c r="W131" s="42" t="s">
        <v>26</v>
      </c>
      <c r="X131" s="43" t="s">
        <v>26</v>
      </c>
      <c r="Y131" s="43" t="s">
        <v>26</v>
      </c>
      <c r="Z131" s="43" t="s">
        <v>26</v>
      </c>
      <c r="AA131" s="42">
        <v>154121894.97</v>
      </c>
      <c r="AB131" s="43">
        <v>1.05028037007E-3</v>
      </c>
      <c r="AC131" s="43">
        <v>0.05</v>
      </c>
      <c r="AD131" s="43">
        <f>+AC131-AB131</f>
        <v>4.894971962993E-2</v>
      </c>
      <c r="AE131" s="42">
        <v>462365684.91000003</v>
      </c>
      <c r="AF131" s="43">
        <v>6.7971552702000002E-4</v>
      </c>
      <c r="AG131" s="43">
        <v>0.05</v>
      </c>
      <c r="AH131" s="43">
        <f>+AG131-AF131</f>
        <v>4.9320284472980001E-2</v>
      </c>
      <c r="AI131" s="42" t="s">
        <v>26</v>
      </c>
      <c r="AJ131" s="43" t="s">
        <v>26</v>
      </c>
      <c r="AK131" s="43" t="s">
        <v>26</v>
      </c>
      <c r="AL131" s="43" t="s">
        <v>26</v>
      </c>
      <c r="AM131" s="42" t="s">
        <v>26</v>
      </c>
      <c r="AN131" s="43" t="s">
        <v>26</v>
      </c>
      <c r="AO131" s="43" t="s">
        <v>26</v>
      </c>
      <c r="AP131" s="43" t="s">
        <v>26</v>
      </c>
      <c r="AQ131" s="42" t="s">
        <v>26</v>
      </c>
      <c r="AR131" s="43" t="s">
        <v>26</v>
      </c>
      <c r="AS131" s="43" t="s">
        <v>26</v>
      </c>
      <c r="AT131" s="43" t="s">
        <v>26</v>
      </c>
      <c r="AU131" s="42" t="s">
        <v>26</v>
      </c>
      <c r="AV131" s="43" t="s">
        <v>26</v>
      </c>
      <c r="AW131" s="43" t="s">
        <v>26</v>
      </c>
      <c r="AX131" s="43" t="s">
        <v>26</v>
      </c>
      <c r="AY131" s="42">
        <v>462365684.91000003</v>
      </c>
      <c r="AZ131" s="43">
        <v>6.0011187532999996E-4</v>
      </c>
      <c r="BA131" s="43">
        <v>0.05</v>
      </c>
      <c r="BB131" s="43">
        <f>+BA131-AZ131</f>
        <v>4.9399888124669999E-2</v>
      </c>
    </row>
    <row r="132" spans="1:54" s="7" customFormat="1">
      <c r="A132" s="5" t="s">
        <v>107</v>
      </c>
      <c r="B132" s="20" t="s">
        <v>25</v>
      </c>
      <c r="C132" s="9" t="s">
        <v>26</v>
      </c>
      <c r="D132" s="10" t="s">
        <v>26</v>
      </c>
      <c r="E132" s="10" t="s">
        <v>26</v>
      </c>
      <c r="F132" s="10" t="s">
        <v>26</v>
      </c>
      <c r="G132" s="9">
        <v>154121894.97</v>
      </c>
      <c r="H132" s="10">
        <v>9.6148726302E-4</v>
      </c>
      <c r="I132" s="10" t="s">
        <v>26</v>
      </c>
      <c r="J132" s="10" t="s">
        <v>26</v>
      </c>
      <c r="K132" s="9" t="s">
        <v>26</v>
      </c>
      <c r="L132" s="10" t="s">
        <v>26</v>
      </c>
      <c r="M132" s="10" t="s">
        <v>26</v>
      </c>
      <c r="N132" s="10" t="s">
        <v>26</v>
      </c>
      <c r="O132" s="9" t="s">
        <v>26</v>
      </c>
      <c r="P132" s="10" t="s">
        <v>26</v>
      </c>
      <c r="Q132" s="10" t="s">
        <v>26</v>
      </c>
      <c r="R132" s="10" t="s">
        <v>26</v>
      </c>
      <c r="S132" s="9">
        <v>154121894.97</v>
      </c>
      <c r="T132" s="10">
        <v>1.3093778374100001E-3</v>
      </c>
      <c r="U132" s="10" t="s">
        <v>26</v>
      </c>
      <c r="V132" s="10" t="s">
        <v>26</v>
      </c>
      <c r="W132" s="9" t="s">
        <v>26</v>
      </c>
      <c r="X132" s="10" t="s">
        <v>26</v>
      </c>
      <c r="Y132" s="10" t="s">
        <v>26</v>
      </c>
      <c r="Z132" s="10" t="s">
        <v>26</v>
      </c>
      <c r="AA132" s="9">
        <v>154121894.97</v>
      </c>
      <c r="AB132" s="10">
        <v>1.05028037007E-3</v>
      </c>
      <c r="AC132" s="10" t="s">
        <v>26</v>
      </c>
      <c r="AD132" s="10" t="s">
        <v>26</v>
      </c>
      <c r="AE132" s="9">
        <v>462365684.91000003</v>
      </c>
      <c r="AF132" s="10">
        <v>6.7971552702000002E-4</v>
      </c>
      <c r="AG132" s="10" t="s">
        <v>26</v>
      </c>
      <c r="AH132" s="10" t="s">
        <v>26</v>
      </c>
      <c r="AI132" s="9" t="s">
        <v>26</v>
      </c>
      <c r="AJ132" s="10" t="s">
        <v>26</v>
      </c>
      <c r="AK132" s="10" t="s">
        <v>26</v>
      </c>
      <c r="AL132" s="10" t="s">
        <v>26</v>
      </c>
      <c r="AM132" s="9" t="s">
        <v>26</v>
      </c>
      <c r="AN132" s="10" t="s">
        <v>26</v>
      </c>
      <c r="AO132" s="10" t="s">
        <v>26</v>
      </c>
      <c r="AP132" s="10" t="s">
        <v>26</v>
      </c>
      <c r="AQ132" s="9" t="s">
        <v>26</v>
      </c>
      <c r="AR132" s="10" t="s">
        <v>26</v>
      </c>
      <c r="AS132" s="10" t="s">
        <v>26</v>
      </c>
      <c r="AT132" s="10" t="s">
        <v>26</v>
      </c>
      <c r="AU132" s="9" t="s">
        <v>26</v>
      </c>
      <c r="AV132" s="10" t="s">
        <v>26</v>
      </c>
      <c r="AW132" s="10" t="s">
        <v>26</v>
      </c>
      <c r="AX132" s="10" t="s">
        <v>26</v>
      </c>
      <c r="AY132" s="9">
        <v>462365684.91000003</v>
      </c>
      <c r="AZ132" s="10">
        <v>6.0011187532999996E-4</v>
      </c>
      <c r="BA132" s="10" t="s">
        <v>26</v>
      </c>
      <c r="BB132" s="10" t="s">
        <v>26</v>
      </c>
    </row>
    <row r="133" spans="1:54" s="25" customFormat="1">
      <c r="A133" s="3" t="s">
        <v>108</v>
      </c>
      <c r="B133" s="23" t="s">
        <v>40</v>
      </c>
      <c r="C133" s="2" t="s">
        <v>26</v>
      </c>
      <c r="D133" s="1" t="s">
        <v>26</v>
      </c>
      <c r="E133" s="1" t="s">
        <v>26</v>
      </c>
      <c r="F133" s="1" t="s">
        <v>26</v>
      </c>
      <c r="G133" s="2">
        <v>154121894.97</v>
      </c>
      <c r="H133" s="1">
        <v>1</v>
      </c>
      <c r="I133" s="1" t="s">
        <v>26</v>
      </c>
      <c r="J133" s="1" t="s">
        <v>26</v>
      </c>
      <c r="K133" s="2" t="s">
        <v>26</v>
      </c>
      <c r="L133" s="1" t="s">
        <v>26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>
        <v>154121894.97</v>
      </c>
      <c r="T133" s="1">
        <v>1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>
        <v>154121894.97</v>
      </c>
      <c r="AB133" s="1">
        <v>1</v>
      </c>
      <c r="AC133" s="1" t="s">
        <v>26</v>
      </c>
      <c r="AD133" s="1" t="s">
        <v>26</v>
      </c>
      <c r="AE133" s="2">
        <v>462365684.91000003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462365684.91000003</v>
      </c>
      <c r="AZ133" s="1">
        <v>1</v>
      </c>
      <c r="BA133" s="1" t="s">
        <v>26</v>
      </c>
      <c r="BB133" s="1" t="s">
        <v>26</v>
      </c>
    </row>
    <row r="134" spans="1:54" s="7" customFormat="1">
      <c r="A134" s="12" t="s">
        <v>109</v>
      </c>
      <c r="B134" s="40" t="s">
        <v>25</v>
      </c>
      <c r="C134" s="42">
        <v>7091517818</v>
      </c>
      <c r="D134" s="43">
        <v>0.99970000000000003</v>
      </c>
      <c r="E134" s="43" t="s">
        <v>26</v>
      </c>
      <c r="F134" s="43" t="s">
        <v>26</v>
      </c>
      <c r="G134" s="42">
        <v>160294329089.34</v>
      </c>
      <c r="H134" s="43">
        <v>1</v>
      </c>
      <c r="I134" s="43" t="s">
        <v>26</v>
      </c>
      <c r="J134" s="43" t="s">
        <v>26</v>
      </c>
      <c r="K134" s="42">
        <v>3342875799.48</v>
      </c>
      <c r="L134" s="43">
        <v>0.99880000000000002</v>
      </c>
      <c r="M134" s="43" t="s">
        <v>26</v>
      </c>
      <c r="N134" s="43" t="s">
        <v>26</v>
      </c>
      <c r="O134" s="42">
        <v>238311203606.66</v>
      </c>
      <c r="P134" s="43">
        <v>1</v>
      </c>
      <c r="Q134" s="43" t="s">
        <v>26</v>
      </c>
      <c r="R134" s="43" t="s">
        <v>26</v>
      </c>
      <c r="S134" s="42">
        <v>117705932501.39</v>
      </c>
      <c r="T134" s="43">
        <v>1</v>
      </c>
      <c r="U134" s="43" t="s">
        <v>26</v>
      </c>
      <c r="V134" s="43" t="s">
        <v>26</v>
      </c>
      <c r="W134" s="42">
        <v>6728962015.8599997</v>
      </c>
      <c r="X134" s="43">
        <v>0.99880000000000002</v>
      </c>
      <c r="Y134" s="43" t="s">
        <v>26</v>
      </c>
      <c r="Z134" s="43" t="s">
        <v>26</v>
      </c>
      <c r="AA134" s="42">
        <v>146743375885.32001</v>
      </c>
      <c r="AB134" s="43">
        <v>1</v>
      </c>
      <c r="AC134" s="43" t="s">
        <v>26</v>
      </c>
      <c r="AD134" s="43" t="s">
        <v>26</v>
      </c>
      <c r="AE134" s="42">
        <v>680218196716.05005</v>
      </c>
      <c r="AF134" s="43">
        <v>1</v>
      </c>
      <c r="AG134" s="43" t="s">
        <v>26</v>
      </c>
      <c r="AH134" s="43" t="s">
        <v>26</v>
      </c>
      <c r="AI134" s="42">
        <v>17550828400.029999</v>
      </c>
      <c r="AJ134" s="43">
        <v>1</v>
      </c>
      <c r="AK134" s="43" t="s">
        <v>26</v>
      </c>
      <c r="AL134" s="43" t="s">
        <v>26</v>
      </c>
      <c r="AM134" s="42">
        <v>24390949951.59</v>
      </c>
      <c r="AN134" s="43">
        <v>1</v>
      </c>
      <c r="AO134" s="43" t="s">
        <v>26</v>
      </c>
      <c r="AP134" s="43" t="s">
        <v>26</v>
      </c>
      <c r="AQ134" s="42">
        <v>41941778351.620003</v>
      </c>
      <c r="AR134" s="43">
        <v>1</v>
      </c>
      <c r="AS134" s="43" t="s">
        <v>26</v>
      </c>
      <c r="AT134" s="43" t="s">
        <v>26</v>
      </c>
      <c r="AU134" s="42">
        <v>48288970978.629997</v>
      </c>
      <c r="AV134" s="43">
        <v>1</v>
      </c>
      <c r="AW134" s="43" t="s">
        <v>26</v>
      </c>
      <c r="AX134" s="43" t="s">
        <v>26</v>
      </c>
      <c r="AY134" s="42">
        <v>770448946046.30005</v>
      </c>
      <c r="AZ134" s="43">
        <v>1</v>
      </c>
      <c r="BA134" s="43" t="s">
        <v>26</v>
      </c>
      <c r="BB134" s="43" t="s">
        <v>26</v>
      </c>
    </row>
    <row r="135" spans="1:54" s="41" customFormat="1">
      <c r="A135" s="3" t="s">
        <v>110</v>
      </c>
      <c r="B135" s="21" t="s">
        <v>25</v>
      </c>
      <c r="C135" s="22">
        <v>2162899.2000000002</v>
      </c>
      <c r="D135" s="44">
        <v>2.9999999999999997E-4</v>
      </c>
      <c r="E135" s="44" t="s">
        <v>26</v>
      </c>
      <c r="F135" s="44" t="s">
        <v>26</v>
      </c>
      <c r="G135" s="22">
        <v>976837.07</v>
      </c>
      <c r="H135" s="44">
        <v>0</v>
      </c>
      <c r="I135" s="44" t="s">
        <v>26</v>
      </c>
      <c r="J135" s="44" t="s">
        <v>26</v>
      </c>
      <c r="K135" s="22">
        <v>4101170.4</v>
      </c>
      <c r="L135" s="44">
        <v>1.1999999999999999E-3</v>
      </c>
      <c r="M135" s="44" t="s">
        <v>26</v>
      </c>
      <c r="N135" s="44" t="s">
        <v>26</v>
      </c>
      <c r="O135" s="22">
        <v>192998.43</v>
      </c>
      <c r="P135" s="44">
        <v>0</v>
      </c>
      <c r="Q135" s="44" t="s">
        <v>26</v>
      </c>
      <c r="R135" s="44" t="s">
        <v>26</v>
      </c>
      <c r="S135" s="22">
        <v>271595.24</v>
      </c>
      <c r="T135" s="44">
        <v>0</v>
      </c>
      <c r="U135" s="44" t="s">
        <v>26</v>
      </c>
      <c r="V135" s="44" t="s">
        <v>26</v>
      </c>
      <c r="W135" s="22">
        <v>8007445.0899999999</v>
      </c>
      <c r="X135" s="44">
        <v>1.1999999999999999E-3</v>
      </c>
      <c r="Y135" s="44" t="s">
        <v>26</v>
      </c>
      <c r="Z135" s="44" t="s">
        <v>26</v>
      </c>
      <c r="AA135" s="22">
        <v>197890.04</v>
      </c>
      <c r="AB135" s="44">
        <v>0</v>
      </c>
      <c r="AC135" s="44" t="s">
        <v>26</v>
      </c>
      <c r="AD135" s="44" t="s">
        <v>26</v>
      </c>
      <c r="AE135" s="22">
        <v>15910835.470000001</v>
      </c>
      <c r="AF135" s="44">
        <v>0</v>
      </c>
      <c r="AG135" s="44" t="s">
        <v>26</v>
      </c>
      <c r="AH135" s="44" t="s">
        <v>26</v>
      </c>
      <c r="AI135" s="22">
        <v>70844.72</v>
      </c>
      <c r="AJ135" s="44">
        <v>0</v>
      </c>
      <c r="AK135" s="44" t="s">
        <v>26</v>
      </c>
      <c r="AL135" s="44" t="s">
        <v>26</v>
      </c>
      <c r="AM135" s="22">
        <v>827697.52</v>
      </c>
      <c r="AN135" s="44">
        <v>0</v>
      </c>
      <c r="AO135" s="44" t="s">
        <v>26</v>
      </c>
      <c r="AP135" s="44" t="s">
        <v>26</v>
      </c>
      <c r="AQ135" s="22">
        <v>898542.24</v>
      </c>
      <c r="AR135" s="44">
        <v>0</v>
      </c>
      <c r="AS135" s="44" t="s">
        <v>26</v>
      </c>
      <c r="AT135" s="44" t="s">
        <v>26</v>
      </c>
      <c r="AU135" s="22">
        <v>59235.65</v>
      </c>
      <c r="AV135" s="44">
        <v>0</v>
      </c>
      <c r="AW135" s="44" t="s">
        <v>26</v>
      </c>
      <c r="AX135" s="44" t="s">
        <v>26</v>
      </c>
      <c r="AY135" s="22">
        <v>16868613.359999999</v>
      </c>
      <c r="AZ135" s="44">
        <v>0</v>
      </c>
      <c r="BA135" s="44" t="s">
        <v>26</v>
      </c>
      <c r="BB135" s="44" t="s">
        <v>26</v>
      </c>
    </row>
    <row r="136" spans="1:54">
      <c r="A136" s="12" t="s">
        <v>111</v>
      </c>
      <c r="B136" s="40" t="s">
        <v>25</v>
      </c>
      <c r="C136" s="42">
        <v>7093680717.1999998</v>
      </c>
      <c r="D136" s="43">
        <v>1</v>
      </c>
      <c r="E136" s="43" t="s">
        <v>26</v>
      </c>
      <c r="F136" s="43" t="s">
        <v>26</v>
      </c>
      <c r="G136" s="42">
        <v>160295305926.41</v>
      </c>
      <c r="H136" s="43">
        <v>1</v>
      </c>
      <c r="I136" s="43" t="s">
        <v>26</v>
      </c>
      <c r="J136" s="43" t="s">
        <v>26</v>
      </c>
      <c r="K136" s="42">
        <v>3346976969.8800001</v>
      </c>
      <c r="L136" s="43">
        <v>1</v>
      </c>
      <c r="M136" s="43" t="s">
        <v>26</v>
      </c>
      <c r="N136" s="43" t="s">
        <v>26</v>
      </c>
      <c r="O136" s="42">
        <v>238311396605.09</v>
      </c>
      <c r="P136" s="43">
        <v>1</v>
      </c>
      <c r="Q136" s="43" t="s">
        <v>26</v>
      </c>
      <c r="R136" s="43" t="s">
        <v>26</v>
      </c>
      <c r="S136" s="42">
        <v>117706204096.63</v>
      </c>
      <c r="T136" s="43">
        <v>1</v>
      </c>
      <c r="U136" s="43" t="s">
        <v>26</v>
      </c>
      <c r="V136" s="43" t="s">
        <v>26</v>
      </c>
      <c r="W136" s="42">
        <v>6736969460.9499998</v>
      </c>
      <c r="X136" s="43">
        <v>1</v>
      </c>
      <c r="Y136" s="43" t="s">
        <v>26</v>
      </c>
      <c r="Z136" s="43" t="s">
        <v>26</v>
      </c>
      <c r="AA136" s="42">
        <v>146743573775.35999</v>
      </c>
      <c r="AB136" s="43">
        <v>1</v>
      </c>
      <c r="AC136" s="43" t="s">
        <v>26</v>
      </c>
      <c r="AD136" s="43" t="s">
        <v>26</v>
      </c>
      <c r="AE136" s="42">
        <v>680234107551.52002</v>
      </c>
      <c r="AF136" s="43">
        <v>1</v>
      </c>
      <c r="AG136" s="43" t="s">
        <v>26</v>
      </c>
      <c r="AH136" s="43" t="s">
        <v>26</v>
      </c>
      <c r="AI136" s="42">
        <v>17550899244.75</v>
      </c>
      <c r="AJ136" s="43">
        <v>1</v>
      </c>
      <c r="AK136" s="43" t="s">
        <v>26</v>
      </c>
      <c r="AL136" s="43" t="s">
        <v>26</v>
      </c>
      <c r="AM136" s="42">
        <v>24391777649.110001</v>
      </c>
      <c r="AN136" s="43">
        <v>1</v>
      </c>
      <c r="AO136" s="43" t="s">
        <v>26</v>
      </c>
      <c r="AP136" s="43" t="s">
        <v>26</v>
      </c>
      <c r="AQ136" s="42">
        <v>41942676893.860001</v>
      </c>
      <c r="AR136" s="43">
        <v>1</v>
      </c>
      <c r="AS136" s="43" t="s">
        <v>26</v>
      </c>
      <c r="AT136" s="43" t="s">
        <v>26</v>
      </c>
      <c r="AU136" s="42">
        <v>48289030214.279999</v>
      </c>
      <c r="AV136" s="43">
        <v>1</v>
      </c>
      <c r="AW136" s="43" t="s">
        <v>26</v>
      </c>
      <c r="AX136" s="43" t="s">
        <v>26</v>
      </c>
      <c r="AY136" s="42">
        <v>770465814659.66003</v>
      </c>
      <c r="AZ136" s="43">
        <v>1</v>
      </c>
      <c r="BA136" s="43" t="s">
        <v>26</v>
      </c>
      <c r="BB136" s="43" t="s">
        <v>26</v>
      </c>
    </row>
    <row r="137" spans="1:54">
      <c r="A137" s="24"/>
    </row>
    <row r="138" spans="1:54">
      <c r="A138" s="17" t="s">
        <v>112</v>
      </c>
      <c r="AY138" s="39"/>
    </row>
    <row r="139" spans="1:54">
      <c r="A139" s="24" t="s">
        <v>113</v>
      </c>
    </row>
    <row r="140" spans="1:54">
      <c r="A140" s="24" t="s">
        <v>114</v>
      </c>
      <c r="AY140" s="37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1"/>
  <sheetViews>
    <sheetView zoomScaleNormal="100" workbookViewId="0">
      <pane xSplit="2" ySplit="7" topLeftCell="H8" activePane="bottomRight" state="frozen"/>
      <selection pane="topRight" activeCell="C1" sqref="C1"/>
      <selection pane="bottomLeft" activeCell="A8" sqref="A8"/>
      <selection pane="bottomRight" activeCell="P12" sqref="P12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8.85546875" style="13" bestFit="1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123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3155799168.3600001</v>
      </c>
      <c r="D8" s="43">
        <v>0.43639675853408999</v>
      </c>
      <c r="E8" s="43" t="s">
        <v>26</v>
      </c>
      <c r="F8" s="43" t="s">
        <v>26</v>
      </c>
      <c r="G8" s="42">
        <v>85752436573.509995</v>
      </c>
      <c r="H8" s="43">
        <v>0.52823349167119005</v>
      </c>
      <c r="I8" s="43" t="s">
        <v>26</v>
      </c>
      <c r="J8" s="43" t="s">
        <v>26</v>
      </c>
      <c r="K8" s="42">
        <v>958639633.41999996</v>
      </c>
      <c r="L8" s="43">
        <v>0.27655247327561999</v>
      </c>
      <c r="M8" s="43" t="s">
        <v>26</v>
      </c>
      <c r="N8" s="43" t="s">
        <v>26</v>
      </c>
      <c r="O8" s="42">
        <v>107027532356.62</v>
      </c>
      <c r="P8" s="43">
        <v>0.44304472875317003</v>
      </c>
      <c r="Q8" s="43" t="s">
        <v>26</v>
      </c>
      <c r="R8" s="43" t="s">
        <v>26</v>
      </c>
      <c r="S8" s="42">
        <v>64887910921.099998</v>
      </c>
      <c r="T8" s="43">
        <v>0.54345518268298998</v>
      </c>
      <c r="U8" s="43" t="s">
        <v>26</v>
      </c>
      <c r="V8" s="43" t="s">
        <v>26</v>
      </c>
      <c r="W8" s="42">
        <v>2340278835.52</v>
      </c>
      <c r="X8" s="43">
        <v>0.34241864923783</v>
      </c>
      <c r="Y8" s="43" t="s">
        <v>26</v>
      </c>
      <c r="Z8" s="43" t="s">
        <v>26</v>
      </c>
      <c r="AA8" s="42">
        <v>76314239745.699997</v>
      </c>
      <c r="AB8" s="43">
        <v>0.51275849039015997</v>
      </c>
      <c r="AC8" s="43" t="s">
        <v>26</v>
      </c>
      <c r="AD8" s="43" t="s">
        <v>26</v>
      </c>
      <c r="AE8" s="42">
        <v>340436837234.22998</v>
      </c>
      <c r="AF8" s="43">
        <v>0.49362071943799002</v>
      </c>
      <c r="AG8" s="43" t="s">
        <v>26</v>
      </c>
      <c r="AH8" s="43" t="s">
        <v>26</v>
      </c>
      <c r="AI8" s="42">
        <v>7359289191.0100002</v>
      </c>
      <c r="AJ8" s="43">
        <v>0.41502492381682998</v>
      </c>
      <c r="AK8" s="43" t="s">
        <v>26</v>
      </c>
      <c r="AL8" s="43" t="s">
        <v>26</v>
      </c>
      <c r="AM8" s="42">
        <v>8354840498.6000004</v>
      </c>
      <c r="AN8" s="43">
        <v>0.34089379891233001</v>
      </c>
      <c r="AO8" s="43" t="s">
        <v>26</v>
      </c>
      <c r="AP8" s="43" t="s">
        <v>26</v>
      </c>
      <c r="AQ8" s="42">
        <v>15714129689.610001</v>
      </c>
      <c r="AR8" s="43">
        <v>0.37201312712342999</v>
      </c>
      <c r="AS8" s="43" t="s">
        <v>26</v>
      </c>
      <c r="AT8" s="43" t="s">
        <v>26</v>
      </c>
      <c r="AU8" s="42">
        <v>25153132200.400002</v>
      </c>
      <c r="AV8" s="43">
        <v>0.51440334036670998</v>
      </c>
      <c r="AW8" s="43" t="s">
        <v>26</v>
      </c>
      <c r="AX8" s="43" t="s">
        <v>26</v>
      </c>
      <c r="AY8" s="42">
        <v>381304099124.23999</v>
      </c>
      <c r="AZ8" s="43">
        <v>0.48834341530299002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3155799168.3600001</v>
      </c>
      <c r="D9" s="10">
        <v>0.43639675853408999</v>
      </c>
      <c r="E9" s="10">
        <v>0.6</v>
      </c>
      <c r="F9" s="10">
        <f>E9-D9</f>
        <v>0.16360324146590999</v>
      </c>
      <c r="G9" s="9">
        <f>G10</f>
        <v>79865801422.5</v>
      </c>
      <c r="H9" s="10">
        <f>G9/G135</f>
        <v>0.4919747833535853</v>
      </c>
      <c r="I9" s="10">
        <v>0.6</v>
      </c>
      <c r="J9" s="10">
        <f>I9-H9</f>
        <v>0.10802521664641468</v>
      </c>
      <c r="K9" s="9">
        <v>958639633.41999996</v>
      </c>
      <c r="L9" s="10">
        <v>0.27655247327561999</v>
      </c>
      <c r="M9" s="10">
        <v>0.6</v>
      </c>
      <c r="N9" s="10">
        <f>M9-L9</f>
        <v>0.32344752672437999</v>
      </c>
      <c r="O9" s="9">
        <f>O10</f>
        <v>105462730607.62</v>
      </c>
      <c r="P9" s="10">
        <f>O9/O135</f>
        <v>0.43656753380965713</v>
      </c>
      <c r="Q9" s="10">
        <v>0.6</v>
      </c>
      <c r="R9" s="10">
        <f>Q9-P9</f>
        <v>0.16343246619034285</v>
      </c>
      <c r="S9" s="9">
        <f>S10</f>
        <v>63346599166.099998</v>
      </c>
      <c r="T9" s="10">
        <f>S9/S135</f>
        <v>0.53054690611678379</v>
      </c>
      <c r="U9" s="10">
        <v>0.6</v>
      </c>
      <c r="V9" s="10">
        <f>U9-T9</f>
        <v>6.9453093883216188E-2</v>
      </c>
      <c r="W9" s="9">
        <v>2340278835.52</v>
      </c>
      <c r="X9" s="10">
        <v>0.34241864923783</v>
      </c>
      <c r="Y9" s="10">
        <v>0.6</v>
      </c>
      <c r="Z9" s="10">
        <f>Y9-X9</f>
        <v>0.25758135076216998</v>
      </c>
      <c r="AA9" s="9">
        <f>AA10</f>
        <v>74948142980.699997</v>
      </c>
      <c r="AB9" s="10">
        <f>AA9/AA135</f>
        <v>0.50358029118766257</v>
      </c>
      <c r="AC9" s="10">
        <v>0.6</v>
      </c>
      <c r="AD9" s="10">
        <f>AC9-AB9</f>
        <v>9.6419708812337412E-2</v>
      </c>
      <c r="AE9" s="9">
        <f>AE10</f>
        <v>330077991814.21997</v>
      </c>
      <c r="AF9" s="10">
        <f>AE9/AE135</f>
        <v>0.47861096517899504</v>
      </c>
      <c r="AG9" s="10">
        <v>0.6</v>
      </c>
      <c r="AH9" s="10">
        <f>AG9-AF9</f>
        <v>0.12138903482100494</v>
      </c>
      <c r="AI9" s="9">
        <v>7359289191.0100002</v>
      </c>
      <c r="AJ9" s="10">
        <v>0.41502492381682998</v>
      </c>
      <c r="AK9" s="10">
        <v>0.6</v>
      </c>
      <c r="AL9" s="10">
        <f>AK9-AJ9</f>
        <v>0.18497507618317</v>
      </c>
      <c r="AM9" s="9">
        <v>8354840498.6000004</v>
      </c>
      <c r="AN9" s="10">
        <v>0.34089379891233001</v>
      </c>
      <c r="AO9" s="10">
        <v>0.6</v>
      </c>
      <c r="AP9" s="10">
        <f>AO9-AN9</f>
        <v>0.25910620108766996</v>
      </c>
      <c r="AQ9" s="9">
        <v>15714129689.610001</v>
      </c>
      <c r="AR9" s="10">
        <v>0.37201312712342999</v>
      </c>
      <c r="AS9" s="10">
        <v>0.6</v>
      </c>
      <c r="AT9" s="10">
        <f>AS9-AR9</f>
        <v>0.22798687287656999</v>
      </c>
      <c r="AU9" s="9">
        <v>25153132200.400002</v>
      </c>
      <c r="AV9" s="10">
        <v>0.51440334036670998</v>
      </c>
      <c r="AW9" s="10">
        <v>0.6</v>
      </c>
      <c r="AX9" s="10">
        <f>AW9-AV9</f>
        <v>8.5596659633289995E-2</v>
      </c>
      <c r="AY9" s="9">
        <f>AY10</f>
        <v>370945253704.22998</v>
      </c>
      <c r="AZ9" s="10">
        <f>AY9/AY135</f>
        <v>0.47508632932142864</v>
      </c>
      <c r="BA9" s="10">
        <v>0.6</v>
      </c>
      <c r="BB9" s="10">
        <f>BA9-AZ9</f>
        <v>0.12491367067857134</v>
      </c>
    </row>
    <row r="10" spans="1:54" ht="17.25">
      <c r="A10" s="3" t="s">
        <v>28</v>
      </c>
      <c r="B10" s="23" t="s">
        <v>29</v>
      </c>
      <c r="C10" s="2">
        <v>3155799168.3600001</v>
      </c>
      <c r="D10" s="1">
        <v>1</v>
      </c>
      <c r="E10" s="1" t="s">
        <v>26</v>
      </c>
      <c r="F10" s="1" t="s">
        <v>26</v>
      </c>
      <c r="G10" s="2">
        <v>79865801422.5</v>
      </c>
      <c r="H10" s="1">
        <v>1</v>
      </c>
      <c r="I10" s="1" t="s">
        <v>26</v>
      </c>
      <c r="J10" s="1" t="s">
        <v>26</v>
      </c>
      <c r="K10" s="2">
        <v>958639633.41999996</v>
      </c>
      <c r="L10" s="1">
        <v>1</v>
      </c>
      <c r="M10" s="1" t="s">
        <v>26</v>
      </c>
      <c r="N10" s="1" t="s">
        <v>26</v>
      </c>
      <c r="O10" s="2">
        <v>105462730607.62</v>
      </c>
      <c r="P10" s="1">
        <v>1</v>
      </c>
      <c r="Q10" s="1" t="s">
        <v>26</v>
      </c>
      <c r="R10" s="1" t="s">
        <v>26</v>
      </c>
      <c r="S10" s="2">
        <v>63346599166.099998</v>
      </c>
      <c r="T10" s="1">
        <v>1</v>
      </c>
      <c r="U10" s="1" t="s">
        <v>26</v>
      </c>
      <c r="V10" s="1" t="s">
        <v>26</v>
      </c>
      <c r="W10" s="2">
        <v>2340278835.52</v>
      </c>
      <c r="X10" s="1">
        <v>1</v>
      </c>
      <c r="Y10" s="1" t="s">
        <v>26</v>
      </c>
      <c r="Z10" s="1" t="s">
        <v>26</v>
      </c>
      <c r="AA10" s="2">
        <v>74948142980.699997</v>
      </c>
      <c r="AB10" s="1">
        <v>1</v>
      </c>
      <c r="AC10" s="1" t="s">
        <v>26</v>
      </c>
      <c r="AD10" s="1" t="s">
        <v>26</v>
      </c>
      <c r="AE10" s="2">
        <v>330077991814.21997</v>
      </c>
      <c r="AF10" s="1">
        <v>1</v>
      </c>
      <c r="AG10" s="1" t="s">
        <v>26</v>
      </c>
      <c r="AH10" s="1" t="s">
        <v>26</v>
      </c>
      <c r="AI10" s="2">
        <v>7359289191.0100002</v>
      </c>
      <c r="AJ10" s="1">
        <v>1</v>
      </c>
      <c r="AK10" s="1" t="s">
        <v>26</v>
      </c>
      <c r="AL10" s="1" t="s">
        <v>26</v>
      </c>
      <c r="AM10" s="2">
        <v>8354840498.6000004</v>
      </c>
      <c r="AN10" s="1">
        <v>1</v>
      </c>
      <c r="AO10" s="1" t="s">
        <v>26</v>
      </c>
      <c r="AP10" s="1" t="s">
        <v>26</v>
      </c>
      <c r="AQ10" s="2">
        <v>15714129689.610001</v>
      </c>
      <c r="AR10" s="1">
        <v>1</v>
      </c>
      <c r="AS10" s="1" t="s">
        <v>26</v>
      </c>
      <c r="AT10" s="1" t="s">
        <v>26</v>
      </c>
      <c r="AU10" s="2">
        <v>25153132200.400002</v>
      </c>
      <c r="AV10" s="1">
        <v>1</v>
      </c>
      <c r="AW10" s="1" t="s">
        <v>26</v>
      </c>
      <c r="AX10" s="1" t="s">
        <v>26</v>
      </c>
      <c r="AY10" s="2">
        <v>370945253704.22998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G12</f>
        <v>5886635151.0100002</v>
      </c>
      <c r="H11" s="10">
        <f>G11/G135</f>
        <v>3.6261779153497035E-2</v>
      </c>
      <c r="I11" s="10">
        <v>0.1</v>
      </c>
      <c r="J11" s="10">
        <f>I11-H11</f>
        <v>6.3738220846502963E-2</v>
      </c>
      <c r="K11" s="9"/>
      <c r="L11" s="10"/>
      <c r="M11" s="10"/>
      <c r="N11" s="10"/>
      <c r="O11" s="9">
        <f>O12</f>
        <v>1564801749</v>
      </c>
      <c r="P11" s="10">
        <f>O11/O135</f>
        <v>6.4775645057364856E-3</v>
      </c>
      <c r="Q11" s="10">
        <v>0.1</v>
      </c>
      <c r="R11" s="10">
        <f>Q11-P11</f>
        <v>9.352243549426352E-2</v>
      </c>
      <c r="S11" s="9">
        <f>S12</f>
        <v>1541311755</v>
      </c>
      <c r="T11" s="10">
        <f>S11/S135</f>
        <v>1.2908951605002559E-2</v>
      </c>
      <c r="U11" s="10">
        <v>0.1</v>
      </c>
      <c r="V11" s="10">
        <f>U11-T11</f>
        <v>8.7091048394997442E-2</v>
      </c>
      <c r="W11" s="9"/>
      <c r="X11" s="10"/>
      <c r="Y11" s="10"/>
      <c r="Z11" s="10"/>
      <c r="AA11" s="9">
        <f>AA12</f>
        <v>1366096765</v>
      </c>
      <c r="AB11" s="10">
        <f>AA11/AA135</f>
        <v>9.1788719419822855E-3</v>
      </c>
      <c r="AC11" s="10">
        <v>0.1</v>
      </c>
      <c r="AD11" s="10">
        <f>AC11-AB11</f>
        <v>9.0821128058017717E-2</v>
      </c>
      <c r="AE11" s="9">
        <f>AE12</f>
        <v>10358845420.01</v>
      </c>
      <c r="AF11" s="10">
        <f>AE11/AE135</f>
        <v>1.5020259234373501E-2</v>
      </c>
      <c r="AG11" s="10">
        <v>0.1</v>
      </c>
      <c r="AH11" s="10">
        <f>AG11-AF11</f>
        <v>8.4979740765626505E-2</v>
      </c>
      <c r="AI11" s="9"/>
      <c r="AJ11" s="10"/>
      <c r="AK11" s="10" t="s">
        <v>26</v>
      </c>
      <c r="AL11" s="10" t="s">
        <v>26</v>
      </c>
      <c r="AM11" s="9" t="s">
        <v>26</v>
      </c>
      <c r="AN11" s="10" t="s">
        <v>26</v>
      </c>
      <c r="AO11" s="10" t="s">
        <v>26</v>
      </c>
      <c r="AP11" s="10" t="s">
        <v>26</v>
      </c>
      <c r="AQ11" s="9" t="s">
        <v>26</v>
      </c>
      <c r="AR11" s="10" t="s">
        <v>26</v>
      </c>
      <c r="AS11" s="10" t="s">
        <v>26</v>
      </c>
      <c r="AT11" s="10" t="s">
        <v>26</v>
      </c>
      <c r="AU11" s="9" t="s">
        <v>26</v>
      </c>
      <c r="AV11" s="10" t="s">
        <v>26</v>
      </c>
      <c r="AW11" s="10" t="s">
        <v>26</v>
      </c>
      <c r="AX11" s="10" t="s">
        <v>26</v>
      </c>
      <c r="AY11" s="9">
        <f>AY12</f>
        <v>10358845420.01</v>
      </c>
      <c r="AZ11" s="10">
        <f>AY11/AY135</f>
        <v>1.3267040883948434E-2</v>
      </c>
      <c r="BA11" s="10">
        <v>0.1</v>
      </c>
      <c r="BB11" s="10">
        <f>BA11-AZ11</f>
        <v>8.6732959116051569E-2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5886635151.0100002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1564801749</v>
      </c>
      <c r="P12" s="1">
        <v>1</v>
      </c>
      <c r="Q12" s="1" t="s">
        <v>26</v>
      </c>
      <c r="R12" s="1" t="s">
        <v>26</v>
      </c>
      <c r="S12" s="2">
        <v>1541311755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1366096765</v>
      </c>
      <c r="AB12" s="1">
        <v>1</v>
      </c>
      <c r="AC12" s="1" t="s">
        <v>26</v>
      </c>
      <c r="AD12" s="1" t="s">
        <v>26</v>
      </c>
      <c r="AE12" s="2">
        <v>10358845420.01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10358845420.01</v>
      </c>
      <c r="AZ12" s="1">
        <v>1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2565801800.0900002</v>
      </c>
      <c r="D13" s="43">
        <v>0.35480952014513001</v>
      </c>
      <c r="E13" s="43" t="s">
        <v>26</v>
      </c>
      <c r="F13" s="43" t="s">
        <v>26</v>
      </c>
      <c r="G13" s="42">
        <v>52359560170.699997</v>
      </c>
      <c r="H13" s="43">
        <v>0.32253396400727002</v>
      </c>
      <c r="I13" s="43" t="s">
        <v>26</v>
      </c>
      <c r="J13" s="43" t="s">
        <v>26</v>
      </c>
      <c r="K13" s="42">
        <v>1093555301.1700001</v>
      </c>
      <c r="L13" s="43">
        <v>0.31547352379256999</v>
      </c>
      <c r="M13" s="43" t="s">
        <v>26</v>
      </c>
      <c r="N13" s="43" t="s">
        <v>26</v>
      </c>
      <c r="O13" s="42">
        <v>77098191775.300003</v>
      </c>
      <c r="P13" s="43">
        <v>0.31915103254582999</v>
      </c>
      <c r="Q13" s="43" t="s">
        <v>26</v>
      </c>
      <c r="R13" s="43" t="s">
        <v>26</v>
      </c>
      <c r="S13" s="42">
        <v>33784227211.169998</v>
      </c>
      <c r="T13" s="43">
        <v>0.28295275822910998</v>
      </c>
      <c r="U13" s="43" t="s">
        <v>26</v>
      </c>
      <c r="V13" s="43" t="s">
        <v>26</v>
      </c>
      <c r="W13" s="42">
        <v>3338043751.3600001</v>
      </c>
      <c r="X13" s="43">
        <v>0.48840694326216999</v>
      </c>
      <c r="Y13" s="43" t="s">
        <v>26</v>
      </c>
      <c r="Z13" s="43" t="s">
        <v>26</v>
      </c>
      <c r="AA13" s="42">
        <v>44228276375.190002</v>
      </c>
      <c r="AB13" s="43">
        <v>0.29717159343095001</v>
      </c>
      <c r="AC13" s="43" t="s">
        <v>26</v>
      </c>
      <c r="AD13" s="43" t="s">
        <v>26</v>
      </c>
      <c r="AE13" s="42">
        <v>214467656384.98001</v>
      </c>
      <c r="AF13" s="43">
        <v>0.31097010447225998</v>
      </c>
      <c r="AG13" s="43" t="s">
        <v>26</v>
      </c>
      <c r="AH13" s="43" t="s">
        <v>26</v>
      </c>
      <c r="AI13" s="42">
        <v>8258789149.4499998</v>
      </c>
      <c r="AJ13" s="43">
        <v>0.46575195628360999</v>
      </c>
      <c r="AK13" s="43" t="s">
        <v>26</v>
      </c>
      <c r="AL13" s="43" t="s">
        <v>26</v>
      </c>
      <c r="AM13" s="42">
        <v>11928251604.58</v>
      </c>
      <c r="AN13" s="43">
        <v>0.48669594644550002</v>
      </c>
      <c r="AO13" s="43" t="s">
        <v>26</v>
      </c>
      <c r="AP13" s="43" t="s">
        <v>26</v>
      </c>
      <c r="AQ13" s="42">
        <v>20187040754.029999</v>
      </c>
      <c r="AR13" s="43">
        <v>0.47790391874138</v>
      </c>
      <c r="AS13" s="43" t="s">
        <v>26</v>
      </c>
      <c r="AT13" s="43" t="s">
        <v>26</v>
      </c>
      <c r="AU13" s="42">
        <v>16157547649.9</v>
      </c>
      <c r="AV13" s="43">
        <v>0.33043584461066999</v>
      </c>
      <c r="AW13" s="43" t="s">
        <v>26</v>
      </c>
      <c r="AX13" s="43" t="s">
        <v>26</v>
      </c>
      <c r="AY13" s="42">
        <v>250812244788.91</v>
      </c>
      <c r="AZ13" s="43">
        <v>0.32122001442245002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2565801800.0900002</v>
      </c>
      <c r="D14" s="10">
        <v>0.35480952014513001</v>
      </c>
      <c r="E14" s="10">
        <v>0.5</v>
      </c>
      <c r="F14" s="10">
        <v>0.1452</v>
      </c>
      <c r="G14" s="9">
        <v>52359560170.699997</v>
      </c>
      <c r="H14" s="10">
        <v>0.32253396400727002</v>
      </c>
      <c r="I14" s="10">
        <v>0.5</v>
      </c>
      <c r="J14" s="10">
        <v>0.17749999999999999</v>
      </c>
      <c r="K14" s="9">
        <v>1093555301.1700001</v>
      </c>
      <c r="L14" s="10">
        <v>0.31547352379256999</v>
      </c>
      <c r="M14" s="10">
        <v>0.5</v>
      </c>
      <c r="N14" s="10">
        <v>0.1845</v>
      </c>
      <c r="O14" s="9">
        <v>77098191775.300003</v>
      </c>
      <c r="P14" s="10">
        <v>0.31915103254582999</v>
      </c>
      <c r="Q14" s="10">
        <v>0.5</v>
      </c>
      <c r="R14" s="10">
        <v>0.18079999999999999</v>
      </c>
      <c r="S14" s="9">
        <v>33784227211.169998</v>
      </c>
      <c r="T14" s="10">
        <v>0.28295275822910998</v>
      </c>
      <c r="U14" s="10">
        <v>0.5</v>
      </c>
      <c r="V14" s="10">
        <v>0.217</v>
      </c>
      <c r="W14" s="9">
        <v>3338043751.3600001</v>
      </c>
      <c r="X14" s="10">
        <v>0.48840694326216999</v>
      </c>
      <c r="Y14" s="10">
        <v>0.5</v>
      </c>
      <c r="Z14" s="10">
        <v>1.1599999999999999E-2</v>
      </c>
      <c r="AA14" s="9">
        <v>44228276375.190002</v>
      </c>
      <c r="AB14" s="10">
        <v>0.29717159343095001</v>
      </c>
      <c r="AC14" s="10">
        <v>0.5</v>
      </c>
      <c r="AD14" s="10">
        <v>0.20280000000000001</v>
      </c>
      <c r="AE14" s="9">
        <v>214467656384.98001</v>
      </c>
      <c r="AF14" s="10">
        <v>0.31097010447225998</v>
      </c>
      <c r="AG14" s="10">
        <v>0.5</v>
      </c>
      <c r="AH14" s="10">
        <v>0.189</v>
      </c>
      <c r="AI14" s="9">
        <v>8258789149.4499998</v>
      </c>
      <c r="AJ14" s="10">
        <v>0.46575195628360999</v>
      </c>
      <c r="AK14" s="10">
        <v>0.5</v>
      </c>
      <c r="AL14" s="10">
        <v>3.4200000000000001E-2</v>
      </c>
      <c r="AM14" s="9">
        <v>11928251604.58</v>
      </c>
      <c r="AN14" s="10">
        <v>0.48669594644550002</v>
      </c>
      <c r="AO14" s="10">
        <v>0.5</v>
      </c>
      <c r="AP14" s="10">
        <v>1.3299999999999999E-2</v>
      </c>
      <c r="AQ14" s="9">
        <v>20187040754.029999</v>
      </c>
      <c r="AR14" s="10">
        <v>0.47790391874138</v>
      </c>
      <c r="AS14" s="10">
        <v>0.5</v>
      </c>
      <c r="AT14" s="10">
        <v>2.2100000000000002E-2</v>
      </c>
      <c r="AU14" s="9">
        <v>16157547649.9</v>
      </c>
      <c r="AV14" s="10">
        <v>0.33043584461066999</v>
      </c>
      <c r="AW14" s="10">
        <v>0.5</v>
      </c>
      <c r="AX14" s="10">
        <v>0.1696</v>
      </c>
      <c r="AY14" s="9">
        <v>250812244788.91</v>
      </c>
      <c r="AZ14" s="10">
        <v>0.32122001442245002</v>
      </c>
      <c r="BA14" s="10">
        <v>0.5</v>
      </c>
      <c r="BB14" s="10">
        <v>0.17879999999999999</v>
      </c>
    </row>
    <row r="15" spans="1:54" s="7" customFormat="1">
      <c r="A15" s="3" t="s">
        <v>33</v>
      </c>
      <c r="B15" s="23" t="s">
        <v>29</v>
      </c>
      <c r="C15" s="2">
        <v>685248512.71000004</v>
      </c>
      <c r="D15" s="1">
        <v>0.26706993216934</v>
      </c>
      <c r="E15" s="1" t="s">
        <v>26</v>
      </c>
      <c r="F15" s="1" t="s">
        <v>26</v>
      </c>
      <c r="G15" s="2">
        <v>17055058223.17</v>
      </c>
      <c r="H15" s="1">
        <v>0.32572959298297999</v>
      </c>
      <c r="I15" s="1" t="s">
        <v>26</v>
      </c>
      <c r="J15" s="1" t="s">
        <v>26</v>
      </c>
      <c r="K15" s="2">
        <v>257693264.77000001</v>
      </c>
      <c r="L15" s="1">
        <v>0.23564721829275001</v>
      </c>
      <c r="M15" s="1" t="s">
        <v>26</v>
      </c>
      <c r="N15" s="1" t="s">
        <v>26</v>
      </c>
      <c r="O15" s="2">
        <v>20915449981.740002</v>
      </c>
      <c r="P15" s="1">
        <v>0.27128327526405999</v>
      </c>
      <c r="Q15" s="1" t="s">
        <v>26</v>
      </c>
      <c r="R15" s="1" t="s">
        <v>26</v>
      </c>
      <c r="S15" s="2">
        <v>10620812898.639999</v>
      </c>
      <c r="T15" s="1">
        <v>0.31437193552642001</v>
      </c>
      <c r="U15" s="1" t="s">
        <v>26</v>
      </c>
      <c r="V15" s="1" t="s">
        <v>26</v>
      </c>
      <c r="W15" s="2">
        <v>1146009297.51</v>
      </c>
      <c r="X15" s="1">
        <v>0.34331763837520002</v>
      </c>
      <c r="Y15" s="1" t="s">
        <v>26</v>
      </c>
      <c r="Z15" s="1" t="s">
        <v>26</v>
      </c>
      <c r="AA15" s="2">
        <v>17936865657.040001</v>
      </c>
      <c r="AB15" s="1">
        <v>0.40555199359073002</v>
      </c>
      <c r="AC15" s="1" t="s">
        <v>26</v>
      </c>
      <c r="AD15" s="1" t="s">
        <v>26</v>
      </c>
      <c r="AE15" s="2">
        <v>68617137835.580002</v>
      </c>
      <c r="AF15" s="1">
        <v>0.31994165923279999</v>
      </c>
      <c r="AG15" s="1" t="s">
        <v>26</v>
      </c>
      <c r="AH15" s="1" t="s">
        <v>26</v>
      </c>
      <c r="AI15" s="2">
        <v>2042421758.52</v>
      </c>
      <c r="AJ15" s="1">
        <v>0.24730280935384</v>
      </c>
      <c r="AK15" s="1" t="s">
        <v>26</v>
      </c>
      <c r="AL15" s="1" t="s">
        <v>26</v>
      </c>
      <c r="AM15" s="2">
        <v>6301222241.1499996</v>
      </c>
      <c r="AN15" s="1">
        <v>0.52826033940552997</v>
      </c>
      <c r="AO15" s="1" t="s">
        <v>26</v>
      </c>
      <c r="AP15" s="1" t="s">
        <v>26</v>
      </c>
      <c r="AQ15" s="2">
        <v>8343643999.6700001</v>
      </c>
      <c r="AR15" s="1">
        <v>0.41331684526392998</v>
      </c>
      <c r="AS15" s="1" t="s">
        <v>26</v>
      </c>
      <c r="AT15" s="1" t="s">
        <v>26</v>
      </c>
      <c r="AU15" s="2">
        <v>7982364590.6899996</v>
      </c>
      <c r="AV15" s="1">
        <v>0.49403317654702</v>
      </c>
      <c r="AW15" s="1" t="s">
        <v>26</v>
      </c>
      <c r="AX15" s="1" t="s">
        <v>26</v>
      </c>
      <c r="AY15" s="2">
        <v>84943146425.940002</v>
      </c>
      <c r="AZ15" s="1">
        <v>0.33867224663384998</v>
      </c>
      <c r="BA15" s="1" t="s">
        <v>26</v>
      </c>
      <c r="BB15" s="1" t="s">
        <v>26</v>
      </c>
    </row>
    <row r="16" spans="1:54" s="25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1639133148.4000001</v>
      </c>
      <c r="H16" s="1">
        <v>3.1305326917490002E-2</v>
      </c>
      <c r="I16" s="1" t="s">
        <v>26</v>
      </c>
      <c r="J16" s="1" t="s">
        <v>26</v>
      </c>
      <c r="K16" s="2">
        <v>147121492.94999999</v>
      </c>
      <c r="L16" s="1">
        <v>0.13453502789717001</v>
      </c>
      <c r="M16" s="1" t="s">
        <v>26</v>
      </c>
      <c r="N16" s="1" t="s">
        <v>26</v>
      </c>
      <c r="O16" s="2">
        <v>4828551886</v>
      </c>
      <c r="P16" s="1">
        <v>6.2628600941420004E-2</v>
      </c>
      <c r="Q16" s="1" t="s">
        <v>26</v>
      </c>
      <c r="R16" s="1" t="s">
        <v>26</v>
      </c>
      <c r="S16" s="2">
        <v>222508982.25</v>
      </c>
      <c r="T16" s="1">
        <v>6.5861794280299996E-3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4305551770</v>
      </c>
      <c r="AB16" s="1">
        <v>9.7348396158960002E-2</v>
      </c>
      <c r="AC16" s="1" t="s">
        <v>26</v>
      </c>
      <c r="AD16" s="1" t="s">
        <v>26</v>
      </c>
      <c r="AE16" s="2">
        <v>11142867279.6</v>
      </c>
      <c r="AF16" s="1">
        <v>5.195593343734E-2</v>
      </c>
      <c r="AG16" s="1" t="s">
        <v>26</v>
      </c>
      <c r="AH16" s="1" t="s">
        <v>26</v>
      </c>
      <c r="AI16" s="2">
        <v>49809913.5</v>
      </c>
      <c r="AJ16" s="1">
        <v>6.0311399890000004E-3</v>
      </c>
      <c r="AK16" s="1" t="s">
        <v>26</v>
      </c>
      <c r="AL16" s="1" t="s">
        <v>26</v>
      </c>
      <c r="AM16" s="2">
        <v>738408127.60000002</v>
      </c>
      <c r="AN16" s="1">
        <v>6.1904137511360001E-2</v>
      </c>
      <c r="AO16" s="1" t="s">
        <v>26</v>
      </c>
      <c r="AP16" s="1" t="s">
        <v>26</v>
      </c>
      <c r="AQ16" s="2">
        <v>788218041.10000002</v>
      </c>
      <c r="AR16" s="1">
        <v>3.9045744777760003E-2</v>
      </c>
      <c r="AS16" s="1" t="s">
        <v>26</v>
      </c>
      <c r="AT16" s="1" t="s">
        <v>26</v>
      </c>
      <c r="AU16" s="2">
        <v>640986361.5</v>
      </c>
      <c r="AV16" s="1">
        <v>3.9671017866620001E-2</v>
      </c>
      <c r="AW16" s="1" t="s">
        <v>26</v>
      </c>
      <c r="AX16" s="1" t="s">
        <v>26</v>
      </c>
      <c r="AY16" s="2">
        <v>12572071682.200001</v>
      </c>
      <c r="AZ16" s="1">
        <v>5.0125430250750003E-2</v>
      </c>
      <c r="BA16" s="1" t="s">
        <v>26</v>
      </c>
      <c r="BB16" s="1" t="s">
        <v>26</v>
      </c>
    </row>
    <row r="17" spans="1:55" s="7" customFormat="1">
      <c r="A17" s="3" t="s">
        <v>36</v>
      </c>
      <c r="B17" s="23" t="s">
        <v>29</v>
      </c>
      <c r="C17" s="2">
        <v>1880553287.3800001</v>
      </c>
      <c r="D17" s="1">
        <v>0.73293006783065995</v>
      </c>
      <c r="E17" s="1" t="s">
        <v>26</v>
      </c>
      <c r="F17" s="1" t="s">
        <v>26</v>
      </c>
      <c r="G17" s="2">
        <v>33665368799.130001</v>
      </c>
      <c r="H17" s="1">
        <v>0.64296508009952003</v>
      </c>
      <c r="I17" s="1" t="s">
        <v>26</v>
      </c>
      <c r="J17" s="1" t="s">
        <v>26</v>
      </c>
      <c r="K17" s="2">
        <v>688740543.45000005</v>
      </c>
      <c r="L17" s="1">
        <v>0.62981775381007998</v>
      </c>
      <c r="M17" s="1" t="s">
        <v>26</v>
      </c>
      <c r="N17" s="1" t="s">
        <v>26</v>
      </c>
      <c r="O17" s="2">
        <v>51354189907.559998</v>
      </c>
      <c r="P17" s="1">
        <v>0.66608812379451998</v>
      </c>
      <c r="Q17" s="1" t="s">
        <v>26</v>
      </c>
      <c r="R17" s="1" t="s">
        <v>26</v>
      </c>
      <c r="S17" s="2">
        <v>22940905330.279999</v>
      </c>
      <c r="T17" s="1">
        <v>0.67904188504554996</v>
      </c>
      <c r="U17" s="1" t="s">
        <v>26</v>
      </c>
      <c r="V17" s="1" t="s">
        <v>26</v>
      </c>
      <c r="W17" s="2">
        <v>2192034453.8499999</v>
      </c>
      <c r="X17" s="1">
        <v>0.65668236162479998</v>
      </c>
      <c r="Y17" s="1" t="s">
        <v>26</v>
      </c>
      <c r="Z17" s="1" t="s">
        <v>26</v>
      </c>
      <c r="AA17" s="2">
        <v>21985858948.150002</v>
      </c>
      <c r="AB17" s="1">
        <v>0.49709961025031002</v>
      </c>
      <c r="AC17" s="1" t="s">
        <v>26</v>
      </c>
      <c r="AD17" s="1" t="s">
        <v>26</v>
      </c>
      <c r="AE17" s="2">
        <v>134707651269.8</v>
      </c>
      <c r="AF17" s="1">
        <v>0.62810240732986</v>
      </c>
      <c r="AG17" s="1" t="s">
        <v>26</v>
      </c>
      <c r="AH17" s="1" t="s">
        <v>26</v>
      </c>
      <c r="AI17" s="2">
        <v>6166557477.4300003</v>
      </c>
      <c r="AJ17" s="1">
        <v>0.74666605065715996</v>
      </c>
      <c r="AK17" s="1" t="s">
        <v>26</v>
      </c>
      <c r="AL17" s="1" t="s">
        <v>26</v>
      </c>
      <c r="AM17" s="2">
        <v>4888621235.8299999</v>
      </c>
      <c r="AN17" s="1">
        <v>0.40983552308311</v>
      </c>
      <c r="AO17" s="1" t="s">
        <v>26</v>
      </c>
      <c r="AP17" s="1" t="s">
        <v>26</v>
      </c>
      <c r="AQ17" s="2">
        <v>11055178713.26</v>
      </c>
      <c r="AR17" s="1">
        <v>0.54763740995832</v>
      </c>
      <c r="AS17" s="1" t="s">
        <v>26</v>
      </c>
      <c r="AT17" s="1" t="s">
        <v>26</v>
      </c>
      <c r="AU17" s="2">
        <v>7534196697.71</v>
      </c>
      <c r="AV17" s="1">
        <v>0.46629580558634998</v>
      </c>
      <c r="AW17" s="1" t="s">
        <v>26</v>
      </c>
      <c r="AX17" s="1" t="s">
        <v>26</v>
      </c>
      <c r="AY17" s="2">
        <v>153297026680.76999</v>
      </c>
      <c r="AZ17" s="1">
        <v>0.61120232311540001</v>
      </c>
      <c r="BA17" s="1" t="s">
        <v>26</v>
      </c>
      <c r="BB17" s="1" t="s">
        <v>26</v>
      </c>
    </row>
    <row r="18" spans="1:55" s="28" customFormat="1">
      <c r="A18" s="12" t="s">
        <v>37</v>
      </c>
      <c r="B18" s="40" t="s">
        <v>25</v>
      </c>
      <c r="C18" s="42">
        <v>235751742.25999999</v>
      </c>
      <c r="D18" s="43">
        <v>3.2600710834999998E-2</v>
      </c>
      <c r="E18" s="43" t="s">
        <v>26</v>
      </c>
      <c r="F18" s="43" t="s">
        <v>26</v>
      </c>
      <c r="G18" s="42">
        <v>7599255450.5</v>
      </c>
      <c r="H18" s="43">
        <v>4.6811279085670003E-2</v>
      </c>
      <c r="I18" s="43" t="s">
        <v>26</v>
      </c>
      <c r="J18" s="43" t="s">
        <v>26</v>
      </c>
      <c r="K18" s="42">
        <v>317106359.33999997</v>
      </c>
      <c r="L18" s="43">
        <v>9.1480202684759995E-2</v>
      </c>
      <c r="M18" s="43" t="s">
        <v>26</v>
      </c>
      <c r="N18" s="43" t="s">
        <v>26</v>
      </c>
      <c r="O18" s="42">
        <v>15048538341.639999</v>
      </c>
      <c r="P18" s="43">
        <v>6.2294023237760003E-2</v>
      </c>
      <c r="Q18" s="43" t="s">
        <v>26</v>
      </c>
      <c r="R18" s="43" t="s">
        <v>26</v>
      </c>
      <c r="S18" s="42">
        <v>5328455932.6000004</v>
      </c>
      <c r="T18" s="43">
        <v>4.4627372821270002E-2</v>
      </c>
      <c r="U18" s="43" t="s">
        <v>26</v>
      </c>
      <c r="V18" s="43" t="s">
        <v>26</v>
      </c>
      <c r="W18" s="42">
        <v>1079913948.2</v>
      </c>
      <c r="X18" s="43">
        <v>0.15800795607057</v>
      </c>
      <c r="Y18" s="43" t="s">
        <v>26</v>
      </c>
      <c r="Z18" s="43" t="s">
        <v>26</v>
      </c>
      <c r="AA18" s="42">
        <v>13804867831.98</v>
      </c>
      <c r="AB18" s="43">
        <v>9.2755470186819997E-2</v>
      </c>
      <c r="AC18" s="43" t="s">
        <v>26</v>
      </c>
      <c r="AD18" s="43" t="s">
        <v>26</v>
      </c>
      <c r="AE18" s="42">
        <v>43413889606.519997</v>
      </c>
      <c r="AF18" s="43">
        <v>6.2948521068620006E-2</v>
      </c>
      <c r="AG18" s="43" t="s">
        <v>26</v>
      </c>
      <c r="AH18" s="43" t="s">
        <v>26</v>
      </c>
      <c r="AI18" s="42">
        <v>975975398.04999995</v>
      </c>
      <c r="AJ18" s="43">
        <v>5.5039842124649997E-2</v>
      </c>
      <c r="AK18" s="43" t="s">
        <v>26</v>
      </c>
      <c r="AL18" s="43" t="s">
        <v>26</v>
      </c>
      <c r="AM18" s="42">
        <v>1820101674.0899999</v>
      </c>
      <c r="AN18" s="43">
        <v>7.4263700688379994E-2</v>
      </c>
      <c r="AO18" s="43" t="s">
        <v>26</v>
      </c>
      <c r="AP18" s="43" t="s">
        <v>26</v>
      </c>
      <c r="AQ18" s="42">
        <v>2796077072.1399999</v>
      </c>
      <c r="AR18" s="43">
        <v>6.6193762927429997E-2</v>
      </c>
      <c r="AS18" s="43" t="s">
        <v>26</v>
      </c>
      <c r="AT18" s="43" t="s">
        <v>26</v>
      </c>
      <c r="AU18" s="42">
        <v>3100044419.3899999</v>
      </c>
      <c r="AV18" s="43">
        <v>6.3398593539539999E-2</v>
      </c>
      <c r="AW18" s="43" t="s">
        <v>26</v>
      </c>
      <c r="AX18" s="43" t="s">
        <v>26</v>
      </c>
      <c r="AY18" s="42">
        <v>49310011098.050003</v>
      </c>
      <c r="AZ18" s="43">
        <v>6.3152269497119995E-2</v>
      </c>
      <c r="BA18" s="43" t="s">
        <v>26</v>
      </c>
      <c r="BB18" s="43" t="s">
        <v>26</v>
      </c>
    </row>
    <row r="19" spans="1:55" s="7" customFormat="1">
      <c r="A19" s="5" t="s">
        <v>38</v>
      </c>
      <c r="B19" s="20" t="s">
        <v>25</v>
      </c>
      <c r="C19" s="9">
        <v>7065159.4699999997</v>
      </c>
      <c r="D19" s="10">
        <v>9.7699901887000006E-4</v>
      </c>
      <c r="E19" s="10">
        <v>0.15</v>
      </c>
      <c r="F19" s="10">
        <v>0.14899999999999999</v>
      </c>
      <c r="G19" s="9">
        <v>1957629666.3499999</v>
      </c>
      <c r="H19" s="10">
        <v>1.205896409916E-2</v>
      </c>
      <c r="I19" s="10">
        <v>0.15</v>
      </c>
      <c r="J19" s="10">
        <v>0.13789999999999999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5869154802.6999998</v>
      </c>
      <c r="P19" s="10">
        <v>2.4295599836020001E-2</v>
      </c>
      <c r="Q19" s="10">
        <v>0.13950000000000001</v>
      </c>
      <c r="R19" s="10">
        <v>0.1152</v>
      </c>
      <c r="S19" s="9">
        <v>1846333188.1400001</v>
      </c>
      <c r="T19" s="10">
        <v>1.54635790521E-2</v>
      </c>
      <c r="U19" s="10">
        <v>0.05</v>
      </c>
      <c r="V19" s="10">
        <v>3.4500000000000003E-2</v>
      </c>
      <c r="W19" s="9">
        <v>138630169.66999999</v>
      </c>
      <c r="X19" s="10">
        <v>2.0283717786760001E-2</v>
      </c>
      <c r="Y19" s="10">
        <v>0.15</v>
      </c>
      <c r="Z19" s="10">
        <v>0.12970000000000001</v>
      </c>
      <c r="AA19" s="9">
        <v>4759091160.7600002</v>
      </c>
      <c r="AB19" s="10">
        <v>3.1976527674939997E-2</v>
      </c>
      <c r="AC19" s="10">
        <v>0.13700000000000001</v>
      </c>
      <c r="AD19" s="10">
        <v>0.105</v>
      </c>
      <c r="AE19" s="9">
        <v>14577904147.09</v>
      </c>
      <c r="AF19" s="10">
        <v>2.1137417417710001E-2</v>
      </c>
      <c r="AG19" s="10">
        <v>0.14050000000000001</v>
      </c>
      <c r="AH19" s="10">
        <v>0.11940000000000001</v>
      </c>
      <c r="AI19" s="9">
        <v>630587971.78999996</v>
      </c>
      <c r="AJ19" s="10">
        <v>3.5561821007339997E-2</v>
      </c>
      <c r="AK19" s="10">
        <v>0.05</v>
      </c>
      <c r="AL19" s="10">
        <v>1.44E-2</v>
      </c>
      <c r="AM19" s="9">
        <v>250010079.97999999</v>
      </c>
      <c r="AN19" s="10">
        <v>1.020089922064E-2</v>
      </c>
      <c r="AO19" s="10">
        <v>0.15</v>
      </c>
      <c r="AP19" s="10">
        <v>0.13980000000000001</v>
      </c>
      <c r="AQ19" s="9">
        <v>880598051.76999998</v>
      </c>
      <c r="AR19" s="10">
        <v>2.084710012253E-2</v>
      </c>
      <c r="AS19" s="10">
        <v>0.14369999999999999</v>
      </c>
      <c r="AT19" s="10">
        <v>0.1229</v>
      </c>
      <c r="AU19" s="9">
        <v>931220171.02999997</v>
      </c>
      <c r="AV19" s="10">
        <v>1.9044259091799999E-2</v>
      </c>
      <c r="AW19" s="10">
        <v>0.1394</v>
      </c>
      <c r="AX19" s="10">
        <v>0.12039999999999999</v>
      </c>
      <c r="AY19" s="9">
        <v>16389722369.889999</v>
      </c>
      <c r="AZ19" s="10">
        <v>2.0990629307059999E-2</v>
      </c>
      <c r="BA19" s="10">
        <v>0.1406</v>
      </c>
      <c r="BB19" s="10">
        <v>0.1196</v>
      </c>
    </row>
    <row r="20" spans="1:55" s="7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4116118420</v>
      </c>
      <c r="P20" s="1">
        <v>0.70131365730997997</v>
      </c>
      <c r="Q20" s="1" t="s">
        <v>26</v>
      </c>
      <c r="R20" s="1" t="s">
        <v>26</v>
      </c>
      <c r="S20" s="2">
        <v>1018425201.6</v>
      </c>
      <c r="T20" s="1">
        <v>0.55159340044466998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4116118420</v>
      </c>
      <c r="AB20" s="1">
        <v>0.86489589733824002</v>
      </c>
      <c r="AC20" s="1" t="s">
        <v>26</v>
      </c>
      <c r="AD20" s="1" t="s">
        <v>26</v>
      </c>
      <c r="AE20" s="2">
        <v>9250662041.6000004</v>
      </c>
      <c r="AF20" s="1">
        <v>0.63456735263597996</v>
      </c>
      <c r="AG20" s="1" t="s">
        <v>26</v>
      </c>
      <c r="AH20" s="1" t="s">
        <v>26</v>
      </c>
      <c r="AI20" s="2">
        <v>367012152.38</v>
      </c>
      <c r="AJ20" s="1">
        <v>0.58201578336198001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367012152.38</v>
      </c>
      <c r="AR20" s="1">
        <v>0.41677602129859997</v>
      </c>
      <c r="AS20" s="1" t="s">
        <v>26</v>
      </c>
      <c r="AT20" s="1" t="s">
        <v>26</v>
      </c>
      <c r="AU20" s="2">
        <v>655085936.78999996</v>
      </c>
      <c r="AV20" s="1">
        <v>0.70347051875543998</v>
      </c>
      <c r="AW20" s="1" t="s">
        <v>26</v>
      </c>
      <c r="AX20" s="1" t="s">
        <v>26</v>
      </c>
      <c r="AY20" s="2">
        <v>10272760130.77</v>
      </c>
      <c r="AZ20" s="1">
        <v>0.62678060670767</v>
      </c>
      <c r="BA20" s="1" t="s">
        <v>26</v>
      </c>
      <c r="BB20" s="1" t="s">
        <v>26</v>
      </c>
    </row>
    <row r="21" spans="1:55" s="25" customFormat="1">
      <c r="A21" s="3" t="s">
        <v>41</v>
      </c>
      <c r="B21" s="23" t="s">
        <v>35</v>
      </c>
      <c r="C21" s="2">
        <v>7065159.4699999997</v>
      </c>
      <c r="D21" s="1">
        <v>1</v>
      </c>
      <c r="E21" s="1" t="s">
        <v>26</v>
      </c>
      <c r="F21" s="1" t="s">
        <v>26</v>
      </c>
      <c r="G21" s="2">
        <v>1957629666.3499999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1753036382.7</v>
      </c>
      <c r="P21" s="1">
        <v>0.29868634269001998</v>
      </c>
      <c r="Q21" s="1" t="s">
        <v>26</v>
      </c>
      <c r="R21" s="1" t="s">
        <v>26</v>
      </c>
      <c r="S21" s="2">
        <v>827907986.53999996</v>
      </c>
      <c r="T21" s="1">
        <v>0.44840659955533002</v>
      </c>
      <c r="U21" s="1" t="s">
        <v>26</v>
      </c>
      <c r="V21" s="1" t="s">
        <v>26</v>
      </c>
      <c r="W21" s="2">
        <v>138630169.66999999</v>
      </c>
      <c r="X21" s="1">
        <v>1</v>
      </c>
      <c r="Y21" s="1" t="s">
        <v>26</v>
      </c>
      <c r="Z21" s="1" t="s">
        <v>26</v>
      </c>
      <c r="AA21" s="2">
        <v>642972740.75999999</v>
      </c>
      <c r="AB21" s="1">
        <v>0.13510410266176001</v>
      </c>
      <c r="AC21" s="1" t="s">
        <v>26</v>
      </c>
      <c r="AD21" s="1" t="s">
        <v>26</v>
      </c>
      <c r="AE21" s="2">
        <v>5327242105.4899998</v>
      </c>
      <c r="AF21" s="1">
        <v>0.36543264736401998</v>
      </c>
      <c r="AG21" s="1" t="s">
        <v>26</v>
      </c>
      <c r="AH21" s="1" t="s">
        <v>26</v>
      </c>
      <c r="AI21" s="2">
        <v>263575819.41</v>
      </c>
      <c r="AJ21" s="1">
        <v>0.41798421663801999</v>
      </c>
      <c r="AK21" s="1" t="s">
        <v>26</v>
      </c>
      <c r="AL21" s="1" t="s">
        <v>26</v>
      </c>
      <c r="AM21" s="2">
        <v>250010079.97999999</v>
      </c>
      <c r="AN21" s="1">
        <v>1</v>
      </c>
      <c r="AO21" s="1" t="s">
        <v>26</v>
      </c>
      <c r="AP21" s="1" t="s">
        <v>26</v>
      </c>
      <c r="AQ21" s="2">
        <v>513585899.38999999</v>
      </c>
      <c r="AR21" s="1">
        <v>0.58322397870139997</v>
      </c>
      <c r="AS21" s="1" t="s">
        <v>26</v>
      </c>
      <c r="AT21" s="1" t="s">
        <v>26</v>
      </c>
      <c r="AU21" s="2">
        <v>276134234.24000001</v>
      </c>
      <c r="AV21" s="1">
        <v>0.29652948124456002</v>
      </c>
      <c r="AW21" s="1" t="s">
        <v>26</v>
      </c>
      <c r="AX21" s="1" t="s">
        <v>26</v>
      </c>
      <c r="AY21" s="2">
        <v>6116962239.1199999</v>
      </c>
      <c r="AZ21" s="1">
        <v>0.37321939329233</v>
      </c>
      <c r="BA21" s="1" t="s">
        <v>26</v>
      </c>
      <c r="BB21" s="1" t="s">
        <v>26</v>
      </c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>
        <v>18888295.030000001</v>
      </c>
      <c r="L22" s="10">
        <v>5.4489763665099998E-3</v>
      </c>
      <c r="M22" s="10">
        <v>0.15</v>
      </c>
      <c r="N22" s="10">
        <v>0.14460000000000001</v>
      </c>
      <c r="O22" s="9" t="s">
        <v>26</v>
      </c>
      <c r="P22" s="10" t="s">
        <v>26</v>
      </c>
      <c r="Q22" s="10" t="s">
        <v>26</v>
      </c>
      <c r="R22" s="10" t="s">
        <v>26</v>
      </c>
      <c r="S22" s="9" t="s">
        <v>26</v>
      </c>
      <c r="T22" s="10" t="s">
        <v>26</v>
      </c>
      <c r="U22" s="10" t="s">
        <v>26</v>
      </c>
      <c r="V22" s="10" t="s">
        <v>26</v>
      </c>
      <c r="W22" s="9">
        <v>53207274.920000002</v>
      </c>
      <c r="X22" s="10">
        <v>7.7850395137600004E-3</v>
      </c>
      <c r="Y22" s="10">
        <v>0.15</v>
      </c>
      <c r="Z22" s="10">
        <v>0.14219999999999999</v>
      </c>
      <c r="AA22" s="9">
        <v>153139546.91</v>
      </c>
      <c r="AB22" s="10">
        <v>1.02895086362E-3</v>
      </c>
      <c r="AC22" s="10">
        <v>0.15</v>
      </c>
      <c r="AD22" s="10">
        <v>0.14899999999999999</v>
      </c>
      <c r="AE22" s="9">
        <v>225235116.86000001</v>
      </c>
      <c r="AF22" s="10">
        <v>3.2658252065000001E-4</v>
      </c>
      <c r="AG22" s="10">
        <v>0.15</v>
      </c>
      <c r="AH22" s="10">
        <v>0.1497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 t="s">
        <v>26</v>
      </c>
      <c r="AV22" s="10" t="s">
        <v>26</v>
      </c>
      <c r="AW22" s="10" t="s">
        <v>26</v>
      </c>
      <c r="AX22" s="10" t="s">
        <v>26</v>
      </c>
      <c r="AY22" s="9">
        <v>225235116.86000001</v>
      </c>
      <c r="AZ22" s="10">
        <v>2.884629E-4</v>
      </c>
      <c r="BA22" s="10">
        <v>0.15</v>
      </c>
      <c r="BB22" s="10">
        <v>0.1497</v>
      </c>
    </row>
    <row r="23" spans="1:55" s="28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>
        <v>18888295.030000001</v>
      </c>
      <c r="L23" s="1">
        <v>1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53207274.920000002</v>
      </c>
      <c r="X23" s="1">
        <v>1</v>
      </c>
      <c r="Y23" s="1" t="s">
        <v>26</v>
      </c>
      <c r="Z23" s="1" t="s">
        <v>26</v>
      </c>
      <c r="AA23" s="2">
        <v>153139546.91</v>
      </c>
      <c r="AB23" s="1">
        <v>1</v>
      </c>
      <c r="AC23" s="1" t="s">
        <v>26</v>
      </c>
      <c r="AD23" s="1" t="s">
        <v>26</v>
      </c>
      <c r="AE23" s="2">
        <v>225235116.86000001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225235116.86000001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174227100.21000001</v>
      </c>
      <c r="D24" s="10">
        <v>2.4092832821159999E-2</v>
      </c>
      <c r="E24" s="10">
        <v>0.13500000000000001</v>
      </c>
      <c r="F24" s="10">
        <v>0.1109</v>
      </c>
      <c r="G24" s="9" t="s">
        <v>26</v>
      </c>
      <c r="H24" s="10" t="s">
        <v>26</v>
      </c>
      <c r="I24" s="10" t="s">
        <v>26</v>
      </c>
      <c r="J24" s="10" t="s">
        <v>26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174227100.21000001</v>
      </c>
      <c r="AF24" s="10">
        <v>2.5262279854999998E-4</v>
      </c>
      <c r="AG24" s="10">
        <v>0.13500000000000001</v>
      </c>
      <c r="AH24" s="10">
        <v>0.13469999999999999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174227100.21000001</v>
      </c>
      <c r="AZ24" s="10">
        <v>2.2313596248000001E-4</v>
      </c>
      <c r="BA24" s="10">
        <v>0.13500000000000001</v>
      </c>
      <c r="BB24" s="10">
        <v>0.1348</v>
      </c>
    </row>
    <row r="25" spans="1:55" s="7" customFormat="1">
      <c r="A25" s="3" t="s">
        <v>41</v>
      </c>
      <c r="B25" s="23" t="s">
        <v>44</v>
      </c>
      <c r="C25" s="2">
        <v>174227100.21000001</v>
      </c>
      <c r="D25" s="1">
        <v>1</v>
      </c>
      <c r="E25" s="1" t="s">
        <v>26</v>
      </c>
      <c r="F25" s="1" t="s">
        <v>26</v>
      </c>
      <c r="G25" s="2" t="s">
        <v>26</v>
      </c>
      <c r="H25" s="1" t="s">
        <v>26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174227100.21000001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174227100.21000001</v>
      </c>
      <c r="AZ25" s="1">
        <v>1</v>
      </c>
      <c r="BA25" s="1" t="s">
        <v>26</v>
      </c>
      <c r="BB25" s="1" t="s">
        <v>26</v>
      </c>
      <c r="BC25" s="31"/>
    </row>
    <row r="26" spans="1:55" s="7" customFormat="1">
      <c r="A26" s="5" t="s">
        <v>45</v>
      </c>
      <c r="B26" s="20" t="s">
        <v>25</v>
      </c>
      <c r="C26" s="9">
        <v>20633206.199999999</v>
      </c>
      <c r="D26" s="10">
        <v>2.8532437659899998E-3</v>
      </c>
      <c r="E26" s="10">
        <v>0.13500000000000001</v>
      </c>
      <c r="F26" s="10">
        <v>0.1321</v>
      </c>
      <c r="G26" s="9">
        <v>2190948456.8800001</v>
      </c>
      <c r="H26" s="10">
        <v>1.349620371961E-2</v>
      </c>
      <c r="I26" s="10">
        <v>0.13980000000000001</v>
      </c>
      <c r="J26" s="10">
        <v>0.1263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1652819751.5</v>
      </c>
      <c r="P26" s="10">
        <v>6.8419131260699997E-3</v>
      </c>
      <c r="Q26" s="10">
        <v>0.13500000000000001</v>
      </c>
      <c r="R26" s="10">
        <v>0.12820000000000001</v>
      </c>
      <c r="S26" s="9">
        <v>825946321</v>
      </c>
      <c r="T26" s="10">
        <v>6.9175413785700001E-3</v>
      </c>
      <c r="U26" s="10">
        <v>0.13500000000000001</v>
      </c>
      <c r="V26" s="10">
        <v>0.12809999999999999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4215535475.3099999</v>
      </c>
      <c r="AB26" s="10">
        <v>2.8324354847920001E-2</v>
      </c>
      <c r="AC26" s="10">
        <v>0.05</v>
      </c>
      <c r="AD26" s="10">
        <v>2.1700000000000001E-2</v>
      </c>
      <c r="AE26" s="9">
        <v>8905883210.8899994</v>
      </c>
      <c r="AF26" s="10">
        <v>1.291319856425E-2</v>
      </c>
      <c r="AG26" s="10">
        <v>0.14050000000000001</v>
      </c>
      <c r="AH26" s="10">
        <v>0.12759999999999999</v>
      </c>
      <c r="AI26" s="9" t="s">
        <v>26</v>
      </c>
      <c r="AJ26" s="10" t="s">
        <v>26</v>
      </c>
      <c r="AK26" s="10" t="s">
        <v>26</v>
      </c>
      <c r="AL26" s="10" t="s">
        <v>26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 t="s">
        <v>26</v>
      </c>
      <c r="AR26" s="10" t="s">
        <v>26</v>
      </c>
      <c r="AS26" s="10" t="s">
        <v>26</v>
      </c>
      <c r="AT26" s="10" t="s">
        <v>26</v>
      </c>
      <c r="AU26" s="9">
        <v>982549586.5</v>
      </c>
      <c r="AV26" s="10">
        <v>2.0093990098120001E-2</v>
      </c>
      <c r="AW26" s="10">
        <v>0.13500000000000001</v>
      </c>
      <c r="AX26" s="10">
        <v>0.1149</v>
      </c>
      <c r="AY26" s="9">
        <v>9888432797.3899994</v>
      </c>
      <c r="AZ26" s="10">
        <v>1.2664304043309999E-2</v>
      </c>
      <c r="BA26" s="10">
        <v>0.1399</v>
      </c>
      <c r="BB26" s="10">
        <v>0.12720000000000001</v>
      </c>
    </row>
    <row r="27" spans="1:55" s="7" customFormat="1">
      <c r="A27" s="3" t="s">
        <v>39</v>
      </c>
      <c r="B27" s="23" t="s">
        <v>40</v>
      </c>
      <c r="C27" s="2">
        <v>20633206.199999999</v>
      </c>
      <c r="D27" s="1">
        <v>1</v>
      </c>
      <c r="E27" s="1" t="s">
        <v>26</v>
      </c>
      <c r="F27" s="1" t="s">
        <v>26</v>
      </c>
      <c r="G27" s="2">
        <v>1486517955.9000001</v>
      </c>
      <c r="H27" s="1">
        <v>0.67848148195000002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1652819751.5</v>
      </c>
      <c r="P27" s="1">
        <v>1</v>
      </c>
      <c r="Q27" s="1" t="s">
        <v>26</v>
      </c>
      <c r="R27" s="1" t="s">
        <v>26</v>
      </c>
      <c r="S27" s="2">
        <v>825946321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1678506708.4400001</v>
      </c>
      <c r="AB27" s="1">
        <v>0.39817164824513002</v>
      </c>
      <c r="AC27" s="1" t="s">
        <v>26</v>
      </c>
      <c r="AD27" s="1" t="s">
        <v>26</v>
      </c>
      <c r="AE27" s="2">
        <v>5664423943.04</v>
      </c>
      <c r="AF27" s="1">
        <v>0.63603168926733999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982549586.5</v>
      </c>
      <c r="AV27" s="1">
        <v>1</v>
      </c>
      <c r="AW27" s="1" t="s">
        <v>26</v>
      </c>
      <c r="AX27" s="1" t="s">
        <v>26</v>
      </c>
      <c r="AY27" s="2">
        <v>6646973529.54</v>
      </c>
      <c r="AZ27" s="1">
        <v>0.67219686534093004</v>
      </c>
      <c r="BA27" s="1" t="s">
        <v>26</v>
      </c>
      <c r="BB27" s="1" t="s">
        <v>26</v>
      </c>
    </row>
    <row r="28" spans="1:55" s="7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>
        <v>704430500.98000002</v>
      </c>
      <c r="H28" s="1">
        <v>0.32151851804999998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2537028766.8699999</v>
      </c>
      <c r="AB28" s="1">
        <v>0.60182835175487004</v>
      </c>
      <c r="AC28" s="1" t="s">
        <v>26</v>
      </c>
      <c r="AD28" s="1" t="s">
        <v>26</v>
      </c>
      <c r="AE28" s="2">
        <v>3241459267.8499999</v>
      </c>
      <c r="AF28" s="1">
        <v>0.36396831073266001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3241459267.8499999</v>
      </c>
      <c r="AZ28" s="1">
        <v>0.32780313465907002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10" t="s">
        <v>26</v>
      </c>
      <c r="F29" s="10" t="s">
        <v>26</v>
      </c>
      <c r="G29" s="9" t="s">
        <v>26</v>
      </c>
      <c r="H29" s="10" t="s">
        <v>26</v>
      </c>
      <c r="I29" s="10" t="s">
        <v>26</v>
      </c>
      <c r="J29" s="10" t="s">
        <v>26</v>
      </c>
      <c r="K29" s="9" t="s">
        <v>26</v>
      </c>
      <c r="L29" s="10" t="s">
        <v>26</v>
      </c>
      <c r="M29" s="10" t="s">
        <v>26</v>
      </c>
      <c r="N29" s="10" t="s">
        <v>26</v>
      </c>
      <c r="O29" s="9" t="s">
        <v>26</v>
      </c>
      <c r="P29" s="10" t="s">
        <v>26</v>
      </c>
      <c r="Q29" s="10" t="s">
        <v>26</v>
      </c>
      <c r="R29" s="10" t="s">
        <v>26</v>
      </c>
      <c r="S29" s="9">
        <v>18079460.710000001</v>
      </c>
      <c r="T29" s="10">
        <v>1.5142075748000001E-4</v>
      </c>
      <c r="U29" s="10">
        <v>0.13500000000000001</v>
      </c>
      <c r="V29" s="10">
        <v>0.1348</v>
      </c>
      <c r="W29" s="9" t="s">
        <v>26</v>
      </c>
      <c r="X29" s="10" t="s">
        <v>26</v>
      </c>
      <c r="Y29" s="10" t="s">
        <v>26</v>
      </c>
      <c r="Z29" s="10" t="s">
        <v>26</v>
      </c>
      <c r="AA29" s="9" t="s">
        <v>26</v>
      </c>
      <c r="AB29" s="10" t="s">
        <v>26</v>
      </c>
      <c r="AC29" s="10" t="s">
        <v>26</v>
      </c>
      <c r="AD29" s="10" t="s">
        <v>26</v>
      </c>
      <c r="AE29" s="9">
        <v>18079460.710000001</v>
      </c>
      <c r="AF29" s="10">
        <v>2.6214543860000001E-5</v>
      </c>
      <c r="AG29" s="10">
        <v>0.13500000000000001</v>
      </c>
      <c r="AH29" s="10">
        <v>0.13500000000000001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495085447.81</v>
      </c>
      <c r="AN29" s="10">
        <v>2.0200452554229999E-2</v>
      </c>
      <c r="AO29" s="10">
        <v>0.13500000000000001</v>
      </c>
      <c r="AP29" s="10">
        <v>0.1148</v>
      </c>
      <c r="AQ29" s="9">
        <v>495085447.81</v>
      </c>
      <c r="AR29" s="10">
        <v>1.172055273E-2</v>
      </c>
      <c r="AS29" s="10">
        <v>0.13500000000000001</v>
      </c>
      <c r="AT29" s="10">
        <v>0.12330000000000001</v>
      </c>
      <c r="AU29" s="9" t="s">
        <v>26</v>
      </c>
      <c r="AV29" s="10" t="s">
        <v>26</v>
      </c>
      <c r="AW29" s="10" t="s">
        <v>26</v>
      </c>
      <c r="AX29" s="10" t="s">
        <v>26</v>
      </c>
      <c r="AY29" s="9">
        <v>513164908.51999998</v>
      </c>
      <c r="AZ29" s="10">
        <v>6.5722006298000004E-4</v>
      </c>
      <c r="BA29" s="10">
        <v>0.13500000000000001</v>
      </c>
      <c r="BB29" s="10">
        <v>0.1343</v>
      </c>
    </row>
    <row r="30" spans="1:55" s="7" customFormat="1">
      <c r="A30" s="3" t="s">
        <v>41</v>
      </c>
      <c r="B30" s="23" t="s">
        <v>44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18079460.710000001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18079460.710000001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495085447.81</v>
      </c>
      <c r="AN30" s="1">
        <v>1</v>
      </c>
      <c r="AO30" s="1" t="s">
        <v>26</v>
      </c>
      <c r="AP30" s="1" t="s">
        <v>26</v>
      </c>
      <c r="AQ30" s="2">
        <v>495085447.81</v>
      </c>
      <c r="AR30" s="1">
        <v>1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513164908.51999998</v>
      </c>
      <c r="AZ30" s="1">
        <v>1</v>
      </c>
      <c r="BA30" s="1" t="s">
        <v>26</v>
      </c>
      <c r="BB30" s="1" t="s">
        <v>26</v>
      </c>
    </row>
    <row r="31" spans="1:55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10" t="s">
        <v>26</v>
      </c>
      <c r="F31" s="10" t="s">
        <v>26</v>
      </c>
      <c r="G31" s="9">
        <v>10015007.369999999</v>
      </c>
      <c r="H31" s="10">
        <v>6.1692268160000002E-5</v>
      </c>
      <c r="I31" s="10">
        <v>0.13500000000000001</v>
      </c>
      <c r="J31" s="10">
        <v>0.13489999999999999</v>
      </c>
      <c r="K31" s="9">
        <v>157186060.72999999</v>
      </c>
      <c r="L31" s="10">
        <v>4.5345709006680002E-2</v>
      </c>
      <c r="M31" s="10">
        <v>0.13500000000000001</v>
      </c>
      <c r="N31" s="10">
        <v>8.9700000000000002E-2</v>
      </c>
      <c r="O31" s="9" t="s">
        <v>26</v>
      </c>
      <c r="P31" s="10" t="s">
        <v>26</v>
      </c>
      <c r="Q31" s="10" t="s">
        <v>26</v>
      </c>
      <c r="R31" s="10" t="s">
        <v>26</v>
      </c>
      <c r="S31" s="9" t="s">
        <v>26</v>
      </c>
      <c r="T31" s="10" t="s">
        <v>26</v>
      </c>
      <c r="U31" s="10" t="s">
        <v>26</v>
      </c>
      <c r="V31" s="10" t="s">
        <v>26</v>
      </c>
      <c r="W31" s="9" t="s">
        <v>26</v>
      </c>
      <c r="X31" s="10" t="s">
        <v>26</v>
      </c>
      <c r="Y31" s="10" t="s">
        <v>26</v>
      </c>
      <c r="Z31" s="10" t="s">
        <v>26</v>
      </c>
      <c r="AA31" s="9" t="s">
        <v>26</v>
      </c>
      <c r="AB31" s="10" t="s">
        <v>26</v>
      </c>
      <c r="AC31" s="10" t="s">
        <v>26</v>
      </c>
      <c r="AD31" s="10" t="s">
        <v>26</v>
      </c>
      <c r="AE31" s="9">
        <v>167201068.09999999</v>
      </c>
      <c r="AF31" s="10">
        <v>2.4243531398E-4</v>
      </c>
      <c r="AG31" s="10">
        <v>0.13500000000000001</v>
      </c>
      <c r="AH31" s="10">
        <v>0.1348</v>
      </c>
      <c r="AI31" s="9">
        <v>6017108.3399999999</v>
      </c>
      <c r="AJ31" s="10">
        <v>3.3933303414999998E-4</v>
      </c>
      <c r="AK31" s="10">
        <v>0.13500000000000001</v>
      </c>
      <c r="AL31" s="10">
        <v>0.13469999999999999</v>
      </c>
      <c r="AM31" s="9" t="s">
        <v>26</v>
      </c>
      <c r="AN31" s="10" t="s">
        <v>26</v>
      </c>
      <c r="AO31" s="10" t="s">
        <v>26</v>
      </c>
      <c r="AP31" s="10" t="s">
        <v>26</v>
      </c>
      <c r="AQ31" s="9">
        <v>6017108.3399999999</v>
      </c>
      <c r="AR31" s="10">
        <v>1.4244780551000001E-4</v>
      </c>
      <c r="AS31" s="10">
        <v>0.13500000000000001</v>
      </c>
      <c r="AT31" s="10">
        <v>0.13489999999999999</v>
      </c>
      <c r="AU31" s="9" t="s">
        <v>26</v>
      </c>
      <c r="AV31" s="10" t="s">
        <v>26</v>
      </c>
      <c r="AW31" s="10" t="s">
        <v>26</v>
      </c>
      <c r="AX31" s="10" t="s">
        <v>26</v>
      </c>
      <c r="AY31" s="9">
        <v>173218176.44</v>
      </c>
      <c r="AZ31" s="10">
        <v>2.2184381461E-4</v>
      </c>
      <c r="BA31" s="10">
        <v>0.13500000000000001</v>
      </c>
      <c r="BB31" s="10">
        <v>0.1348</v>
      </c>
    </row>
    <row r="32" spans="1:55" s="7" customFormat="1">
      <c r="A32" s="3" t="s">
        <v>41</v>
      </c>
      <c r="B32" s="23" t="s">
        <v>44</v>
      </c>
      <c r="C32" s="2" t="s">
        <v>26</v>
      </c>
      <c r="D32" s="1" t="s">
        <v>26</v>
      </c>
      <c r="E32" s="1" t="s">
        <v>26</v>
      </c>
      <c r="F32" s="1" t="s">
        <v>26</v>
      </c>
      <c r="G32" s="2">
        <v>10015007.369999999</v>
      </c>
      <c r="H32" s="1">
        <v>1</v>
      </c>
      <c r="I32" s="1" t="s">
        <v>26</v>
      </c>
      <c r="J32" s="1" t="s">
        <v>26</v>
      </c>
      <c r="K32" s="2">
        <v>157186060.72999999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167201068.09999999</v>
      </c>
      <c r="AF32" s="1">
        <v>1</v>
      </c>
      <c r="AG32" s="1" t="s">
        <v>26</v>
      </c>
      <c r="AH32" s="1" t="s">
        <v>26</v>
      </c>
      <c r="AI32" s="2">
        <v>6017108.3399999999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6017108.3399999999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173218176.44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10" t="s">
        <v>26</v>
      </c>
      <c r="F33" s="10" t="s">
        <v>26</v>
      </c>
      <c r="G33" s="9" t="s">
        <v>26</v>
      </c>
      <c r="H33" s="10" t="s">
        <v>26</v>
      </c>
      <c r="I33" s="10" t="s">
        <v>26</v>
      </c>
      <c r="J33" s="10" t="s">
        <v>26</v>
      </c>
      <c r="K33" s="9">
        <v>141032003.58000001</v>
      </c>
      <c r="L33" s="10">
        <v>4.0685517311570003E-2</v>
      </c>
      <c r="M33" s="10">
        <v>0.13500000000000001</v>
      </c>
      <c r="N33" s="10">
        <v>9.4299999999999995E-2</v>
      </c>
      <c r="O33" s="9" t="s">
        <v>26</v>
      </c>
      <c r="P33" s="10" t="s">
        <v>26</v>
      </c>
      <c r="Q33" s="10" t="s">
        <v>26</v>
      </c>
      <c r="R33" s="10" t="s">
        <v>26</v>
      </c>
      <c r="S33" s="9" t="s">
        <v>26</v>
      </c>
      <c r="T33" s="10" t="s">
        <v>26</v>
      </c>
      <c r="U33" s="10" t="s">
        <v>26</v>
      </c>
      <c r="V33" s="10" t="s">
        <v>26</v>
      </c>
      <c r="W33" s="9" t="s">
        <v>26</v>
      </c>
      <c r="X33" s="10" t="s">
        <v>26</v>
      </c>
      <c r="Y33" s="10" t="s">
        <v>26</v>
      </c>
      <c r="Z33" s="10" t="s">
        <v>26</v>
      </c>
      <c r="AA33" s="9" t="s">
        <v>26</v>
      </c>
      <c r="AB33" s="10" t="s">
        <v>26</v>
      </c>
      <c r="AC33" s="10" t="s">
        <v>26</v>
      </c>
      <c r="AD33" s="10" t="s">
        <v>26</v>
      </c>
      <c r="AE33" s="9">
        <v>141032003.58000001</v>
      </c>
      <c r="AF33" s="10">
        <v>2.0449114624999999E-4</v>
      </c>
      <c r="AG33" s="10">
        <v>0.13500000000000001</v>
      </c>
      <c r="AH33" s="10">
        <v>0.1348</v>
      </c>
      <c r="AI33" s="9">
        <v>20091986.91</v>
      </c>
      <c r="AJ33" s="10">
        <v>1.1330816224499999E-3</v>
      </c>
      <c r="AK33" s="10">
        <v>0.13500000000000001</v>
      </c>
      <c r="AL33" s="10">
        <v>0.13389999999999999</v>
      </c>
      <c r="AM33" s="9" t="s">
        <v>26</v>
      </c>
      <c r="AN33" s="10" t="s">
        <v>26</v>
      </c>
      <c r="AO33" s="10" t="s">
        <v>26</v>
      </c>
      <c r="AP33" s="10" t="s">
        <v>26</v>
      </c>
      <c r="AQ33" s="9">
        <v>20091986.91</v>
      </c>
      <c r="AR33" s="10">
        <v>4.7565363327E-4</v>
      </c>
      <c r="AS33" s="10">
        <v>0.13500000000000001</v>
      </c>
      <c r="AT33" s="10">
        <v>0.13450000000000001</v>
      </c>
      <c r="AU33" s="9" t="s">
        <v>26</v>
      </c>
      <c r="AV33" s="10" t="s">
        <v>26</v>
      </c>
      <c r="AW33" s="10" t="s">
        <v>26</v>
      </c>
      <c r="AX33" s="10" t="s">
        <v>26</v>
      </c>
      <c r="AY33" s="9">
        <v>161123990.49000001</v>
      </c>
      <c r="AZ33" s="10">
        <v>2.0635456053E-4</v>
      </c>
      <c r="BA33" s="10">
        <v>0.13500000000000001</v>
      </c>
      <c r="BB33" s="10">
        <v>0.1348</v>
      </c>
    </row>
    <row r="34" spans="1:54" s="7" customFormat="1">
      <c r="A34" s="3" t="s">
        <v>41</v>
      </c>
      <c r="B34" s="23" t="s">
        <v>44</v>
      </c>
      <c r="C34" s="2" t="s">
        <v>26</v>
      </c>
      <c r="D34" s="1" t="s">
        <v>26</v>
      </c>
      <c r="E34" s="1" t="s">
        <v>26</v>
      </c>
      <c r="F34" s="1" t="s">
        <v>26</v>
      </c>
      <c r="G34" s="2" t="s">
        <v>26</v>
      </c>
      <c r="H34" s="1" t="s">
        <v>26</v>
      </c>
      <c r="I34" s="1" t="s">
        <v>26</v>
      </c>
      <c r="J34" s="1" t="s">
        <v>26</v>
      </c>
      <c r="K34" s="2">
        <v>141032003.58000001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 t="s">
        <v>26</v>
      </c>
      <c r="AB34" s="1" t="s">
        <v>26</v>
      </c>
      <c r="AC34" s="1" t="s">
        <v>26</v>
      </c>
      <c r="AD34" s="1" t="s">
        <v>26</v>
      </c>
      <c r="AE34" s="2">
        <v>141032003.58000001</v>
      </c>
      <c r="AF34" s="1">
        <v>1</v>
      </c>
      <c r="AG34" s="1" t="s">
        <v>26</v>
      </c>
      <c r="AH34" s="1" t="s">
        <v>26</v>
      </c>
      <c r="AI34" s="2">
        <v>20091986.91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20091986.91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161123990.49000001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9176286.7200000007</v>
      </c>
      <c r="D35" s="10">
        <v>1.2689342909200001E-3</v>
      </c>
      <c r="E35" s="10">
        <v>0.13500000000000001</v>
      </c>
      <c r="F35" s="10">
        <v>0.13370000000000001</v>
      </c>
      <c r="G35" s="9">
        <v>735572763.89999998</v>
      </c>
      <c r="H35" s="10">
        <v>4.5311152076699997E-3</v>
      </c>
      <c r="I35" s="10">
        <v>0.10050000000000001</v>
      </c>
      <c r="J35" s="10">
        <v>9.6000000000000002E-2</v>
      </c>
      <c r="K35" s="9" t="s">
        <v>26</v>
      </c>
      <c r="L35" s="10" t="s">
        <v>26</v>
      </c>
      <c r="M35" s="10" t="s">
        <v>26</v>
      </c>
      <c r="N35" s="10" t="s">
        <v>26</v>
      </c>
      <c r="O35" s="9">
        <v>1472303033.5799999</v>
      </c>
      <c r="P35" s="10">
        <v>6.0946569895799999E-3</v>
      </c>
      <c r="Q35" s="10">
        <v>0.1181</v>
      </c>
      <c r="R35" s="10">
        <v>0.112</v>
      </c>
      <c r="S35" s="9">
        <v>473632418.41000003</v>
      </c>
      <c r="T35" s="10">
        <v>3.9668096694399999E-3</v>
      </c>
      <c r="U35" s="10">
        <v>0.10639999999999999</v>
      </c>
      <c r="V35" s="10">
        <v>0.1024</v>
      </c>
      <c r="W35" s="9" t="s">
        <v>26</v>
      </c>
      <c r="X35" s="10" t="s">
        <v>26</v>
      </c>
      <c r="Y35" s="10" t="s">
        <v>26</v>
      </c>
      <c r="Z35" s="10" t="s">
        <v>26</v>
      </c>
      <c r="AA35" s="9">
        <v>629619290.12</v>
      </c>
      <c r="AB35" s="10">
        <v>4.2304376981099996E-3</v>
      </c>
      <c r="AC35" s="10">
        <v>9.5399999999999999E-2</v>
      </c>
      <c r="AD35" s="10">
        <v>9.1200000000000003E-2</v>
      </c>
      <c r="AE35" s="9">
        <v>3320303792.73</v>
      </c>
      <c r="AF35" s="10">
        <v>4.8143166886300002E-3</v>
      </c>
      <c r="AG35" s="10">
        <v>0.1082</v>
      </c>
      <c r="AH35" s="10">
        <v>0.10340000000000001</v>
      </c>
      <c r="AI35" s="9">
        <v>79177502.409999996</v>
      </c>
      <c r="AJ35" s="10">
        <v>4.4651916853400003E-3</v>
      </c>
      <c r="AK35" s="10">
        <v>0.10589999999999999</v>
      </c>
      <c r="AL35" s="10">
        <v>0.1014</v>
      </c>
      <c r="AM35" s="9">
        <v>111855520.81999999</v>
      </c>
      <c r="AN35" s="10">
        <v>4.5639235636000001E-3</v>
      </c>
      <c r="AO35" s="10">
        <v>0.13500000000000001</v>
      </c>
      <c r="AP35" s="10">
        <v>0.13039999999999999</v>
      </c>
      <c r="AQ35" s="9">
        <v>191033023.22999999</v>
      </c>
      <c r="AR35" s="10">
        <v>4.5224771437799996E-3</v>
      </c>
      <c r="AS35" s="10">
        <v>0.1229</v>
      </c>
      <c r="AT35" s="10">
        <v>0.11840000000000001</v>
      </c>
      <c r="AU35" s="9">
        <v>76025121.900000006</v>
      </c>
      <c r="AV35" s="10">
        <v>1.55477959347E-3</v>
      </c>
      <c r="AW35" s="10">
        <v>0.13500000000000001</v>
      </c>
      <c r="AX35" s="10">
        <v>0.13339999999999999</v>
      </c>
      <c r="AY35" s="9">
        <v>3587361937.8600001</v>
      </c>
      <c r="AZ35" s="10">
        <v>4.5944026950799997E-3</v>
      </c>
      <c r="BA35" s="10">
        <v>0.1096</v>
      </c>
      <c r="BB35" s="10">
        <v>0.105</v>
      </c>
    </row>
    <row r="36" spans="1:54" s="7" customFormat="1">
      <c r="A36" s="3" t="s">
        <v>39</v>
      </c>
      <c r="B36" s="23" t="s">
        <v>47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563670012.45000005</v>
      </c>
      <c r="H36" s="1">
        <v>0.76630082041295999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554398597.92999995</v>
      </c>
      <c r="P36" s="1">
        <v>0.37655196334273</v>
      </c>
      <c r="Q36" s="1" t="s">
        <v>26</v>
      </c>
      <c r="R36" s="1" t="s">
        <v>26</v>
      </c>
      <c r="S36" s="2">
        <v>301375344</v>
      </c>
      <c r="T36" s="1">
        <v>0.63630641038407998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554398597.92999995</v>
      </c>
      <c r="AB36" s="1">
        <v>0.88052987992845</v>
      </c>
      <c r="AC36" s="1" t="s">
        <v>26</v>
      </c>
      <c r="AD36" s="1" t="s">
        <v>26</v>
      </c>
      <c r="AE36" s="2">
        <v>1973842552.3099999</v>
      </c>
      <c r="AF36" s="1">
        <v>0.59447649237152</v>
      </c>
      <c r="AG36" s="1" t="s">
        <v>26</v>
      </c>
      <c r="AH36" s="1" t="s">
        <v>26</v>
      </c>
      <c r="AI36" s="2">
        <v>51168093.5</v>
      </c>
      <c r="AJ36" s="1">
        <v>0.64624535938301997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51168093.5</v>
      </c>
      <c r="AR36" s="1">
        <v>0.26784946725359998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2025010645.8099999</v>
      </c>
      <c r="AZ36" s="1">
        <v>0.56448462153723999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9176286.7200000007</v>
      </c>
      <c r="D37" s="1">
        <v>1</v>
      </c>
      <c r="E37" s="1" t="s">
        <v>26</v>
      </c>
      <c r="F37" s="1" t="s">
        <v>26</v>
      </c>
      <c r="G37" s="2">
        <v>171902751.44999999</v>
      </c>
      <c r="H37" s="1">
        <v>0.23369917958704001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917904435.64999998</v>
      </c>
      <c r="P37" s="1">
        <v>0.62344803665727</v>
      </c>
      <c r="Q37" s="1" t="s">
        <v>26</v>
      </c>
      <c r="R37" s="1" t="s">
        <v>26</v>
      </c>
      <c r="S37" s="2">
        <v>172257074.41</v>
      </c>
      <c r="T37" s="1">
        <v>0.36369358961592002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75220692.189999998</v>
      </c>
      <c r="AB37" s="1">
        <v>0.11947012007155</v>
      </c>
      <c r="AC37" s="1" t="s">
        <v>26</v>
      </c>
      <c r="AD37" s="1" t="s">
        <v>26</v>
      </c>
      <c r="AE37" s="2">
        <v>1346461240.4200001</v>
      </c>
      <c r="AF37" s="1">
        <v>0.40552350762848</v>
      </c>
      <c r="AG37" s="1" t="s">
        <v>26</v>
      </c>
      <c r="AH37" s="1" t="s">
        <v>26</v>
      </c>
      <c r="AI37" s="2">
        <v>28009408.91</v>
      </c>
      <c r="AJ37" s="1">
        <v>0.35375464061697998</v>
      </c>
      <c r="AK37" s="1" t="s">
        <v>26</v>
      </c>
      <c r="AL37" s="1" t="s">
        <v>26</v>
      </c>
      <c r="AM37" s="2">
        <v>111855520.81999999</v>
      </c>
      <c r="AN37" s="1">
        <v>1</v>
      </c>
      <c r="AO37" s="1" t="s">
        <v>26</v>
      </c>
      <c r="AP37" s="1" t="s">
        <v>26</v>
      </c>
      <c r="AQ37" s="2">
        <v>139864929.72999999</v>
      </c>
      <c r="AR37" s="1">
        <v>0.73215053274639996</v>
      </c>
      <c r="AS37" s="1" t="s">
        <v>26</v>
      </c>
      <c r="AT37" s="1" t="s">
        <v>26</v>
      </c>
      <c r="AU37" s="2">
        <v>76025121.900000006</v>
      </c>
      <c r="AV37" s="1">
        <v>1</v>
      </c>
      <c r="AW37" s="1" t="s">
        <v>26</v>
      </c>
      <c r="AX37" s="1" t="s">
        <v>26</v>
      </c>
      <c r="AY37" s="2">
        <v>1562351292.05</v>
      </c>
      <c r="AZ37" s="1">
        <v>0.43551537846276001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10" t="s">
        <v>26</v>
      </c>
      <c r="F38" s="10" t="s">
        <v>26</v>
      </c>
      <c r="G38" s="9" t="s">
        <v>26</v>
      </c>
      <c r="H38" s="10" t="s">
        <v>26</v>
      </c>
      <c r="I38" s="10" t="s">
        <v>26</v>
      </c>
      <c r="J38" s="10" t="s">
        <v>26</v>
      </c>
      <c r="K38" s="9" t="s">
        <v>26</v>
      </c>
      <c r="L38" s="10" t="s">
        <v>26</v>
      </c>
      <c r="M38" s="10" t="s">
        <v>26</v>
      </c>
      <c r="N38" s="10" t="s">
        <v>26</v>
      </c>
      <c r="O38" s="9">
        <v>101264747.34999999</v>
      </c>
      <c r="P38" s="10">
        <v>4.1918945092E-4</v>
      </c>
      <c r="Q38" s="10">
        <v>0.13500000000000001</v>
      </c>
      <c r="R38" s="10">
        <v>0.1346</v>
      </c>
      <c r="S38" s="9" t="s">
        <v>26</v>
      </c>
      <c r="T38" s="10" t="s">
        <v>26</v>
      </c>
      <c r="U38" s="10" t="s">
        <v>26</v>
      </c>
      <c r="V38" s="10" t="s">
        <v>26</v>
      </c>
      <c r="W38" s="9" t="s">
        <v>26</v>
      </c>
      <c r="X38" s="10" t="s">
        <v>26</v>
      </c>
      <c r="Y38" s="10" t="s">
        <v>26</v>
      </c>
      <c r="Z38" s="10" t="s">
        <v>26</v>
      </c>
      <c r="AA38" s="9" t="s">
        <v>26</v>
      </c>
      <c r="AB38" s="10" t="s">
        <v>26</v>
      </c>
      <c r="AC38" s="10" t="s">
        <v>26</v>
      </c>
      <c r="AD38" s="10" t="s">
        <v>26</v>
      </c>
      <c r="AE38" s="9">
        <v>101264747.34999999</v>
      </c>
      <c r="AF38" s="10">
        <v>1.4683010760000001E-4</v>
      </c>
      <c r="AG38" s="10">
        <v>0.13500000000000001</v>
      </c>
      <c r="AH38" s="10">
        <v>0.13489999999999999</v>
      </c>
      <c r="AI38" s="9" t="s">
        <v>26</v>
      </c>
      <c r="AJ38" s="10" t="s">
        <v>26</v>
      </c>
      <c r="AK38" s="10" t="s">
        <v>26</v>
      </c>
      <c r="AL38" s="10" t="s">
        <v>26</v>
      </c>
      <c r="AM38" s="9" t="s">
        <v>26</v>
      </c>
      <c r="AN38" s="10" t="s">
        <v>26</v>
      </c>
      <c r="AO38" s="10" t="s">
        <v>26</v>
      </c>
      <c r="AP38" s="10" t="s">
        <v>26</v>
      </c>
      <c r="AQ38" s="9" t="s">
        <v>26</v>
      </c>
      <c r="AR38" s="10" t="s">
        <v>26</v>
      </c>
      <c r="AS38" s="10" t="s">
        <v>26</v>
      </c>
      <c r="AT38" s="10" t="s">
        <v>26</v>
      </c>
      <c r="AU38" s="9" t="s">
        <v>26</v>
      </c>
      <c r="AV38" s="10" t="s">
        <v>26</v>
      </c>
      <c r="AW38" s="10" t="s">
        <v>26</v>
      </c>
      <c r="AX38" s="10" t="s">
        <v>26</v>
      </c>
      <c r="AY38" s="9">
        <v>101264747.34999999</v>
      </c>
      <c r="AZ38" s="10">
        <v>1.2969168882000001E-4</v>
      </c>
      <c r="BA38" s="10">
        <v>0.13500000000000001</v>
      </c>
      <c r="BB38" s="10">
        <v>0.13489999999999999</v>
      </c>
    </row>
    <row r="39" spans="1:54" s="7" customFormat="1">
      <c r="A39" s="3" t="s">
        <v>41</v>
      </c>
      <c r="B39" s="23" t="s">
        <v>44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101264747.34999999</v>
      </c>
      <c r="P39" s="1">
        <v>1</v>
      </c>
      <c r="Q39" s="1" t="s">
        <v>26</v>
      </c>
      <c r="R39" s="1" t="s">
        <v>26</v>
      </c>
      <c r="S39" s="2" t="s">
        <v>26</v>
      </c>
      <c r="T39" s="1" t="s">
        <v>26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101264747.34999999</v>
      </c>
      <c r="AF39" s="1">
        <v>1</v>
      </c>
      <c r="AG39" s="1" t="s">
        <v>26</v>
      </c>
      <c r="AH39" s="1" t="s">
        <v>26</v>
      </c>
      <c r="AI39" s="2" t="s">
        <v>26</v>
      </c>
      <c r="AJ39" s="1" t="s">
        <v>26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 t="s">
        <v>26</v>
      </c>
      <c r="AR39" s="1" t="s">
        <v>26</v>
      </c>
      <c r="AS39" s="1" t="s">
        <v>26</v>
      </c>
      <c r="AT39" s="1" t="s">
        <v>26</v>
      </c>
      <c r="AU39" s="2" t="s">
        <v>26</v>
      </c>
      <c r="AV39" s="1" t="s">
        <v>26</v>
      </c>
      <c r="AW39" s="1" t="s">
        <v>26</v>
      </c>
      <c r="AX39" s="1" t="s">
        <v>26</v>
      </c>
      <c r="AY39" s="2">
        <v>101264747.34999999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24649989.66</v>
      </c>
      <c r="D40" s="10">
        <v>3.4087009380600001E-3</v>
      </c>
      <c r="E40" s="10">
        <v>0.13500000000000001</v>
      </c>
      <c r="F40" s="10">
        <v>0.13159999999999999</v>
      </c>
      <c r="G40" s="9">
        <v>2705089556</v>
      </c>
      <c r="H40" s="10">
        <v>1.6663303791069999E-2</v>
      </c>
      <c r="I40" s="10">
        <v>0.13500000000000001</v>
      </c>
      <c r="J40" s="10">
        <v>0.1183</v>
      </c>
      <c r="K40" s="9" t="s">
        <v>26</v>
      </c>
      <c r="L40" s="10" t="s">
        <v>26</v>
      </c>
      <c r="M40" s="10" t="s">
        <v>26</v>
      </c>
      <c r="N40" s="10" t="s">
        <v>26</v>
      </c>
      <c r="O40" s="9">
        <v>4830984224.7799997</v>
      </c>
      <c r="P40" s="10">
        <v>1.9998051420510001E-2</v>
      </c>
      <c r="Q40" s="10">
        <v>0.05</v>
      </c>
      <c r="R40" s="10">
        <v>0.03</v>
      </c>
      <c r="S40" s="9">
        <v>2164464544.3400002</v>
      </c>
      <c r="T40" s="10">
        <v>1.8128021963680001E-2</v>
      </c>
      <c r="U40" s="10">
        <v>0.13500000000000001</v>
      </c>
      <c r="V40" s="10">
        <v>0.1169</v>
      </c>
      <c r="W40" s="9">
        <v>888076503.61000001</v>
      </c>
      <c r="X40" s="10">
        <v>0.12993919877005999</v>
      </c>
      <c r="Y40" s="10">
        <v>0.15</v>
      </c>
      <c r="Z40" s="10">
        <v>2.01E-2</v>
      </c>
      <c r="AA40" s="9">
        <v>3955864812.5</v>
      </c>
      <c r="AB40" s="10">
        <v>2.6579617070210001E-2</v>
      </c>
      <c r="AC40" s="10">
        <v>0.13500000000000001</v>
      </c>
      <c r="AD40" s="10">
        <v>0.1084</v>
      </c>
      <c r="AE40" s="9">
        <v>14569129630.889999</v>
      </c>
      <c r="AF40" s="10">
        <v>2.1124694696409999E-2</v>
      </c>
      <c r="AG40" s="10">
        <v>0.1361</v>
      </c>
      <c r="AH40" s="10">
        <v>0.115</v>
      </c>
      <c r="AI40" s="9">
        <v>240100828.59999999</v>
      </c>
      <c r="AJ40" s="10">
        <v>1.3540414775360001E-2</v>
      </c>
      <c r="AK40" s="10">
        <v>0.13500000000000001</v>
      </c>
      <c r="AL40" s="10">
        <v>0.1215</v>
      </c>
      <c r="AM40" s="9" t="s">
        <v>26</v>
      </c>
      <c r="AN40" s="10" t="s">
        <v>26</v>
      </c>
      <c r="AO40" s="10" t="s">
        <v>26</v>
      </c>
      <c r="AP40" s="10" t="s">
        <v>26</v>
      </c>
      <c r="AQ40" s="9">
        <v>240100828.59999999</v>
      </c>
      <c r="AR40" s="10">
        <v>5.68409844113E-3</v>
      </c>
      <c r="AS40" s="10">
        <v>0.13500000000000001</v>
      </c>
      <c r="AT40" s="10">
        <v>0.1293</v>
      </c>
      <c r="AU40" s="9">
        <v>1110249539.96</v>
      </c>
      <c r="AV40" s="10">
        <v>2.2705564756139999E-2</v>
      </c>
      <c r="AW40" s="10">
        <v>0.13500000000000001</v>
      </c>
      <c r="AX40" s="10">
        <v>0.1123</v>
      </c>
      <c r="AY40" s="9">
        <v>15919479999.450001</v>
      </c>
      <c r="AZ40" s="10">
        <v>2.0388380955339999E-2</v>
      </c>
      <c r="BA40" s="10">
        <v>0.13600000000000001</v>
      </c>
      <c r="BB40" s="10">
        <v>0.11559999999999999</v>
      </c>
    </row>
    <row r="41" spans="1:54" s="7" customFormat="1">
      <c r="A41" s="3" t="s">
        <v>39</v>
      </c>
      <c r="B41" s="23" t="s">
        <v>40</v>
      </c>
      <c r="C41" s="2">
        <v>24649989.66</v>
      </c>
      <c r="D41" s="1">
        <v>1</v>
      </c>
      <c r="E41" s="1" t="s">
        <v>26</v>
      </c>
      <c r="F41" s="1" t="s">
        <v>26</v>
      </c>
      <c r="G41" s="2">
        <v>2705089556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4699409983.04</v>
      </c>
      <c r="P41" s="1">
        <v>0.97276450602650999</v>
      </c>
      <c r="Q41" s="1" t="s">
        <v>26</v>
      </c>
      <c r="R41" s="1" t="s">
        <v>26</v>
      </c>
      <c r="S41" s="2">
        <v>2164464544.3400002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3955864812.5</v>
      </c>
      <c r="AB41" s="1">
        <v>1</v>
      </c>
      <c r="AC41" s="1" t="s">
        <v>26</v>
      </c>
      <c r="AD41" s="1" t="s">
        <v>26</v>
      </c>
      <c r="AE41" s="2">
        <v>13549478885.540001</v>
      </c>
      <c r="AF41" s="1">
        <v>0.93001292656575996</v>
      </c>
      <c r="AG41" s="1" t="s">
        <v>26</v>
      </c>
      <c r="AH41" s="1" t="s">
        <v>26</v>
      </c>
      <c r="AI41" s="2">
        <v>240100828.59999999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240100828.59999999</v>
      </c>
      <c r="AR41" s="1">
        <v>1</v>
      </c>
      <c r="AS41" s="1" t="s">
        <v>26</v>
      </c>
      <c r="AT41" s="1" t="s">
        <v>26</v>
      </c>
      <c r="AU41" s="2">
        <v>1110249539.96</v>
      </c>
      <c r="AV41" s="1">
        <v>1</v>
      </c>
      <c r="AW41" s="1" t="s">
        <v>26</v>
      </c>
      <c r="AX41" s="1" t="s">
        <v>26</v>
      </c>
      <c r="AY41" s="2">
        <v>14899829254.1</v>
      </c>
      <c r="AZ41" s="1">
        <v>0.93594949424319995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2" t="s">
        <v>26</v>
      </c>
      <c r="D42" s="1" t="s">
        <v>26</v>
      </c>
      <c r="E42" s="1" t="s">
        <v>26</v>
      </c>
      <c r="F42" s="1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131574241.73999999</v>
      </c>
      <c r="P42" s="1">
        <v>2.723549397349E-2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888076503.61000001</v>
      </c>
      <c r="X42" s="1">
        <v>1</v>
      </c>
      <c r="Y42" s="1" t="s">
        <v>26</v>
      </c>
      <c r="Z42" s="1" t="s">
        <v>26</v>
      </c>
      <c r="AA42" s="2" t="s">
        <v>26</v>
      </c>
      <c r="AB42" s="1" t="s">
        <v>26</v>
      </c>
      <c r="AC42" s="1" t="s">
        <v>26</v>
      </c>
      <c r="AD42" s="1" t="s">
        <v>26</v>
      </c>
      <c r="AE42" s="2">
        <v>1019650745.35</v>
      </c>
      <c r="AF42" s="1">
        <v>6.9987073434240002E-2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1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1019650745.35</v>
      </c>
      <c r="AZ42" s="1">
        <v>6.4050505756800005E-2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10" t="s">
        <v>26</v>
      </c>
      <c r="F43" s="10" t="s">
        <v>26</v>
      </c>
      <c r="G43" s="9" t="s">
        <v>26</v>
      </c>
      <c r="H43" s="10" t="s">
        <v>26</v>
      </c>
      <c r="I43" s="10" t="s">
        <v>26</v>
      </c>
      <c r="J43" s="10" t="s">
        <v>26</v>
      </c>
      <c r="K43" s="9" t="s">
        <v>26</v>
      </c>
      <c r="L43" s="10" t="s">
        <v>26</v>
      </c>
      <c r="M43" s="10" t="s">
        <v>26</v>
      </c>
      <c r="N43" s="10" t="s">
        <v>26</v>
      </c>
      <c r="O43" s="9" t="s">
        <v>26</v>
      </c>
      <c r="P43" s="10" t="s">
        <v>26</v>
      </c>
      <c r="Q43" s="10" t="s">
        <v>26</v>
      </c>
      <c r="R43" s="10" t="s">
        <v>26</v>
      </c>
      <c r="S43" s="9" t="s">
        <v>26</v>
      </c>
      <c r="T43" s="10" t="s">
        <v>26</v>
      </c>
      <c r="U43" s="10" t="s">
        <v>26</v>
      </c>
      <c r="V43" s="10" t="s">
        <v>26</v>
      </c>
      <c r="W43" s="9" t="s">
        <v>26</v>
      </c>
      <c r="X43" s="10" t="s">
        <v>26</v>
      </c>
      <c r="Y43" s="10" t="s">
        <v>26</v>
      </c>
      <c r="Z43" s="10" t="s">
        <v>26</v>
      </c>
      <c r="AA43" s="9">
        <v>91617546.379999995</v>
      </c>
      <c r="AB43" s="10">
        <v>6.1558203201999998E-4</v>
      </c>
      <c r="AC43" s="10">
        <v>0.15</v>
      </c>
      <c r="AD43" s="10">
        <v>0.14940000000000001</v>
      </c>
      <c r="AE43" s="9">
        <v>91617546.379999995</v>
      </c>
      <c r="AF43" s="10">
        <v>1.3284202591999999E-4</v>
      </c>
      <c r="AG43" s="10">
        <v>0.15</v>
      </c>
      <c r="AH43" s="10">
        <v>0.14990000000000001</v>
      </c>
      <c r="AI43" s="9" t="s">
        <v>26</v>
      </c>
      <c r="AJ43" s="10" t="s">
        <v>26</v>
      </c>
      <c r="AK43" s="10" t="s">
        <v>26</v>
      </c>
      <c r="AL43" s="10" t="s">
        <v>26</v>
      </c>
      <c r="AM43" s="9">
        <v>963150625.48000002</v>
      </c>
      <c r="AN43" s="10">
        <v>3.9298425349910002E-2</v>
      </c>
      <c r="AO43" s="10">
        <v>0.15</v>
      </c>
      <c r="AP43" s="10">
        <v>0.11070000000000001</v>
      </c>
      <c r="AQ43" s="9">
        <v>963150625.48000002</v>
      </c>
      <c r="AR43" s="10">
        <v>2.2801433051210001E-2</v>
      </c>
      <c r="AS43" s="10">
        <v>0.15</v>
      </c>
      <c r="AT43" s="10">
        <v>0.12720000000000001</v>
      </c>
      <c r="AU43" s="9" t="s">
        <v>26</v>
      </c>
      <c r="AV43" s="10" t="s">
        <v>26</v>
      </c>
      <c r="AW43" s="10" t="s">
        <v>26</v>
      </c>
      <c r="AX43" s="10" t="s">
        <v>26</v>
      </c>
      <c r="AY43" s="9">
        <v>1054768171.86</v>
      </c>
      <c r="AZ43" s="10">
        <v>1.3508616681099999E-3</v>
      </c>
      <c r="BA43" s="10">
        <v>0.15</v>
      </c>
      <c r="BB43" s="10">
        <v>0.14860000000000001</v>
      </c>
    </row>
    <row r="44" spans="1:54" s="7" customFormat="1">
      <c r="A44" s="3" t="s">
        <v>41</v>
      </c>
      <c r="B44" s="23" t="s">
        <v>35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 t="s">
        <v>26</v>
      </c>
      <c r="L44" s="1" t="s">
        <v>26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91617546.379999995</v>
      </c>
      <c r="AB44" s="1">
        <v>1</v>
      </c>
      <c r="AC44" s="1" t="s">
        <v>26</v>
      </c>
      <c r="AD44" s="1" t="s">
        <v>26</v>
      </c>
      <c r="AE44" s="2">
        <v>91617546.379999995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963150625.48000002</v>
      </c>
      <c r="AN44" s="1">
        <v>1</v>
      </c>
      <c r="AO44" s="1" t="s">
        <v>26</v>
      </c>
      <c r="AP44" s="1" t="s">
        <v>26</v>
      </c>
      <c r="AQ44" s="2">
        <v>963150625.48000002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1054768171.86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10" t="s">
        <v>26</v>
      </c>
      <c r="F45" s="10" t="s">
        <v>26</v>
      </c>
      <c r="G45" s="9" t="s">
        <v>26</v>
      </c>
      <c r="H45" s="10" t="s">
        <v>26</v>
      </c>
      <c r="I45" s="10" t="s">
        <v>26</v>
      </c>
      <c r="J45" s="10" t="s">
        <v>26</v>
      </c>
      <c r="K45" s="9" t="s">
        <v>26</v>
      </c>
      <c r="L45" s="10" t="s">
        <v>26</v>
      </c>
      <c r="M45" s="10" t="s">
        <v>26</v>
      </c>
      <c r="N45" s="10" t="s">
        <v>26</v>
      </c>
      <c r="O45" s="9">
        <v>1122011781.73</v>
      </c>
      <c r="P45" s="10">
        <v>4.6446124146600001E-3</v>
      </c>
      <c r="Q45" s="10">
        <v>0.15</v>
      </c>
      <c r="R45" s="10">
        <v>0.1454</v>
      </c>
      <c r="S45" s="9" t="s">
        <v>26</v>
      </c>
      <c r="T45" s="10" t="s">
        <v>26</v>
      </c>
      <c r="U45" s="10" t="s">
        <v>26</v>
      </c>
      <c r="V45" s="10" t="s">
        <v>26</v>
      </c>
      <c r="W45" s="9" t="s">
        <v>26</v>
      </c>
      <c r="X45" s="10" t="s">
        <v>26</v>
      </c>
      <c r="Y45" s="10" t="s">
        <v>26</v>
      </c>
      <c r="Z45" s="10" t="s">
        <v>26</v>
      </c>
      <c r="AA45" s="9" t="s">
        <v>26</v>
      </c>
      <c r="AB45" s="10" t="s">
        <v>26</v>
      </c>
      <c r="AC45" s="10" t="s">
        <v>26</v>
      </c>
      <c r="AD45" s="10" t="s">
        <v>26</v>
      </c>
      <c r="AE45" s="9">
        <v>1122011781.73</v>
      </c>
      <c r="AF45" s="10">
        <v>1.6268752448E-3</v>
      </c>
      <c r="AG45" s="10">
        <v>0.15</v>
      </c>
      <c r="AH45" s="10">
        <v>0.1484</v>
      </c>
      <c r="AI45" s="9" t="s">
        <v>26</v>
      </c>
      <c r="AJ45" s="10" t="s">
        <v>26</v>
      </c>
      <c r="AK45" s="10" t="s">
        <v>26</v>
      </c>
      <c r="AL45" s="10" t="s">
        <v>26</v>
      </c>
      <c r="AM45" s="9" t="s">
        <v>26</v>
      </c>
      <c r="AN45" s="10" t="s">
        <v>26</v>
      </c>
      <c r="AO45" s="10" t="s">
        <v>26</v>
      </c>
      <c r="AP45" s="10" t="s">
        <v>26</v>
      </c>
      <c r="AQ45" s="9" t="s">
        <v>26</v>
      </c>
      <c r="AR45" s="10" t="s">
        <v>26</v>
      </c>
      <c r="AS45" s="10" t="s">
        <v>26</v>
      </c>
      <c r="AT45" s="10" t="s">
        <v>26</v>
      </c>
      <c r="AU45" s="9" t="s">
        <v>26</v>
      </c>
      <c r="AV45" s="10" t="s">
        <v>26</v>
      </c>
      <c r="AW45" s="10" t="s">
        <v>26</v>
      </c>
      <c r="AX45" s="10" t="s">
        <v>26</v>
      </c>
      <c r="AY45" s="9">
        <v>1122011781.73</v>
      </c>
      <c r="AZ45" s="10">
        <v>1.4369818388000001E-3</v>
      </c>
      <c r="BA45" s="10">
        <v>0.15</v>
      </c>
      <c r="BB45" s="10">
        <v>0.14860000000000001</v>
      </c>
    </row>
    <row r="46" spans="1:54" s="7" customFormat="1">
      <c r="A46" s="3" t="s">
        <v>41</v>
      </c>
      <c r="B46" s="23" t="s">
        <v>35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1122011781.73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1122011781.73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1122011781.73</v>
      </c>
      <c r="AZ46" s="1">
        <v>1</v>
      </c>
      <c r="BA46" s="1" t="s">
        <v>26</v>
      </c>
      <c r="BB46" s="1" t="s">
        <v>26</v>
      </c>
    </row>
    <row r="47" spans="1:54" s="7" customFormat="1">
      <c r="A47" s="12" t="s">
        <v>55</v>
      </c>
      <c r="B47" s="40" t="s">
        <v>25</v>
      </c>
      <c r="C47" s="42">
        <v>67999252.150000006</v>
      </c>
      <c r="D47" s="43">
        <v>9.4032134612700002E-3</v>
      </c>
      <c r="E47" s="43" t="s">
        <v>26</v>
      </c>
      <c r="F47" s="43" t="s">
        <v>26</v>
      </c>
      <c r="G47" s="42">
        <v>305909352</v>
      </c>
      <c r="H47" s="43">
        <v>1.8843961944300001E-3</v>
      </c>
      <c r="I47" s="43" t="s">
        <v>26</v>
      </c>
      <c r="J47" s="43" t="s">
        <v>26</v>
      </c>
      <c r="K47" s="42">
        <v>96774303.060000002</v>
      </c>
      <c r="L47" s="43">
        <v>2.791786603407E-2</v>
      </c>
      <c r="M47" s="43" t="s">
        <v>26</v>
      </c>
      <c r="N47" s="43" t="s">
        <v>26</v>
      </c>
      <c r="O47" s="42">
        <v>3416165864.0300002</v>
      </c>
      <c r="P47" s="43">
        <v>1.4141354521390001E-2</v>
      </c>
      <c r="Q47" s="43" t="s">
        <v>26</v>
      </c>
      <c r="R47" s="43" t="s">
        <v>26</v>
      </c>
      <c r="S47" s="42">
        <v>1132788006.3800001</v>
      </c>
      <c r="T47" s="43">
        <v>9.4874300036699999E-3</v>
      </c>
      <c r="U47" s="43" t="s">
        <v>26</v>
      </c>
      <c r="V47" s="43" t="s">
        <v>26</v>
      </c>
      <c r="W47" s="42">
        <v>69517454.319999993</v>
      </c>
      <c r="X47" s="43">
        <v>1.017146864955E-2</v>
      </c>
      <c r="Y47" s="43" t="s">
        <v>26</v>
      </c>
      <c r="Z47" s="43" t="s">
        <v>26</v>
      </c>
      <c r="AA47" s="42">
        <v>2431795043.8200002</v>
      </c>
      <c r="AB47" s="43">
        <v>1.6339330114050001E-2</v>
      </c>
      <c r="AC47" s="43" t="s">
        <v>26</v>
      </c>
      <c r="AD47" s="43" t="s">
        <v>26</v>
      </c>
      <c r="AE47" s="42">
        <v>7520949275.7600002</v>
      </c>
      <c r="AF47" s="43">
        <v>1.0905096001119999E-2</v>
      </c>
      <c r="AG47" s="43" t="s">
        <v>26</v>
      </c>
      <c r="AH47" s="43" t="s">
        <v>26</v>
      </c>
      <c r="AI47" s="42">
        <v>201393816</v>
      </c>
      <c r="AJ47" s="43">
        <v>1.135754431891E-2</v>
      </c>
      <c r="AK47" s="43" t="s">
        <v>26</v>
      </c>
      <c r="AL47" s="43" t="s">
        <v>26</v>
      </c>
      <c r="AM47" s="42">
        <v>218210199.63999999</v>
      </c>
      <c r="AN47" s="43">
        <v>8.9034020373200008E-3</v>
      </c>
      <c r="AO47" s="43" t="s">
        <v>26</v>
      </c>
      <c r="AP47" s="43" t="s">
        <v>26</v>
      </c>
      <c r="AQ47" s="42">
        <v>419604015.63999999</v>
      </c>
      <c r="AR47" s="43">
        <v>9.9336205755599996E-3</v>
      </c>
      <c r="AS47" s="43" t="s">
        <v>26</v>
      </c>
      <c r="AT47" s="43" t="s">
        <v>26</v>
      </c>
      <c r="AU47" s="42">
        <v>502977188</v>
      </c>
      <c r="AV47" s="43">
        <v>1.0286319157950001E-2</v>
      </c>
      <c r="AW47" s="43" t="s">
        <v>26</v>
      </c>
      <c r="AX47" s="43" t="s">
        <v>26</v>
      </c>
      <c r="AY47" s="42">
        <v>8443530479.3999996</v>
      </c>
      <c r="AZ47" s="43">
        <v>1.081379015068E-2</v>
      </c>
      <c r="BA47" s="43" t="s">
        <v>26</v>
      </c>
      <c r="BB47" s="43" t="s">
        <v>26</v>
      </c>
    </row>
    <row r="48" spans="1:54" s="7" customFormat="1">
      <c r="A48" s="5" t="s">
        <v>56</v>
      </c>
      <c r="B48" s="20" t="s">
        <v>25</v>
      </c>
      <c r="C48" s="9">
        <v>35155131.200000003</v>
      </c>
      <c r="D48" s="10">
        <v>4.8613946842199999E-3</v>
      </c>
      <c r="E48" s="10">
        <v>0.12</v>
      </c>
      <c r="F48" s="10">
        <v>0.11509999999999999</v>
      </c>
      <c r="G48" s="9" t="s">
        <v>26</v>
      </c>
      <c r="H48" s="10" t="s">
        <v>26</v>
      </c>
      <c r="I48" s="10" t="s">
        <v>26</v>
      </c>
      <c r="J48" s="10" t="s">
        <v>26</v>
      </c>
      <c r="K48" s="9">
        <v>30132969.600000001</v>
      </c>
      <c r="L48" s="10">
        <v>8.6928883174699993E-3</v>
      </c>
      <c r="M48" s="10">
        <v>0.12</v>
      </c>
      <c r="N48" s="10">
        <v>0.1113</v>
      </c>
      <c r="O48" s="9">
        <v>806559152.96000004</v>
      </c>
      <c r="P48" s="10">
        <v>3.3387837062000001E-3</v>
      </c>
      <c r="Q48" s="10">
        <v>0.12</v>
      </c>
      <c r="R48" s="10">
        <v>0.1167</v>
      </c>
      <c r="S48" s="9">
        <v>301329696</v>
      </c>
      <c r="T48" s="10">
        <v>2.5237241061200001E-3</v>
      </c>
      <c r="U48" s="10">
        <v>0.12</v>
      </c>
      <c r="V48" s="10">
        <v>0.11749999999999999</v>
      </c>
      <c r="W48" s="9" t="s">
        <v>26</v>
      </c>
      <c r="X48" s="10" t="s">
        <v>26</v>
      </c>
      <c r="Y48" s="10" t="s">
        <v>26</v>
      </c>
      <c r="Z48" s="10" t="s">
        <v>26</v>
      </c>
      <c r="AA48" s="9">
        <v>883900441.60000002</v>
      </c>
      <c r="AB48" s="10">
        <v>5.9389631292999998E-3</v>
      </c>
      <c r="AC48" s="10">
        <v>0.12</v>
      </c>
      <c r="AD48" s="10">
        <v>0.11409999999999999</v>
      </c>
      <c r="AE48" s="9">
        <v>2057077391.3599999</v>
      </c>
      <c r="AF48" s="10">
        <v>2.9826855111000001E-3</v>
      </c>
      <c r="AG48" s="10">
        <v>0.12</v>
      </c>
      <c r="AH48" s="10">
        <v>0.11700000000000001</v>
      </c>
      <c r="AI48" s="9" t="s">
        <v>26</v>
      </c>
      <c r="AJ48" s="10" t="s">
        <v>26</v>
      </c>
      <c r="AK48" s="10" t="s">
        <v>26</v>
      </c>
      <c r="AL48" s="10" t="s">
        <v>26</v>
      </c>
      <c r="AM48" s="9" t="s">
        <v>26</v>
      </c>
      <c r="AN48" s="10" t="s">
        <v>26</v>
      </c>
      <c r="AO48" s="10" t="s">
        <v>26</v>
      </c>
      <c r="AP48" s="10" t="s">
        <v>26</v>
      </c>
      <c r="AQ48" s="9" t="s">
        <v>26</v>
      </c>
      <c r="AR48" s="10" t="s">
        <v>26</v>
      </c>
      <c r="AS48" s="10" t="s">
        <v>26</v>
      </c>
      <c r="AT48" s="10" t="s">
        <v>26</v>
      </c>
      <c r="AU48" s="9">
        <v>200886464</v>
      </c>
      <c r="AV48" s="10">
        <v>4.1083021904700003E-3</v>
      </c>
      <c r="AW48" s="10">
        <v>0.12</v>
      </c>
      <c r="AX48" s="10">
        <v>0.1159</v>
      </c>
      <c r="AY48" s="9">
        <v>2257963855.3600001</v>
      </c>
      <c r="AZ48" s="10">
        <v>2.89181727469E-3</v>
      </c>
      <c r="BA48" s="10">
        <v>0.12</v>
      </c>
      <c r="BB48" s="10">
        <v>0.1171</v>
      </c>
    </row>
    <row r="49" spans="1:54" s="7" customFormat="1">
      <c r="A49" s="3" t="s">
        <v>39</v>
      </c>
      <c r="B49" s="23" t="s">
        <v>57</v>
      </c>
      <c r="C49" s="2">
        <v>35155131.200000003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30132969.600000001</v>
      </c>
      <c r="L49" s="1">
        <v>1</v>
      </c>
      <c r="M49" s="1" t="s">
        <v>26</v>
      </c>
      <c r="N49" s="1" t="s">
        <v>26</v>
      </c>
      <c r="O49" s="2">
        <v>806559152.96000004</v>
      </c>
      <c r="P49" s="1">
        <v>1</v>
      </c>
      <c r="Q49" s="1" t="s">
        <v>26</v>
      </c>
      <c r="R49" s="1" t="s">
        <v>26</v>
      </c>
      <c r="S49" s="2">
        <v>301329696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883900441.60000002</v>
      </c>
      <c r="AB49" s="1">
        <v>1</v>
      </c>
      <c r="AC49" s="1" t="s">
        <v>26</v>
      </c>
      <c r="AD49" s="1" t="s">
        <v>26</v>
      </c>
      <c r="AE49" s="2">
        <v>2057077391.3599999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200886464</v>
      </c>
      <c r="AV49" s="1">
        <v>1</v>
      </c>
      <c r="AW49" s="1" t="s">
        <v>26</v>
      </c>
      <c r="AX49" s="1" t="s">
        <v>26</v>
      </c>
      <c r="AY49" s="2">
        <v>2257963855.3600001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58</v>
      </c>
      <c r="B50" s="20" t="s">
        <v>25</v>
      </c>
      <c r="C50" s="9">
        <v>32844120.949999999</v>
      </c>
      <c r="D50" s="10">
        <v>4.5418187770600001E-3</v>
      </c>
      <c r="E50" s="10">
        <v>0.09</v>
      </c>
      <c r="F50" s="10">
        <v>8.5500000000000007E-2</v>
      </c>
      <c r="G50" s="9" t="s">
        <v>26</v>
      </c>
      <c r="H50" s="10" t="s">
        <v>26</v>
      </c>
      <c r="I50" s="10" t="s">
        <v>26</v>
      </c>
      <c r="J50" s="10" t="s">
        <v>26</v>
      </c>
      <c r="K50" s="9">
        <v>16292879.460000001</v>
      </c>
      <c r="L50" s="10">
        <v>4.7002397505400001E-3</v>
      </c>
      <c r="M50" s="10">
        <v>0.09</v>
      </c>
      <c r="N50" s="10">
        <v>8.5300000000000001E-2</v>
      </c>
      <c r="O50" s="9">
        <v>380065571.06999999</v>
      </c>
      <c r="P50" s="10">
        <v>1.5732965540299999E-3</v>
      </c>
      <c r="Q50" s="10">
        <v>0.09</v>
      </c>
      <c r="R50" s="10">
        <v>8.8400000000000006E-2</v>
      </c>
      <c r="S50" s="9">
        <v>287695007.18000001</v>
      </c>
      <c r="T50" s="10">
        <v>2.4095296098200002E-3</v>
      </c>
      <c r="U50" s="10">
        <v>0.09</v>
      </c>
      <c r="V50" s="10">
        <v>8.7599999999999997E-2</v>
      </c>
      <c r="W50" s="9" t="s">
        <v>26</v>
      </c>
      <c r="X50" s="10" t="s">
        <v>26</v>
      </c>
      <c r="Y50" s="10" t="s">
        <v>26</v>
      </c>
      <c r="Z50" s="10" t="s">
        <v>26</v>
      </c>
      <c r="AA50" s="9">
        <v>103946863.79000001</v>
      </c>
      <c r="AB50" s="10">
        <v>6.9842321873000003E-4</v>
      </c>
      <c r="AC50" s="10">
        <v>0.09</v>
      </c>
      <c r="AD50" s="10">
        <v>8.9300000000000004E-2</v>
      </c>
      <c r="AE50" s="9">
        <v>820844442.45000005</v>
      </c>
      <c r="AF50" s="10">
        <v>1.1901938330799999E-3</v>
      </c>
      <c r="AG50" s="10">
        <v>0.09</v>
      </c>
      <c r="AH50" s="10">
        <v>8.8800000000000004E-2</v>
      </c>
      <c r="AI50" s="9" t="s">
        <v>26</v>
      </c>
      <c r="AJ50" s="10" t="s">
        <v>26</v>
      </c>
      <c r="AK50" s="10" t="s">
        <v>26</v>
      </c>
      <c r="AL50" s="10" t="s">
        <v>26</v>
      </c>
      <c r="AM50" s="9" t="s">
        <v>26</v>
      </c>
      <c r="AN50" s="10" t="s">
        <v>26</v>
      </c>
      <c r="AO50" s="10" t="s">
        <v>26</v>
      </c>
      <c r="AP50" s="10" t="s">
        <v>26</v>
      </c>
      <c r="AQ50" s="9" t="s">
        <v>26</v>
      </c>
      <c r="AR50" s="10" t="s">
        <v>26</v>
      </c>
      <c r="AS50" s="10" t="s">
        <v>26</v>
      </c>
      <c r="AT50" s="10" t="s">
        <v>26</v>
      </c>
      <c r="AU50" s="9" t="s">
        <v>26</v>
      </c>
      <c r="AV50" s="10" t="s">
        <v>26</v>
      </c>
      <c r="AW50" s="10" t="s">
        <v>26</v>
      </c>
      <c r="AX50" s="10" t="s">
        <v>26</v>
      </c>
      <c r="AY50" s="9">
        <v>820844442.45000005</v>
      </c>
      <c r="AZ50" s="10">
        <v>1.0512710966900001E-3</v>
      </c>
      <c r="BA50" s="10">
        <v>0.09</v>
      </c>
      <c r="BB50" s="10">
        <v>8.8900000000000007E-2</v>
      </c>
    </row>
    <row r="51" spans="1:54" s="28" customFormat="1">
      <c r="A51" s="3" t="s">
        <v>39</v>
      </c>
      <c r="B51" s="23" t="s">
        <v>47</v>
      </c>
      <c r="C51" s="2">
        <v>32844120.949999999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16292879.460000001</v>
      </c>
      <c r="L51" s="1">
        <v>1</v>
      </c>
      <c r="M51" s="1" t="s">
        <v>26</v>
      </c>
      <c r="N51" s="1" t="s">
        <v>26</v>
      </c>
      <c r="O51" s="2">
        <v>380065571.06999999</v>
      </c>
      <c r="P51" s="1">
        <v>1</v>
      </c>
      <c r="Q51" s="1" t="s">
        <v>26</v>
      </c>
      <c r="R51" s="1" t="s">
        <v>26</v>
      </c>
      <c r="S51" s="2">
        <v>287695007.18000001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103946863.79000001</v>
      </c>
      <c r="AB51" s="1">
        <v>1</v>
      </c>
      <c r="AC51" s="1" t="s">
        <v>26</v>
      </c>
      <c r="AD51" s="1" t="s">
        <v>26</v>
      </c>
      <c r="AE51" s="2">
        <v>820844442.45000005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820844442.45000005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60</v>
      </c>
      <c r="B52" s="20" t="s">
        <v>25</v>
      </c>
      <c r="C52" s="9" t="s">
        <v>26</v>
      </c>
      <c r="D52" s="10" t="s">
        <v>26</v>
      </c>
      <c r="E52" s="10" t="s">
        <v>26</v>
      </c>
      <c r="F52" s="10" t="s">
        <v>26</v>
      </c>
      <c r="G52" s="9">
        <v>305909352</v>
      </c>
      <c r="H52" s="10">
        <v>1.8843961944300001E-3</v>
      </c>
      <c r="I52" s="10">
        <v>0.12</v>
      </c>
      <c r="J52" s="10">
        <v>0.1181</v>
      </c>
      <c r="K52" s="9">
        <v>50348454</v>
      </c>
      <c r="L52" s="10">
        <v>1.452473796606E-2</v>
      </c>
      <c r="M52" s="10">
        <v>0.12</v>
      </c>
      <c r="N52" s="10">
        <v>0.1055</v>
      </c>
      <c r="O52" s="9">
        <v>2229541140</v>
      </c>
      <c r="P52" s="10">
        <v>9.2292742611699997E-3</v>
      </c>
      <c r="Q52" s="10">
        <v>0.12</v>
      </c>
      <c r="R52" s="10">
        <v>0.1108</v>
      </c>
      <c r="S52" s="9">
        <v>543763303.20000005</v>
      </c>
      <c r="T52" s="10">
        <v>4.5541762877199998E-3</v>
      </c>
      <c r="U52" s="10">
        <v>0.12</v>
      </c>
      <c r="V52" s="10">
        <v>0.1154</v>
      </c>
      <c r="W52" s="9">
        <v>69517454.319999993</v>
      </c>
      <c r="X52" s="10">
        <v>1.017146864955E-2</v>
      </c>
      <c r="Y52" s="10">
        <v>0.12970000000000001</v>
      </c>
      <c r="Z52" s="10">
        <v>0.1195</v>
      </c>
      <c r="AA52" s="9">
        <v>1443947738.4300001</v>
      </c>
      <c r="AB52" s="10">
        <v>9.7019437660200002E-3</v>
      </c>
      <c r="AC52" s="10">
        <v>0.12</v>
      </c>
      <c r="AD52" s="10">
        <v>0.1103</v>
      </c>
      <c r="AE52" s="9">
        <v>4643027441.9499998</v>
      </c>
      <c r="AF52" s="10">
        <v>6.7322166569399999E-3</v>
      </c>
      <c r="AG52" s="10">
        <v>0.1201</v>
      </c>
      <c r="AH52" s="10">
        <v>0.1134</v>
      </c>
      <c r="AI52" s="9">
        <v>201393816</v>
      </c>
      <c r="AJ52" s="10">
        <v>1.135754431891E-2</v>
      </c>
      <c r="AK52" s="10">
        <v>0.12</v>
      </c>
      <c r="AL52" s="10">
        <v>0.1086</v>
      </c>
      <c r="AM52" s="9">
        <v>218210199.63999999</v>
      </c>
      <c r="AN52" s="10">
        <v>8.9034020373200008E-3</v>
      </c>
      <c r="AO52" s="10">
        <v>0.12</v>
      </c>
      <c r="AP52" s="10">
        <v>0.1111</v>
      </c>
      <c r="AQ52" s="9">
        <v>419604015.63999999</v>
      </c>
      <c r="AR52" s="10">
        <v>9.9336205755599996E-3</v>
      </c>
      <c r="AS52" s="10">
        <v>0.12</v>
      </c>
      <c r="AT52" s="10">
        <v>0.1101</v>
      </c>
      <c r="AU52" s="9">
        <v>302090724</v>
      </c>
      <c r="AV52" s="10">
        <v>6.1780169674800003E-3</v>
      </c>
      <c r="AW52" s="10">
        <v>0.12</v>
      </c>
      <c r="AX52" s="10">
        <v>0.1138</v>
      </c>
      <c r="AY52" s="9">
        <v>5364722181.5900002</v>
      </c>
      <c r="AZ52" s="10">
        <v>6.8707017793100001E-3</v>
      </c>
      <c r="BA52" s="10">
        <v>0.1201</v>
      </c>
      <c r="BB52" s="10">
        <v>0.1132</v>
      </c>
    </row>
    <row r="53" spans="1:54" s="28" customFormat="1">
      <c r="A53" s="3" t="s">
        <v>39</v>
      </c>
      <c r="B53" s="23" t="s">
        <v>57</v>
      </c>
      <c r="C53" s="2" t="s">
        <v>26</v>
      </c>
      <c r="D53" s="1" t="s">
        <v>26</v>
      </c>
      <c r="E53" s="1" t="s">
        <v>26</v>
      </c>
      <c r="F53" s="1" t="s">
        <v>26</v>
      </c>
      <c r="G53" s="2">
        <v>305909352</v>
      </c>
      <c r="H53" s="1">
        <v>1</v>
      </c>
      <c r="I53" s="1" t="s">
        <v>26</v>
      </c>
      <c r="J53" s="1" t="s">
        <v>26</v>
      </c>
      <c r="K53" s="2">
        <v>50348454</v>
      </c>
      <c r="L53" s="1">
        <v>1</v>
      </c>
      <c r="M53" s="1" t="s">
        <v>26</v>
      </c>
      <c r="N53" s="1" t="s">
        <v>26</v>
      </c>
      <c r="O53" s="2">
        <v>2229541140</v>
      </c>
      <c r="P53" s="1">
        <v>1</v>
      </c>
      <c r="Q53" s="1" t="s">
        <v>26</v>
      </c>
      <c r="R53" s="1" t="s">
        <v>26</v>
      </c>
      <c r="S53" s="2">
        <v>543763303.20000005</v>
      </c>
      <c r="T53" s="1">
        <v>1</v>
      </c>
      <c r="U53" s="1" t="s">
        <v>26</v>
      </c>
      <c r="V53" s="1" t="s">
        <v>26</v>
      </c>
      <c r="W53" s="2">
        <v>46931961.979999997</v>
      </c>
      <c r="X53" s="1">
        <v>0.67511048036892995</v>
      </c>
      <c r="Y53" s="1" t="s">
        <v>26</v>
      </c>
      <c r="Z53" s="1" t="s">
        <v>26</v>
      </c>
      <c r="AA53" s="2">
        <v>1443947738.4300001</v>
      </c>
      <c r="AB53" s="1">
        <v>1</v>
      </c>
      <c r="AC53" s="1" t="s">
        <v>26</v>
      </c>
      <c r="AD53" s="1" t="s">
        <v>26</v>
      </c>
      <c r="AE53" s="2">
        <v>4620441949.6099997</v>
      </c>
      <c r="AF53" s="1">
        <v>0.99513561084391999</v>
      </c>
      <c r="AG53" s="1" t="s">
        <v>26</v>
      </c>
      <c r="AH53" s="1" t="s">
        <v>26</v>
      </c>
      <c r="AI53" s="2">
        <v>201393816</v>
      </c>
      <c r="AJ53" s="1">
        <v>1</v>
      </c>
      <c r="AK53" s="1" t="s">
        <v>26</v>
      </c>
      <c r="AL53" s="1" t="s">
        <v>26</v>
      </c>
      <c r="AM53" s="2">
        <v>218210199.63999999</v>
      </c>
      <c r="AN53" s="1">
        <v>1</v>
      </c>
      <c r="AO53" s="1" t="s">
        <v>26</v>
      </c>
      <c r="AP53" s="1" t="s">
        <v>26</v>
      </c>
      <c r="AQ53" s="2">
        <v>419604015.63999999</v>
      </c>
      <c r="AR53" s="1">
        <v>1</v>
      </c>
      <c r="AS53" s="1" t="s">
        <v>26</v>
      </c>
      <c r="AT53" s="1" t="s">
        <v>26</v>
      </c>
      <c r="AU53" s="2">
        <v>302090724</v>
      </c>
      <c r="AV53" s="1">
        <v>1</v>
      </c>
      <c r="AW53" s="1" t="s">
        <v>26</v>
      </c>
      <c r="AX53" s="1" t="s">
        <v>26</v>
      </c>
      <c r="AY53" s="2">
        <v>5342136689.25</v>
      </c>
      <c r="AZ53" s="1">
        <v>0.99578999777146004</v>
      </c>
      <c r="BA53" s="1" t="s">
        <v>26</v>
      </c>
      <c r="BB53" s="1" t="s">
        <v>26</v>
      </c>
    </row>
    <row r="54" spans="1:54" s="7" customFormat="1">
      <c r="A54" s="3" t="s">
        <v>41</v>
      </c>
      <c r="B54" s="23" t="s">
        <v>35</v>
      </c>
      <c r="C54" s="2" t="s">
        <v>26</v>
      </c>
      <c r="D54" s="1" t="s">
        <v>26</v>
      </c>
      <c r="E54" s="1" t="s">
        <v>26</v>
      </c>
      <c r="F54" s="1" t="s">
        <v>26</v>
      </c>
      <c r="G54" s="2" t="s">
        <v>26</v>
      </c>
      <c r="H54" s="1" t="s">
        <v>26</v>
      </c>
      <c r="I54" s="1" t="s">
        <v>26</v>
      </c>
      <c r="J54" s="1" t="s">
        <v>26</v>
      </c>
      <c r="K54" s="2" t="s">
        <v>26</v>
      </c>
      <c r="L54" s="1" t="s">
        <v>26</v>
      </c>
      <c r="M54" s="1" t="s">
        <v>26</v>
      </c>
      <c r="N54" s="1" t="s">
        <v>26</v>
      </c>
      <c r="O54" s="2" t="s">
        <v>26</v>
      </c>
      <c r="P54" s="1" t="s">
        <v>26</v>
      </c>
      <c r="Q54" s="1" t="s">
        <v>26</v>
      </c>
      <c r="R54" s="1" t="s">
        <v>26</v>
      </c>
      <c r="S54" s="2" t="s">
        <v>26</v>
      </c>
      <c r="T54" s="1" t="s">
        <v>26</v>
      </c>
      <c r="U54" s="1" t="s">
        <v>26</v>
      </c>
      <c r="V54" s="1" t="s">
        <v>26</v>
      </c>
      <c r="W54" s="2">
        <v>22585492.34</v>
      </c>
      <c r="X54" s="1">
        <v>0.32488951963107998</v>
      </c>
      <c r="Y54" s="1" t="s">
        <v>26</v>
      </c>
      <c r="Z54" s="1" t="s">
        <v>26</v>
      </c>
      <c r="AA54" s="2" t="s">
        <v>26</v>
      </c>
      <c r="AB54" s="1" t="s">
        <v>26</v>
      </c>
      <c r="AC54" s="1" t="s">
        <v>26</v>
      </c>
      <c r="AD54" s="1" t="s">
        <v>26</v>
      </c>
      <c r="AE54" s="2">
        <v>22585492.34</v>
      </c>
      <c r="AF54" s="1">
        <v>4.8643891560799998E-3</v>
      </c>
      <c r="AG54" s="1" t="s">
        <v>26</v>
      </c>
      <c r="AH54" s="1" t="s">
        <v>26</v>
      </c>
      <c r="AI54" s="2" t="s">
        <v>26</v>
      </c>
      <c r="AJ54" s="1" t="s">
        <v>26</v>
      </c>
      <c r="AK54" s="1" t="s">
        <v>26</v>
      </c>
      <c r="AL54" s="1" t="s">
        <v>26</v>
      </c>
      <c r="AM54" s="2" t="s">
        <v>26</v>
      </c>
      <c r="AN54" s="1" t="s">
        <v>26</v>
      </c>
      <c r="AO54" s="1" t="s">
        <v>26</v>
      </c>
      <c r="AP54" s="1" t="s">
        <v>26</v>
      </c>
      <c r="AQ54" s="2" t="s">
        <v>26</v>
      </c>
      <c r="AR54" s="1" t="s">
        <v>26</v>
      </c>
      <c r="AS54" s="1" t="s">
        <v>26</v>
      </c>
      <c r="AT54" s="1" t="s">
        <v>26</v>
      </c>
      <c r="AU54" s="2" t="s">
        <v>26</v>
      </c>
      <c r="AV54" s="1" t="s">
        <v>26</v>
      </c>
      <c r="AW54" s="1" t="s">
        <v>26</v>
      </c>
      <c r="AX54" s="1" t="s">
        <v>26</v>
      </c>
      <c r="AY54" s="2">
        <v>22585492.34</v>
      </c>
      <c r="AZ54" s="1">
        <v>4.2100022285400003E-3</v>
      </c>
      <c r="BA54" s="1" t="s">
        <v>26</v>
      </c>
      <c r="BB54" s="1" t="s">
        <v>26</v>
      </c>
    </row>
    <row r="55" spans="1:54" s="7" customFormat="1">
      <c r="A55" s="12" t="s">
        <v>61</v>
      </c>
      <c r="B55" s="40" t="s">
        <v>25</v>
      </c>
      <c r="C55" s="42">
        <v>10028101.9</v>
      </c>
      <c r="D55" s="43">
        <v>1.38672676236E-3</v>
      </c>
      <c r="E55" s="43" t="s">
        <v>26</v>
      </c>
      <c r="F55" s="43" t="s">
        <v>26</v>
      </c>
      <c r="G55" s="42" t="s">
        <v>26</v>
      </c>
      <c r="H55" s="43" t="s">
        <v>26</v>
      </c>
      <c r="I55" s="43" t="s">
        <v>26</v>
      </c>
      <c r="J55" s="43" t="s">
        <v>26</v>
      </c>
      <c r="K55" s="42">
        <v>15766520.24</v>
      </c>
      <c r="L55" s="43">
        <v>4.5483933850800004E-3</v>
      </c>
      <c r="M55" s="43" t="s">
        <v>26</v>
      </c>
      <c r="N55" s="43" t="s">
        <v>26</v>
      </c>
      <c r="O55" s="42">
        <v>100333173.42</v>
      </c>
      <c r="P55" s="43">
        <v>4.1533316356999998E-4</v>
      </c>
      <c r="Q55" s="43" t="s">
        <v>26</v>
      </c>
      <c r="R55" s="43" t="s">
        <v>26</v>
      </c>
      <c r="S55" s="42" t="s">
        <v>26</v>
      </c>
      <c r="T55" s="43" t="s">
        <v>26</v>
      </c>
      <c r="U55" s="43" t="s">
        <v>26</v>
      </c>
      <c r="V55" s="43" t="s">
        <v>26</v>
      </c>
      <c r="W55" s="42" t="s">
        <v>26</v>
      </c>
      <c r="X55" s="43" t="s">
        <v>26</v>
      </c>
      <c r="Y55" s="43" t="s">
        <v>26</v>
      </c>
      <c r="Z55" s="43" t="s">
        <v>26</v>
      </c>
      <c r="AA55" s="42">
        <v>140234940.88</v>
      </c>
      <c r="AB55" s="43">
        <v>9.4224428920999998E-4</v>
      </c>
      <c r="AC55" s="43" t="s">
        <v>26</v>
      </c>
      <c r="AD55" s="43" t="s">
        <v>26</v>
      </c>
      <c r="AE55" s="42">
        <v>266362736.44</v>
      </c>
      <c r="AF55" s="43">
        <v>3.8621603543999999E-4</v>
      </c>
      <c r="AG55" s="43" t="s">
        <v>26</v>
      </c>
      <c r="AH55" s="43" t="s">
        <v>26</v>
      </c>
      <c r="AI55" s="42">
        <v>27176956.420000002</v>
      </c>
      <c r="AJ55" s="43">
        <v>1.5326363695E-3</v>
      </c>
      <c r="AK55" s="43" t="s">
        <v>26</v>
      </c>
      <c r="AL55" s="43" t="s">
        <v>26</v>
      </c>
      <c r="AM55" s="42" t="s">
        <v>26</v>
      </c>
      <c r="AN55" s="43" t="s">
        <v>26</v>
      </c>
      <c r="AO55" s="43" t="s">
        <v>26</v>
      </c>
      <c r="AP55" s="43" t="s">
        <v>26</v>
      </c>
      <c r="AQ55" s="42">
        <v>27176956.420000002</v>
      </c>
      <c r="AR55" s="43">
        <v>6.4338176808000005E-4</v>
      </c>
      <c r="AS55" s="43" t="s">
        <v>26</v>
      </c>
      <c r="AT55" s="43" t="s">
        <v>26</v>
      </c>
      <c r="AU55" s="42" t="s">
        <v>26</v>
      </c>
      <c r="AV55" s="43" t="s">
        <v>26</v>
      </c>
      <c r="AW55" s="43" t="s">
        <v>26</v>
      </c>
      <c r="AX55" s="43" t="s">
        <v>26</v>
      </c>
      <c r="AY55" s="42">
        <v>293539692.86000001</v>
      </c>
      <c r="AZ55" s="43">
        <v>3.7594187019999997E-4</v>
      </c>
      <c r="BA55" s="43" t="s">
        <v>26</v>
      </c>
      <c r="BB55" s="43" t="s">
        <v>26</v>
      </c>
    </row>
    <row r="56" spans="1:54" s="7" customFormat="1">
      <c r="A56" s="5" t="s">
        <v>62</v>
      </c>
      <c r="B56" s="20" t="s">
        <v>25</v>
      </c>
      <c r="C56" s="9">
        <v>10028101.9</v>
      </c>
      <c r="D56" s="10">
        <v>1.38672676236E-3</v>
      </c>
      <c r="E56" s="10">
        <v>0.09</v>
      </c>
      <c r="F56" s="10">
        <v>8.8599999999999998E-2</v>
      </c>
      <c r="G56" s="9" t="s">
        <v>26</v>
      </c>
      <c r="H56" s="10" t="s">
        <v>26</v>
      </c>
      <c r="I56" s="10" t="s">
        <v>26</v>
      </c>
      <c r="J56" s="10" t="s">
        <v>26</v>
      </c>
      <c r="K56" s="9" t="s">
        <v>26</v>
      </c>
      <c r="L56" s="10" t="s">
        <v>26</v>
      </c>
      <c r="M56" s="10" t="s">
        <v>26</v>
      </c>
      <c r="N56" s="10" t="s">
        <v>26</v>
      </c>
      <c r="O56" s="9" t="s">
        <v>26</v>
      </c>
      <c r="P56" s="10" t="s">
        <v>26</v>
      </c>
      <c r="Q56" s="10" t="s">
        <v>26</v>
      </c>
      <c r="R56" s="10" t="s">
        <v>26</v>
      </c>
      <c r="S56" s="9" t="s">
        <v>26</v>
      </c>
      <c r="T56" s="10" t="s">
        <v>26</v>
      </c>
      <c r="U56" s="10" t="s">
        <v>26</v>
      </c>
      <c r="V56" s="10" t="s">
        <v>26</v>
      </c>
      <c r="W56" s="9" t="s">
        <v>26</v>
      </c>
      <c r="X56" s="10" t="s">
        <v>26</v>
      </c>
      <c r="Y56" s="10" t="s">
        <v>26</v>
      </c>
      <c r="Z56" s="10" t="s">
        <v>26</v>
      </c>
      <c r="AA56" s="9" t="s">
        <v>26</v>
      </c>
      <c r="AB56" s="10" t="s">
        <v>26</v>
      </c>
      <c r="AC56" s="10" t="s">
        <v>26</v>
      </c>
      <c r="AD56" s="10" t="s">
        <v>26</v>
      </c>
      <c r="AE56" s="9">
        <v>10028101.9</v>
      </c>
      <c r="AF56" s="10">
        <v>1.4540373819999999E-5</v>
      </c>
      <c r="AG56" s="10">
        <v>0.09</v>
      </c>
      <c r="AH56" s="10">
        <v>0.09</v>
      </c>
      <c r="AI56" s="9" t="s">
        <v>26</v>
      </c>
      <c r="AJ56" s="10" t="s">
        <v>26</v>
      </c>
      <c r="AK56" s="10" t="s">
        <v>26</v>
      </c>
      <c r="AL56" s="10" t="s">
        <v>26</v>
      </c>
      <c r="AM56" s="9" t="s">
        <v>26</v>
      </c>
      <c r="AN56" s="10" t="s">
        <v>26</v>
      </c>
      <c r="AO56" s="10" t="s">
        <v>26</v>
      </c>
      <c r="AP56" s="10" t="s">
        <v>26</v>
      </c>
      <c r="AQ56" s="9" t="s">
        <v>26</v>
      </c>
      <c r="AR56" s="10" t="s">
        <v>26</v>
      </c>
      <c r="AS56" s="10" t="s">
        <v>26</v>
      </c>
      <c r="AT56" s="10" t="s">
        <v>26</v>
      </c>
      <c r="AU56" s="9" t="s">
        <v>26</v>
      </c>
      <c r="AV56" s="10" t="s">
        <v>26</v>
      </c>
      <c r="AW56" s="10" t="s">
        <v>26</v>
      </c>
      <c r="AX56" s="10" t="s">
        <v>26</v>
      </c>
      <c r="AY56" s="9">
        <v>10028101.9</v>
      </c>
      <c r="AZ56" s="10">
        <v>1.284318092E-5</v>
      </c>
      <c r="BA56" s="10">
        <v>0.09</v>
      </c>
      <c r="BB56" s="10">
        <v>0.09</v>
      </c>
    </row>
    <row r="57" spans="1:54" s="7" customFormat="1">
      <c r="A57" s="3" t="s">
        <v>39</v>
      </c>
      <c r="B57" s="23" t="s">
        <v>47</v>
      </c>
      <c r="C57" s="2">
        <v>10028101.9</v>
      </c>
      <c r="D57" s="1">
        <v>1</v>
      </c>
      <c r="E57" s="1" t="s">
        <v>26</v>
      </c>
      <c r="F57" s="1" t="s">
        <v>26</v>
      </c>
      <c r="G57" s="2" t="s">
        <v>26</v>
      </c>
      <c r="H57" s="1" t="s">
        <v>26</v>
      </c>
      <c r="I57" s="1" t="s">
        <v>26</v>
      </c>
      <c r="J57" s="1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 t="s">
        <v>26</v>
      </c>
      <c r="P57" s="1" t="s">
        <v>26</v>
      </c>
      <c r="Q57" s="1" t="s">
        <v>26</v>
      </c>
      <c r="R57" s="1" t="s">
        <v>26</v>
      </c>
      <c r="S57" s="2" t="s">
        <v>26</v>
      </c>
      <c r="T57" s="1" t="s">
        <v>26</v>
      </c>
      <c r="U57" s="1" t="s">
        <v>26</v>
      </c>
      <c r="V57" s="1" t="s">
        <v>26</v>
      </c>
      <c r="W57" s="2" t="s">
        <v>26</v>
      </c>
      <c r="X57" s="1" t="s">
        <v>26</v>
      </c>
      <c r="Y57" s="1" t="s">
        <v>26</v>
      </c>
      <c r="Z57" s="1" t="s">
        <v>26</v>
      </c>
      <c r="AA57" s="2" t="s">
        <v>26</v>
      </c>
      <c r="AB57" s="1" t="s">
        <v>26</v>
      </c>
      <c r="AC57" s="1" t="s">
        <v>26</v>
      </c>
      <c r="AD57" s="1" t="s">
        <v>26</v>
      </c>
      <c r="AE57" s="2">
        <v>10028101.9</v>
      </c>
      <c r="AF57" s="1">
        <v>1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10028101.9</v>
      </c>
      <c r="AZ57" s="1">
        <v>1</v>
      </c>
      <c r="BA57" s="1" t="s">
        <v>26</v>
      </c>
      <c r="BB57" s="1" t="s">
        <v>26</v>
      </c>
    </row>
    <row r="58" spans="1:54" s="7" customFormat="1">
      <c r="A58" s="5" t="s">
        <v>63</v>
      </c>
      <c r="B58" s="20" t="s">
        <v>25</v>
      </c>
      <c r="C58" s="9" t="s">
        <v>26</v>
      </c>
      <c r="D58" s="10" t="s">
        <v>26</v>
      </c>
      <c r="E58" s="10" t="s">
        <v>26</v>
      </c>
      <c r="F58" s="10" t="s">
        <v>26</v>
      </c>
      <c r="G58" s="9" t="s">
        <v>26</v>
      </c>
      <c r="H58" s="10" t="s">
        <v>26</v>
      </c>
      <c r="I58" s="10" t="s">
        <v>26</v>
      </c>
      <c r="J58" s="10" t="s">
        <v>26</v>
      </c>
      <c r="K58" s="9" t="s">
        <v>26</v>
      </c>
      <c r="L58" s="10" t="s">
        <v>26</v>
      </c>
      <c r="M58" s="10" t="s">
        <v>26</v>
      </c>
      <c r="N58" s="10" t="s">
        <v>26</v>
      </c>
      <c r="O58" s="9" t="s">
        <v>26</v>
      </c>
      <c r="P58" s="10" t="s">
        <v>26</v>
      </c>
      <c r="Q58" s="10" t="s">
        <v>26</v>
      </c>
      <c r="R58" s="10" t="s">
        <v>26</v>
      </c>
      <c r="S58" s="9" t="s">
        <v>26</v>
      </c>
      <c r="T58" s="10" t="s">
        <v>26</v>
      </c>
      <c r="U58" s="10" t="s">
        <v>26</v>
      </c>
      <c r="V58" s="10" t="s">
        <v>26</v>
      </c>
      <c r="W58" s="9" t="s">
        <v>26</v>
      </c>
      <c r="X58" s="10" t="s">
        <v>26</v>
      </c>
      <c r="Y58" s="10" t="s">
        <v>26</v>
      </c>
      <c r="Z58" s="10" t="s">
        <v>26</v>
      </c>
      <c r="AA58" s="9">
        <v>94409939.510000005</v>
      </c>
      <c r="AB58" s="10">
        <v>6.3434423539000004E-4</v>
      </c>
      <c r="AC58" s="10">
        <v>0.13500000000000001</v>
      </c>
      <c r="AD58" s="10">
        <v>0.13439999999999999</v>
      </c>
      <c r="AE58" s="9">
        <v>94409939.510000005</v>
      </c>
      <c r="AF58" s="10">
        <v>1.3689089183999999E-4</v>
      </c>
      <c r="AG58" s="10">
        <v>0.13500000000000001</v>
      </c>
      <c r="AH58" s="10">
        <v>0.13489999999999999</v>
      </c>
      <c r="AI58" s="9" t="s">
        <v>26</v>
      </c>
      <c r="AJ58" s="10" t="s">
        <v>26</v>
      </c>
      <c r="AK58" s="10" t="s">
        <v>26</v>
      </c>
      <c r="AL58" s="10" t="s">
        <v>26</v>
      </c>
      <c r="AM58" s="9" t="s">
        <v>26</v>
      </c>
      <c r="AN58" s="10" t="s">
        <v>26</v>
      </c>
      <c r="AO58" s="10" t="s">
        <v>26</v>
      </c>
      <c r="AP58" s="10" t="s">
        <v>26</v>
      </c>
      <c r="AQ58" s="9" t="s">
        <v>26</v>
      </c>
      <c r="AR58" s="10" t="s">
        <v>26</v>
      </c>
      <c r="AS58" s="10" t="s">
        <v>26</v>
      </c>
      <c r="AT58" s="10" t="s">
        <v>26</v>
      </c>
      <c r="AU58" s="9" t="s">
        <v>26</v>
      </c>
      <c r="AV58" s="10" t="s">
        <v>26</v>
      </c>
      <c r="AW58" s="10" t="s">
        <v>26</v>
      </c>
      <c r="AX58" s="10" t="s">
        <v>26</v>
      </c>
      <c r="AY58" s="9">
        <v>94409939.510000005</v>
      </c>
      <c r="AZ58" s="10">
        <v>1.2091260599E-4</v>
      </c>
      <c r="BA58" s="10">
        <v>0.13500000000000001</v>
      </c>
      <c r="BB58" s="10">
        <v>0.13489999999999999</v>
      </c>
    </row>
    <row r="59" spans="1:54" s="7" customFormat="1">
      <c r="A59" s="3" t="s">
        <v>41</v>
      </c>
      <c r="B59" s="23" t="s">
        <v>44</v>
      </c>
      <c r="C59" s="2" t="s">
        <v>26</v>
      </c>
      <c r="D59" s="1" t="s">
        <v>26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>
        <v>94409939.510000005</v>
      </c>
      <c r="AB59" s="1">
        <v>1</v>
      </c>
      <c r="AC59" s="1" t="s">
        <v>26</v>
      </c>
      <c r="AD59" s="1" t="s">
        <v>26</v>
      </c>
      <c r="AE59" s="2">
        <v>94409939.510000005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94409939.510000005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65</v>
      </c>
      <c r="B60" s="20" t="s">
        <v>25</v>
      </c>
      <c r="C60" s="9" t="s">
        <v>26</v>
      </c>
      <c r="D60" s="10" t="s">
        <v>26</v>
      </c>
      <c r="E60" s="10" t="s">
        <v>26</v>
      </c>
      <c r="F60" s="10" t="s">
        <v>26</v>
      </c>
      <c r="G60" s="9" t="s">
        <v>26</v>
      </c>
      <c r="H60" s="10" t="s">
        <v>26</v>
      </c>
      <c r="I60" s="10" t="s">
        <v>26</v>
      </c>
      <c r="J60" s="10" t="s">
        <v>26</v>
      </c>
      <c r="K60" s="9">
        <v>15766520.24</v>
      </c>
      <c r="L60" s="10">
        <v>4.5483933850800004E-3</v>
      </c>
      <c r="M60" s="10">
        <v>0.13500000000000001</v>
      </c>
      <c r="N60" s="10">
        <v>0.1305</v>
      </c>
      <c r="O60" s="9">
        <v>100333173.42</v>
      </c>
      <c r="P60" s="10">
        <v>4.1533316356999998E-4</v>
      </c>
      <c r="Q60" s="10">
        <v>0.13500000000000001</v>
      </c>
      <c r="R60" s="10">
        <v>0.1346</v>
      </c>
      <c r="S60" s="9" t="s">
        <v>26</v>
      </c>
      <c r="T60" s="10" t="s">
        <v>26</v>
      </c>
      <c r="U60" s="10" t="s">
        <v>26</v>
      </c>
      <c r="V60" s="10" t="s">
        <v>26</v>
      </c>
      <c r="W60" s="9" t="s">
        <v>26</v>
      </c>
      <c r="X60" s="10" t="s">
        <v>26</v>
      </c>
      <c r="Y60" s="10" t="s">
        <v>26</v>
      </c>
      <c r="Z60" s="10" t="s">
        <v>26</v>
      </c>
      <c r="AA60" s="9">
        <v>45825001.369999997</v>
      </c>
      <c r="AB60" s="10">
        <v>3.0790005382E-4</v>
      </c>
      <c r="AC60" s="10">
        <v>0.13500000000000001</v>
      </c>
      <c r="AD60" s="10">
        <v>0.13469999999999999</v>
      </c>
      <c r="AE60" s="9">
        <v>161924695.03</v>
      </c>
      <c r="AF60" s="10">
        <v>2.3478476978E-4</v>
      </c>
      <c r="AG60" s="10">
        <v>0.13500000000000001</v>
      </c>
      <c r="AH60" s="10">
        <v>0.1348</v>
      </c>
      <c r="AI60" s="9">
        <v>27176956.420000002</v>
      </c>
      <c r="AJ60" s="10">
        <v>1.5326363695E-3</v>
      </c>
      <c r="AK60" s="10">
        <v>0.13500000000000001</v>
      </c>
      <c r="AL60" s="10">
        <v>0.13350000000000001</v>
      </c>
      <c r="AM60" s="9" t="s">
        <v>26</v>
      </c>
      <c r="AN60" s="10" t="s">
        <v>26</v>
      </c>
      <c r="AO60" s="10" t="s">
        <v>26</v>
      </c>
      <c r="AP60" s="10" t="s">
        <v>26</v>
      </c>
      <c r="AQ60" s="9">
        <v>27176956.420000002</v>
      </c>
      <c r="AR60" s="10">
        <v>6.4338176808000005E-4</v>
      </c>
      <c r="AS60" s="10">
        <v>0.13500000000000001</v>
      </c>
      <c r="AT60" s="10">
        <v>0.13439999999999999</v>
      </c>
      <c r="AU60" s="9" t="s">
        <v>26</v>
      </c>
      <c r="AV60" s="10" t="s">
        <v>26</v>
      </c>
      <c r="AW60" s="10" t="s">
        <v>26</v>
      </c>
      <c r="AX60" s="10" t="s">
        <v>26</v>
      </c>
      <c r="AY60" s="9">
        <v>189101651.44999999</v>
      </c>
      <c r="AZ60" s="10">
        <v>2.4218608329000001E-4</v>
      </c>
      <c r="BA60" s="10">
        <v>0.13500000000000001</v>
      </c>
      <c r="BB60" s="10">
        <v>0.1348</v>
      </c>
    </row>
    <row r="61" spans="1:54" s="28" customFormat="1">
      <c r="A61" s="3" t="s">
        <v>41</v>
      </c>
      <c r="B61" s="23" t="s">
        <v>44</v>
      </c>
      <c r="C61" s="2" t="s">
        <v>26</v>
      </c>
      <c r="D61" s="1" t="s">
        <v>26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>
        <v>15766520.24</v>
      </c>
      <c r="L61" s="1">
        <v>1</v>
      </c>
      <c r="M61" s="1" t="s">
        <v>26</v>
      </c>
      <c r="N61" s="1" t="s">
        <v>26</v>
      </c>
      <c r="O61" s="2">
        <v>100333173.42</v>
      </c>
      <c r="P61" s="1">
        <v>1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>
        <v>45825001.369999997</v>
      </c>
      <c r="AB61" s="1">
        <v>1</v>
      </c>
      <c r="AC61" s="1" t="s">
        <v>26</v>
      </c>
      <c r="AD61" s="1" t="s">
        <v>26</v>
      </c>
      <c r="AE61" s="2">
        <v>161924695.03</v>
      </c>
      <c r="AF61" s="1">
        <v>1</v>
      </c>
      <c r="AG61" s="1" t="s">
        <v>26</v>
      </c>
      <c r="AH61" s="1" t="s">
        <v>26</v>
      </c>
      <c r="AI61" s="2">
        <v>27176956.420000002</v>
      </c>
      <c r="AJ61" s="1">
        <v>1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>
        <v>27176956.420000002</v>
      </c>
      <c r="AR61" s="1">
        <v>1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189101651.44999999</v>
      </c>
      <c r="AZ61" s="1">
        <v>1</v>
      </c>
      <c r="BA61" s="1" t="s">
        <v>26</v>
      </c>
      <c r="BB61" s="1" t="s">
        <v>26</v>
      </c>
    </row>
    <row r="62" spans="1:54" s="7" customFormat="1">
      <c r="A62" s="12" t="s">
        <v>66</v>
      </c>
      <c r="B62" s="40" t="s">
        <v>25</v>
      </c>
      <c r="C62" s="42">
        <v>1132936833.02</v>
      </c>
      <c r="D62" s="43">
        <v>0.15666711827252999</v>
      </c>
      <c r="E62" s="43" t="s">
        <v>26</v>
      </c>
      <c r="F62" s="43" t="s">
        <v>26</v>
      </c>
      <c r="G62" s="42">
        <v>6654195621.3999996</v>
      </c>
      <c r="H62" s="43">
        <v>4.0989727263809998E-2</v>
      </c>
      <c r="I62" s="43" t="s">
        <v>26</v>
      </c>
      <c r="J62" s="43" t="s">
        <v>26</v>
      </c>
      <c r="K62" s="42">
        <v>702518349.80999994</v>
      </c>
      <c r="L62" s="43">
        <v>0.20266550681650999</v>
      </c>
      <c r="M62" s="43" t="s">
        <v>26</v>
      </c>
      <c r="N62" s="43" t="s">
        <v>26</v>
      </c>
      <c r="O62" s="42">
        <v>10528028102.84</v>
      </c>
      <c r="P62" s="43">
        <v>4.3581191235789997E-2</v>
      </c>
      <c r="Q62" s="43" t="s">
        <v>26</v>
      </c>
      <c r="R62" s="43" t="s">
        <v>26</v>
      </c>
      <c r="S62" s="42">
        <v>6183977056.96</v>
      </c>
      <c r="T62" s="43">
        <v>5.1792611805360003E-2</v>
      </c>
      <c r="U62" s="43" t="s">
        <v>26</v>
      </c>
      <c r="V62" s="43" t="s">
        <v>26</v>
      </c>
      <c r="W62" s="42" t="s">
        <v>26</v>
      </c>
      <c r="X62" s="43" t="s">
        <v>26</v>
      </c>
      <c r="Y62" s="43" t="s">
        <v>26</v>
      </c>
      <c r="Z62" s="43" t="s">
        <v>26</v>
      </c>
      <c r="AA62" s="42">
        <v>5107248985.2299995</v>
      </c>
      <c r="AB62" s="43">
        <v>3.4315814302019999E-2</v>
      </c>
      <c r="AC62" s="43" t="s">
        <v>26</v>
      </c>
      <c r="AD62" s="43" t="s">
        <v>26</v>
      </c>
      <c r="AE62" s="42">
        <v>30308904949.259998</v>
      </c>
      <c r="AF62" s="43">
        <v>4.3946781987450001E-2</v>
      </c>
      <c r="AG62" s="43" t="s">
        <v>26</v>
      </c>
      <c r="AH62" s="43" t="s">
        <v>26</v>
      </c>
      <c r="AI62" s="42">
        <v>900614412.75999999</v>
      </c>
      <c r="AJ62" s="43">
        <v>5.0789881786499999E-2</v>
      </c>
      <c r="AK62" s="43" t="s">
        <v>26</v>
      </c>
      <c r="AL62" s="43" t="s">
        <v>26</v>
      </c>
      <c r="AM62" s="42">
        <v>2186156520.1100001</v>
      </c>
      <c r="AN62" s="43">
        <v>8.9199452853959998E-2</v>
      </c>
      <c r="AO62" s="43" t="s">
        <v>26</v>
      </c>
      <c r="AP62" s="43" t="s">
        <v>26</v>
      </c>
      <c r="AQ62" s="42">
        <v>3086770932.8699999</v>
      </c>
      <c r="AR62" s="43">
        <v>7.3075590575660002E-2</v>
      </c>
      <c r="AS62" s="43" t="s">
        <v>26</v>
      </c>
      <c r="AT62" s="43" t="s">
        <v>26</v>
      </c>
      <c r="AU62" s="42">
        <v>1465130687.79</v>
      </c>
      <c r="AV62" s="43">
        <v>2.9963191616390002E-2</v>
      </c>
      <c r="AW62" s="43" t="s">
        <v>26</v>
      </c>
      <c r="AX62" s="43" t="s">
        <v>26</v>
      </c>
      <c r="AY62" s="42">
        <v>34860806569.919998</v>
      </c>
      <c r="AZ62" s="43">
        <v>4.4646898314680002E-2</v>
      </c>
      <c r="BA62" s="43" t="s">
        <v>26</v>
      </c>
      <c r="BB62" s="43" t="s">
        <v>26</v>
      </c>
    </row>
    <row r="63" spans="1:54" s="28" customFormat="1">
      <c r="A63" s="5" t="s">
        <v>67</v>
      </c>
      <c r="B63" s="20" t="s">
        <v>25</v>
      </c>
      <c r="C63" s="9">
        <v>290207440.41000003</v>
      </c>
      <c r="D63" s="10">
        <v>4.0131066503579997E-2</v>
      </c>
      <c r="E63" s="10">
        <v>0.08</v>
      </c>
      <c r="F63" s="10">
        <v>3.9899999999999998E-2</v>
      </c>
      <c r="G63" s="9" t="s">
        <v>26</v>
      </c>
      <c r="H63" s="10" t="s">
        <v>26</v>
      </c>
      <c r="I63" s="10" t="s">
        <v>26</v>
      </c>
      <c r="J63" s="10" t="s">
        <v>26</v>
      </c>
      <c r="K63" s="9">
        <v>190735450.75</v>
      </c>
      <c r="L63" s="10">
        <v>5.5024180940720001E-2</v>
      </c>
      <c r="M63" s="10">
        <v>0.08</v>
      </c>
      <c r="N63" s="10">
        <v>2.5000000000000001E-2</v>
      </c>
      <c r="O63" s="9" t="s">
        <v>26</v>
      </c>
      <c r="P63" s="10" t="s">
        <v>26</v>
      </c>
      <c r="Q63" s="10" t="s">
        <v>26</v>
      </c>
      <c r="R63" s="10" t="s">
        <v>26</v>
      </c>
      <c r="S63" s="9">
        <v>488217998.68000001</v>
      </c>
      <c r="T63" s="10">
        <v>4.0889681590200004E-3</v>
      </c>
      <c r="U63" s="10">
        <v>0.08</v>
      </c>
      <c r="V63" s="10">
        <v>7.5899999999999995E-2</v>
      </c>
      <c r="W63" s="9" t="s">
        <v>26</v>
      </c>
      <c r="X63" s="10" t="s">
        <v>26</v>
      </c>
      <c r="Y63" s="10" t="s">
        <v>26</v>
      </c>
      <c r="Z63" s="10" t="s">
        <v>26</v>
      </c>
      <c r="AA63" s="9" t="s">
        <v>26</v>
      </c>
      <c r="AB63" s="10" t="s">
        <v>26</v>
      </c>
      <c r="AC63" s="10" t="s">
        <v>26</v>
      </c>
      <c r="AD63" s="10" t="s">
        <v>26</v>
      </c>
      <c r="AE63" s="9">
        <v>969160889.84000003</v>
      </c>
      <c r="AF63" s="10">
        <v>1.4052471512199999E-3</v>
      </c>
      <c r="AG63" s="10">
        <v>0.08</v>
      </c>
      <c r="AH63" s="10">
        <v>7.8600000000000003E-2</v>
      </c>
      <c r="AI63" s="9" t="s">
        <v>26</v>
      </c>
      <c r="AJ63" s="10" t="s">
        <v>26</v>
      </c>
      <c r="AK63" s="10" t="s">
        <v>26</v>
      </c>
      <c r="AL63" s="10" t="s">
        <v>26</v>
      </c>
      <c r="AM63" s="9" t="s">
        <v>26</v>
      </c>
      <c r="AN63" s="10" t="s">
        <v>26</v>
      </c>
      <c r="AO63" s="10" t="s">
        <v>26</v>
      </c>
      <c r="AP63" s="10" t="s">
        <v>26</v>
      </c>
      <c r="AQ63" s="9" t="s">
        <v>26</v>
      </c>
      <c r="AR63" s="10" t="s">
        <v>26</v>
      </c>
      <c r="AS63" s="10" t="s">
        <v>26</v>
      </c>
      <c r="AT63" s="10" t="s">
        <v>26</v>
      </c>
      <c r="AU63" s="9" t="s">
        <v>26</v>
      </c>
      <c r="AV63" s="10" t="s">
        <v>26</v>
      </c>
      <c r="AW63" s="10" t="s">
        <v>26</v>
      </c>
      <c r="AX63" s="10" t="s">
        <v>26</v>
      </c>
      <c r="AY63" s="9">
        <v>969160889.84000003</v>
      </c>
      <c r="AZ63" s="10">
        <v>1.24122279307E-3</v>
      </c>
      <c r="BA63" s="10">
        <v>0.08</v>
      </c>
      <c r="BB63" s="10">
        <v>7.8799999999999995E-2</v>
      </c>
    </row>
    <row r="64" spans="1:54" s="7" customFormat="1">
      <c r="A64" s="3" t="s">
        <v>68</v>
      </c>
      <c r="B64" s="23" t="s">
        <v>57</v>
      </c>
      <c r="C64" s="2">
        <v>290207440.41000003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>
        <v>190735450.75</v>
      </c>
      <c r="L64" s="1">
        <v>1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>
        <v>488217998.68000001</v>
      </c>
      <c r="T64" s="1">
        <v>1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969160889.84000003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969160889.84000003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69</v>
      </c>
      <c r="B65" s="20" t="s">
        <v>25</v>
      </c>
      <c r="C65" s="9" t="s">
        <v>26</v>
      </c>
      <c r="D65" s="10" t="s">
        <v>26</v>
      </c>
      <c r="E65" s="10" t="s">
        <v>26</v>
      </c>
      <c r="F65" s="10" t="s">
        <v>26</v>
      </c>
      <c r="G65" s="9">
        <v>524091621.19999999</v>
      </c>
      <c r="H65" s="10">
        <v>3.2283951113699998E-3</v>
      </c>
      <c r="I65" s="10">
        <v>0.08</v>
      </c>
      <c r="J65" s="10">
        <v>7.6799999999999993E-2</v>
      </c>
      <c r="K65" s="9">
        <v>51430897.590000004</v>
      </c>
      <c r="L65" s="10">
        <v>1.483700593575E-2</v>
      </c>
      <c r="M65" s="10">
        <v>0.08</v>
      </c>
      <c r="N65" s="10">
        <v>6.5199999999999994E-2</v>
      </c>
      <c r="O65" s="9">
        <v>460814518.69999999</v>
      </c>
      <c r="P65" s="10">
        <v>1.9075600357E-3</v>
      </c>
      <c r="Q65" s="10">
        <v>0.08</v>
      </c>
      <c r="R65" s="10">
        <v>7.8100000000000003E-2</v>
      </c>
      <c r="S65" s="9">
        <v>101374718</v>
      </c>
      <c r="T65" s="10">
        <v>8.4904283567999997E-4</v>
      </c>
      <c r="U65" s="10">
        <v>0.08</v>
      </c>
      <c r="V65" s="10">
        <v>7.9200000000000007E-2</v>
      </c>
      <c r="W65" s="9" t="s">
        <v>26</v>
      </c>
      <c r="X65" s="10" t="s">
        <v>26</v>
      </c>
      <c r="Y65" s="10" t="s">
        <v>26</v>
      </c>
      <c r="Z65" s="10" t="s">
        <v>26</v>
      </c>
      <c r="AA65" s="9">
        <v>42893821.439999998</v>
      </c>
      <c r="AB65" s="10">
        <v>2.8820533627999998E-4</v>
      </c>
      <c r="AC65" s="10">
        <v>0.08</v>
      </c>
      <c r="AD65" s="10">
        <v>7.9699999999999993E-2</v>
      </c>
      <c r="AE65" s="9">
        <v>1180605576.9300001</v>
      </c>
      <c r="AF65" s="10">
        <v>1.71183406294E-3</v>
      </c>
      <c r="AG65" s="10">
        <v>0.08</v>
      </c>
      <c r="AH65" s="10">
        <v>7.8299999999999995E-2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>
        <v>101374718</v>
      </c>
      <c r="AV65" s="10">
        <v>2.0732007907599999E-3</v>
      </c>
      <c r="AW65" s="10">
        <v>0.08</v>
      </c>
      <c r="AX65" s="10">
        <v>7.7899999999999997E-2</v>
      </c>
      <c r="AY65" s="9">
        <v>1281980294.9300001</v>
      </c>
      <c r="AZ65" s="10">
        <v>1.6418565575700001E-3</v>
      </c>
      <c r="BA65" s="10">
        <v>0.08</v>
      </c>
      <c r="BB65" s="10">
        <v>7.8399999999999997E-2</v>
      </c>
    </row>
    <row r="66" spans="1:54" s="7" customFormat="1">
      <c r="A66" s="3" t="s">
        <v>68</v>
      </c>
      <c r="B66" s="23" t="s">
        <v>57</v>
      </c>
      <c r="C66" s="2" t="s">
        <v>26</v>
      </c>
      <c r="D66" s="1" t="s">
        <v>26</v>
      </c>
      <c r="E66" s="1" t="s">
        <v>26</v>
      </c>
      <c r="F66" s="1" t="s">
        <v>26</v>
      </c>
      <c r="G66" s="2">
        <v>524091621.19999999</v>
      </c>
      <c r="H66" s="1">
        <v>1</v>
      </c>
      <c r="I66" s="1" t="s">
        <v>26</v>
      </c>
      <c r="J66" s="1" t="s">
        <v>26</v>
      </c>
      <c r="K66" s="2">
        <v>51430897.590000004</v>
      </c>
      <c r="L66" s="1">
        <v>1</v>
      </c>
      <c r="M66" s="1" t="s">
        <v>26</v>
      </c>
      <c r="N66" s="1" t="s">
        <v>26</v>
      </c>
      <c r="O66" s="2">
        <v>460814518.69999999</v>
      </c>
      <c r="P66" s="1">
        <v>1</v>
      </c>
      <c r="Q66" s="1" t="s">
        <v>26</v>
      </c>
      <c r="R66" s="1" t="s">
        <v>26</v>
      </c>
      <c r="S66" s="2">
        <v>101374718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42893821.439999998</v>
      </c>
      <c r="AB66" s="1">
        <v>1</v>
      </c>
      <c r="AC66" s="1" t="s">
        <v>26</v>
      </c>
      <c r="AD66" s="1" t="s">
        <v>26</v>
      </c>
      <c r="AE66" s="2">
        <v>1180605576.9300001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101374718</v>
      </c>
      <c r="AV66" s="1">
        <v>1</v>
      </c>
      <c r="AW66" s="1" t="s">
        <v>26</v>
      </c>
      <c r="AX66" s="1" t="s">
        <v>26</v>
      </c>
      <c r="AY66" s="2">
        <v>1281980294.9300001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70</v>
      </c>
      <c r="B67" s="20" t="s">
        <v>25</v>
      </c>
      <c r="C67" s="9" t="s">
        <v>26</v>
      </c>
      <c r="D67" s="10" t="s">
        <v>26</v>
      </c>
      <c r="E67" s="10" t="s">
        <v>26</v>
      </c>
      <c r="F67" s="10" t="s">
        <v>26</v>
      </c>
      <c r="G67" s="9">
        <v>512994230.83999997</v>
      </c>
      <c r="H67" s="10">
        <v>3.1600353831499998E-3</v>
      </c>
      <c r="I67" s="10">
        <v>0.09</v>
      </c>
      <c r="J67" s="10">
        <v>8.6800000000000002E-2</v>
      </c>
      <c r="K67" s="9" t="s">
        <v>26</v>
      </c>
      <c r="L67" s="10" t="s">
        <v>26</v>
      </c>
      <c r="M67" s="10" t="s">
        <v>26</v>
      </c>
      <c r="N67" s="10" t="s">
        <v>26</v>
      </c>
      <c r="O67" s="9">
        <v>1127073441.24</v>
      </c>
      <c r="P67" s="10">
        <v>4.6655653556099998E-3</v>
      </c>
      <c r="Q67" s="10">
        <v>0.09</v>
      </c>
      <c r="R67" s="10">
        <v>8.5300000000000001E-2</v>
      </c>
      <c r="S67" s="9">
        <v>516205306</v>
      </c>
      <c r="T67" s="10">
        <v>4.3233700221200003E-3</v>
      </c>
      <c r="U67" s="10">
        <v>0.09</v>
      </c>
      <c r="V67" s="10">
        <v>8.5699999999999998E-2</v>
      </c>
      <c r="W67" s="9" t="s">
        <v>26</v>
      </c>
      <c r="X67" s="10" t="s">
        <v>26</v>
      </c>
      <c r="Y67" s="10" t="s">
        <v>26</v>
      </c>
      <c r="Z67" s="10" t="s">
        <v>26</v>
      </c>
      <c r="AA67" s="9">
        <v>1371033117.5799999</v>
      </c>
      <c r="AB67" s="10">
        <v>9.2120274536899999E-3</v>
      </c>
      <c r="AC67" s="10">
        <v>0.09</v>
      </c>
      <c r="AD67" s="10">
        <v>8.0799999999999997E-2</v>
      </c>
      <c r="AE67" s="9">
        <v>3527306095.6599998</v>
      </c>
      <c r="AF67" s="10">
        <v>5.1144623089600001E-3</v>
      </c>
      <c r="AG67" s="10">
        <v>0.09</v>
      </c>
      <c r="AH67" s="10">
        <v>8.4900000000000003E-2</v>
      </c>
      <c r="AI67" s="9">
        <v>95699624.629999995</v>
      </c>
      <c r="AJ67" s="10">
        <v>5.3969518509900003E-3</v>
      </c>
      <c r="AK67" s="10">
        <v>0.09</v>
      </c>
      <c r="AL67" s="10">
        <v>8.4599999999999995E-2</v>
      </c>
      <c r="AM67" s="9">
        <v>13448274.26</v>
      </c>
      <c r="AN67" s="10">
        <v>5.4871583748999995E-4</v>
      </c>
      <c r="AO67" s="10">
        <v>0.09</v>
      </c>
      <c r="AP67" s="10">
        <v>8.9499999999999996E-2</v>
      </c>
      <c r="AQ67" s="9">
        <v>109147898.89</v>
      </c>
      <c r="AR67" s="10">
        <v>2.5839452764499999E-3</v>
      </c>
      <c r="AS67" s="10">
        <v>0.09</v>
      </c>
      <c r="AT67" s="10">
        <v>8.7400000000000005E-2</v>
      </c>
      <c r="AU67" s="9">
        <v>185671790.46000001</v>
      </c>
      <c r="AV67" s="10">
        <v>3.79714893809E-3</v>
      </c>
      <c r="AW67" s="10">
        <v>0.09</v>
      </c>
      <c r="AX67" s="10">
        <v>8.6199999999999999E-2</v>
      </c>
      <c r="AY67" s="9">
        <v>3822125785.0100002</v>
      </c>
      <c r="AZ67" s="10">
        <v>4.8950692212799997E-3</v>
      </c>
      <c r="BA67" s="10">
        <v>0.09</v>
      </c>
      <c r="BB67" s="10">
        <v>8.5099999999999995E-2</v>
      </c>
    </row>
    <row r="68" spans="1:54" s="7" customFormat="1">
      <c r="A68" s="3" t="s">
        <v>68</v>
      </c>
      <c r="B68" s="23" t="s">
        <v>40</v>
      </c>
      <c r="C68" s="2" t="s">
        <v>26</v>
      </c>
      <c r="D68" s="1" t="s">
        <v>26</v>
      </c>
      <c r="E68" s="1" t="s">
        <v>26</v>
      </c>
      <c r="F68" s="1" t="s">
        <v>26</v>
      </c>
      <c r="G68" s="2">
        <v>512994230.83999997</v>
      </c>
      <c r="H68" s="1">
        <v>1</v>
      </c>
      <c r="I68" s="1" t="s">
        <v>26</v>
      </c>
      <c r="J68" s="1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1127073441.24</v>
      </c>
      <c r="P68" s="1">
        <v>1</v>
      </c>
      <c r="Q68" s="1" t="s">
        <v>26</v>
      </c>
      <c r="R68" s="1" t="s">
        <v>26</v>
      </c>
      <c r="S68" s="2">
        <v>516205306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1371033117.5799999</v>
      </c>
      <c r="AB68" s="1">
        <v>1</v>
      </c>
      <c r="AC68" s="1" t="s">
        <v>26</v>
      </c>
      <c r="AD68" s="1" t="s">
        <v>26</v>
      </c>
      <c r="AE68" s="2">
        <v>3527306095.6599998</v>
      </c>
      <c r="AF68" s="1">
        <v>1</v>
      </c>
      <c r="AG68" s="1" t="s">
        <v>26</v>
      </c>
      <c r="AH68" s="1" t="s">
        <v>26</v>
      </c>
      <c r="AI68" s="2">
        <v>95699624.629999995</v>
      </c>
      <c r="AJ68" s="1">
        <v>1</v>
      </c>
      <c r="AK68" s="1" t="s">
        <v>26</v>
      </c>
      <c r="AL68" s="1" t="s">
        <v>26</v>
      </c>
      <c r="AM68" s="2">
        <v>13448274.26</v>
      </c>
      <c r="AN68" s="1">
        <v>1</v>
      </c>
      <c r="AO68" s="1" t="s">
        <v>26</v>
      </c>
      <c r="AP68" s="1" t="s">
        <v>26</v>
      </c>
      <c r="AQ68" s="2">
        <v>109147898.89</v>
      </c>
      <c r="AR68" s="1">
        <v>1</v>
      </c>
      <c r="AS68" s="1" t="s">
        <v>26</v>
      </c>
      <c r="AT68" s="1" t="s">
        <v>26</v>
      </c>
      <c r="AU68" s="2">
        <v>185671790.46000001</v>
      </c>
      <c r="AV68" s="1">
        <v>1</v>
      </c>
      <c r="AW68" s="1" t="s">
        <v>26</v>
      </c>
      <c r="AX68" s="1" t="s">
        <v>26</v>
      </c>
      <c r="AY68" s="2">
        <v>3822125785.0100002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71</v>
      </c>
      <c r="B69" s="20" t="s">
        <v>25</v>
      </c>
      <c r="C69" s="9">
        <v>350815587.33999997</v>
      </c>
      <c r="D69" s="10">
        <v>4.8512207840520002E-2</v>
      </c>
      <c r="E69" s="10">
        <v>0.08</v>
      </c>
      <c r="F69" s="10">
        <v>3.15E-2</v>
      </c>
      <c r="G69" s="9">
        <v>464751350.36000001</v>
      </c>
      <c r="H69" s="10">
        <v>2.8628600931799998E-3</v>
      </c>
      <c r="I69" s="10">
        <v>0.08</v>
      </c>
      <c r="J69" s="10">
        <v>7.7100000000000002E-2</v>
      </c>
      <c r="K69" s="9">
        <v>163914784.77000001</v>
      </c>
      <c r="L69" s="10">
        <v>4.728684017879E-2</v>
      </c>
      <c r="M69" s="10">
        <v>0.08</v>
      </c>
      <c r="N69" s="10">
        <v>3.27E-2</v>
      </c>
      <c r="O69" s="9">
        <v>1443044141.1800001</v>
      </c>
      <c r="P69" s="10">
        <v>5.9735386403000001E-3</v>
      </c>
      <c r="Q69" s="10">
        <v>0.08</v>
      </c>
      <c r="R69" s="10">
        <v>7.3999999999999996E-2</v>
      </c>
      <c r="S69" s="9">
        <v>314914006.61000001</v>
      </c>
      <c r="T69" s="10">
        <v>2.6374966702200002E-3</v>
      </c>
      <c r="U69" s="10">
        <v>0.08</v>
      </c>
      <c r="V69" s="10">
        <v>7.7399999999999997E-2</v>
      </c>
      <c r="W69" s="9" t="s">
        <v>26</v>
      </c>
      <c r="X69" s="10" t="s">
        <v>26</v>
      </c>
      <c r="Y69" s="10" t="s">
        <v>26</v>
      </c>
      <c r="Z69" s="10" t="s">
        <v>26</v>
      </c>
      <c r="AA69" s="9" t="s">
        <v>26</v>
      </c>
      <c r="AB69" s="10" t="s">
        <v>26</v>
      </c>
      <c r="AC69" s="10" t="s">
        <v>26</v>
      </c>
      <c r="AD69" s="10" t="s">
        <v>26</v>
      </c>
      <c r="AE69" s="9">
        <v>2737439870.2600002</v>
      </c>
      <c r="AF69" s="10">
        <v>3.9691857354600003E-3</v>
      </c>
      <c r="AG69" s="10">
        <v>0.08</v>
      </c>
      <c r="AH69" s="10">
        <v>7.5999999999999998E-2</v>
      </c>
      <c r="AI69" s="9" t="s">
        <v>26</v>
      </c>
      <c r="AJ69" s="10" t="s">
        <v>26</v>
      </c>
      <c r="AK69" s="10" t="s">
        <v>26</v>
      </c>
      <c r="AL69" s="10" t="s">
        <v>26</v>
      </c>
      <c r="AM69" s="9" t="s">
        <v>26</v>
      </c>
      <c r="AN69" s="10" t="s">
        <v>26</v>
      </c>
      <c r="AO69" s="10" t="s">
        <v>26</v>
      </c>
      <c r="AP69" s="10" t="s">
        <v>26</v>
      </c>
      <c r="AQ69" s="9" t="s">
        <v>26</v>
      </c>
      <c r="AR69" s="10" t="s">
        <v>26</v>
      </c>
      <c r="AS69" s="10" t="s">
        <v>26</v>
      </c>
      <c r="AT69" s="10" t="s">
        <v>26</v>
      </c>
      <c r="AU69" s="9" t="s">
        <v>26</v>
      </c>
      <c r="AV69" s="10" t="s">
        <v>26</v>
      </c>
      <c r="AW69" s="10" t="s">
        <v>26</v>
      </c>
      <c r="AX69" s="10" t="s">
        <v>26</v>
      </c>
      <c r="AY69" s="9">
        <v>2737439870.2600002</v>
      </c>
      <c r="AZ69" s="10">
        <v>3.5058913305699999E-3</v>
      </c>
      <c r="BA69" s="10">
        <v>0.08</v>
      </c>
      <c r="BB69" s="10">
        <v>7.6499999999999999E-2</v>
      </c>
    </row>
    <row r="70" spans="1:54" s="28" customFormat="1">
      <c r="A70" s="3" t="s">
        <v>68</v>
      </c>
      <c r="B70" s="23" t="s">
        <v>57</v>
      </c>
      <c r="C70" s="2">
        <v>350815587.33999997</v>
      </c>
      <c r="D70" s="1">
        <v>1</v>
      </c>
      <c r="E70" s="1" t="s">
        <v>26</v>
      </c>
      <c r="F70" s="1" t="s">
        <v>26</v>
      </c>
      <c r="G70" s="2">
        <v>464751350.36000001</v>
      </c>
      <c r="H70" s="1">
        <v>1</v>
      </c>
      <c r="I70" s="1" t="s">
        <v>26</v>
      </c>
      <c r="J70" s="1" t="s">
        <v>26</v>
      </c>
      <c r="K70" s="2">
        <v>163914784.77000001</v>
      </c>
      <c r="L70" s="1">
        <v>1</v>
      </c>
      <c r="M70" s="1" t="s">
        <v>26</v>
      </c>
      <c r="N70" s="1" t="s">
        <v>26</v>
      </c>
      <c r="O70" s="2">
        <v>1443044141.1800001</v>
      </c>
      <c r="P70" s="1">
        <v>1</v>
      </c>
      <c r="Q70" s="1" t="s">
        <v>26</v>
      </c>
      <c r="R70" s="1" t="s">
        <v>26</v>
      </c>
      <c r="S70" s="2">
        <v>314914006.61000001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2737439870.2600002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2737439870.2600002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72</v>
      </c>
      <c r="B71" s="20" t="s">
        <v>25</v>
      </c>
      <c r="C71" s="9" t="s">
        <v>26</v>
      </c>
      <c r="D71" s="10" t="s">
        <v>26</v>
      </c>
      <c r="E71" s="10" t="s">
        <v>26</v>
      </c>
      <c r="F71" s="10" t="s">
        <v>26</v>
      </c>
      <c r="G71" s="9">
        <v>2579597159.3800001</v>
      </c>
      <c r="H71" s="10">
        <v>1.5890272848820001E-2</v>
      </c>
      <c r="I71" s="10">
        <v>0.09</v>
      </c>
      <c r="J71" s="10">
        <v>7.4099999999999999E-2</v>
      </c>
      <c r="K71" s="9" t="s">
        <v>26</v>
      </c>
      <c r="L71" s="10" t="s">
        <v>26</v>
      </c>
      <c r="M71" s="10" t="s">
        <v>26</v>
      </c>
      <c r="N71" s="10" t="s">
        <v>26</v>
      </c>
      <c r="O71" s="9">
        <v>2183599242.1199999</v>
      </c>
      <c r="P71" s="10">
        <v>9.0390959468899992E-3</v>
      </c>
      <c r="Q71" s="10">
        <v>0.09</v>
      </c>
      <c r="R71" s="10">
        <v>8.1000000000000003E-2</v>
      </c>
      <c r="S71" s="9">
        <v>1364807652.54</v>
      </c>
      <c r="T71" s="10">
        <v>1.143066222366E-2</v>
      </c>
      <c r="U71" s="10">
        <v>0.09</v>
      </c>
      <c r="V71" s="10">
        <v>7.8600000000000003E-2</v>
      </c>
      <c r="W71" s="9" t="s">
        <v>26</v>
      </c>
      <c r="X71" s="10" t="s">
        <v>26</v>
      </c>
      <c r="Y71" s="10" t="s">
        <v>26</v>
      </c>
      <c r="Z71" s="10" t="s">
        <v>26</v>
      </c>
      <c r="AA71" s="9">
        <v>1812915504.3800001</v>
      </c>
      <c r="AB71" s="10">
        <v>1.218105323893E-2</v>
      </c>
      <c r="AC71" s="10">
        <v>0.09</v>
      </c>
      <c r="AD71" s="10">
        <v>7.7799999999999994E-2</v>
      </c>
      <c r="AE71" s="9">
        <v>7940919558.4200001</v>
      </c>
      <c r="AF71" s="10">
        <v>1.15140372507E-2</v>
      </c>
      <c r="AG71" s="10">
        <v>0.09</v>
      </c>
      <c r="AH71" s="10">
        <v>7.85E-2</v>
      </c>
      <c r="AI71" s="9">
        <v>16076979.57</v>
      </c>
      <c r="AJ71" s="10">
        <v>9.0665647837000001E-4</v>
      </c>
      <c r="AK71" s="10">
        <v>0.09</v>
      </c>
      <c r="AL71" s="10">
        <v>8.9099999999999999E-2</v>
      </c>
      <c r="AM71" s="9">
        <v>114840591.25</v>
      </c>
      <c r="AN71" s="10">
        <v>4.6857202632499999E-3</v>
      </c>
      <c r="AO71" s="10">
        <v>0.09</v>
      </c>
      <c r="AP71" s="10">
        <v>8.5300000000000001E-2</v>
      </c>
      <c r="AQ71" s="9">
        <v>130917570.81999999</v>
      </c>
      <c r="AR71" s="10">
        <v>3.09931608547E-3</v>
      </c>
      <c r="AS71" s="10">
        <v>0.09</v>
      </c>
      <c r="AT71" s="10">
        <v>8.6900000000000005E-2</v>
      </c>
      <c r="AU71" s="9">
        <v>476542628.75</v>
      </c>
      <c r="AV71" s="10">
        <v>9.74570952449E-3</v>
      </c>
      <c r="AW71" s="10">
        <v>0.09</v>
      </c>
      <c r="AX71" s="10">
        <v>8.0299999999999996E-2</v>
      </c>
      <c r="AY71" s="9">
        <v>8548379757.9899998</v>
      </c>
      <c r="AZ71" s="10">
        <v>1.0948072616869999E-2</v>
      </c>
      <c r="BA71" s="10">
        <v>0.09</v>
      </c>
      <c r="BB71" s="10">
        <v>7.9100000000000004E-2</v>
      </c>
    </row>
    <row r="72" spans="1:54" s="28" customFormat="1">
      <c r="A72" s="3" t="s">
        <v>68</v>
      </c>
      <c r="B72" s="23" t="s">
        <v>40</v>
      </c>
      <c r="C72" s="2" t="s">
        <v>26</v>
      </c>
      <c r="D72" s="1" t="s">
        <v>26</v>
      </c>
      <c r="E72" s="1" t="s">
        <v>26</v>
      </c>
      <c r="F72" s="1" t="s">
        <v>26</v>
      </c>
      <c r="G72" s="2">
        <v>2579597159.3800001</v>
      </c>
      <c r="H72" s="1">
        <v>1</v>
      </c>
      <c r="I72" s="1" t="s">
        <v>26</v>
      </c>
      <c r="J72" s="1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2183599242.1199999</v>
      </c>
      <c r="P72" s="1">
        <v>1</v>
      </c>
      <c r="Q72" s="1" t="s">
        <v>26</v>
      </c>
      <c r="R72" s="1" t="s">
        <v>26</v>
      </c>
      <c r="S72" s="2">
        <v>1364807652.54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1812915504.3800001</v>
      </c>
      <c r="AB72" s="1">
        <v>1</v>
      </c>
      <c r="AC72" s="1" t="s">
        <v>26</v>
      </c>
      <c r="AD72" s="1" t="s">
        <v>26</v>
      </c>
      <c r="AE72" s="2">
        <v>7940919558.4200001</v>
      </c>
      <c r="AF72" s="1">
        <v>1</v>
      </c>
      <c r="AG72" s="1" t="s">
        <v>26</v>
      </c>
      <c r="AH72" s="1" t="s">
        <v>26</v>
      </c>
      <c r="AI72" s="2">
        <v>16076979.57</v>
      </c>
      <c r="AJ72" s="1">
        <v>1</v>
      </c>
      <c r="AK72" s="1" t="s">
        <v>26</v>
      </c>
      <c r="AL72" s="1" t="s">
        <v>26</v>
      </c>
      <c r="AM72" s="2">
        <v>114840591.25</v>
      </c>
      <c r="AN72" s="1">
        <v>1</v>
      </c>
      <c r="AO72" s="1" t="s">
        <v>26</v>
      </c>
      <c r="AP72" s="1" t="s">
        <v>26</v>
      </c>
      <c r="AQ72" s="2">
        <v>130917570.81999999</v>
      </c>
      <c r="AR72" s="1">
        <v>1</v>
      </c>
      <c r="AS72" s="1" t="s">
        <v>26</v>
      </c>
      <c r="AT72" s="1" t="s">
        <v>26</v>
      </c>
      <c r="AU72" s="2">
        <v>476542628.75</v>
      </c>
      <c r="AV72" s="1">
        <v>1</v>
      </c>
      <c r="AW72" s="1" t="s">
        <v>26</v>
      </c>
      <c r="AX72" s="1" t="s">
        <v>26</v>
      </c>
      <c r="AY72" s="2">
        <v>8548379757.9899998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73</v>
      </c>
      <c r="B73" s="20" t="s">
        <v>25</v>
      </c>
      <c r="C73" s="9">
        <v>87553745.829999998</v>
      </c>
      <c r="D73" s="10">
        <v>1.210728846778E-2</v>
      </c>
      <c r="E73" s="10">
        <v>0.08</v>
      </c>
      <c r="F73" s="10">
        <v>6.7900000000000002E-2</v>
      </c>
      <c r="G73" s="9">
        <v>220483012.00999999</v>
      </c>
      <c r="H73" s="10">
        <v>1.35817145194E-3</v>
      </c>
      <c r="I73" s="10">
        <v>0.08</v>
      </c>
      <c r="J73" s="10">
        <v>7.8600000000000003E-2</v>
      </c>
      <c r="K73" s="9">
        <v>105356439.58</v>
      </c>
      <c r="L73" s="10">
        <v>3.0393677588120002E-2</v>
      </c>
      <c r="M73" s="10">
        <v>0.08</v>
      </c>
      <c r="N73" s="10">
        <v>4.9599999999999998E-2</v>
      </c>
      <c r="O73" s="9">
        <v>2718512925.0999999</v>
      </c>
      <c r="P73" s="10">
        <v>1.125339242149E-2</v>
      </c>
      <c r="Q73" s="10">
        <v>0.08</v>
      </c>
      <c r="R73" s="10">
        <v>6.8699999999999997E-2</v>
      </c>
      <c r="S73" s="9">
        <v>2865539546.1300001</v>
      </c>
      <c r="T73" s="10">
        <v>2.399972961714E-2</v>
      </c>
      <c r="U73" s="10">
        <v>0.08</v>
      </c>
      <c r="V73" s="10">
        <v>5.6000000000000001E-2</v>
      </c>
      <c r="W73" s="9" t="s">
        <v>26</v>
      </c>
      <c r="X73" s="10" t="s">
        <v>26</v>
      </c>
      <c r="Y73" s="10" t="s">
        <v>26</v>
      </c>
      <c r="Z73" s="10" t="s">
        <v>26</v>
      </c>
      <c r="AA73" s="9">
        <v>1880406541.8299999</v>
      </c>
      <c r="AB73" s="10">
        <v>1.263452827312E-2</v>
      </c>
      <c r="AC73" s="10">
        <v>0.08</v>
      </c>
      <c r="AD73" s="10">
        <v>6.7400000000000002E-2</v>
      </c>
      <c r="AE73" s="9">
        <v>7877852210.4799995</v>
      </c>
      <c r="AF73" s="10">
        <v>1.142259194791E-2</v>
      </c>
      <c r="AG73" s="10">
        <v>0.08</v>
      </c>
      <c r="AH73" s="10">
        <v>6.8599999999999994E-2</v>
      </c>
      <c r="AI73" s="9">
        <v>606311996.05999994</v>
      </c>
      <c r="AJ73" s="10">
        <v>3.4192784580530003E-2</v>
      </c>
      <c r="AK73" s="10">
        <v>0.08</v>
      </c>
      <c r="AL73" s="10">
        <v>4.58E-2</v>
      </c>
      <c r="AM73" s="9">
        <v>1687403018.5599999</v>
      </c>
      <c r="AN73" s="10">
        <v>6.8849336548009996E-2</v>
      </c>
      <c r="AO73" s="10">
        <v>0.08</v>
      </c>
      <c r="AP73" s="10">
        <v>1.12E-2</v>
      </c>
      <c r="AQ73" s="9">
        <v>2293715014.6199999</v>
      </c>
      <c r="AR73" s="10">
        <v>5.4300945211300002E-2</v>
      </c>
      <c r="AS73" s="10">
        <v>0.08</v>
      </c>
      <c r="AT73" s="10">
        <v>2.5700000000000001E-2</v>
      </c>
      <c r="AU73" s="9">
        <v>701541550.58000004</v>
      </c>
      <c r="AV73" s="10">
        <v>1.434713236305E-2</v>
      </c>
      <c r="AW73" s="10">
        <v>0.08</v>
      </c>
      <c r="AX73" s="10">
        <v>6.5699999999999995E-2</v>
      </c>
      <c r="AY73" s="9">
        <v>10873108775.68</v>
      </c>
      <c r="AZ73" s="10">
        <v>1.392539730538E-2</v>
      </c>
      <c r="BA73" s="10">
        <v>0.08</v>
      </c>
      <c r="BB73" s="10">
        <v>6.6100000000000006E-2</v>
      </c>
    </row>
    <row r="74" spans="1:54" s="7" customFormat="1">
      <c r="A74" s="3" t="s">
        <v>68</v>
      </c>
      <c r="B74" s="23" t="s">
        <v>57</v>
      </c>
      <c r="C74" s="2">
        <v>87553745.829999998</v>
      </c>
      <c r="D74" s="1">
        <v>1</v>
      </c>
      <c r="E74" s="1" t="s">
        <v>26</v>
      </c>
      <c r="F74" s="1" t="s">
        <v>26</v>
      </c>
      <c r="G74" s="2">
        <v>220483012.00999999</v>
      </c>
      <c r="H74" s="1">
        <v>1</v>
      </c>
      <c r="I74" s="1" t="s">
        <v>26</v>
      </c>
      <c r="J74" s="1" t="s">
        <v>26</v>
      </c>
      <c r="K74" s="2">
        <v>105356439.58</v>
      </c>
      <c r="L74" s="1">
        <v>1</v>
      </c>
      <c r="M74" s="1" t="s">
        <v>26</v>
      </c>
      <c r="N74" s="1" t="s">
        <v>26</v>
      </c>
      <c r="O74" s="2">
        <v>2718512925.0999999</v>
      </c>
      <c r="P74" s="1">
        <v>1</v>
      </c>
      <c r="Q74" s="1" t="s">
        <v>26</v>
      </c>
      <c r="R74" s="1" t="s">
        <v>26</v>
      </c>
      <c r="S74" s="2">
        <v>2865539546.1300001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1880406541.8299999</v>
      </c>
      <c r="AB74" s="1">
        <v>1</v>
      </c>
      <c r="AC74" s="1" t="s">
        <v>26</v>
      </c>
      <c r="AD74" s="1" t="s">
        <v>26</v>
      </c>
      <c r="AE74" s="2">
        <v>7877852210.4799995</v>
      </c>
      <c r="AF74" s="1">
        <v>1</v>
      </c>
      <c r="AG74" s="1" t="s">
        <v>26</v>
      </c>
      <c r="AH74" s="1" t="s">
        <v>26</v>
      </c>
      <c r="AI74" s="2">
        <v>606311996.05999994</v>
      </c>
      <c r="AJ74" s="1">
        <v>1</v>
      </c>
      <c r="AK74" s="1" t="s">
        <v>26</v>
      </c>
      <c r="AL74" s="1" t="s">
        <v>26</v>
      </c>
      <c r="AM74" s="2">
        <v>1687403018.5599999</v>
      </c>
      <c r="AN74" s="1">
        <v>1</v>
      </c>
      <c r="AO74" s="1" t="s">
        <v>26</v>
      </c>
      <c r="AP74" s="1" t="s">
        <v>26</v>
      </c>
      <c r="AQ74" s="2">
        <v>2293715014.6199999</v>
      </c>
      <c r="AR74" s="1">
        <v>1</v>
      </c>
      <c r="AS74" s="1" t="s">
        <v>26</v>
      </c>
      <c r="AT74" s="1" t="s">
        <v>26</v>
      </c>
      <c r="AU74" s="2">
        <v>701541550.58000004</v>
      </c>
      <c r="AV74" s="1">
        <v>1</v>
      </c>
      <c r="AW74" s="1" t="s">
        <v>26</v>
      </c>
      <c r="AX74" s="1" t="s">
        <v>26</v>
      </c>
      <c r="AY74" s="2">
        <v>10873108775.68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74</v>
      </c>
      <c r="B75" s="20" t="s">
        <v>25</v>
      </c>
      <c r="C75" s="9">
        <v>256450606.43000001</v>
      </c>
      <c r="D75" s="10">
        <v>3.5463034052420003E-2</v>
      </c>
      <c r="E75" s="10">
        <v>0.08</v>
      </c>
      <c r="F75" s="10">
        <v>4.4499999999999998E-2</v>
      </c>
      <c r="G75" s="9">
        <v>874410177.03999996</v>
      </c>
      <c r="H75" s="10">
        <v>5.3863512155099998E-3</v>
      </c>
      <c r="I75" s="10">
        <v>0.08</v>
      </c>
      <c r="J75" s="10">
        <v>7.46E-2</v>
      </c>
      <c r="K75" s="9">
        <v>106971823.95</v>
      </c>
      <c r="L75" s="10">
        <v>3.0859690599939999E-2</v>
      </c>
      <c r="M75" s="10">
        <v>0.08</v>
      </c>
      <c r="N75" s="10">
        <v>4.9099999999999998E-2</v>
      </c>
      <c r="O75" s="9">
        <v>1863298597.45</v>
      </c>
      <c r="P75" s="10">
        <v>7.7131986837100002E-3</v>
      </c>
      <c r="Q75" s="10">
        <v>0.08</v>
      </c>
      <c r="R75" s="10">
        <v>7.2300000000000003E-2</v>
      </c>
      <c r="S75" s="9" t="s">
        <v>26</v>
      </c>
      <c r="T75" s="10" t="s">
        <v>26</v>
      </c>
      <c r="U75" s="10" t="s">
        <v>26</v>
      </c>
      <c r="V75" s="10" t="s">
        <v>26</v>
      </c>
      <c r="W75" s="9" t="s">
        <v>26</v>
      </c>
      <c r="X75" s="10" t="s">
        <v>26</v>
      </c>
      <c r="Y75" s="10" t="s">
        <v>26</v>
      </c>
      <c r="Z75" s="10" t="s">
        <v>26</v>
      </c>
      <c r="AA75" s="9" t="s">
        <v>26</v>
      </c>
      <c r="AB75" s="10" t="s">
        <v>26</v>
      </c>
      <c r="AC75" s="10" t="s">
        <v>26</v>
      </c>
      <c r="AD75" s="10" t="s">
        <v>26</v>
      </c>
      <c r="AE75" s="9">
        <v>3101131204.8699999</v>
      </c>
      <c r="AF75" s="10">
        <v>4.4965246089599996E-3</v>
      </c>
      <c r="AG75" s="10">
        <v>0.08</v>
      </c>
      <c r="AH75" s="10">
        <v>7.5499999999999998E-2</v>
      </c>
      <c r="AI75" s="9" t="s">
        <v>26</v>
      </c>
      <c r="AJ75" s="10" t="s">
        <v>26</v>
      </c>
      <c r="AK75" s="10" t="s">
        <v>26</v>
      </c>
      <c r="AL75" s="10" t="s">
        <v>26</v>
      </c>
      <c r="AM75" s="9">
        <v>370464636.04000002</v>
      </c>
      <c r="AN75" s="10">
        <v>1.5115680205209999E-2</v>
      </c>
      <c r="AO75" s="10">
        <v>0.08</v>
      </c>
      <c r="AP75" s="10">
        <v>6.4899999999999999E-2</v>
      </c>
      <c r="AQ75" s="9">
        <v>370464636.04000002</v>
      </c>
      <c r="AR75" s="10">
        <v>8.7703048443700006E-3</v>
      </c>
      <c r="AS75" s="10">
        <v>0.08</v>
      </c>
      <c r="AT75" s="10">
        <v>7.1199999999999999E-2</v>
      </c>
      <c r="AU75" s="9" t="s">
        <v>26</v>
      </c>
      <c r="AV75" s="10" t="s">
        <v>26</v>
      </c>
      <c r="AW75" s="10" t="s">
        <v>26</v>
      </c>
      <c r="AX75" s="10" t="s">
        <v>26</v>
      </c>
      <c r="AY75" s="9">
        <v>3471595840.9099998</v>
      </c>
      <c r="AZ75" s="10">
        <v>4.44613885189E-3</v>
      </c>
      <c r="BA75" s="10">
        <v>0.08</v>
      </c>
      <c r="BB75" s="10">
        <v>7.5600000000000001E-2</v>
      </c>
    </row>
    <row r="76" spans="1:54" s="7" customFormat="1">
      <c r="A76" s="3" t="s">
        <v>68</v>
      </c>
      <c r="B76" s="23" t="s">
        <v>57</v>
      </c>
      <c r="C76" s="2">
        <v>256450606.43000001</v>
      </c>
      <c r="D76" s="1">
        <v>1</v>
      </c>
      <c r="E76" s="1" t="s">
        <v>26</v>
      </c>
      <c r="F76" s="1" t="s">
        <v>26</v>
      </c>
      <c r="G76" s="2">
        <v>874410177.03999996</v>
      </c>
      <c r="H76" s="1">
        <v>1</v>
      </c>
      <c r="I76" s="1" t="s">
        <v>26</v>
      </c>
      <c r="J76" s="1" t="s">
        <v>26</v>
      </c>
      <c r="K76" s="2">
        <v>106971823.95</v>
      </c>
      <c r="L76" s="1">
        <v>1</v>
      </c>
      <c r="M76" s="1" t="s">
        <v>26</v>
      </c>
      <c r="N76" s="1" t="s">
        <v>26</v>
      </c>
      <c r="O76" s="2">
        <v>1863298597.45</v>
      </c>
      <c r="P76" s="1">
        <v>1</v>
      </c>
      <c r="Q76" s="1" t="s">
        <v>26</v>
      </c>
      <c r="R76" s="1" t="s">
        <v>26</v>
      </c>
      <c r="S76" s="2" t="s">
        <v>26</v>
      </c>
      <c r="T76" s="1" t="s">
        <v>26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3101131204.8699999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>
        <v>370464636.04000002</v>
      </c>
      <c r="AN76" s="1">
        <v>1</v>
      </c>
      <c r="AO76" s="1" t="s">
        <v>26</v>
      </c>
      <c r="AP76" s="1" t="s">
        <v>26</v>
      </c>
      <c r="AQ76" s="2">
        <v>370464636.04000002</v>
      </c>
      <c r="AR76" s="1">
        <v>1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3471595840.9099998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75</v>
      </c>
      <c r="B77" s="20" t="s">
        <v>25</v>
      </c>
      <c r="C77" s="9">
        <v>110994409.76000001</v>
      </c>
      <c r="D77" s="10">
        <v>1.534875891987E-2</v>
      </c>
      <c r="E77" s="10">
        <v>0.06</v>
      </c>
      <c r="F77" s="10">
        <v>4.4699999999999997E-2</v>
      </c>
      <c r="G77" s="9">
        <v>658631725.82000005</v>
      </c>
      <c r="H77" s="10">
        <v>4.05715977478E-3</v>
      </c>
      <c r="I77" s="10">
        <v>0.06</v>
      </c>
      <c r="J77" s="10">
        <v>5.5899999999999998E-2</v>
      </c>
      <c r="K77" s="9">
        <v>33719422.170000002</v>
      </c>
      <c r="L77" s="10">
        <v>9.7275235379799992E-3</v>
      </c>
      <c r="M77" s="10">
        <v>0.06</v>
      </c>
      <c r="N77" s="10">
        <v>5.0299999999999997E-2</v>
      </c>
      <c r="O77" s="9">
        <v>299835662.97000003</v>
      </c>
      <c r="P77" s="10">
        <v>1.2411816571500001E-3</v>
      </c>
      <c r="Q77" s="10">
        <v>0.06</v>
      </c>
      <c r="R77" s="10">
        <v>5.8799999999999998E-2</v>
      </c>
      <c r="S77" s="9">
        <v>330638385</v>
      </c>
      <c r="T77" s="10">
        <v>2.7691929262599999E-3</v>
      </c>
      <c r="U77" s="10">
        <v>0.06</v>
      </c>
      <c r="V77" s="10">
        <v>5.7200000000000001E-2</v>
      </c>
      <c r="W77" s="9" t="s">
        <v>26</v>
      </c>
      <c r="X77" s="10" t="s">
        <v>26</v>
      </c>
      <c r="Y77" s="10" t="s">
        <v>26</v>
      </c>
      <c r="Z77" s="10" t="s">
        <v>26</v>
      </c>
      <c r="AA77" s="9" t="s">
        <v>26</v>
      </c>
      <c r="AB77" s="10" t="s">
        <v>26</v>
      </c>
      <c r="AC77" s="10" t="s">
        <v>26</v>
      </c>
      <c r="AD77" s="10" t="s">
        <v>26</v>
      </c>
      <c r="AE77" s="9">
        <v>1433819605.72</v>
      </c>
      <c r="AF77" s="10">
        <v>2.0789849625799999E-3</v>
      </c>
      <c r="AG77" s="10">
        <v>0.06</v>
      </c>
      <c r="AH77" s="10">
        <v>5.79E-2</v>
      </c>
      <c r="AI77" s="9">
        <v>50341959.5</v>
      </c>
      <c r="AJ77" s="10">
        <v>2.83901982433E-3</v>
      </c>
      <c r="AK77" s="10">
        <v>0.06</v>
      </c>
      <c r="AL77" s="10">
        <v>5.7200000000000001E-2</v>
      </c>
      <c r="AM77" s="9" t="s">
        <v>26</v>
      </c>
      <c r="AN77" s="10" t="s">
        <v>26</v>
      </c>
      <c r="AO77" s="10" t="s">
        <v>26</v>
      </c>
      <c r="AP77" s="10" t="s">
        <v>26</v>
      </c>
      <c r="AQ77" s="9">
        <v>50341959.5</v>
      </c>
      <c r="AR77" s="10">
        <v>1.19178536445E-3</v>
      </c>
      <c r="AS77" s="10">
        <v>0.06</v>
      </c>
      <c r="AT77" s="10">
        <v>5.8799999999999998E-2</v>
      </c>
      <c r="AU77" s="9" t="s">
        <v>26</v>
      </c>
      <c r="AV77" s="10" t="s">
        <v>26</v>
      </c>
      <c r="AW77" s="10" t="s">
        <v>26</v>
      </c>
      <c r="AX77" s="10" t="s">
        <v>26</v>
      </c>
      <c r="AY77" s="9">
        <v>1484161565.22</v>
      </c>
      <c r="AZ77" s="10">
        <v>1.9007939575899999E-3</v>
      </c>
      <c r="BA77" s="10">
        <v>0.06</v>
      </c>
      <c r="BB77" s="10">
        <v>5.8099999999999999E-2</v>
      </c>
    </row>
    <row r="78" spans="1:54" s="7" customFormat="1">
      <c r="A78" s="3" t="s">
        <v>68</v>
      </c>
      <c r="B78" s="23" t="s">
        <v>47</v>
      </c>
      <c r="C78" s="2">
        <v>110994409.76000001</v>
      </c>
      <c r="D78" s="1">
        <v>1</v>
      </c>
      <c r="E78" s="1" t="s">
        <v>26</v>
      </c>
      <c r="F78" s="1" t="s">
        <v>26</v>
      </c>
      <c r="G78" s="2">
        <v>658631725.82000005</v>
      </c>
      <c r="H78" s="1">
        <v>1</v>
      </c>
      <c r="I78" s="1" t="s">
        <v>26</v>
      </c>
      <c r="J78" s="1" t="s">
        <v>26</v>
      </c>
      <c r="K78" s="2">
        <v>33719422.170000002</v>
      </c>
      <c r="L78" s="1">
        <v>1</v>
      </c>
      <c r="M78" s="1" t="s">
        <v>26</v>
      </c>
      <c r="N78" s="1" t="s">
        <v>26</v>
      </c>
      <c r="O78" s="2">
        <v>299835662.97000003</v>
      </c>
      <c r="P78" s="1">
        <v>1</v>
      </c>
      <c r="Q78" s="1" t="s">
        <v>26</v>
      </c>
      <c r="R78" s="1" t="s">
        <v>26</v>
      </c>
      <c r="S78" s="2">
        <v>330638385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1433819605.72</v>
      </c>
      <c r="AF78" s="1">
        <v>1</v>
      </c>
      <c r="AG78" s="1" t="s">
        <v>26</v>
      </c>
      <c r="AH78" s="1" t="s">
        <v>26</v>
      </c>
      <c r="AI78" s="2">
        <v>50341959.5</v>
      </c>
      <c r="AJ78" s="1">
        <v>1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>
        <v>50341959.5</v>
      </c>
      <c r="AR78" s="1">
        <v>1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1484161565.22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76</v>
      </c>
      <c r="B79" s="20" t="s">
        <v>25</v>
      </c>
      <c r="C79" s="9">
        <v>36915043.25</v>
      </c>
      <c r="D79" s="10">
        <v>5.1047624883599997E-3</v>
      </c>
      <c r="E79" s="10">
        <v>0.06</v>
      </c>
      <c r="F79" s="10">
        <v>5.4899999999999997E-2</v>
      </c>
      <c r="G79" s="9">
        <v>819236344.75</v>
      </c>
      <c r="H79" s="10">
        <v>5.0464813850499999E-3</v>
      </c>
      <c r="I79" s="10">
        <v>0.06</v>
      </c>
      <c r="J79" s="10">
        <v>5.5E-2</v>
      </c>
      <c r="K79" s="9">
        <v>50389531</v>
      </c>
      <c r="L79" s="10">
        <v>1.4536588035209999E-2</v>
      </c>
      <c r="M79" s="10">
        <v>0.06</v>
      </c>
      <c r="N79" s="10">
        <v>4.5499999999999999E-2</v>
      </c>
      <c r="O79" s="9">
        <v>431849574.07999998</v>
      </c>
      <c r="P79" s="10">
        <v>1.78765849495E-3</v>
      </c>
      <c r="Q79" s="10">
        <v>0.06</v>
      </c>
      <c r="R79" s="10">
        <v>5.8200000000000002E-2</v>
      </c>
      <c r="S79" s="9">
        <v>202279444</v>
      </c>
      <c r="T79" s="10">
        <v>1.6941493512699999E-3</v>
      </c>
      <c r="U79" s="10">
        <v>0.06</v>
      </c>
      <c r="V79" s="10">
        <v>5.8299999999999998E-2</v>
      </c>
      <c r="W79" s="9" t="s">
        <v>26</v>
      </c>
      <c r="X79" s="10" t="s">
        <v>26</v>
      </c>
      <c r="Y79" s="10" t="s">
        <v>26</v>
      </c>
      <c r="Z79" s="10" t="s">
        <v>26</v>
      </c>
      <c r="AA79" s="9" t="s">
        <v>26</v>
      </c>
      <c r="AB79" s="10" t="s">
        <v>26</v>
      </c>
      <c r="AC79" s="10" t="s">
        <v>26</v>
      </c>
      <c r="AD79" s="10" t="s">
        <v>26</v>
      </c>
      <c r="AE79" s="9">
        <v>1540669937.0799999</v>
      </c>
      <c r="AF79" s="10">
        <v>2.23391395871E-3</v>
      </c>
      <c r="AG79" s="10">
        <v>0.06</v>
      </c>
      <c r="AH79" s="10">
        <v>5.7799999999999997E-2</v>
      </c>
      <c r="AI79" s="9">
        <v>132183853</v>
      </c>
      <c r="AJ79" s="10">
        <v>7.4544690522799998E-3</v>
      </c>
      <c r="AK79" s="10">
        <v>0.06</v>
      </c>
      <c r="AL79" s="10">
        <v>5.2499999999999998E-2</v>
      </c>
      <c r="AM79" s="9" t="s">
        <v>26</v>
      </c>
      <c r="AN79" s="10" t="s">
        <v>26</v>
      </c>
      <c r="AO79" s="10" t="s">
        <v>26</v>
      </c>
      <c r="AP79" s="10" t="s">
        <v>26</v>
      </c>
      <c r="AQ79" s="9">
        <v>132183853</v>
      </c>
      <c r="AR79" s="10">
        <v>3.1292937936100002E-3</v>
      </c>
      <c r="AS79" s="10">
        <v>0.06</v>
      </c>
      <c r="AT79" s="10">
        <v>5.6899999999999999E-2</v>
      </c>
      <c r="AU79" s="9" t="s">
        <v>26</v>
      </c>
      <c r="AV79" s="10" t="s">
        <v>26</v>
      </c>
      <c r="AW79" s="10" t="s">
        <v>26</v>
      </c>
      <c r="AX79" s="10" t="s">
        <v>26</v>
      </c>
      <c r="AY79" s="9">
        <v>1672853790.0799999</v>
      </c>
      <c r="AZ79" s="10">
        <v>2.1424556804600001E-3</v>
      </c>
      <c r="BA79" s="10">
        <v>0.06</v>
      </c>
      <c r="BB79" s="10">
        <v>5.79E-2</v>
      </c>
    </row>
    <row r="80" spans="1:54" s="7" customFormat="1">
      <c r="A80" s="3" t="s">
        <v>68</v>
      </c>
      <c r="B80" s="23" t="s">
        <v>47</v>
      </c>
      <c r="C80" s="2">
        <v>36915043.25</v>
      </c>
      <c r="D80" s="1">
        <v>1</v>
      </c>
      <c r="E80" s="1" t="s">
        <v>26</v>
      </c>
      <c r="F80" s="1" t="s">
        <v>26</v>
      </c>
      <c r="G80" s="2">
        <v>819236344.75</v>
      </c>
      <c r="H80" s="1">
        <v>1</v>
      </c>
      <c r="I80" s="1" t="s">
        <v>26</v>
      </c>
      <c r="J80" s="1" t="s">
        <v>26</v>
      </c>
      <c r="K80" s="2">
        <v>50389531</v>
      </c>
      <c r="L80" s="1">
        <v>1</v>
      </c>
      <c r="M80" s="1" t="s">
        <v>26</v>
      </c>
      <c r="N80" s="1" t="s">
        <v>26</v>
      </c>
      <c r="O80" s="2">
        <v>431849574.07999998</v>
      </c>
      <c r="P80" s="1">
        <v>1</v>
      </c>
      <c r="Q80" s="1" t="s">
        <v>26</v>
      </c>
      <c r="R80" s="1" t="s">
        <v>26</v>
      </c>
      <c r="S80" s="2">
        <v>202279444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1540669937.0799999</v>
      </c>
      <c r="AF80" s="1">
        <v>1</v>
      </c>
      <c r="AG80" s="1" t="s">
        <v>26</v>
      </c>
      <c r="AH80" s="1" t="s">
        <v>26</v>
      </c>
      <c r="AI80" s="2">
        <v>132183853</v>
      </c>
      <c r="AJ80" s="1">
        <v>1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>
        <v>132183853</v>
      </c>
      <c r="AR80" s="1">
        <v>1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1672853790.0799999</v>
      </c>
      <c r="AZ80" s="1">
        <v>1</v>
      </c>
      <c r="BA80" s="1" t="s">
        <v>26</v>
      </c>
      <c r="BB80" s="1" t="s">
        <v>26</v>
      </c>
    </row>
    <row r="81" spans="1:54" s="7" customFormat="1">
      <c r="A81" s="12" t="s">
        <v>77</v>
      </c>
      <c r="B81" s="40" t="s">
        <v>25</v>
      </c>
      <c r="C81" s="42" t="s">
        <v>26</v>
      </c>
      <c r="D81" s="43" t="s">
        <v>26</v>
      </c>
      <c r="E81" s="43" t="s">
        <v>26</v>
      </c>
      <c r="F81" s="43" t="s">
        <v>26</v>
      </c>
      <c r="G81" s="42" t="s">
        <v>26</v>
      </c>
      <c r="H81" s="43" t="s">
        <v>26</v>
      </c>
      <c r="I81" s="43" t="s">
        <v>26</v>
      </c>
      <c r="J81" s="43" t="s">
        <v>26</v>
      </c>
      <c r="K81" s="42" t="s">
        <v>26</v>
      </c>
      <c r="L81" s="43" t="s">
        <v>26</v>
      </c>
      <c r="M81" s="43" t="s">
        <v>26</v>
      </c>
      <c r="N81" s="43" t="s">
        <v>26</v>
      </c>
      <c r="O81" s="42">
        <v>126813337.5</v>
      </c>
      <c r="P81" s="43">
        <v>5.2494885641000001E-4</v>
      </c>
      <c r="Q81" s="43" t="s">
        <v>26</v>
      </c>
      <c r="R81" s="43" t="s">
        <v>26</v>
      </c>
      <c r="S81" s="42">
        <v>222900917.59999999</v>
      </c>
      <c r="T81" s="43">
        <v>1.86686020824E-3</v>
      </c>
      <c r="U81" s="43" t="s">
        <v>26</v>
      </c>
      <c r="V81" s="43" t="s">
        <v>26</v>
      </c>
      <c r="W81" s="42" t="s">
        <v>26</v>
      </c>
      <c r="X81" s="43" t="s">
        <v>26</v>
      </c>
      <c r="Y81" s="43" t="s">
        <v>26</v>
      </c>
      <c r="Z81" s="43" t="s">
        <v>26</v>
      </c>
      <c r="AA81" s="42">
        <v>141016431.30000001</v>
      </c>
      <c r="AB81" s="43">
        <v>9.4749515521999996E-4</v>
      </c>
      <c r="AC81" s="43" t="s">
        <v>26</v>
      </c>
      <c r="AD81" s="43" t="s">
        <v>26</v>
      </c>
      <c r="AE81" s="42">
        <v>490730686.39999998</v>
      </c>
      <c r="AF81" s="43">
        <v>7.1154119642000005E-4</v>
      </c>
      <c r="AG81" s="43" t="s">
        <v>26</v>
      </c>
      <c r="AH81" s="43" t="s">
        <v>26</v>
      </c>
      <c r="AI81" s="42">
        <v>8840614.0800000001</v>
      </c>
      <c r="AJ81" s="43">
        <v>4.9856380009000005E-4</v>
      </c>
      <c r="AK81" s="43" t="s">
        <v>26</v>
      </c>
      <c r="AL81" s="43" t="s">
        <v>26</v>
      </c>
      <c r="AM81" s="42" t="s">
        <v>26</v>
      </c>
      <c r="AN81" s="43" t="s">
        <v>26</v>
      </c>
      <c r="AO81" s="43" t="s">
        <v>26</v>
      </c>
      <c r="AP81" s="43" t="s">
        <v>26</v>
      </c>
      <c r="AQ81" s="42">
        <v>8840614.0800000001</v>
      </c>
      <c r="AR81" s="43">
        <v>2.0929090917E-4</v>
      </c>
      <c r="AS81" s="43" t="s">
        <v>26</v>
      </c>
      <c r="AT81" s="43" t="s">
        <v>26</v>
      </c>
      <c r="AU81" s="42">
        <v>26521842.23</v>
      </c>
      <c r="AV81" s="43">
        <v>5.4239464601000002E-4</v>
      </c>
      <c r="AW81" s="43" t="s">
        <v>26</v>
      </c>
      <c r="AX81" s="43" t="s">
        <v>26</v>
      </c>
      <c r="AY81" s="42">
        <v>526093142.70999998</v>
      </c>
      <c r="AZ81" s="43">
        <v>6.7377749850999996E-4</v>
      </c>
      <c r="BA81" s="43" t="s">
        <v>26</v>
      </c>
      <c r="BB81" s="43" t="s">
        <v>26</v>
      </c>
    </row>
    <row r="82" spans="1:54" s="7" customFormat="1">
      <c r="A82" s="5" t="s">
        <v>78</v>
      </c>
      <c r="B82" s="20" t="s">
        <v>25</v>
      </c>
      <c r="C82" s="9" t="s">
        <v>26</v>
      </c>
      <c r="D82" s="10" t="s">
        <v>26</v>
      </c>
      <c r="E82" s="10" t="s">
        <v>26</v>
      </c>
      <c r="F82" s="10" t="s">
        <v>26</v>
      </c>
      <c r="G82" s="9" t="s">
        <v>26</v>
      </c>
      <c r="H82" s="10" t="s">
        <v>26</v>
      </c>
      <c r="I82" s="10" t="s">
        <v>26</v>
      </c>
      <c r="J82" s="10" t="s">
        <v>26</v>
      </c>
      <c r="K82" s="9" t="s">
        <v>26</v>
      </c>
      <c r="L82" s="10" t="s">
        <v>26</v>
      </c>
      <c r="M82" s="10" t="s">
        <v>26</v>
      </c>
      <c r="N82" s="10" t="s">
        <v>26</v>
      </c>
      <c r="O82" s="9" t="s">
        <v>26</v>
      </c>
      <c r="P82" s="10" t="s">
        <v>26</v>
      </c>
      <c r="Q82" s="10" t="s">
        <v>26</v>
      </c>
      <c r="R82" s="10" t="s">
        <v>26</v>
      </c>
      <c r="S82" s="9">
        <v>70724912.599999994</v>
      </c>
      <c r="T82" s="10">
        <v>5.9234177448000002E-4</v>
      </c>
      <c r="U82" s="10">
        <v>0.1</v>
      </c>
      <c r="V82" s="10">
        <v>9.9400000000000002E-2</v>
      </c>
      <c r="W82" s="9" t="s">
        <v>26</v>
      </c>
      <c r="X82" s="10" t="s">
        <v>26</v>
      </c>
      <c r="Y82" s="10" t="s">
        <v>26</v>
      </c>
      <c r="Z82" s="10" t="s">
        <v>26</v>
      </c>
      <c r="AA82" s="9" t="s">
        <v>26</v>
      </c>
      <c r="AB82" s="10" t="s">
        <v>26</v>
      </c>
      <c r="AC82" s="10" t="s">
        <v>26</v>
      </c>
      <c r="AD82" s="10" t="s">
        <v>26</v>
      </c>
      <c r="AE82" s="9">
        <v>70724912.599999994</v>
      </c>
      <c r="AF82" s="10">
        <v>1.0254848600999999E-4</v>
      </c>
      <c r="AG82" s="10">
        <v>0.1</v>
      </c>
      <c r="AH82" s="10">
        <v>9.9900000000000003E-2</v>
      </c>
      <c r="AI82" s="9">
        <v>8840614.0800000001</v>
      </c>
      <c r="AJ82" s="10">
        <v>4.9856380009000005E-4</v>
      </c>
      <c r="AK82" s="10">
        <v>0.1</v>
      </c>
      <c r="AL82" s="10">
        <v>9.9500000000000005E-2</v>
      </c>
      <c r="AM82" s="9" t="s">
        <v>26</v>
      </c>
      <c r="AN82" s="10" t="s">
        <v>26</v>
      </c>
      <c r="AO82" s="10" t="s">
        <v>26</v>
      </c>
      <c r="AP82" s="10" t="s">
        <v>26</v>
      </c>
      <c r="AQ82" s="9">
        <v>8840614.0800000001</v>
      </c>
      <c r="AR82" s="10">
        <v>2.0929090917E-4</v>
      </c>
      <c r="AS82" s="10">
        <v>0.1</v>
      </c>
      <c r="AT82" s="10">
        <v>9.98E-2</v>
      </c>
      <c r="AU82" s="9">
        <v>26521842.23</v>
      </c>
      <c r="AV82" s="10">
        <v>5.4239464601000002E-4</v>
      </c>
      <c r="AW82" s="10">
        <v>0.1</v>
      </c>
      <c r="AX82" s="10">
        <v>9.9500000000000005E-2</v>
      </c>
      <c r="AY82" s="9">
        <v>106087368.91</v>
      </c>
      <c r="AZ82" s="10">
        <v>1.3586811202E-4</v>
      </c>
      <c r="BA82" s="10">
        <v>0.1</v>
      </c>
      <c r="BB82" s="10">
        <v>9.9900000000000003E-2</v>
      </c>
    </row>
    <row r="83" spans="1:54" s="7" customFormat="1">
      <c r="A83" s="3" t="s">
        <v>79</v>
      </c>
      <c r="B83" s="23" t="s">
        <v>29</v>
      </c>
      <c r="C83" s="2" t="s">
        <v>26</v>
      </c>
      <c r="D83" s="1" t="s">
        <v>26</v>
      </c>
      <c r="E83" s="1" t="s">
        <v>26</v>
      </c>
      <c r="F83" s="1" t="s">
        <v>26</v>
      </c>
      <c r="G83" s="2" t="s">
        <v>26</v>
      </c>
      <c r="H83" s="1" t="s">
        <v>26</v>
      </c>
      <c r="I83" s="1" t="s">
        <v>26</v>
      </c>
      <c r="J83" s="1" t="s">
        <v>26</v>
      </c>
      <c r="K83" s="2" t="s">
        <v>26</v>
      </c>
      <c r="L83" s="1" t="s">
        <v>26</v>
      </c>
      <c r="M83" s="1" t="s">
        <v>26</v>
      </c>
      <c r="N83" s="1" t="s">
        <v>26</v>
      </c>
      <c r="O83" s="2" t="s">
        <v>26</v>
      </c>
      <c r="P83" s="1" t="s">
        <v>26</v>
      </c>
      <c r="Q83" s="1" t="s">
        <v>26</v>
      </c>
      <c r="R83" s="1" t="s">
        <v>26</v>
      </c>
      <c r="S83" s="2">
        <v>70724912.599999994</v>
      </c>
      <c r="T83" s="1">
        <v>1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 t="s">
        <v>26</v>
      </c>
      <c r="AB83" s="1" t="s">
        <v>26</v>
      </c>
      <c r="AC83" s="1" t="s">
        <v>26</v>
      </c>
      <c r="AD83" s="1" t="s">
        <v>26</v>
      </c>
      <c r="AE83" s="2">
        <v>70724912.599999994</v>
      </c>
      <c r="AF83" s="1">
        <v>1</v>
      </c>
      <c r="AG83" s="1" t="s">
        <v>26</v>
      </c>
      <c r="AH83" s="1" t="s">
        <v>26</v>
      </c>
      <c r="AI83" s="2">
        <v>8840614.0800000001</v>
      </c>
      <c r="AJ83" s="1">
        <v>1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>
        <v>8840614.0800000001</v>
      </c>
      <c r="AR83" s="1">
        <v>1</v>
      </c>
      <c r="AS83" s="1" t="s">
        <v>26</v>
      </c>
      <c r="AT83" s="1" t="s">
        <v>26</v>
      </c>
      <c r="AU83" s="2">
        <v>26521842.23</v>
      </c>
      <c r="AV83" s="1">
        <v>1</v>
      </c>
      <c r="AW83" s="1" t="s">
        <v>26</v>
      </c>
      <c r="AX83" s="1" t="s">
        <v>26</v>
      </c>
      <c r="AY83" s="2">
        <v>106087368.91</v>
      </c>
      <c r="AZ83" s="1">
        <v>1</v>
      </c>
      <c r="BA83" s="1" t="s">
        <v>26</v>
      </c>
      <c r="BB83" s="1" t="s">
        <v>26</v>
      </c>
    </row>
    <row r="84" spans="1:54" s="7" customFormat="1">
      <c r="A84" s="5" t="s">
        <v>80</v>
      </c>
      <c r="B84" s="20" t="s">
        <v>25</v>
      </c>
      <c r="C84" s="9" t="s">
        <v>26</v>
      </c>
      <c r="D84" s="10" t="s">
        <v>26</v>
      </c>
      <c r="E84" s="10" t="s">
        <v>26</v>
      </c>
      <c r="F84" s="10" t="s">
        <v>26</v>
      </c>
      <c r="G84" s="9" t="s">
        <v>26</v>
      </c>
      <c r="H84" s="10" t="s">
        <v>26</v>
      </c>
      <c r="I84" s="10" t="s">
        <v>26</v>
      </c>
      <c r="J84" s="10" t="s">
        <v>26</v>
      </c>
      <c r="K84" s="9" t="s">
        <v>26</v>
      </c>
      <c r="L84" s="10" t="s">
        <v>26</v>
      </c>
      <c r="M84" s="10" t="s">
        <v>26</v>
      </c>
      <c r="N84" s="10" t="s">
        <v>26</v>
      </c>
      <c r="O84" s="9">
        <v>126813337.5</v>
      </c>
      <c r="P84" s="10">
        <v>5.2494885641000001E-4</v>
      </c>
      <c r="Q84" s="10">
        <v>0.09</v>
      </c>
      <c r="R84" s="10">
        <v>8.9499999999999996E-2</v>
      </c>
      <c r="S84" s="9">
        <v>152176005</v>
      </c>
      <c r="T84" s="10">
        <v>1.27451843376E-3</v>
      </c>
      <c r="U84" s="10">
        <v>0.09</v>
      </c>
      <c r="V84" s="10">
        <v>8.8700000000000001E-2</v>
      </c>
      <c r="W84" s="9" t="s">
        <v>26</v>
      </c>
      <c r="X84" s="10" t="s">
        <v>26</v>
      </c>
      <c r="Y84" s="10" t="s">
        <v>26</v>
      </c>
      <c r="Z84" s="10" t="s">
        <v>26</v>
      </c>
      <c r="AA84" s="9">
        <v>141016431.30000001</v>
      </c>
      <c r="AB84" s="10">
        <v>9.4749515521999996E-4</v>
      </c>
      <c r="AC84" s="10">
        <v>0.09</v>
      </c>
      <c r="AD84" s="10">
        <v>8.9099999999999999E-2</v>
      </c>
      <c r="AE84" s="9">
        <v>420005773.80000001</v>
      </c>
      <c r="AF84" s="10">
        <v>6.0899271040999996E-4</v>
      </c>
      <c r="AG84" s="10">
        <v>0.09</v>
      </c>
      <c r="AH84" s="10">
        <v>8.9399999999999993E-2</v>
      </c>
      <c r="AI84" s="9" t="s">
        <v>26</v>
      </c>
      <c r="AJ84" s="10" t="s">
        <v>26</v>
      </c>
      <c r="AK84" s="10" t="s">
        <v>26</v>
      </c>
      <c r="AL84" s="10" t="s">
        <v>26</v>
      </c>
      <c r="AM84" s="9" t="s">
        <v>26</v>
      </c>
      <c r="AN84" s="10" t="s">
        <v>26</v>
      </c>
      <c r="AO84" s="10" t="s">
        <v>26</v>
      </c>
      <c r="AP84" s="10" t="s">
        <v>26</v>
      </c>
      <c r="AQ84" s="9" t="s">
        <v>26</v>
      </c>
      <c r="AR84" s="10" t="s">
        <v>26</v>
      </c>
      <c r="AS84" s="10" t="s">
        <v>26</v>
      </c>
      <c r="AT84" s="10" t="s">
        <v>26</v>
      </c>
      <c r="AU84" s="9" t="s">
        <v>26</v>
      </c>
      <c r="AV84" s="10" t="s">
        <v>26</v>
      </c>
      <c r="AW84" s="10" t="s">
        <v>26</v>
      </c>
      <c r="AX84" s="10" t="s">
        <v>26</v>
      </c>
      <c r="AY84" s="9">
        <v>420005773.80000001</v>
      </c>
      <c r="AZ84" s="10">
        <v>5.3790938648999999E-4</v>
      </c>
      <c r="BA84" s="10">
        <v>0.09</v>
      </c>
      <c r="BB84" s="10">
        <v>8.9499999999999996E-2</v>
      </c>
    </row>
    <row r="85" spans="1:54" s="7" customFormat="1">
      <c r="A85" s="3" t="s">
        <v>79</v>
      </c>
      <c r="B85" s="23" t="s">
        <v>40</v>
      </c>
      <c r="C85" s="2" t="s">
        <v>26</v>
      </c>
      <c r="D85" s="1" t="s">
        <v>26</v>
      </c>
      <c r="E85" s="1" t="s">
        <v>26</v>
      </c>
      <c r="F85" s="1" t="s">
        <v>26</v>
      </c>
      <c r="G85" s="2" t="s">
        <v>26</v>
      </c>
      <c r="H85" s="1" t="s">
        <v>26</v>
      </c>
      <c r="I85" s="1" t="s">
        <v>26</v>
      </c>
      <c r="J85" s="1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>
        <v>126813337.5</v>
      </c>
      <c r="P85" s="1">
        <v>1</v>
      </c>
      <c r="Q85" s="1" t="s">
        <v>26</v>
      </c>
      <c r="R85" s="1" t="s">
        <v>26</v>
      </c>
      <c r="S85" s="2">
        <v>152176005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>
        <v>141016431.30000001</v>
      </c>
      <c r="AB85" s="1">
        <v>1</v>
      </c>
      <c r="AC85" s="1" t="s">
        <v>26</v>
      </c>
      <c r="AD85" s="1" t="s">
        <v>26</v>
      </c>
      <c r="AE85" s="2">
        <v>420005773.80000001</v>
      </c>
      <c r="AF85" s="1">
        <v>1</v>
      </c>
      <c r="AG85" s="1" t="s">
        <v>26</v>
      </c>
      <c r="AH85" s="1" t="s">
        <v>26</v>
      </c>
      <c r="AI85" s="2" t="s">
        <v>26</v>
      </c>
      <c r="AJ85" s="1" t="s">
        <v>26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 t="s">
        <v>26</v>
      </c>
      <c r="AR85" s="1" t="s">
        <v>26</v>
      </c>
      <c r="AS85" s="1" t="s">
        <v>26</v>
      </c>
      <c r="AT85" s="1" t="s">
        <v>26</v>
      </c>
      <c r="AU85" s="2" t="s">
        <v>26</v>
      </c>
      <c r="AV85" s="1" t="s">
        <v>26</v>
      </c>
      <c r="AW85" s="1" t="s">
        <v>26</v>
      </c>
      <c r="AX85" s="1" t="s">
        <v>26</v>
      </c>
      <c r="AY85" s="2">
        <v>420005773.80000001</v>
      </c>
      <c r="AZ85" s="1">
        <v>1</v>
      </c>
      <c r="BA85" s="1" t="s">
        <v>26</v>
      </c>
      <c r="BB85" s="1" t="s">
        <v>26</v>
      </c>
    </row>
    <row r="86" spans="1:54" s="7" customFormat="1">
      <c r="A86" s="12" t="s">
        <v>81</v>
      </c>
      <c r="B86" s="40" t="s">
        <v>25</v>
      </c>
      <c r="C86" s="42" t="s">
        <v>26</v>
      </c>
      <c r="D86" s="43" t="s">
        <v>26</v>
      </c>
      <c r="E86" s="43" t="s">
        <v>26</v>
      </c>
      <c r="F86" s="43" t="s">
        <v>26</v>
      </c>
      <c r="G86" s="42">
        <v>717939174.90999997</v>
      </c>
      <c r="H86" s="43">
        <v>4.4224926115699996E-3</v>
      </c>
      <c r="I86" s="43">
        <v>0.05</v>
      </c>
      <c r="J86" s="43">
        <v>4.5600000000000002E-2</v>
      </c>
      <c r="K86" s="42">
        <v>24140799.690000001</v>
      </c>
      <c r="L86" s="43">
        <v>6.9642414400299998E-3</v>
      </c>
      <c r="M86" s="43">
        <v>0.05</v>
      </c>
      <c r="N86" s="43">
        <v>4.2999999999999997E-2</v>
      </c>
      <c r="O86" s="42">
        <v>1870469716.52</v>
      </c>
      <c r="P86" s="43">
        <v>7.7428838164299999E-3</v>
      </c>
      <c r="Q86" s="43">
        <v>0.05</v>
      </c>
      <c r="R86" s="43">
        <v>4.2299999999999997E-2</v>
      </c>
      <c r="S86" s="42">
        <v>1636160412.1500001</v>
      </c>
      <c r="T86" s="43">
        <v>1.370332074282E-2</v>
      </c>
      <c r="U86" s="43">
        <v>0.05</v>
      </c>
      <c r="V86" s="43">
        <f>U86-T86</f>
        <v>3.6296679257180005E-2</v>
      </c>
      <c r="W86" s="42" t="s">
        <v>26</v>
      </c>
      <c r="X86" s="43" t="s">
        <v>26</v>
      </c>
      <c r="Y86" s="43" t="s">
        <v>26</v>
      </c>
      <c r="Z86" s="43" t="s">
        <v>26</v>
      </c>
      <c r="AA86" s="42">
        <v>380227010.01999998</v>
      </c>
      <c r="AB86" s="43">
        <v>2.5547607931800001E-3</v>
      </c>
      <c r="AC86" s="43">
        <v>0.05</v>
      </c>
      <c r="AD86" s="43">
        <v>4.7399999999999998E-2</v>
      </c>
      <c r="AE86" s="42">
        <v>4628937113.29</v>
      </c>
      <c r="AF86" s="43">
        <v>6.7117862058000003E-3</v>
      </c>
      <c r="AG86" s="43">
        <v>0.05</v>
      </c>
      <c r="AH86" s="43">
        <f>AG86-AF86</f>
        <v>4.3288213794200003E-2</v>
      </c>
      <c r="AI86" s="42" t="s">
        <v>26</v>
      </c>
      <c r="AJ86" s="43" t="s">
        <v>26</v>
      </c>
      <c r="AK86" s="43" t="s">
        <v>26</v>
      </c>
      <c r="AL86" s="43" t="s">
        <v>26</v>
      </c>
      <c r="AM86" s="42" t="s">
        <v>26</v>
      </c>
      <c r="AN86" s="43" t="s">
        <v>26</v>
      </c>
      <c r="AO86" s="43" t="s">
        <v>26</v>
      </c>
      <c r="AP86" s="43" t="s">
        <v>26</v>
      </c>
      <c r="AQ86" s="42" t="s">
        <v>26</v>
      </c>
      <c r="AR86" s="43" t="s">
        <v>26</v>
      </c>
      <c r="AS86" s="43" t="s">
        <v>26</v>
      </c>
      <c r="AT86" s="43" t="s">
        <v>26</v>
      </c>
      <c r="AU86" s="42">
        <v>634283076</v>
      </c>
      <c r="AV86" s="43">
        <v>1.297163830067E-2</v>
      </c>
      <c r="AW86" s="43">
        <v>0.05</v>
      </c>
      <c r="AX86" s="43">
        <v>3.6999999999999998E-2</v>
      </c>
      <c r="AY86" s="42">
        <v>5263220189.29</v>
      </c>
      <c r="AZ86" s="43">
        <v>6.7407062463600001E-3</v>
      </c>
      <c r="BA86" s="43">
        <v>0.05</v>
      </c>
      <c r="BB86" s="43">
        <f>BA86-AZ86</f>
        <v>4.3259293753640002E-2</v>
      </c>
    </row>
    <row r="87" spans="1:54" s="7" customFormat="1">
      <c r="A87" s="5" t="s">
        <v>82</v>
      </c>
      <c r="B87" s="20" t="s">
        <v>25</v>
      </c>
      <c r="C87" s="9" t="s">
        <v>26</v>
      </c>
      <c r="D87" s="10" t="s">
        <v>26</v>
      </c>
      <c r="E87" s="10" t="s">
        <v>26</v>
      </c>
      <c r="F87" s="10" t="s">
        <v>26</v>
      </c>
      <c r="G87" s="9" t="s">
        <v>26</v>
      </c>
      <c r="H87" s="10" t="s">
        <v>26</v>
      </c>
      <c r="I87" s="10" t="s">
        <v>26</v>
      </c>
      <c r="J87" s="10" t="s">
        <v>26</v>
      </c>
      <c r="K87" s="9" t="s">
        <v>26</v>
      </c>
      <c r="L87" s="10" t="s">
        <v>26</v>
      </c>
      <c r="M87" s="10" t="s">
        <v>26</v>
      </c>
      <c r="N87" s="10" t="s">
        <v>26</v>
      </c>
      <c r="O87" s="9" t="s">
        <v>26</v>
      </c>
      <c r="P87" s="10" t="s">
        <v>26</v>
      </c>
      <c r="Q87" s="10" t="s">
        <v>26</v>
      </c>
      <c r="R87" s="10" t="s">
        <v>26</v>
      </c>
      <c r="S87" s="9">
        <v>702997075.89999998</v>
      </c>
      <c r="T87" s="10">
        <v>5.88780558482E-3</v>
      </c>
      <c r="U87" s="1" t="s">
        <v>26</v>
      </c>
      <c r="V87" s="1" t="s">
        <v>26</v>
      </c>
      <c r="W87" s="9" t="s">
        <v>26</v>
      </c>
      <c r="X87" s="10" t="s">
        <v>26</v>
      </c>
      <c r="Y87" s="10" t="s">
        <v>26</v>
      </c>
      <c r="Z87" s="10" t="s">
        <v>26</v>
      </c>
      <c r="AA87" s="9" t="s">
        <v>26</v>
      </c>
      <c r="AB87" s="10" t="s">
        <v>26</v>
      </c>
      <c r="AC87" s="10" t="s">
        <v>26</v>
      </c>
      <c r="AD87" s="10" t="s">
        <v>26</v>
      </c>
      <c r="AE87" s="9">
        <v>702997075.89999998</v>
      </c>
      <c r="AF87" s="10">
        <v>1.01931954599E-3</v>
      </c>
      <c r="AG87" s="1" t="s">
        <v>26</v>
      </c>
      <c r="AH87" s="1" t="s">
        <v>26</v>
      </c>
      <c r="AI87" s="9" t="s">
        <v>26</v>
      </c>
      <c r="AJ87" s="10" t="s">
        <v>26</v>
      </c>
      <c r="AK87" s="10" t="s">
        <v>26</v>
      </c>
      <c r="AL87" s="10" t="s">
        <v>26</v>
      </c>
      <c r="AM87" s="9" t="s">
        <v>26</v>
      </c>
      <c r="AN87" s="10" t="s">
        <v>26</v>
      </c>
      <c r="AO87" s="10" t="s">
        <v>26</v>
      </c>
      <c r="AP87" s="10" t="s">
        <v>26</v>
      </c>
      <c r="AQ87" s="9" t="s">
        <v>26</v>
      </c>
      <c r="AR87" s="10" t="s">
        <v>26</v>
      </c>
      <c r="AS87" s="10" t="s">
        <v>26</v>
      </c>
      <c r="AT87" s="10" t="s">
        <v>26</v>
      </c>
      <c r="AU87" s="9">
        <v>634283076</v>
      </c>
      <c r="AV87" s="10">
        <v>1.297163830067E-2</v>
      </c>
      <c r="AW87" s="1" t="s">
        <v>26</v>
      </c>
      <c r="AX87" s="1" t="s">
        <v>26</v>
      </c>
      <c r="AY87" s="9">
        <v>1337280151.9000001</v>
      </c>
      <c r="AZ87" s="10">
        <v>1.71268013666E-3</v>
      </c>
      <c r="BA87" s="1" t="s">
        <v>26</v>
      </c>
      <c r="BB87" s="1" t="s">
        <v>26</v>
      </c>
    </row>
    <row r="88" spans="1:54" s="7" customFormat="1">
      <c r="A88" s="3" t="s">
        <v>83</v>
      </c>
      <c r="B88" s="23" t="s">
        <v>40</v>
      </c>
      <c r="C88" s="2" t="s">
        <v>26</v>
      </c>
      <c r="D88" s="1" t="s">
        <v>26</v>
      </c>
      <c r="E88" s="1" t="s">
        <v>26</v>
      </c>
      <c r="F88" s="1" t="s">
        <v>26</v>
      </c>
      <c r="G88" s="2" t="s">
        <v>26</v>
      </c>
      <c r="H88" s="1" t="s">
        <v>26</v>
      </c>
      <c r="I88" s="1" t="s">
        <v>26</v>
      </c>
      <c r="J88" s="1" t="s">
        <v>26</v>
      </c>
      <c r="K88" s="2" t="s">
        <v>26</v>
      </c>
      <c r="L88" s="1" t="s">
        <v>26</v>
      </c>
      <c r="M88" s="1" t="s">
        <v>26</v>
      </c>
      <c r="N88" s="1" t="s">
        <v>26</v>
      </c>
      <c r="O88" s="2" t="s">
        <v>26</v>
      </c>
      <c r="P88" s="1" t="s">
        <v>26</v>
      </c>
      <c r="Q88" s="1" t="s">
        <v>26</v>
      </c>
      <c r="R88" s="1" t="s">
        <v>26</v>
      </c>
      <c r="S88" s="2">
        <v>702997075.89999998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 t="s">
        <v>26</v>
      </c>
      <c r="AB88" s="1" t="s">
        <v>26</v>
      </c>
      <c r="AC88" s="1" t="s">
        <v>26</v>
      </c>
      <c r="AD88" s="1" t="s">
        <v>26</v>
      </c>
      <c r="AE88" s="2">
        <v>702997075.89999998</v>
      </c>
      <c r="AF88" s="1">
        <v>1</v>
      </c>
      <c r="AG88" s="1" t="s">
        <v>26</v>
      </c>
      <c r="AH88" s="1" t="s">
        <v>26</v>
      </c>
      <c r="AI88" s="2" t="s">
        <v>26</v>
      </c>
      <c r="AJ88" s="1" t="s">
        <v>26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 t="s">
        <v>26</v>
      </c>
      <c r="AR88" s="1" t="s">
        <v>26</v>
      </c>
      <c r="AS88" s="1" t="s">
        <v>26</v>
      </c>
      <c r="AT88" s="1" t="s">
        <v>26</v>
      </c>
      <c r="AU88" s="2">
        <v>634283076</v>
      </c>
      <c r="AV88" s="1">
        <v>1</v>
      </c>
      <c r="AW88" s="1" t="s">
        <v>26</v>
      </c>
      <c r="AX88" s="1" t="s">
        <v>26</v>
      </c>
      <c r="AY88" s="2">
        <v>1337280151.9000001</v>
      </c>
      <c r="AZ88" s="1">
        <v>1</v>
      </c>
      <c r="BA88" s="1" t="s">
        <v>26</v>
      </c>
      <c r="BB88" s="1" t="s">
        <v>26</v>
      </c>
    </row>
    <row r="89" spans="1:54" s="7" customFormat="1">
      <c r="A89" s="5" t="s">
        <v>84</v>
      </c>
      <c r="B89" s="20" t="s">
        <v>25</v>
      </c>
      <c r="C89" s="9" t="s">
        <v>26</v>
      </c>
      <c r="D89" s="10" t="s">
        <v>26</v>
      </c>
      <c r="E89" s="10" t="s">
        <v>26</v>
      </c>
      <c r="F89" s="10" t="s">
        <v>26</v>
      </c>
      <c r="G89" s="9">
        <v>717939174.90999997</v>
      </c>
      <c r="H89" s="10">
        <v>4.4224926115699996E-3</v>
      </c>
      <c r="I89" s="10" t="s">
        <v>26</v>
      </c>
      <c r="J89" s="10" t="s">
        <v>26</v>
      </c>
      <c r="K89" s="9">
        <v>24140799.690000001</v>
      </c>
      <c r="L89" s="10">
        <v>6.9642414400299998E-3</v>
      </c>
      <c r="M89" s="1" t="s">
        <v>26</v>
      </c>
      <c r="N89" s="1" t="s">
        <v>26</v>
      </c>
      <c r="O89" s="9">
        <v>1870469716.52</v>
      </c>
      <c r="P89" s="10">
        <v>7.7428838164299999E-3</v>
      </c>
      <c r="Q89" s="1" t="s">
        <v>26</v>
      </c>
      <c r="R89" s="1" t="s">
        <v>26</v>
      </c>
      <c r="S89" s="9">
        <v>933163336.25</v>
      </c>
      <c r="T89" s="10">
        <v>7.8155151580000005E-3</v>
      </c>
      <c r="U89" s="1" t="s">
        <v>26</v>
      </c>
      <c r="V89" s="1" t="s">
        <v>26</v>
      </c>
      <c r="W89" s="9" t="s">
        <v>26</v>
      </c>
      <c r="X89" s="10" t="s">
        <v>26</v>
      </c>
      <c r="Y89" s="10" t="s">
        <v>26</v>
      </c>
      <c r="Z89" s="10" t="s">
        <v>26</v>
      </c>
      <c r="AA89" s="9">
        <v>380227010.01999998</v>
      </c>
      <c r="AB89" s="10">
        <v>2.5547607931800001E-3</v>
      </c>
      <c r="AC89" s="1" t="s">
        <v>26</v>
      </c>
      <c r="AD89" s="1" t="s">
        <v>26</v>
      </c>
      <c r="AE89" s="9">
        <v>3925940037.3899999</v>
      </c>
      <c r="AF89" s="10">
        <v>5.6924666598100002E-3</v>
      </c>
      <c r="AG89" s="1" t="s">
        <v>26</v>
      </c>
      <c r="AH89" s="1" t="s">
        <v>26</v>
      </c>
      <c r="AI89" s="9" t="s">
        <v>26</v>
      </c>
      <c r="AJ89" s="10" t="s">
        <v>26</v>
      </c>
      <c r="AK89" s="10" t="s">
        <v>26</v>
      </c>
      <c r="AL89" s="10" t="s">
        <v>26</v>
      </c>
      <c r="AM89" s="9" t="s">
        <v>26</v>
      </c>
      <c r="AN89" s="10" t="s">
        <v>26</v>
      </c>
      <c r="AO89" s="10" t="s">
        <v>26</v>
      </c>
      <c r="AP89" s="10" t="s">
        <v>26</v>
      </c>
      <c r="AQ89" s="9" t="s">
        <v>26</v>
      </c>
      <c r="AR89" s="10" t="s">
        <v>26</v>
      </c>
      <c r="AS89" s="10" t="s">
        <v>26</v>
      </c>
      <c r="AT89" s="10" t="s">
        <v>26</v>
      </c>
      <c r="AU89" s="9" t="s">
        <v>26</v>
      </c>
      <c r="AV89" s="10" t="s">
        <v>26</v>
      </c>
      <c r="AW89" s="10" t="s">
        <v>26</v>
      </c>
      <c r="AX89" s="10" t="s">
        <v>26</v>
      </c>
      <c r="AY89" s="9">
        <v>3925940037.3899999</v>
      </c>
      <c r="AZ89" s="10">
        <v>5.0280261096999996E-3</v>
      </c>
      <c r="BA89" s="1" t="s">
        <v>26</v>
      </c>
      <c r="BB89" s="1" t="s">
        <v>26</v>
      </c>
    </row>
    <row r="90" spans="1:54" s="28" customFormat="1">
      <c r="A90" s="3" t="s">
        <v>85</v>
      </c>
      <c r="B90" s="23" t="s">
        <v>40</v>
      </c>
      <c r="C90" s="2" t="s">
        <v>26</v>
      </c>
      <c r="D90" s="1" t="s">
        <v>26</v>
      </c>
      <c r="E90" s="1" t="s">
        <v>26</v>
      </c>
      <c r="F90" s="1" t="s">
        <v>26</v>
      </c>
      <c r="G90" s="2">
        <v>717939174.90999997</v>
      </c>
      <c r="H90" s="1">
        <v>1</v>
      </c>
      <c r="I90" s="1" t="s">
        <v>26</v>
      </c>
      <c r="J90" s="1" t="s">
        <v>26</v>
      </c>
      <c r="K90" s="2">
        <v>24140799.690000001</v>
      </c>
      <c r="L90" s="1">
        <v>1</v>
      </c>
      <c r="M90" s="1" t="s">
        <v>26</v>
      </c>
      <c r="N90" s="1" t="s">
        <v>26</v>
      </c>
      <c r="O90" s="2">
        <v>1870469716.52</v>
      </c>
      <c r="P90" s="1">
        <v>1</v>
      </c>
      <c r="Q90" s="1" t="s">
        <v>26</v>
      </c>
      <c r="R90" s="1" t="s">
        <v>26</v>
      </c>
      <c r="S90" s="2">
        <v>933163336.25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>
        <v>380227010.01999998</v>
      </c>
      <c r="AB90" s="1">
        <v>1</v>
      </c>
      <c r="AC90" s="1" t="s">
        <v>26</v>
      </c>
      <c r="AD90" s="1" t="s">
        <v>26</v>
      </c>
      <c r="AE90" s="2">
        <v>3925940037.3899999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 t="s">
        <v>26</v>
      </c>
      <c r="AV90" s="1" t="s">
        <v>26</v>
      </c>
      <c r="AW90" s="1" t="s">
        <v>26</v>
      </c>
      <c r="AX90" s="1" t="s">
        <v>26</v>
      </c>
      <c r="AY90" s="2">
        <v>3925940037.3899999</v>
      </c>
      <c r="AZ90" s="1">
        <v>1</v>
      </c>
      <c r="BA90" s="1" t="s">
        <v>26</v>
      </c>
      <c r="BB90" s="1" t="s">
        <v>26</v>
      </c>
    </row>
    <row r="91" spans="1:54" s="7" customFormat="1">
      <c r="A91" s="12" t="s">
        <v>86</v>
      </c>
      <c r="B91" s="40" t="s">
        <v>25</v>
      </c>
      <c r="C91" s="42">
        <v>60857905.829999998</v>
      </c>
      <c r="D91" s="43">
        <v>8.4156790145799992E-3</v>
      </c>
      <c r="E91" s="43">
        <v>0.15</v>
      </c>
      <c r="F91" s="43">
        <f>E91-D91</f>
        <v>0.14158432098542001</v>
      </c>
      <c r="G91" s="42">
        <v>8796909428.7399998</v>
      </c>
      <c r="H91" s="43">
        <v>5.4188806395899999E-2</v>
      </c>
      <c r="I91" s="43">
        <v>0.15</v>
      </c>
      <c r="J91" s="43">
        <f>I91-H91</f>
        <v>9.5811193604099995E-2</v>
      </c>
      <c r="K91" s="42">
        <v>253820192.15000001</v>
      </c>
      <c r="L91" s="43">
        <v>7.3223137724809997E-2</v>
      </c>
      <c r="M91" s="43">
        <v>0.15</v>
      </c>
      <c r="N91" s="43">
        <f>M91-L91</f>
        <v>7.6776862275189997E-2</v>
      </c>
      <c r="O91" s="42">
        <v>26356473250.310001</v>
      </c>
      <c r="P91" s="43">
        <v>0.10910366972832</v>
      </c>
      <c r="Q91" s="43">
        <v>0.15</v>
      </c>
      <c r="R91" s="43">
        <f>Q91-P91</f>
        <v>4.0896330271679993E-2</v>
      </c>
      <c r="S91" s="42">
        <v>6071278232.2299995</v>
      </c>
      <c r="T91" s="43">
        <v>5.0848726272410001E-2</v>
      </c>
      <c r="U91" s="43">
        <v>0.15</v>
      </c>
      <c r="V91" s="43">
        <f>U91-T91</f>
        <v>9.915127372759E-2</v>
      </c>
      <c r="W91" s="42" t="s">
        <v>26</v>
      </c>
      <c r="X91" s="43" t="s">
        <v>26</v>
      </c>
      <c r="Y91" s="43" t="s">
        <v>26</v>
      </c>
      <c r="Z91" s="43" t="s">
        <v>26</v>
      </c>
      <c r="AA91" s="42">
        <v>6131686791.6400003</v>
      </c>
      <c r="AB91" s="43">
        <v>4.1199053719249999E-2</v>
      </c>
      <c r="AC91" s="43">
        <v>0.15</v>
      </c>
      <c r="AD91" s="43">
        <f>AC91-AB91</f>
        <v>0.10880094628074999</v>
      </c>
      <c r="AE91" s="42">
        <v>47671025800.900002</v>
      </c>
      <c r="AF91" s="43">
        <v>6.9121209806079997E-2</v>
      </c>
      <c r="AG91" s="43">
        <v>0.15</v>
      </c>
      <c r="AH91" s="43">
        <f>AG91-AF91</f>
        <v>8.0878790193919997E-2</v>
      </c>
      <c r="AI91" s="42" t="s">
        <v>26</v>
      </c>
      <c r="AJ91" s="43" t="s">
        <v>26</v>
      </c>
      <c r="AK91" s="43" t="s">
        <v>26</v>
      </c>
      <c r="AL91" s="43" t="s">
        <v>26</v>
      </c>
      <c r="AM91" s="42" t="s">
        <v>26</v>
      </c>
      <c r="AN91" s="43" t="s">
        <v>26</v>
      </c>
      <c r="AO91" s="43" t="s">
        <v>26</v>
      </c>
      <c r="AP91" s="43" t="s">
        <v>26</v>
      </c>
      <c r="AQ91" s="42" t="s">
        <v>26</v>
      </c>
      <c r="AR91" s="43" t="s">
        <v>26</v>
      </c>
      <c r="AS91" s="43" t="s">
        <v>26</v>
      </c>
      <c r="AT91" s="43" t="s">
        <v>26</v>
      </c>
      <c r="AU91" s="42">
        <v>1857961230.3900001</v>
      </c>
      <c r="AV91" s="43">
        <v>3.7996916470280001E-2</v>
      </c>
      <c r="AW91" s="43">
        <v>0.15</v>
      </c>
      <c r="AX91" s="43">
        <f>AW91-AV91</f>
        <v>0.11200308352971999</v>
      </c>
      <c r="AY91" s="42">
        <v>49528987031.290001</v>
      </c>
      <c r="AZ91" s="43">
        <v>6.3432716141549994E-2</v>
      </c>
      <c r="BA91" s="43">
        <v>0.15</v>
      </c>
      <c r="BB91" s="43">
        <f>BA91-AZ91</f>
        <v>8.656728385845E-2</v>
      </c>
    </row>
    <row r="92" spans="1:54" s="28" customFormat="1">
      <c r="A92" s="5" t="s">
        <v>124</v>
      </c>
      <c r="B92" s="20" t="s">
        <v>25</v>
      </c>
      <c r="C92" s="9" t="s">
        <v>26</v>
      </c>
      <c r="D92" s="10" t="s">
        <v>26</v>
      </c>
      <c r="E92" s="10" t="s">
        <v>26</v>
      </c>
      <c r="F92" s="10" t="s">
        <v>26</v>
      </c>
      <c r="G92" s="9">
        <v>576246344.37</v>
      </c>
      <c r="H92" s="10">
        <v>3.5496672830799998E-3</v>
      </c>
      <c r="I92" s="1" t="s">
        <v>26</v>
      </c>
      <c r="J92" s="1" t="s">
        <v>26</v>
      </c>
      <c r="K92" s="9">
        <v>67793687.569999993</v>
      </c>
      <c r="L92" s="10">
        <v>1.9557413772960001E-2</v>
      </c>
      <c r="M92" s="1" t="s">
        <v>26</v>
      </c>
      <c r="N92" s="1" t="s">
        <v>26</v>
      </c>
      <c r="O92" s="9" t="s">
        <v>26</v>
      </c>
      <c r="P92" s="10" t="s">
        <v>26</v>
      </c>
      <c r="Q92" s="10" t="s">
        <v>26</v>
      </c>
      <c r="R92" s="10" t="s">
        <v>26</v>
      </c>
      <c r="S92" s="9">
        <v>725700610.15999997</v>
      </c>
      <c r="T92" s="10">
        <v>6.07795430719E-3</v>
      </c>
      <c r="U92" s="1" t="s">
        <v>26</v>
      </c>
      <c r="V92" s="1" t="s">
        <v>26</v>
      </c>
      <c r="W92" s="9" t="s">
        <v>26</v>
      </c>
      <c r="X92" s="10" t="s">
        <v>26</v>
      </c>
      <c r="Y92" s="10" t="s">
        <v>26</v>
      </c>
      <c r="Z92" s="10" t="s">
        <v>26</v>
      </c>
      <c r="AA92" s="9">
        <v>449903562.98000002</v>
      </c>
      <c r="AB92" s="10">
        <v>3.0229203952400001E-3</v>
      </c>
      <c r="AC92" s="1" t="s">
        <v>26</v>
      </c>
      <c r="AD92" s="1" t="s">
        <v>26</v>
      </c>
      <c r="AE92" s="9">
        <v>1819644205.0799999</v>
      </c>
      <c r="AF92" s="10">
        <v>2.6384162446399999E-3</v>
      </c>
      <c r="AG92" s="1" t="s">
        <v>26</v>
      </c>
      <c r="AH92" s="1" t="s">
        <v>26</v>
      </c>
      <c r="AI92" s="9" t="s">
        <v>26</v>
      </c>
      <c r="AJ92" s="10" t="s">
        <v>26</v>
      </c>
      <c r="AK92" s="10" t="s">
        <v>26</v>
      </c>
      <c r="AL92" s="10" t="s">
        <v>26</v>
      </c>
      <c r="AM92" s="9" t="s">
        <v>26</v>
      </c>
      <c r="AN92" s="10" t="s">
        <v>26</v>
      </c>
      <c r="AO92" s="10" t="s">
        <v>26</v>
      </c>
      <c r="AP92" s="10" t="s">
        <v>26</v>
      </c>
      <c r="AQ92" s="9" t="s">
        <v>26</v>
      </c>
      <c r="AR92" s="10" t="s">
        <v>26</v>
      </c>
      <c r="AS92" s="10" t="s">
        <v>26</v>
      </c>
      <c r="AT92" s="10" t="s">
        <v>26</v>
      </c>
      <c r="AU92" s="9" t="s">
        <v>26</v>
      </c>
      <c r="AV92" s="10" t="s">
        <v>26</v>
      </c>
      <c r="AW92" s="10" t="s">
        <v>26</v>
      </c>
      <c r="AX92" s="10" t="s">
        <v>26</v>
      </c>
      <c r="AY92" s="9">
        <v>1819644205.0799999</v>
      </c>
      <c r="AZ92" s="10">
        <v>2.33045295811E-3</v>
      </c>
      <c r="BA92" s="1" t="s">
        <v>26</v>
      </c>
      <c r="BB92" s="1" t="s">
        <v>26</v>
      </c>
    </row>
    <row r="93" spans="1:54" s="7" customFormat="1">
      <c r="A93" s="3" t="s">
        <v>88</v>
      </c>
      <c r="B93" s="23" t="s">
        <v>47</v>
      </c>
      <c r="C93" s="2" t="s">
        <v>26</v>
      </c>
      <c r="D93" s="1" t="s">
        <v>26</v>
      </c>
      <c r="E93" s="1" t="s">
        <v>26</v>
      </c>
      <c r="F93" s="1" t="s">
        <v>26</v>
      </c>
      <c r="G93" s="2">
        <v>576246344.37</v>
      </c>
      <c r="H93" s="1">
        <v>1</v>
      </c>
      <c r="I93" s="1" t="s">
        <v>26</v>
      </c>
      <c r="J93" s="1" t="s">
        <v>26</v>
      </c>
      <c r="K93" s="2">
        <v>67793687.569999993</v>
      </c>
      <c r="L93" s="1">
        <v>1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725700610.15999997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>
        <v>449903562.98000002</v>
      </c>
      <c r="AB93" s="1">
        <v>1</v>
      </c>
      <c r="AC93" s="1" t="s">
        <v>26</v>
      </c>
      <c r="AD93" s="1" t="s">
        <v>26</v>
      </c>
      <c r="AE93" s="2">
        <v>1819644205.0799999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 t="s">
        <v>26</v>
      </c>
      <c r="AV93" s="1" t="s">
        <v>26</v>
      </c>
      <c r="AW93" s="1" t="s">
        <v>26</v>
      </c>
      <c r="AX93" s="1" t="s">
        <v>26</v>
      </c>
      <c r="AY93" s="2">
        <v>1819644205.0799999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125</v>
      </c>
      <c r="B94" s="20" t="s">
        <v>25</v>
      </c>
      <c r="C94" s="9" t="s">
        <v>26</v>
      </c>
      <c r="D94" s="10" t="s">
        <v>26</v>
      </c>
      <c r="E94" s="10" t="s">
        <v>26</v>
      </c>
      <c r="F94" s="10" t="s">
        <v>26</v>
      </c>
      <c r="G94" s="9">
        <v>17016528.559999999</v>
      </c>
      <c r="H94" s="10">
        <v>1.0482151478E-4</v>
      </c>
      <c r="I94" s="1" t="s">
        <v>26</v>
      </c>
      <c r="J94" s="1" t="s">
        <v>26</v>
      </c>
      <c r="K94" s="9" t="s">
        <v>26</v>
      </c>
      <c r="L94" s="10" t="s">
        <v>26</v>
      </c>
      <c r="M94" s="10" t="s">
        <v>26</v>
      </c>
      <c r="N94" s="10" t="s">
        <v>26</v>
      </c>
      <c r="O94" s="9" t="s">
        <v>26</v>
      </c>
      <c r="P94" s="10" t="s">
        <v>26</v>
      </c>
      <c r="Q94" s="10" t="s">
        <v>26</v>
      </c>
      <c r="R94" s="10" t="s">
        <v>26</v>
      </c>
      <c r="S94" s="9">
        <v>17016528.559999999</v>
      </c>
      <c r="T94" s="10">
        <v>1.4251839065000001E-4</v>
      </c>
      <c r="U94" s="1" t="s">
        <v>26</v>
      </c>
      <c r="V94" s="1" t="s">
        <v>26</v>
      </c>
      <c r="W94" s="9" t="s">
        <v>26</v>
      </c>
      <c r="X94" s="10" t="s">
        <v>26</v>
      </c>
      <c r="Y94" s="10" t="s">
        <v>26</v>
      </c>
      <c r="Z94" s="10" t="s">
        <v>26</v>
      </c>
      <c r="AA94" s="9" t="s">
        <v>26</v>
      </c>
      <c r="AB94" s="10" t="s">
        <v>26</v>
      </c>
      <c r="AC94" s="1" t="s">
        <v>26</v>
      </c>
      <c r="AD94" s="1" t="s">
        <v>26</v>
      </c>
      <c r="AE94" s="9">
        <v>34033057.119999997</v>
      </c>
      <c r="AF94" s="10">
        <v>4.9346663770000002E-5</v>
      </c>
      <c r="AG94" s="1" t="s">
        <v>26</v>
      </c>
      <c r="AH94" s="1" t="s">
        <v>26</v>
      </c>
      <c r="AI94" s="9" t="s">
        <v>26</v>
      </c>
      <c r="AJ94" s="10" t="s">
        <v>26</v>
      </c>
      <c r="AK94" s="10" t="s">
        <v>26</v>
      </c>
      <c r="AL94" s="10" t="s">
        <v>26</v>
      </c>
      <c r="AM94" s="9" t="s">
        <v>26</v>
      </c>
      <c r="AN94" s="10" t="s">
        <v>26</v>
      </c>
      <c r="AO94" s="10" t="s">
        <v>26</v>
      </c>
      <c r="AP94" s="10" t="s">
        <v>26</v>
      </c>
      <c r="AQ94" s="9" t="s">
        <v>26</v>
      </c>
      <c r="AR94" s="10" t="s">
        <v>26</v>
      </c>
      <c r="AS94" s="10" t="s">
        <v>26</v>
      </c>
      <c r="AT94" s="10" t="s">
        <v>26</v>
      </c>
      <c r="AU94" s="9" t="s">
        <v>26</v>
      </c>
      <c r="AV94" s="10" t="s">
        <v>26</v>
      </c>
      <c r="AW94" s="10" t="s">
        <v>26</v>
      </c>
      <c r="AX94" s="10" t="s">
        <v>26</v>
      </c>
      <c r="AY94" s="9">
        <v>34033057.119999997</v>
      </c>
      <c r="AZ94" s="10">
        <v>4.358678384E-5</v>
      </c>
      <c r="BA94" s="1" t="s">
        <v>26</v>
      </c>
      <c r="BB94" s="1" t="s">
        <v>26</v>
      </c>
    </row>
    <row r="95" spans="1:54" s="28" customFormat="1">
      <c r="A95" s="3" t="s">
        <v>88</v>
      </c>
      <c r="B95" s="23" t="s">
        <v>47</v>
      </c>
      <c r="C95" s="2" t="s">
        <v>26</v>
      </c>
      <c r="D95" s="1" t="s">
        <v>26</v>
      </c>
      <c r="E95" s="1" t="s">
        <v>26</v>
      </c>
      <c r="F95" s="1" t="s">
        <v>26</v>
      </c>
      <c r="G95" s="2">
        <v>17016528.559999999</v>
      </c>
      <c r="H95" s="1">
        <v>1</v>
      </c>
      <c r="I95" s="1" t="s">
        <v>26</v>
      </c>
      <c r="J95" s="1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17016528.559999999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 t="s">
        <v>26</v>
      </c>
      <c r="AB95" s="1" t="s">
        <v>26</v>
      </c>
      <c r="AC95" s="1" t="s">
        <v>26</v>
      </c>
      <c r="AD95" s="1" t="s">
        <v>26</v>
      </c>
      <c r="AE95" s="2">
        <v>34033057.119999997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34033057.119999997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89</v>
      </c>
      <c r="B96" s="20" t="s">
        <v>25</v>
      </c>
      <c r="C96" s="9" t="s">
        <v>26</v>
      </c>
      <c r="D96" s="10" t="s">
        <v>26</v>
      </c>
      <c r="E96" s="10" t="s">
        <v>26</v>
      </c>
      <c r="F96" s="10" t="s">
        <v>26</v>
      </c>
      <c r="G96" s="9">
        <v>1925319998.75</v>
      </c>
      <c r="H96" s="10">
        <v>1.1859937118550001E-2</v>
      </c>
      <c r="I96" s="1" t="s">
        <v>26</v>
      </c>
      <c r="J96" s="1" t="s">
        <v>26</v>
      </c>
      <c r="K96" s="9" t="s">
        <v>26</v>
      </c>
      <c r="L96" s="10" t="s">
        <v>26</v>
      </c>
      <c r="M96" s="10" t="s">
        <v>26</v>
      </c>
      <c r="N96" s="10" t="s">
        <v>26</v>
      </c>
      <c r="O96" s="9">
        <v>3452594243.4000001</v>
      </c>
      <c r="P96" s="10">
        <v>1.429215124726E-2</v>
      </c>
      <c r="Q96" s="1" t="s">
        <v>26</v>
      </c>
      <c r="R96" s="1" t="s">
        <v>26</v>
      </c>
      <c r="S96" s="9">
        <v>1258278790.9300001</v>
      </c>
      <c r="T96" s="10">
        <v>1.053845193171E-2</v>
      </c>
      <c r="U96" s="1" t="s">
        <v>26</v>
      </c>
      <c r="V96" s="1" t="s">
        <v>26</v>
      </c>
      <c r="W96" s="9" t="s">
        <v>26</v>
      </c>
      <c r="X96" s="10" t="s">
        <v>26</v>
      </c>
      <c r="Y96" s="10" t="s">
        <v>26</v>
      </c>
      <c r="Z96" s="10" t="s">
        <v>26</v>
      </c>
      <c r="AA96" s="9">
        <v>1924092409.6900001</v>
      </c>
      <c r="AB96" s="10">
        <v>1.292805540161E-2</v>
      </c>
      <c r="AC96" s="1" t="s">
        <v>26</v>
      </c>
      <c r="AD96" s="1" t="s">
        <v>26</v>
      </c>
      <c r="AE96" s="9">
        <v>8560285442.7700005</v>
      </c>
      <c r="AF96" s="10">
        <v>1.241209468747E-2</v>
      </c>
      <c r="AG96" s="1" t="s">
        <v>26</v>
      </c>
      <c r="AH96" s="1" t="s">
        <v>26</v>
      </c>
      <c r="AI96" s="9" t="s">
        <v>26</v>
      </c>
      <c r="AJ96" s="10" t="s">
        <v>26</v>
      </c>
      <c r="AK96" s="10" t="s">
        <v>26</v>
      </c>
      <c r="AL96" s="10" t="s">
        <v>26</v>
      </c>
      <c r="AM96" s="9" t="s">
        <v>26</v>
      </c>
      <c r="AN96" s="10" t="s">
        <v>26</v>
      </c>
      <c r="AO96" s="10" t="s">
        <v>26</v>
      </c>
      <c r="AP96" s="10" t="s">
        <v>26</v>
      </c>
      <c r="AQ96" s="9" t="s">
        <v>26</v>
      </c>
      <c r="AR96" s="10" t="s">
        <v>26</v>
      </c>
      <c r="AS96" s="10" t="s">
        <v>26</v>
      </c>
      <c r="AT96" s="10" t="s">
        <v>26</v>
      </c>
      <c r="AU96" s="9">
        <v>315643838.16000003</v>
      </c>
      <c r="AV96" s="10">
        <v>6.4551898913400001E-3</v>
      </c>
      <c r="AW96" s="1" t="s">
        <v>26</v>
      </c>
      <c r="AX96" s="1" t="s">
        <v>26</v>
      </c>
      <c r="AY96" s="9">
        <v>8875929280.9300003</v>
      </c>
      <c r="AZ96" s="10">
        <v>1.13675715236E-2</v>
      </c>
      <c r="BA96" s="1" t="s">
        <v>26</v>
      </c>
      <c r="BB96" s="1" t="s">
        <v>26</v>
      </c>
    </row>
    <row r="97" spans="1:54" s="28" customFormat="1">
      <c r="A97" s="3" t="s">
        <v>88</v>
      </c>
      <c r="B97" s="23" t="s">
        <v>47</v>
      </c>
      <c r="C97" s="2" t="s">
        <v>26</v>
      </c>
      <c r="D97" s="1" t="s">
        <v>26</v>
      </c>
      <c r="E97" s="1" t="s">
        <v>26</v>
      </c>
      <c r="F97" s="1" t="s">
        <v>26</v>
      </c>
      <c r="G97" s="2">
        <v>1925319998.75</v>
      </c>
      <c r="H97" s="1">
        <v>1</v>
      </c>
      <c r="I97" s="1" t="s">
        <v>26</v>
      </c>
      <c r="J97" s="1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>
        <v>3452594243.4000001</v>
      </c>
      <c r="P97" s="1">
        <v>1</v>
      </c>
      <c r="Q97" s="1" t="s">
        <v>26</v>
      </c>
      <c r="R97" s="1" t="s">
        <v>26</v>
      </c>
      <c r="S97" s="2">
        <v>1258278790.9300001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>
        <v>1924092409.6900001</v>
      </c>
      <c r="AB97" s="1">
        <v>1</v>
      </c>
      <c r="AC97" s="1" t="s">
        <v>26</v>
      </c>
      <c r="AD97" s="1" t="s">
        <v>26</v>
      </c>
      <c r="AE97" s="2">
        <v>8560285442.7700005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>
        <v>315643838.16000003</v>
      </c>
      <c r="AV97" s="1">
        <v>1</v>
      </c>
      <c r="AW97" s="1" t="s">
        <v>26</v>
      </c>
      <c r="AX97" s="1" t="s">
        <v>26</v>
      </c>
      <c r="AY97" s="2">
        <v>8875929280.9300003</v>
      </c>
      <c r="AZ97" s="1">
        <v>1</v>
      </c>
      <c r="BA97" s="1" t="s">
        <v>26</v>
      </c>
      <c r="BB97" s="1" t="s">
        <v>26</v>
      </c>
    </row>
    <row r="98" spans="1:54" s="7" customFormat="1">
      <c r="A98" s="5" t="s">
        <v>90</v>
      </c>
      <c r="B98" s="20" t="s">
        <v>25</v>
      </c>
      <c r="C98" s="9" t="s">
        <v>26</v>
      </c>
      <c r="D98" s="10" t="s">
        <v>26</v>
      </c>
      <c r="E98" s="10" t="s">
        <v>26</v>
      </c>
      <c r="F98" s="10" t="s">
        <v>26</v>
      </c>
      <c r="G98" s="9">
        <v>2020633735.4200001</v>
      </c>
      <c r="H98" s="10">
        <v>1.24470680496E-2</v>
      </c>
      <c r="I98" s="1" t="s">
        <v>26</v>
      </c>
      <c r="J98" s="1" t="s">
        <v>26</v>
      </c>
      <c r="K98" s="9" t="s">
        <v>26</v>
      </c>
      <c r="L98" s="10" t="s">
        <v>26</v>
      </c>
      <c r="M98" s="10" t="s">
        <v>26</v>
      </c>
      <c r="N98" s="10" t="s">
        <v>26</v>
      </c>
      <c r="O98" s="9">
        <v>1315516754.8299999</v>
      </c>
      <c r="P98" s="10">
        <v>5.4456339502600001E-3</v>
      </c>
      <c r="Q98" s="1" t="s">
        <v>26</v>
      </c>
      <c r="R98" s="1" t="s">
        <v>26</v>
      </c>
      <c r="S98" s="9">
        <v>1315516754.8199999</v>
      </c>
      <c r="T98" s="10">
        <v>1.1017836576409999E-2</v>
      </c>
      <c r="U98" s="1" t="s">
        <v>26</v>
      </c>
      <c r="V98" s="1" t="s">
        <v>26</v>
      </c>
      <c r="W98" s="9" t="s">
        <v>26</v>
      </c>
      <c r="X98" s="10" t="s">
        <v>26</v>
      </c>
      <c r="Y98" s="10" t="s">
        <v>26</v>
      </c>
      <c r="Z98" s="10" t="s">
        <v>26</v>
      </c>
      <c r="AA98" s="9">
        <v>1262106774.5799999</v>
      </c>
      <c r="AB98" s="10">
        <v>8.4801469110000003E-3</v>
      </c>
      <c r="AC98" s="1" t="s">
        <v>26</v>
      </c>
      <c r="AD98" s="1" t="s">
        <v>26</v>
      </c>
      <c r="AE98" s="9">
        <v>5913774019.6499996</v>
      </c>
      <c r="AF98" s="10">
        <v>8.5747518097300003E-3</v>
      </c>
      <c r="AG98" s="1" t="s">
        <v>26</v>
      </c>
      <c r="AH98" s="1" t="s">
        <v>26</v>
      </c>
      <c r="AI98" s="9" t="s">
        <v>26</v>
      </c>
      <c r="AJ98" s="10" t="s">
        <v>26</v>
      </c>
      <c r="AK98" s="10" t="s">
        <v>26</v>
      </c>
      <c r="AL98" s="10" t="s">
        <v>26</v>
      </c>
      <c r="AM98" s="9" t="s">
        <v>26</v>
      </c>
      <c r="AN98" s="10" t="s">
        <v>26</v>
      </c>
      <c r="AO98" s="10" t="s">
        <v>26</v>
      </c>
      <c r="AP98" s="10" t="s">
        <v>26</v>
      </c>
      <c r="AQ98" s="9" t="s">
        <v>26</v>
      </c>
      <c r="AR98" s="10" t="s">
        <v>26</v>
      </c>
      <c r="AS98" s="10" t="s">
        <v>26</v>
      </c>
      <c r="AT98" s="10" t="s">
        <v>26</v>
      </c>
      <c r="AU98" s="9" t="s">
        <v>26</v>
      </c>
      <c r="AV98" s="10" t="s">
        <v>26</v>
      </c>
      <c r="AW98" s="1" t="s">
        <v>26</v>
      </c>
      <c r="AX98" s="1" t="s">
        <v>26</v>
      </c>
      <c r="AY98" s="9">
        <v>5913774019.6499996</v>
      </c>
      <c r="AZ98" s="10">
        <v>7.5738829158100004E-3</v>
      </c>
      <c r="BA98" s="1" t="s">
        <v>26</v>
      </c>
      <c r="BB98" s="1" t="s">
        <v>26</v>
      </c>
    </row>
    <row r="99" spans="1:54" s="7" customFormat="1">
      <c r="A99" s="3" t="s">
        <v>88</v>
      </c>
      <c r="B99" s="23" t="s">
        <v>47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2020633735.4200001</v>
      </c>
      <c r="H99" s="1">
        <v>1</v>
      </c>
      <c r="I99" s="1" t="s">
        <v>26</v>
      </c>
      <c r="J99" s="1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1315516754.8299999</v>
      </c>
      <c r="P99" s="1">
        <v>1</v>
      </c>
      <c r="Q99" s="1" t="s">
        <v>26</v>
      </c>
      <c r="R99" s="1" t="s">
        <v>26</v>
      </c>
      <c r="S99" s="2">
        <v>1315516754.8199999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1262106774.5799999</v>
      </c>
      <c r="AB99" s="1">
        <v>1</v>
      </c>
      <c r="AC99" s="1" t="s">
        <v>26</v>
      </c>
      <c r="AD99" s="1" t="s">
        <v>26</v>
      </c>
      <c r="AE99" s="2">
        <v>5913774019.6499996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5913774019.6499996</v>
      </c>
      <c r="AZ99" s="1">
        <v>1</v>
      </c>
      <c r="BA99" s="1" t="s">
        <v>26</v>
      </c>
      <c r="BB99" s="1" t="s">
        <v>26</v>
      </c>
    </row>
    <row r="100" spans="1:54" s="28" customFormat="1">
      <c r="A100" s="5" t="s">
        <v>91</v>
      </c>
      <c r="B100" s="20" t="s">
        <v>25</v>
      </c>
      <c r="C100" s="9" t="s">
        <v>26</v>
      </c>
      <c r="D100" s="10" t="s">
        <v>26</v>
      </c>
      <c r="E100" s="10" t="s">
        <v>26</v>
      </c>
      <c r="F100" s="10" t="s">
        <v>26</v>
      </c>
      <c r="G100" s="9">
        <v>491305095.50999999</v>
      </c>
      <c r="H100" s="10">
        <v>3.02643069337E-3</v>
      </c>
      <c r="I100" s="1" t="s">
        <v>26</v>
      </c>
      <c r="J100" s="1" t="s">
        <v>26</v>
      </c>
      <c r="K100" s="9" t="s">
        <v>26</v>
      </c>
      <c r="L100" s="10" t="s">
        <v>26</v>
      </c>
      <c r="M100" s="10" t="s">
        <v>26</v>
      </c>
      <c r="N100" s="10" t="s">
        <v>26</v>
      </c>
      <c r="O100" s="9">
        <v>4248935692.6300001</v>
      </c>
      <c r="P100" s="10">
        <v>1.7588638362310002E-2</v>
      </c>
      <c r="Q100" s="1" t="s">
        <v>26</v>
      </c>
      <c r="R100" s="1" t="s">
        <v>26</v>
      </c>
      <c r="S100" s="9">
        <v>957581670.89999998</v>
      </c>
      <c r="T100" s="10">
        <v>8.0200258338699992E-3</v>
      </c>
      <c r="U100" s="1" t="s">
        <v>26</v>
      </c>
      <c r="V100" s="1" t="s">
        <v>26</v>
      </c>
      <c r="W100" s="9" t="s">
        <v>26</v>
      </c>
      <c r="X100" s="10" t="s">
        <v>26</v>
      </c>
      <c r="Y100" s="10" t="s">
        <v>26</v>
      </c>
      <c r="Z100" s="10" t="s">
        <v>26</v>
      </c>
      <c r="AA100" s="9">
        <v>1316307537.78</v>
      </c>
      <c r="AB100" s="10">
        <v>8.8443240502700006E-3</v>
      </c>
      <c r="AC100" s="1" t="s">
        <v>26</v>
      </c>
      <c r="AD100" s="1" t="s">
        <v>26</v>
      </c>
      <c r="AE100" s="9">
        <v>7014129996.8199997</v>
      </c>
      <c r="AF100" s="10">
        <v>1.017022694545E-2</v>
      </c>
      <c r="AG100" s="1" t="s">
        <v>26</v>
      </c>
      <c r="AH100" s="1" t="s">
        <v>26</v>
      </c>
      <c r="AI100" s="9" t="s">
        <v>26</v>
      </c>
      <c r="AJ100" s="10" t="s">
        <v>26</v>
      </c>
      <c r="AK100" s="10" t="s">
        <v>26</v>
      </c>
      <c r="AL100" s="10" t="s">
        <v>26</v>
      </c>
      <c r="AM100" s="9" t="s">
        <v>26</v>
      </c>
      <c r="AN100" s="10" t="s">
        <v>26</v>
      </c>
      <c r="AO100" s="10" t="s">
        <v>26</v>
      </c>
      <c r="AP100" s="10" t="s">
        <v>26</v>
      </c>
      <c r="AQ100" s="9" t="s">
        <v>26</v>
      </c>
      <c r="AR100" s="10" t="s">
        <v>26</v>
      </c>
      <c r="AS100" s="10" t="s">
        <v>26</v>
      </c>
      <c r="AT100" s="10" t="s">
        <v>26</v>
      </c>
      <c r="AU100" s="9">
        <v>365735803.11000001</v>
      </c>
      <c r="AV100" s="10">
        <v>7.4796139626900002E-3</v>
      </c>
      <c r="AW100" s="1" t="s">
        <v>26</v>
      </c>
      <c r="AX100" s="1" t="s">
        <v>26</v>
      </c>
      <c r="AY100" s="9">
        <v>7379865799.9300003</v>
      </c>
      <c r="AZ100" s="10">
        <v>9.4515345560000005E-3</v>
      </c>
      <c r="BA100" s="1" t="s">
        <v>26</v>
      </c>
      <c r="BB100" s="1" t="s">
        <v>26</v>
      </c>
    </row>
    <row r="101" spans="1:54" s="28" customFormat="1">
      <c r="A101" s="3" t="s">
        <v>88</v>
      </c>
      <c r="B101" s="23" t="s">
        <v>47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491305095.50999999</v>
      </c>
      <c r="H101" s="1">
        <v>1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4248935692.6300001</v>
      </c>
      <c r="P101" s="1">
        <v>1</v>
      </c>
      <c r="Q101" s="1" t="s">
        <v>26</v>
      </c>
      <c r="R101" s="1" t="s">
        <v>26</v>
      </c>
      <c r="S101" s="2">
        <v>957581670.89999998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1316307537.78</v>
      </c>
      <c r="AB101" s="1">
        <v>1</v>
      </c>
      <c r="AC101" s="1" t="s">
        <v>26</v>
      </c>
      <c r="AD101" s="1" t="s">
        <v>26</v>
      </c>
      <c r="AE101" s="2">
        <v>7014129996.8199997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365735803.11000001</v>
      </c>
      <c r="AV101" s="1">
        <v>1</v>
      </c>
      <c r="AW101" s="1" t="s">
        <v>26</v>
      </c>
      <c r="AX101" s="1" t="s">
        <v>26</v>
      </c>
      <c r="AY101" s="2">
        <v>7379865799.9300003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92</v>
      </c>
      <c r="B102" s="20" t="s">
        <v>25</v>
      </c>
      <c r="C102" s="9" t="s">
        <v>26</v>
      </c>
      <c r="D102" s="10" t="s">
        <v>26</v>
      </c>
      <c r="E102" s="10" t="s">
        <v>26</v>
      </c>
      <c r="F102" s="10" t="s">
        <v>26</v>
      </c>
      <c r="G102" s="9" t="s">
        <v>26</v>
      </c>
      <c r="H102" s="10" t="s">
        <v>26</v>
      </c>
      <c r="I102" s="1" t="s">
        <v>26</v>
      </c>
      <c r="J102" s="1" t="s">
        <v>26</v>
      </c>
      <c r="K102" s="9" t="s">
        <v>26</v>
      </c>
      <c r="L102" s="10" t="s">
        <v>26</v>
      </c>
      <c r="M102" s="10" t="s">
        <v>26</v>
      </c>
      <c r="N102" s="10" t="s">
        <v>26</v>
      </c>
      <c r="O102" s="9">
        <v>1535469516</v>
      </c>
      <c r="P102" s="10">
        <v>6.35613715692E-3</v>
      </c>
      <c r="Q102" s="1" t="s">
        <v>26</v>
      </c>
      <c r="R102" s="1" t="s">
        <v>26</v>
      </c>
      <c r="S102" s="9" t="s">
        <v>26</v>
      </c>
      <c r="T102" s="10" t="s">
        <v>26</v>
      </c>
      <c r="U102" s="1" t="s">
        <v>26</v>
      </c>
      <c r="V102" s="1" t="s">
        <v>26</v>
      </c>
      <c r="W102" s="9" t="s">
        <v>26</v>
      </c>
      <c r="X102" s="10" t="s">
        <v>26</v>
      </c>
      <c r="Y102" s="10" t="s">
        <v>26</v>
      </c>
      <c r="Z102" s="10" t="s">
        <v>26</v>
      </c>
      <c r="AA102" s="9" t="s">
        <v>26</v>
      </c>
      <c r="AB102" s="10" t="s">
        <v>26</v>
      </c>
      <c r="AC102" s="1" t="s">
        <v>26</v>
      </c>
      <c r="AD102" s="1" t="s">
        <v>26</v>
      </c>
      <c r="AE102" s="9">
        <v>1535469516</v>
      </c>
      <c r="AF102" s="10">
        <v>2.2263735420699998E-3</v>
      </c>
      <c r="AG102" s="1" t="s">
        <v>26</v>
      </c>
      <c r="AH102" s="1" t="s">
        <v>26</v>
      </c>
      <c r="AI102" s="9" t="s">
        <v>26</v>
      </c>
      <c r="AJ102" s="10" t="s">
        <v>26</v>
      </c>
      <c r="AK102" s="10" t="s">
        <v>26</v>
      </c>
      <c r="AL102" s="10" t="s">
        <v>26</v>
      </c>
      <c r="AM102" s="9" t="s">
        <v>26</v>
      </c>
      <c r="AN102" s="10" t="s">
        <v>26</v>
      </c>
      <c r="AO102" s="10" t="s">
        <v>26</v>
      </c>
      <c r="AP102" s="10" t="s">
        <v>26</v>
      </c>
      <c r="AQ102" s="9" t="s">
        <v>26</v>
      </c>
      <c r="AR102" s="10" t="s">
        <v>26</v>
      </c>
      <c r="AS102" s="10" t="s">
        <v>26</v>
      </c>
      <c r="AT102" s="10" t="s">
        <v>26</v>
      </c>
      <c r="AU102" s="9" t="s">
        <v>26</v>
      </c>
      <c r="AV102" s="10" t="s">
        <v>26</v>
      </c>
      <c r="AW102" s="1" t="s">
        <v>26</v>
      </c>
      <c r="AX102" s="1" t="s">
        <v>26</v>
      </c>
      <c r="AY102" s="9">
        <v>1535469516</v>
      </c>
      <c r="AZ102" s="10">
        <v>1.9665050264599999E-3</v>
      </c>
      <c r="BA102" s="1" t="s">
        <v>26</v>
      </c>
      <c r="BB102" s="1" t="s">
        <v>26</v>
      </c>
    </row>
    <row r="103" spans="1:54" s="7" customFormat="1">
      <c r="A103" s="3" t="s">
        <v>88</v>
      </c>
      <c r="B103" s="23" t="s">
        <v>47</v>
      </c>
      <c r="C103" s="2" t="s">
        <v>26</v>
      </c>
      <c r="D103" s="1" t="s">
        <v>26</v>
      </c>
      <c r="E103" s="1" t="s">
        <v>26</v>
      </c>
      <c r="F103" s="1" t="s">
        <v>26</v>
      </c>
      <c r="G103" s="2" t="s">
        <v>26</v>
      </c>
      <c r="H103" s="1" t="s">
        <v>26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1535469516</v>
      </c>
      <c r="P103" s="1">
        <v>1</v>
      </c>
      <c r="Q103" s="1" t="s">
        <v>26</v>
      </c>
      <c r="R103" s="1" t="s">
        <v>26</v>
      </c>
      <c r="S103" s="2" t="s">
        <v>26</v>
      </c>
      <c r="T103" s="1" t="s">
        <v>26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 t="s">
        <v>26</v>
      </c>
      <c r="AB103" s="1" t="s">
        <v>26</v>
      </c>
      <c r="AC103" s="1" t="s">
        <v>26</v>
      </c>
      <c r="AD103" s="1" t="s">
        <v>26</v>
      </c>
      <c r="AE103" s="2">
        <v>1535469516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v>1535469516</v>
      </c>
      <c r="AZ103" s="1">
        <v>1</v>
      </c>
      <c r="BA103" s="1" t="s">
        <v>26</v>
      </c>
      <c r="BB103" s="1" t="s">
        <v>26</v>
      </c>
    </row>
    <row r="104" spans="1:54" s="28" customFormat="1">
      <c r="A104" s="5" t="s">
        <v>93</v>
      </c>
      <c r="B104" s="20" t="s">
        <v>25</v>
      </c>
      <c r="C104" s="9" t="s">
        <v>26</v>
      </c>
      <c r="D104" s="10" t="s">
        <v>26</v>
      </c>
      <c r="E104" s="10" t="s">
        <v>26</v>
      </c>
      <c r="F104" s="10" t="s">
        <v>26</v>
      </c>
      <c r="G104" s="9" t="s">
        <v>26</v>
      </c>
      <c r="H104" s="10" t="s">
        <v>26</v>
      </c>
      <c r="I104" s="1" t="s">
        <v>26</v>
      </c>
      <c r="J104" s="1" t="s">
        <v>26</v>
      </c>
      <c r="K104" s="9" t="s">
        <v>26</v>
      </c>
      <c r="L104" s="10" t="s">
        <v>26</v>
      </c>
      <c r="M104" s="10" t="s">
        <v>26</v>
      </c>
      <c r="N104" s="10" t="s">
        <v>26</v>
      </c>
      <c r="O104" s="9">
        <v>326737912.11000001</v>
      </c>
      <c r="P104" s="10">
        <v>1.3525445878899999E-3</v>
      </c>
      <c r="Q104" s="1" t="s">
        <v>26</v>
      </c>
      <c r="R104" s="1" t="s">
        <v>26</v>
      </c>
      <c r="S104" s="9" t="s">
        <v>26</v>
      </c>
      <c r="T104" s="10" t="s">
        <v>26</v>
      </c>
      <c r="U104" s="1" t="s">
        <v>26</v>
      </c>
      <c r="V104" s="1" t="s">
        <v>26</v>
      </c>
      <c r="W104" s="9" t="s">
        <v>26</v>
      </c>
      <c r="X104" s="10" t="s">
        <v>26</v>
      </c>
      <c r="Y104" s="10" t="s">
        <v>26</v>
      </c>
      <c r="Z104" s="10" t="s">
        <v>26</v>
      </c>
      <c r="AA104" s="9">
        <v>326737912.11000001</v>
      </c>
      <c r="AB104" s="10">
        <v>2.1953653620199998E-3</v>
      </c>
      <c r="AC104" s="1" t="s">
        <v>26</v>
      </c>
      <c r="AD104" s="1" t="s">
        <v>26</v>
      </c>
      <c r="AE104" s="9">
        <v>653475824.22000003</v>
      </c>
      <c r="AF104" s="10">
        <v>9.4751557765E-4</v>
      </c>
      <c r="AG104" s="1" t="s">
        <v>26</v>
      </c>
      <c r="AH104" s="1" t="s">
        <v>26</v>
      </c>
      <c r="AI104" s="9" t="s">
        <v>26</v>
      </c>
      <c r="AJ104" s="10" t="s">
        <v>26</v>
      </c>
      <c r="AK104" s="10" t="s">
        <v>26</v>
      </c>
      <c r="AL104" s="10" t="s">
        <v>26</v>
      </c>
      <c r="AM104" s="9" t="s">
        <v>26</v>
      </c>
      <c r="AN104" s="10" t="s">
        <v>26</v>
      </c>
      <c r="AO104" s="10" t="s">
        <v>26</v>
      </c>
      <c r="AP104" s="10" t="s">
        <v>26</v>
      </c>
      <c r="AQ104" s="9" t="s">
        <v>26</v>
      </c>
      <c r="AR104" s="10" t="s">
        <v>26</v>
      </c>
      <c r="AS104" s="10" t="s">
        <v>26</v>
      </c>
      <c r="AT104" s="10" t="s">
        <v>26</v>
      </c>
      <c r="AU104" s="9" t="s">
        <v>26</v>
      </c>
      <c r="AV104" s="10" t="s">
        <v>26</v>
      </c>
      <c r="AW104" s="1" t="s">
        <v>26</v>
      </c>
      <c r="AX104" s="1" t="s">
        <v>26</v>
      </c>
      <c r="AY104" s="9">
        <v>653475824.22000003</v>
      </c>
      <c r="AZ104" s="10">
        <v>8.3691892259000003E-4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326737912.11000001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326737912.11000001</v>
      </c>
      <c r="AB105" s="1">
        <v>1</v>
      </c>
      <c r="AC105" s="1" t="s">
        <v>26</v>
      </c>
      <c r="AD105" s="1" t="s">
        <v>26</v>
      </c>
      <c r="AE105" s="2">
        <v>653475824.22000003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653475824.22000003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94</v>
      </c>
      <c r="B106" s="20" t="s">
        <v>25</v>
      </c>
      <c r="C106" s="9" t="s">
        <v>26</v>
      </c>
      <c r="D106" s="10" t="s">
        <v>26</v>
      </c>
      <c r="E106" s="10" t="s">
        <v>26</v>
      </c>
      <c r="F106" s="10" t="s">
        <v>26</v>
      </c>
      <c r="G106" s="9" t="s">
        <v>26</v>
      </c>
      <c r="H106" s="10" t="s">
        <v>26</v>
      </c>
      <c r="I106" s="1" t="s">
        <v>26</v>
      </c>
      <c r="J106" s="1" t="s">
        <v>26</v>
      </c>
      <c r="K106" s="9" t="s">
        <v>26</v>
      </c>
      <c r="L106" s="10" t="s">
        <v>26</v>
      </c>
      <c r="M106" s="10" t="s">
        <v>26</v>
      </c>
      <c r="N106" s="10" t="s">
        <v>26</v>
      </c>
      <c r="O106" s="9">
        <v>6157330762.4200001</v>
      </c>
      <c r="P106" s="10">
        <v>2.5488515687630001E-2</v>
      </c>
      <c r="Q106" s="1" t="s">
        <v>26</v>
      </c>
      <c r="R106" s="1" t="s">
        <v>26</v>
      </c>
      <c r="S106" s="9" t="s">
        <v>26</v>
      </c>
      <c r="T106" s="10" t="s">
        <v>26</v>
      </c>
      <c r="U106" s="1" t="s">
        <v>26</v>
      </c>
      <c r="V106" s="1" t="s">
        <v>26</v>
      </c>
      <c r="W106" s="9" t="s">
        <v>26</v>
      </c>
      <c r="X106" s="10" t="s">
        <v>26</v>
      </c>
      <c r="Y106" s="10" t="s">
        <v>26</v>
      </c>
      <c r="Z106" s="10" t="s">
        <v>26</v>
      </c>
      <c r="AA106" s="9" t="s">
        <v>26</v>
      </c>
      <c r="AB106" s="10" t="s">
        <v>26</v>
      </c>
      <c r="AC106" s="1" t="s">
        <v>26</v>
      </c>
      <c r="AD106" s="1" t="s">
        <v>26</v>
      </c>
      <c r="AE106" s="9">
        <v>6157330762.4200001</v>
      </c>
      <c r="AF106" s="10">
        <v>8.9279000047600005E-3</v>
      </c>
      <c r="AG106" s="1" t="s">
        <v>26</v>
      </c>
      <c r="AH106" s="1" t="s">
        <v>26</v>
      </c>
      <c r="AI106" s="9" t="s">
        <v>26</v>
      </c>
      <c r="AJ106" s="10" t="s">
        <v>26</v>
      </c>
      <c r="AK106" s="10" t="s">
        <v>26</v>
      </c>
      <c r="AL106" s="10" t="s">
        <v>26</v>
      </c>
      <c r="AM106" s="9" t="s">
        <v>26</v>
      </c>
      <c r="AN106" s="10" t="s">
        <v>26</v>
      </c>
      <c r="AO106" s="10" t="s">
        <v>26</v>
      </c>
      <c r="AP106" s="10" t="s">
        <v>26</v>
      </c>
      <c r="AQ106" s="9" t="s">
        <v>26</v>
      </c>
      <c r="AR106" s="10" t="s">
        <v>26</v>
      </c>
      <c r="AS106" s="10" t="s">
        <v>26</v>
      </c>
      <c r="AT106" s="10" t="s">
        <v>26</v>
      </c>
      <c r="AU106" s="9" t="s">
        <v>26</v>
      </c>
      <c r="AV106" s="10" t="s">
        <v>26</v>
      </c>
      <c r="AW106" s="1" t="s">
        <v>26</v>
      </c>
      <c r="AX106" s="1" t="s">
        <v>26</v>
      </c>
      <c r="AY106" s="9">
        <v>6157330762.4200001</v>
      </c>
      <c r="AZ106" s="10">
        <v>7.88581067074E-3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6157330762.4200001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6157330762.4200001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6157330762.4200001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95</v>
      </c>
      <c r="B108" s="20" t="s">
        <v>25</v>
      </c>
      <c r="C108" s="9" t="s">
        <v>26</v>
      </c>
      <c r="D108" s="10" t="s">
        <v>26</v>
      </c>
      <c r="E108" s="10" t="s">
        <v>26</v>
      </c>
      <c r="F108" s="10" t="s">
        <v>26</v>
      </c>
      <c r="G108" s="9" t="s">
        <v>26</v>
      </c>
      <c r="H108" s="10" t="s">
        <v>26</v>
      </c>
      <c r="I108" s="1" t="s">
        <v>26</v>
      </c>
      <c r="J108" s="1" t="s">
        <v>26</v>
      </c>
      <c r="K108" s="9" t="s">
        <v>26</v>
      </c>
      <c r="L108" s="10" t="s">
        <v>26</v>
      </c>
      <c r="M108" s="10" t="s">
        <v>26</v>
      </c>
      <c r="N108" s="10" t="s">
        <v>26</v>
      </c>
      <c r="O108" s="9" t="s">
        <v>26</v>
      </c>
      <c r="P108" s="10" t="s">
        <v>26</v>
      </c>
      <c r="Q108" s="1" t="s">
        <v>26</v>
      </c>
      <c r="R108" s="1" t="s">
        <v>26</v>
      </c>
      <c r="S108" s="9">
        <v>137810130.44</v>
      </c>
      <c r="T108" s="10">
        <v>1.1542000435900001E-3</v>
      </c>
      <c r="U108" s="1" t="s">
        <v>26</v>
      </c>
      <c r="V108" s="1" t="s">
        <v>26</v>
      </c>
      <c r="W108" s="9" t="s">
        <v>26</v>
      </c>
      <c r="X108" s="10" t="s">
        <v>26</v>
      </c>
      <c r="Y108" s="10" t="s">
        <v>26</v>
      </c>
      <c r="Z108" s="10" t="s">
        <v>26</v>
      </c>
      <c r="AA108" s="9" t="s">
        <v>26</v>
      </c>
      <c r="AB108" s="10" t="s">
        <v>26</v>
      </c>
      <c r="AC108" s="1" t="s">
        <v>26</v>
      </c>
      <c r="AD108" s="1" t="s">
        <v>26</v>
      </c>
      <c r="AE108" s="9">
        <v>137810130.44</v>
      </c>
      <c r="AF108" s="10">
        <v>1.9981955034E-4</v>
      </c>
      <c r="AG108" s="1" t="s">
        <v>26</v>
      </c>
      <c r="AH108" s="1" t="s">
        <v>26</v>
      </c>
      <c r="AI108" s="9" t="s">
        <v>26</v>
      </c>
      <c r="AJ108" s="10" t="s">
        <v>26</v>
      </c>
      <c r="AK108" s="10" t="s">
        <v>26</v>
      </c>
      <c r="AL108" s="10" t="s">
        <v>26</v>
      </c>
      <c r="AM108" s="9" t="s">
        <v>26</v>
      </c>
      <c r="AN108" s="10" t="s">
        <v>26</v>
      </c>
      <c r="AO108" s="10" t="s">
        <v>26</v>
      </c>
      <c r="AP108" s="10" t="s">
        <v>26</v>
      </c>
      <c r="AQ108" s="9" t="s">
        <v>26</v>
      </c>
      <c r="AR108" s="10" t="s">
        <v>26</v>
      </c>
      <c r="AS108" s="10" t="s">
        <v>26</v>
      </c>
      <c r="AT108" s="10" t="s">
        <v>26</v>
      </c>
      <c r="AU108" s="9">
        <v>176537794.84</v>
      </c>
      <c r="AV108" s="10">
        <v>3.61035081608E-3</v>
      </c>
      <c r="AW108" s="1" t="s">
        <v>26</v>
      </c>
      <c r="AX108" s="1" t="s">
        <v>26</v>
      </c>
      <c r="AY108" s="9">
        <v>314347925.27999997</v>
      </c>
      <c r="AZ108" s="10">
        <v>4.025913694E-4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 t="s">
        <v>26</v>
      </c>
      <c r="P109" s="1" t="s">
        <v>26</v>
      </c>
      <c r="Q109" s="1" t="s">
        <v>26</v>
      </c>
      <c r="R109" s="1" t="s">
        <v>26</v>
      </c>
      <c r="S109" s="2">
        <v>137810130.44</v>
      </c>
      <c r="T109" s="1">
        <v>1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137810130.44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>
        <v>176537794.84</v>
      </c>
      <c r="AV109" s="1">
        <v>1</v>
      </c>
      <c r="AW109" s="1" t="s">
        <v>26</v>
      </c>
      <c r="AX109" s="1" t="s">
        <v>26</v>
      </c>
      <c r="AY109" s="2">
        <v>314347925.27999997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96</v>
      </c>
      <c r="B110" s="20" t="s">
        <v>25</v>
      </c>
      <c r="C110" s="9">
        <v>1709204.52</v>
      </c>
      <c r="D110" s="10">
        <v>2.3635576043E-4</v>
      </c>
      <c r="E110" s="1" t="s">
        <v>26</v>
      </c>
      <c r="F110" s="1" t="s">
        <v>26</v>
      </c>
      <c r="G110" s="9" t="s">
        <v>26</v>
      </c>
      <c r="H110" s="10" t="s">
        <v>26</v>
      </c>
      <c r="I110" s="1" t="s">
        <v>26</v>
      </c>
      <c r="J110" s="1" t="s">
        <v>26</v>
      </c>
      <c r="K110" s="9">
        <v>89021068.659999996</v>
      </c>
      <c r="L110" s="10">
        <v>2.568117971894E-2</v>
      </c>
      <c r="M110" s="1" t="s">
        <v>26</v>
      </c>
      <c r="N110" s="1" t="s">
        <v>26</v>
      </c>
      <c r="O110" s="9" t="s">
        <v>26</v>
      </c>
      <c r="P110" s="10" t="s">
        <v>26</v>
      </c>
      <c r="Q110" s="1" t="s">
        <v>26</v>
      </c>
      <c r="R110" s="1" t="s">
        <v>26</v>
      </c>
      <c r="S110" s="9">
        <v>285603327.19</v>
      </c>
      <c r="T110" s="10">
        <v>2.3920111797299999E-3</v>
      </c>
      <c r="U110" s="1" t="s">
        <v>26</v>
      </c>
      <c r="V110" s="1" t="s">
        <v>26</v>
      </c>
      <c r="W110" s="9" t="s">
        <v>26</v>
      </c>
      <c r="X110" s="10" t="s">
        <v>26</v>
      </c>
      <c r="Y110" s="10" t="s">
        <v>26</v>
      </c>
      <c r="Z110" s="10" t="s">
        <v>26</v>
      </c>
      <c r="AA110" s="9" t="s">
        <v>26</v>
      </c>
      <c r="AB110" s="10" t="s">
        <v>26</v>
      </c>
      <c r="AC110" s="1" t="s">
        <v>26</v>
      </c>
      <c r="AD110" s="1" t="s">
        <v>26</v>
      </c>
      <c r="AE110" s="9">
        <v>376333600.37</v>
      </c>
      <c r="AF110" s="10">
        <v>5.4566968743E-4</v>
      </c>
      <c r="AG110" s="1" t="s">
        <v>26</v>
      </c>
      <c r="AH110" s="1" t="s">
        <v>26</v>
      </c>
      <c r="AI110" s="9" t="s">
        <v>26</v>
      </c>
      <c r="AJ110" s="10" t="s">
        <v>26</v>
      </c>
      <c r="AK110" s="10" t="s">
        <v>26</v>
      </c>
      <c r="AL110" s="10" t="s">
        <v>26</v>
      </c>
      <c r="AM110" s="9" t="s">
        <v>26</v>
      </c>
      <c r="AN110" s="10" t="s">
        <v>26</v>
      </c>
      <c r="AO110" s="10" t="s">
        <v>26</v>
      </c>
      <c r="AP110" s="10" t="s">
        <v>26</v>
      </c>
      <c r="AQ110" s="9" t="s">
        <v>26</v>
      </c>
      <c r="AR110" s="10" t="s">
        <v>26</v>
      </c>
      <c r="AS110" s="10" t="s">
        <v>26</v>
      </c>
      <c r="AT110" s="10" t="s">
        <v>26</v>
      </c>
      <c r="AU110" s="9" t="s">
        <v>26</v>
      </c>
      <c r="AV110" s="10" t="s">
        <v>26</v>
      </c>
      <c r="AW110" s="1" t="s">
        <v>26</v>
      </c>
      <c r="AX110" s="1" t="s">
        <v>26</v>
      </c>
      <c r="AY110" s="9">
        <v>376333600.37</v>
      </c>
      <c r="AZ110" s="10">
        <v>4.8197760297000002E-4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2">
        <v>1709204.52</v>
      </c>
      <c r="D111" s="1">
        <v>1</v>
      </c>
      <c r="E111" s="1" t="s">
        <v>26</v>
      </c>
      <c r="F111" s="1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>
        <v>89021068.659999996</v>
      </c>
      <c r="L111" s="1">
        <v>1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>
        <v>285603327.19</v>
      </c>
      <c r="T111" s="1">
        <v>1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376333600.37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376333600.37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117</v>
      </c>
      <c r="B112" s="20" t="s">
        <v>25</v>
      </c>
      <c r="C112" s="9" t="s">
        <v>26</v>
      </c>
      <c r="D112" s="10" t="s">
        <v>26</v>
      </c>
      <c r="E112" s="1" t="s">
        <v>26</v>
      </c>
      <c r="F112" s="1" t="s">
        <v>26</v>
      </c>
      <c r="G112" s="9">
        <v>969152982.40999997</v>
      </c>
      <c r="H112" s="10">
        <v>5.9699652198599998E-3</v>
      </c>
      <c r="I112" s="1" t="s">
        <v>26</v>
      </c>
      <c r="J112" s="1" t="s">
        <v>26</v>
      </c>
      <c r="K112" s="9" t="s">
        <v>26</v>
      </c>
      <c r="L112" s="10" t="s">
        <v>26</v>
      </c>
      <c r="M112" s="1" t="s">
        <v>26</v>
      </c>
      <c r="N112" s="1" t="s">
        <v>26</v>
      </c>
      <c r="O112" s="9" t="s">
        <v>26</v>
      </c>
      <c r="P112" s="10" t="s">
        <v>26</v>
      </c>
      <c r="Q112" s="1" t="s">
        <v>26</v>
      </c>
      <c r="R112" s="1" t="s">
        <v>26</v>
      </c>
      <c r="S112" s="9" t="s">
        <v>26</v>
      </c>
      <c r="T112" s="10" t="s">
        <v>26</v>
      </c>
      <c r="U112" s="1" t="s">
        <v>26</v>
      </c>
      <c r="V112" s="1" t="s">
        <v>26</v>
      </c>
      <c r="W112" s="9" t="s">
        <v>26</v>
      </c>
      <c r="X112" s="10" t="s">
        <v>26</v>
      </c>
      <c r="Y112" s="10" t="s">
        <v>26</v>
      </c>
      <c r="Z112" s="10" t="s">
        <v>26</v>
      </c>
      <c r="AA112" s="9" t="s">
        <v>26</v>
      </c>
      <c r="AB112" s="10" t="s">
        <v>26</v>
      </c>
      <c r="AC112" s="1" t="s">
        <v>26</v>
      </c>
      <c r="AD112" s="1" t="s">
        <v>26</v>
      </c>
      <c r="AE112" s="9">
        <v>969152982.40999997</v>
      </c>
      <c r="AF112" s="10">
        <v>1.4052356857400001E-3</v>
      </c>
      <c r="AG112" s="1" t="s">
        <v>26</v>
      </c>
      <c r="AH112" s="1" t="s">
        <v>26</v>
      </c>
      <c r="AI112" s="9" t="s">
        <v>26</v>
      </c>
      <c r="AJ112" s="10" t="s">
        <v>26</v>
      </c>
      <c r="AK112" s="10" t="s">
        <v>26</v>
      </c>
      <c r="AL112" s="10" t="s">
        <v>26</v>
      </c>
      <c r="AM112" s="9" t="s">
        <v>26</v>
      </c>
      <c r="AN112" s="10" t="s">
        <v>26</v>
      </c>
      <c r="AO112" s="10" t="s">
        <v>26</v>
      </c>
      <c r="AP112" s="10" t="s">
        <v>26</v>
      </c>
      <c r="AQ112" s="9" t="s">
        <v>26</v>
      </c>
      <c r="AR112" s="10" t="s">
        <v>26</v>
      </c>
      <c r="AS112" s="10" t="s">
        <v>26</v>
      </c>
      <c r="AT112" s="10" t="s">
        <v>26</v>
      </c>
      <c r="AU112" s="9" t="s">
        <v>26</v>
      </c>
      <c r="AV112" s="10" t="s">
        <v>26</v>
      </c>
      <c r="AW112" s="1" t="s">
        <v>26</v>
      </c>
      <c r="AX112" s="1" t="s">
        <v>26</v>
      </c>
      <c r="AY112" s="9">
        <v>969152982.40999997</v>
      </c>
      <c r="AZ112" s="10">
        <v>1.24121266587E-3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 t="s">
        <v>26</v>
      </c>
      <c r="D113" s="1" t="s">
        <v>26</v>
      </c>
      <c r="E113" s="1" t="s">
        <v>26</v>
      </c>
      <c r="F113" s="1" t="s">
        <v>26</v>
      </c>
      <c r="G113" s="2">
        <v>969152982.40999997</v>
      </c>
      <c r="H113" s="1">
        <v>1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 t="s">
        <v>26</v>
      </c>
      <c r="T113" s="1" t="s">
        <v>26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969152982.40999997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969152982.40999997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97</v>
      </c>
      <c r="B114" s="20" t="s">
        <v>25</v>
      </c>
      <c r="C114" s="9" t="s">
        <v>26</v>
      </c>
      <c r="D114" s="10" t="s">
        <v>26</v>
      </c>
      <c r="E114" s="1" t="s">
        <v>26</v>
      </c>
      <c r="F114" s="1" t="s">
        <v>26</v>
      </c>
      <c r="G114" s="9">
        <v>729830442.15999997</v>
      </c>
      <c r="H114" s="10">
        <v>4.4957426073800001E-3</v>
      </c>
      <c r="I114" s="1" t="s">
        <v>26</v>
      </c>
      <c r="J114" s="1" t="s">
        <v>26</v>
      </c>
      <c r="K114" s="9" t="s">
        <v>26</v>
      </c>
      <c r="L114" s="10" t="s">
        <v>26</v>
      </c>
      <c r="M114" s="10" t="s">
        <v>26</v>
      </c>
      <c r="N114" s="10" t="s">
        <v>26</v>
      </c>
      <c r="O114" s="9">
        <v>2103522831.24</v>
      </c>
      <c r="P114" s="10">
        <v>8.7076164578599995E-3</v>
      </c>
      <c r="Q114" s="1" t="s">
        <v>26</v>
      </c>
      <c r="R114" s="1" t="s">
        <v>26</v>
      </c>
      <c r="S114" s="9">
        <v>110917394.22</v>
      </c>
      <c r="T114" s="10">
        <v>9.2896553275999998E-4</v>
      </c>
      <c r="U114" s="1" t="s">
        <v>26</v>
      </c>
      <c r="V114" s="1" t="s">
        <v>26</v>
      </c>
      <c r="W114" s="9" t="s">
        <v>26</v>
      </c>
      <c r="X114" s="10" t="s">
        <v>26</v>
      </c>
      <c r="Y114" s="10" t="s">
        <v>26</v>
      </c>
      <c r="Z114" s="10" t="s">
        <v>26</v>
      </c>
      <c r="AA114" s="9" t="s">
        <v>26</v>
      </c>
      <c r="AB114" s="10" t="s">
        <v>26</v>
      </c>
      <c r="AC114" s="1" t="s">
        <v>26</v>
      </c>
      <c r="AD114" s="1" t="s">
        <v>26</v>
      </c>
      <c r="AE114" s="9">
        <v>2944270667.6199999</v>
      </c>
      <c r="AF114" s="10">
        <v>4.2690826791200003E-3</v>
      </c>
      <c r="AG114" s="1" t="s">
        <v>26</v>
      </c>
      <c r="AH114" s="1" t="s">
        <v>26</v>
      </c>
      <c r="AI114" s="9" t="s">
        <v>26</v>
      </c>
      <c r="AJ114" s="10" t="s">
        <v>26</v>
      </c>
      <c r="AK114" s="10" t="s">
        <v>26</v>
      </c>
      <c r="AL114" s="10" t="s">
        <v>26</v>
      </c>
      <c r="AM114" s="9" t="s">
        <v>26</v>
      </c>
      <c r="AN114" s="10" t="s">
        <v>26</v>
      </c>
      <c r="AO114" s="10" t="s">
        <v>26</v>
      </c>
      <c r="AP114" s="10" t="s">
        <v>26</v>
      </c>
      <c r="AQ114" s="9" t="s">
        <v>26</v>
      </c>
      <c r="AR114" s="10" t="s">
        <v>26</v>
      </c>
      <c r="AS114" s="10" t="s">
        <v>26</v>
      </c>
      <c r="AT114" s="10" t="s">
        <v>26</v>
      </c>
      <c r="AU114" s="9" t="s">
        <v>26</v>
      </c>
      <c r="AV114" s="10" t="s">
        <v>26</v>
      </c>
      <c r="AW114" s="1" t="s">
        <v>26</v>
      </c>
      <c r="AX114" s="1" t="s">
        <v>26</v>
      </c>
      <c r="AY114" s="9">
        <v>2944270667.6199999</v>
      </c>
      <c r="AZ114" s="10">
        <v>3.7707834683799999E-3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2" t="s">
        <v>26</v>
      </c>
      <c r="D115" s="1" t="s">
        <v>26</v>
      </c>
      <c r="E115" s="1" t="s">
        <v>26</v>
      </c>
      <c r="F115" s="1" t="s">
        <v>26</v>
      </c>
      <c r="G115" s="2">
        <v>729830442.15999997</v>
      </c>
      <c r="H115" s="1">
        <v>1</v>
      </c>
      <c r="I115" s="1" t="s">
        <v>26</v>
      </c>
      <c r="J115" s="1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2103522831.24</v>
      </c>
      <c r="P115" s="1">
        <v>1</v>
      </c>
      <c r="Q115" s="1" t="s">
        <v>26</v>
      </c>
      <c r="R115" s="1" t="s">
        <v>26</v>
      </c>
      <c r="S115" s="2">
        <v>110917394.22</v>
      </c>
      <c r="T115" s="1">
        <v>1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2944270667.6199999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2944270667.6199999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98</v>
      </c>
      <c r="B116" s="20" t="s">
        <v>25</v>
      </c>
      <c r="C116" s="9" t="s">
        <v>26</v>
      </c>
      <c r="D116" s="10" t="s">
        <v>26</v>
      </c>
      <c r="E116" s="1" t="s">
        <v>26</v>
      </c>
      <c r="F116" s="1" t="s">
        <v>26</v>
      </c>
      <c r="G116" s="9">
        <v>1499045238.5599999</v>
      </c>
      <c r="H116" s="10">
        <v>9.2340921398599996E-3</v>
      </c>
      <c r="I116" s="1" t="s">
        <v>26</v>
      </c>
      <c r="J116" s="1" t="s">
        <v>26</v>
      </c>
      <c r="K116" s="9" t="s">
        <v>26</v>
      </c>
      <c r="L116" s="10" t="s">
        <v>26</v>
      </c>
      <c r="M116" s="10" t="s">
        <v>26</v>
      </c>
      <c r="N116" s="10" t="s">
        <v>26</v>
      </c>
      <c r="O116" s="9">
        <v>3571584979.5599999</v>
      </c>
      <c r="P116" s="10">
        <v>1.478471813417E-2</v>
      </c>
      <c r="Q116" s="1" t="s">
        <v>26</v>
      </c>
      <c r="R116" s="1" t="s">
        <v>26</v>
      </c>
      <c r="S116" s="9">
        <v>1000043794.28</v>
      </c>
      <c r="T116" s="10">
        <v>8.3756585039700005E-3</v>
      </c>
      <c r="U116" s="1" t="s">
        <v>26</v>
      </c>
      <c r="V116" s="1" t="s">
        <v>26</v>
      </c>
      <c r="W116" s="9" t="s">
        <v>26</v>
      </c>
      <c r="X116" s="10" t="s">
        <v>26</v>
      </c>
      <c r="Y116" s="10" t="s">
        <v>26</v>
      </c>
      <c r="Z116" s="10" t="s">
        <v>26</v>
      </c>
      <c r="AA116" s="9" t="s">
        <v>26</v>
      </c>
      <c r="AB116" s="10" t="s">
        <v>26</v>
      </c>
      <c r="AC116" s="1" t="s">
        <v>26</v>
      </c>
      <c r="AD116" s="1" t="s">
        <v>26</v>
      </c>
      <c r="AE116" s="9">
        <v>6070674012.3999996</v>
      </c>
      <c r="AF116" s="10">
        <v>8.8022509485699996E-3</v>
      </c>
      <c r="AG116" s="1" t="s">
        <v>26</v>
      </c>
      <c r="AH116" s="1" t="s">
        <v>26</v>
      </c>
      <c r="AI116" s="9" t="s">
        <v>26</v>
      </c>
      <c r="AJ116" s="10" t="s">
        <v>26</v>
      </c>
      <c r="AK116" s="10" t="s">
        <v>26</v>
      </c>
      <c r="AL116" s="10" t="s">
        <v>26</v>
      </c>
      <c r="AM116" s="9" t="s">
        <v>26</v>
      </c>
      <c r="AN116" s="10" t="s">
        <v>26</v>
      </c>
      <c r="AO116" s="10" t="s">
        <v>26</v>
      </c>
      <c r="AP116" s="10" t="s">
        <v>26</v>
      </c>
      <c r="AQ116" s="9" t="s">
        <v>26</v>
      </c>
      <c r="AR116" s="10" t="s">
        <v>26</v>
      </c>
      <c r="AS116" s="10" t="s">
        <v>26</v>
      </c>
      <c r="AT116" s="10" t="s">
        <v>26</v>
      </c>
      <c r="AU116" s="9">
        <v>1000043794.28</v>
      </c>
      <c r="AV116" s="10">
        <v>2.045176180016E-2</v>
      </c>
      <c r="AW116" s="1" t="s">
        <v>26</v>
      </c>
      <c r="AX116" s="1" t="s">
        <v>26</v>
      </c>
      <c r="AY116" s="9">
        <v>7070717806.6800003</v>
      </c>
      <c r="AZ116" s="10">
        <v>9.0556028384900008E-3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40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1499045238.5599999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3571584979.5599999</v>
      </c>
      <c r="P117" s="1">
        <v>1</v>
      </c>
      <c r="Q117" s="1" t="s">
        <v>26</v>
      </c>
      <c r="R117" s="1" t="s">
        <v>26</v>
      </c>
      <c r="S117" s="2">
        <v>1000043794.28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6070674012.3999996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>
        <v>1000043794.28</v>
      </c>
      <c r="AV117" s="1">
        <v>1</v>
      </c>
      <c r="AW117" s="1" t="s">
        <v>26</v>
      </c>
      <c r="AX117" s="1" t="s">
        <v>26</v>
      </c>
      <c r="AY117" s="2">
        <v>7070717806.6800003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99</v>
      </c>
      <c r="B118" s="20" t="s">
        <v>25</v>
      </c>
      <c r="C118" s="9" t="s">
        <v>26</v>
      </c>
      <c r="D118" s="10" t="s">
        <v>26</v>
      </c>
      <c r="E118" s="1" t="s">
        <v>26</v>
      </c>
      <c r="F118" s="1" t="s">
        <v>26</v>
      </c>
      <c r="G118" s="9">
        <v>568359063</v>
      </c>
      <c r="H118" s="10">
        <v>3.5010817694299998E-3</v>
      </c>
      <c r="I118" s="1" t="s">
        <v>26</v>
      </c>
      <c r="J118" s="1" t="s">
        <v>26</v>
      </c>
      <c r="K118" s="9" t="s">
        <v>26</v>
      </c>
      <c r="L118" s="10" t="s">
        <v>26</v>
      </c>
      <c r="M118" s="10" t="s">
        <v>26</v>
      </c>
      <c r="N118" s="10" t="s">
        <v>26</v>
      </c>
      <c r="O118" s="9">
        <v>788075309.57000005</v>
      </c>
      <c r="P118" s="10">
        <v>3.26226910102E-3</v>
      </c>
      <c r="Q118" s="1" t="s">
        <v>26</v>
      </c>
      <c r="R118" s="1" t="s">
        <v>26</v>
      </c>
      <c r="S118" s="9">
        <v>262809230.72999999</v>
      </c>
      <c r="T118" s="10">
        <v>2.2011039725200001E-3</v>
      </c>
      <c r="U118" s="1" t="s">
        <v>26</v>
      </c>
      <c r="V118" s="1" t="s">
        <v>26</v>
      </c>
      <c r="W118" s="9" t="s">
        <v>26</v>
      </c>
      <c r="X118" s="10" t="s">
        <v>26</v>
      </c>
      <c r="Y118" s="10" t="s">
        <v>26</v>
      </c>
      <c r="Z118" s="10" t="s">
        <v>26</v>
      </c>
      <c r="AA118" s="9">
        <v>852538594.5</v>
      </c>
      <c r="AB118" s="10">
        <v>5.7282415990999999E-3</v>
      </c>
      <c r="AC118" s="1" t="s">
        <v>26</v>
      </c>
      <c r="AD118" s="1" t="s">
        <v>26</v>
      </c>
      <c r="AE118" s="9">
        <v>2471782197.8000002</v>
      </c>
      <c r="AF118" s="10">
        <v>3.5839920165099998E-3</v>
      </c>
      <c r="AG118" s="1" t="s">
        <v>26</v>
      </c>
      <c r="AH118" s="1" t="s">
        <v>26</v>
      </c>
      <c r="AI118" s="9" t="s">
        <v>26</v>
      </c>
      <c r="AJ118" s="10" t="s">
        <v>26</v>
      </c>
      <c r="AK118" s="10" t="s">
        <v>26</v>
      </c>
      <c r="AL118" s="10" t="s">
        <v>26</v>
      </c>
      <c r="AM118" s="9" t="s">
        <v>26</v>
      </c>
      <c r="AN118" s="10" t="s">
        <v>26</v>
      </c>
      <c r="AO118" s="10" t="s">
        <v>26</v>
      </c>
      <c r="AP118" s="10" t="s">
        <v>26</v>
      </c>
      <c r="AQ118" s="9" t="s">
        <v>26</v>
      </c>
      <c r="AR118" s="10" t="s">
        <v>26</v>
      </c>
      <c r="AS118" s="10" t="s">
        <v>26</v>
      </c>
      <c r="AT118" s="10" t="s">
        <v>26</v>
      </c>
      <c r="AU118" s="9" t="s">
        <v>26</v>
      </c>
      <c r="AV118" s="10" t="s">
        <v>26</v>
      </c>
      <c r="AW118" s="1" t="s">
        <v>26</v>
      </c>
      <c r="AX118" s="1" t="s">
        <v>26</v>
      </c>
      <c r="AY118" s="9">
        <v>2471782197.8000002</v>
      </c>
      <c r="AZ118" s="10">
        <v>3.1656584944399998E-3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47</v>
      </c>
      <c r="C119" s="2" t="s">
        <v>26</v>
      </c>
      <c r="D119" s="1" t="s">
        <v>26</v>
      </c>
      <c r="E119" s="1" t="s">
        <v>26</v>
      </c>
      <c r="F119" s="1" t="s">
        <v>26</v>
      </c>
      <c r="G119" s="2">
        <v>568359063</v>
      </c>
      <c r="H119" s="1">
        <v>1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788075309.57000005</v>
      </c>
      <c r="P119" s="1">
        <v>1</v>
      </c>
      <c r="Q119" s="1" t="s">
        <v>26</v>
      </c>
      <c r="R119" s="1" t="s">
        <v>26</v>
      </c>
      <c r="S119" s="2">
        <v>262809230.72999999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>
        <v>852538594.5</v>
      </c>
      <c r="AB119" s="1">
        <v>1</v>
      </c>
      <c r="AC119" s="1" t="s">
        <v>26</v>
      </c>
      <c r="AD119" s="1" t="s">
        <v>26</v>
      </c>
      <c r="AE119" s="2">
        <v>2471782197.8000002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" t="s">
        <v>26</v>
      </c>
      <c r="AX119" s="1" t="s">
        <v>26</v>
      </c>
      <c r="AY119" s="2">
        <v>2471782197.8000002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100</v>
      </c>
      <c r="B120" s="20" t="s">
        <v>25</v>
      </c>
      <c r="C120" s="9" t="s">
        <v>26</v>
      </c>
      <c r="D120" s="10" t="s">
        <v>26</v>
      </c>
      <c r="E120" s="1" t="s">
        <v>26</v>
      </c>
      <c r="F120" s="1" t="s">
        <v>26</v>
      </c>
      <c r="G120" s="9" t="s">
        <v>26</v>
      </c>
      <c r="H120" s="10" t="s">
        <v>26</v>
      </c>
      <c r="I120" s="1" t="s">
        <v>26</v>
      </c>
      <c r="J120" s="1" t="s">
        <v>26</v>
      </c>
      <c r="K120" s="9" t="s">
        <v>26</v>
      </c>
      <c r="L120" s="10" t="s">
        <v>26</v>
      </c>
      <c r="M120" s="10" t="s">
        <v>26</v>
      </c>
      <c r="N120" s="10" t="s">
        <v>26</v>
      </c>
      <c r="O120" s="9">
        <v>375424631.94999999</v>
      </c>
      <c r="P120" s="10">
        <v>1.5540852018800001E-3</v>
      </c>
      <c r="Q120" s="1" t="s">
        <v>26</v>
      </c>
      <c r="R120" s="1" t="s">
        <v>26</v>
      </c>
      <c r="S120" s="9" t="s">
        <v>26</v>
      </c>
      <c r="T120" s="10" t="s">
        <v>26</v>
      </c>
      <c r="U120" s="1" t="s">
        <v>26</v>
      </c>
      <c r="V120" s="1" t="s">
        <v>26</v>
      </c>
      <c r="W120" s="9" t="s">
        <v>26</v>
      </c>
      <c r="X120" s="10" t="s">
        <v>26</v>
      </c>
      <c r="Y120" s="10" t="s">
        <v>26</v>
      </c>
      <c r="Z120" s="10" t="s">
        <v>26</v>
      </c>
      <c r="AA120" s="9" t="s">
        <v>26</v>
      </c>
      <c r="AB120" s="10" t="s">
        <v>26</v>
      </c>
      <c r="AC120" s="1" t="s">
        <v>26</v>
      </c>
      <c r="AD120" s="1" t="s">
        <v>26</v>
      </c>
      <c r="AE120" s="9">
        <v>375424631.94999999</v>
      </c>
      <c r="AF120" s="10">
        <v>5.4435171711999999E-4</v>
      </c>
      <c r="AG120" s="1" t="s">
        <v>26</v>
      </c>
      <c r="AH120" s="1" t="s">
        <v>26</v>
      </c>
      <c r="AI120" s="9" t="s">
        <v>26</v>
      </c>
      <c r="AJ120" s="10" t="s">
        <v>26</v>
      </c>
      <c r="AK120" s="10" t="s">
        <v>26</v>
      </c>
      <c r="AL120" s="10" t="s">
        <v>26</v>
      </c>
      <c r="AM120" s="9" t="s">
        <v>26</v>
      </c>
      <c r="AN120" s="10" t="s">
        <v>26</v>
      </c>
      <c r="AO120" s="10" t="s">
        <v>26</v>
      </c>
      <c r="AP120" s="10" t="s">
        <v>26</v>
      </c>
      <c r="AQ120" s="9" t="s">
        <v>26</v>
      </c>
      <c r="AR120" s="10" t="s">
        <v>26</v>
      </c>
      <c r="AS120" s="10" t="s">
        <v>26</v>
      </c>
      <c r="AT120" s="10" t="s">
        <v>26</v>
      </c>
      <c r="AU120" s="9" t="s">
        <v>26</v>
      </c>
      <c r="AV120" s="10" t="s">
        <v>26</v>
      </c>
      <c r="AW120" s="1" t="s">
        <v>26</v>
      </c>
      <c r="AX120" s="1" t="s">
        <v>26</v>
      </c>
      <c r="AY120" s="9">
        <v>375424631.94999999</v>
      </c>
      <c r="AZ120" s="10">
        <v>4.8081346981999998E-4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57</v>
      </c>
      <c r="C121" s="2" t="s">
        <v>26</v>
      </c>
      <c r="D121" s="1" t="s">
        <v>26</v>
      </c>
      <c r="E121" s="1" t="s">
        <v>26</v>
      </c>
      <c r="F121" s="1" t="s">
        <v>26</v>
      </c>
      <c r="G121" s="2" t="s">
        <v>26</v>
      </c>
      <c r="H121" s="1" t="s">
        <v>26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375424631.94999999</v>
      </c>
      <c r="P121" s="1">
        <v>1</v>
      </c>
      <c r="Q121" s="1" t="s">
        <v>26</v>
      </c>
      <c r="R121" s="1" t="s">
        <v>26</v>
      </c>
      <c r="S121" s="2" t="s">
        <v>26</v>
      </c>
      <c r="T121" s="1" t="s">
        <v>26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375424631.94999999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375424631.94999999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101</v>
      </c>
      <c r="B122" s="20" t="s">
        <v>25</v>
      </c>
      <c r="C122" s="9" t="s">
        <v>26</v>
      </c>
      <c r="D122" s="10" t="s">
        <v>26</v>
      </c>
      <c r="E122" s="1" t="s">
        <v>26</v>
      </c>
      <c r="F122" s="1" t="s">
        <v>26</v>
      </c>
      <c r="G122" s="9" t="s">
        <v>26</v>
      </c>
      <c r="H122" s="10" t="s">
        <v>26</v>
      </c>
      <c r="I122" s="1" t="s">
        <v>26</v>
      </c>
      <c r="J122" s="1" t="s">
        <v>26</v>
      </c>
      <c r="K122" s="9" t="s">
        <v>26</v>
      </c>
      <c r="L122" s="10" t="s">
        <v>26</v>
      </c>
      <c r="M122" s="10" t="s">
        <v>26</v>
      </c>
      <c r="N122" s="10" t="s">
        <v>26</v>
      </c>
      <c r="O122" s="9">
        <v>32681000.809999999</v>
      </c>
      <c r="P122" s="10">
        <v>1.3528430321E-4</v>
      </c>
      <c r="Q122" s="1" t="s">
        <v>26</v>
      </c>
      <c r="R122" s="1" t="s">
        <v>26</v>
      </c>
      <c r="S122" s="9" t="s">
        <v>26</v>
      </c>
      <c r="T122" s="10" t="s">
        <v>26</v>
      </c>
      <c r="U122" s="1" t="s">
        <v>26</v>
      </c>
      <c r="V122" s="1" t="s">
        <v>26</v>
      </c>
      <c r="W122" s="9" t="s">
        <v>26</v>
      </c>
      <c r="X122" s="10" t="s">
        <v>26</v>
      </c>
      <c r="Y122" s="10" t="s">
        <v>26</v>
      </c>
      <c r="Z122" s="10" t="s">
        <v>26</v>
      </c>
      <c r="AA122" s="9" t="s">
        <v>26</v>
      </c>
      <c r="AB122" s="10" t="s">
        <v>26</v>
      </c>
      <c r="AC122" s="1" t="s">
        <v>26</v>
      </c>
      <c r="AD122" s="1" t="s">
        <v>26</v>
      </c>
      <c r="AE122" s="9">
        <v>32681000.809999999</v>
      </c>
      <c r="AF122" s="10">
        <v>4.7386232529999999E-5</v>
      </c>
      <c r="AG122" s="1" t="s">
        <v>26</v>
      </c>
      <c r="AH122" s="1" t="s">
        <v>26</v>
      </c>
      <c r="AI122" s="9" t="s">
        <v>26</v>
      </c>
      <c r="AJ122" s="10" t="s">
        <v>26</v>
      </c>
      <c r="AK122" s="10" t="s">
        <v>26</v>
      </c>
      <c r="AL122" s="10" t="s">
        <v>26</v>
      </c>
      <c r="AM122" s="9" t="s">
        <v>26</v>
      </c>
      <c r="AN122" s="10" t="s">
        <v>26</v>
      </c>
      <c r="AO122" s="10" t="s">
        <v>26</v>
      </c>
      <c r="AP122" s="10" t="s">
        <v>26</v>
      </c>
      <c r="AQ122" s="9" t="s">
        <v>26</v>
      </c>
      <c r="AR122" s="10" t="s">
        <v>26</v>
      </c>
      <c r="AS122" s="10" t="s">
        <v>26</v>
      </c>
      <c r="AT122" s="10" t="s">
        <v>26</v>
      </c>
      <c r="AU122" s="9" t="s">
        <v>26</v>
      </c>
      <c r="AV122" s="10" t="s">
        <v>26</v>
      </c>
      <c r="AW122" s="1" t="s">
        <v>26</v>
      </c>
      <c r="AX122" s="1" t="s">
        <v>26</v>
      </c>
      <c r="AY122" s="9">
        <v>32681000.809999999</v>
      </c>
      <c r="AZ122" s="10">
        <v>4.1855179599999997E-5</v>
      </c>
      <c r="BA122" s="1" t="s">
        <v>26</v>
      </c>
      <c r="BB122" s="1" t="s">
        <v>26</v>
      </c>
    </row>
    <row r="123" spans="1:54" s="28" customFormat="1">
      <c r="A123" s="3" t="s">
        <v>88</v>
      </c>
      <c r="B123" s="23" t="s">
        <v>57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32681000.809999999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32681000.809999999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32681000.809999999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102</v>
      </c>
      <c r="B124" s="20" t="s">
        <v>25</v>
      </c>
      <c r="C124" s="9" t="s">
        <v>26</v>
      </c>
      <c r="D124" s="10" t="s">
        <v>26</v>
      </c>
      <c r="E124" s="1" t="s">
        <v>26</v>
      </c>
      <c r="F124" s="1" t="s">
        <v>26</v>
      </c>
      <c r="G124" s="9" t="s">
        <v>26</v>
      </c>
      <c r="H124" s="10" t="s">
        <v>26</v>
      </c>
      <c r="I124" s="1" t="s">
        <v>26</v>
      </c>
      <c r="J124" s="1" t="s">
        <v>26</v>
      </c>
      <c r="K124" s="9" t="s">
        <v>26</v>
      </c>
      <c r="L124" s="10" t="s">
        <v>26</v>
      </c>
      <c r="M124" s="10" t="s">
        <v>26</v>
      </c>
      <c r="N124" s="10" t="s">
        <v>26</v>
      </c>
      <c r="O124" s="9">
        <v>1831820813.79</v>
      </c>
      <c r="P124" s="10">
        <v>7.5828951457599996E-3</v>
      </c>
      <c r="Q124" s="1" t="s">
        <v>26</v>
      </c>
      <c r="R124" s="1" t="s">
        <v>26</v>
      </c>
      <c r="S124" s="9" t="s">
        <v>26</v>
      </c>
      <c r="T124" s="10" t="s">
        <v>26</v>
      </c>
      <c r="U124" s="1" t="s">
        <v>26</v>
      </c>
      <c r="V124" s="1" t="s">
        <v>26</v>
      </c>
      <c r="W124" s="9" t="s">
        <v>26</v>
      </c>
      <c r="X124" s="10" t="s">
        <v>26</v>
      </c>
      <c r="Y124" s="10" t="s">
        <v>26</v>
      </c>
      <c r="Z124" s="10" t="s">
        <v>26</v>
      </c>
      <c r="AA124" s="9" t="s">
        <v>26</v>
      </c>
      <c r="AB124" s="10" t="s">
        <v>26</v>
      </c>
      <c r="AC124" s="1" t="s">
        <v>26</v>
      </c>
      <c r="AD124" s="1" t="s">
        <v>26</v>
      </c>
      <c r="AE124" s="9">
        <v>1831820813.79</v>
      </c>
      <c r="AF124" s="10">
        <v>2.6560718732200001E-3</v>
      </c>
      <c r="AG124" s="1" t="s">
        <v>26</v>
      </c>
      <c r="AH124" s="1" t="s">
        <v>26</v>
      </c>
      <c r="AI124" s="9" t="s">
        <v>26</v>
      </c>
      <c r="AJ124" s="10" t="s">
        <v>26</v>
      </c>
      <c r="AK124" s="10" t="s">
        <v>26</v>
      </c>
      <c r="AL124" s="10" t="s">
        <v>26</v>
      </c>
      <c r="AM124" s="9" t="s">
        <v>26</v>
      </c>
      <c r="AN124" s="10" t="s">
        <v>26</v>
      </c>
      <c r="AO124" s="10" t="s">
        <v>26</v>
      </c>
      <c r="AP124" s="10" t="s">
        <v>26</v>
      </c>
      <c r="AQ124" s="9" t="s">
        <v>26</v>
      </c>
      <c r="AR124" s="10" t="s">
        <v>26</v>
      </c>
      <c r="AS124" s="10" t="s">
        <v>26</v>
      </c>
      <c r="AT124" s="10" t="s">
        <v>26</v>
      </c>
      <c r="AU124" s="9" t="s">
        <v>26</v>
      </c>
      <c r="AV124" s="10" t="s">
        <v>26</v>
      </c>
      <c r="AW124" s="1" t="s">
        <v>26</v>
      </c>
      <c r="AX124" s="1" t="s">
        <v>26</v>
      </c>
      <c r="AY124" s="9">
        <v>1831820813.79</v>
      </c>
      <c r="AZ124" s="10">
        <v>2.3460477725900002E-3</v>
      </c>
      <c r="BA124" s="1" t="s">
        <v>26</v>
      </c>
      <c r="BB124" s="1" t="s">
        <v>26</v>
      </c>
    </row>
    <row r="125" spans="1:54" s="7" customFormat="1">
      <c r="A125" s="3" t="s">
        <v>88</v>
      </c>
      <c r="B125" s="23" t="s">
        <v>47</v>
      </c>
      <c r="C125" s="2" t="s">
        <v>26</v>
      </c>
      <c r="D125" s="1" t="s">
        <v>26</v>
      </c>
      <c r="E125" s="1" t="s">
        <v>26</v>
      </c>
      <c r="F125" s="1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1831820813.79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1831820813.79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1831820813.79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103</v>
      </c>
      <c r="B126" s="20" t="s">
        <v>25</v>
      </c>
      <c r="C126" s="9" t="s">
        <v>26</v>
      </c>
      <c r="D126" s="10" t="s">
        <v>26</v>
      </c>
      <c r="E126" s="1" t="s">
        <v>26</v>
      </c>
      <c r="F126" s="1" t="s">
        <v>26</v>
      </c>
      <c r="G126" s="9" t="s">
        <v>26</v>
      </c>
      <c r="H126" s="10" t="s">
        <v>26</v>
      </c>
      <c r="I126" s="1" t="s">
        <v>26</v>
      </c>
      <c r="J126" s="1" t="s">
        <v>26</v>
      </c>
      <c r="K126" s="9" t="s">
        <v>26</v>
      </c>
      <c r="L126" s="10" t="s">
        <v>26</v>
      </c>
      <c r="M126" s="10" t="s">
        <v>26</v>
      </c>
      <c r="N126" s="10" t="s">
        <v>26</v>
      </c>
      <c r="O126" s="9">
        <v>616778802</v>
      </c>
      <c r="P126" s="10">
        <v>2.5531803921499999E-3</v>
      </c>
      <c r="Q126" s="1" t="s">
        <v>26</v>
      </c>
      <c r="R126" s="1" t="s">
        <v>26</v>
      </c>
      <c r="S126" s="9" t="s">
        <v>26</v>
      </c>
      <c r="T126" s="10" t="s">
        <v>26</v>
      </c>
      <c r="U126" s="1" t="s">
        <v>26</v>
      </c>
      <c r="V126" s="1" t="s">
        <v>26</v>
      </c>
      <c r="W126" s="9" t="s">
        <v>26</v>
      </c>
      <c r="X126" s="10" t="s">
        <v>26</v>
      </c>
      <c r="Y126" s="10" t="s">
        <v>26</v>
      </c>
      <c r="Z126" s="10" t="s">
        <v>26</v>
      </c>
      <c r="AA126" s="9" t="s">
        <v>26</v>
      </c>
      <c r="AB126" s="10" t="s">
        <v>26</v>
      </c>
      <c r="AC126" s="1" t="s">
        <v>26</v>
      </c>
      <c r="AD126" s="1" t="s">
        <v>26</v>
      </c>
      <c r="AE126" s="9">
        <v>616778802</v>
      </c>
      <c r="AF126" s="10">
        <v>8.9430626383000004E-4</v>
      </c>
      <c r="AG126" s="1" t="s">
        <v>26</v>
      </c>
      <c r="AH126" s="1" t="s">
        <v>26</v>
      </c>
      <c r="AI126" s="9" t="s">
        <v>26</v>
      </c>
      <c r="AJ126" s="10" t="s">
        <v>26</v>
      </c>
      <c r="AK126" s="10" t="s">
        <v>26</v>
      </c>
      <c r="AL126" s="10" t="s">
        <v>26</v>
      </c>
      <c r="AM126" s="9" t="s">
        <v>26</v>
      </c>
      <c r="AN126" s="10" t="s">
        <v>26</v>
      </c>
      <c r="AO126" s="10" t="s">
        <v>26</v>
      </c>
      <c r="AP126" s="10" t="s">
        <v>26</v>
      </c>
      <c r="AQ126" s="9" t="s">
        <v>26</v>
      </c>
      <c r="AR126" s="10" t="s">
        <v>26</v>
      </c>
      <c r="AS126" s="10" t="s">
        <v>26</v>
      </c>
      <c r="AT126" s="10" t="s">
        <v>26</v>
      </c>
      <c r="AU126" s="9" t="s">
        <v>26</v>
      </c>
      <c r="AV126" s="10" t="s">
        <v>26</v>
      </c>
      <c r="AW126" s="1" t="s">
        <v>26</v>
      </c>
      <c r="AX126" s="1" t="s">
        <v>26</v>
      </c>
      <c r="AY126" s="9">
        <v>616778802</v>
      </c>
      <c r="AZ126" s="10">
        <v>7.8992034795000003E-4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120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616778802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616778802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616778802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121</v>
      </c>
      <c r="B128" s="20" t="s">
        <v>25</v>
      </c>
      <c r="C128" s="9">
        <v>59148701.310000002</v>
      </c>
      <c r="D128" s="10">
        <v>8.1793232541500002E-3</v>
      </c>
      <c r="E128" s="1" t="s">
        <v>26</v>
      </c>
      <c r="F128" s="1" t="s">
        <v>26</v>
      </c>
      <c r="G128" s="9" t="s">
        <v>26</v>
      </c>
      <c r="H128" s="10" t="s">
        <v>26</v>
      </c>
      <c r="I128" s="1" t="s">
        <v>26</v>
      </c>
      <c r="J128" s="1" t="s">
        <v>26</v>
      </c>
      <c r="K128" s="9">
        <v>37357074.509999998</v>
      </c>
      <c r="L128" s="10">
        <v>1.077692908776E-2</v>
      </c>
      <c r="M128" s="1" t="s">
        <v>26</v>
      </c>
      <c r="N128" s="1" t="s">
        <v>26</v>
      </c>
      <c r="O128" s="9" t="s">
        <v>26</v>
      </c>
      <c r="P128" s="10" t="s">
        <v>26</v>
      </c>
      <c r="Q128" s="1" t="s">
        <v>26</v>
      </c>
      <c r="R128" s="1" t="s">
        <v>26</v>
      </c>
      <c r="S128" s="9" t="s">
        <v>26</v>
      </c>
      <c r="T128" s="10" t="s">
        <v>26</v>
      </c>
      <c r="U128" s="1" t="s">
        <v>26</v>
      </c>
      <c r="V128" s="1" t="s">
        <v>26</v>
      </c>
      <c r="W128" s="9" t="s">
        <v>26</v>
      </c>
      <c r="X128" s="10" t="s">
        <v>26</v>
      </c>
      <c r="Y128" s="10" t="s">
        <v>26</v>
      </c>
      <c r="Z128" s="10" t="s">
        <v>26</v>
      </c>
      <c r="AA128" s="9" t="s">
        <v>26</v>
      </c>
      <c r="AB128" s="10" t="s">
        <v>26</v>
      </c>
      <c r="AC128" s="1" t="s">
        <v>26</v>
      </c>
      <c r="AD128" s="1" t="s">
        <v>26</v>
      </c>
      <c r="AE128" s="9">
        <v>96505775.819999993</v>
      </c>
      <c r="AF128" s="10">
        <v>1.3992977633E-4</v>
      </c>
      <c r="AG128" s="1" t="s">
        <v>26</v>
      </c>
      <c r="AH128" s="1" t="s">
        <v>26</v>
      </c>
      <c r="AI128" s="9" t="s">
        <v>26</v>
      </c>
      <c r="AJ128" s="10" t="s">
        <v>26</v>
      </c>
      <c r="AK128" s="10" t="s">
        <v>26</v>
      </c>
      <c r="AL128" s="10" t="s">
        <v>26</v>
      </c>
      <c r="AM128" s="9" t="s">
        <v>26</v>
      </c>
      <c r="AN128" s="10" t="s">
        <v>26</v>
      </c>
      <c r="AO128" s="10" t="s">
        <v>26</v>
      </c>
      <c r="AP128" s="10" t="s">
        <v>26</v>
      </c>
      <c r="AQ128" s="9" t="s">
        <v>26</v>
      </c>
      <c r="AR128" s="10" t="s">
        <v>26</v>
      </c>
      <c r="AS128" s="10" t="s">
        <v>26</v>
      </c>
      <c r="AT128" s="10" t="s">
        <v>26</v>
      </c>
      <c r="AU128" s="9" t="s">
        <v>26</v>
      </c>
      <c r="AV128" s="10" t="s">
        <v>26</v>
      </c>
      <c r="AW128" s="1" t="s">
        <v>26</v>
      </c>
      <c r="AX128" s="1" t="s">
        <v>26</v>
      </c>
      <c r="AY128" s="9">
        <v>96505775.819999993</v>
      </c>
      <c r="AZ128" s="10">
        <v>1.2359678343E-4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47</v>
      </c>
      <c r="C129" s="2">
        <v>59148701.310000002</v>
      </c>
      <c r="D129" s="1">
        <v>1</v>
      </c>
      <c r="E129" s="1" t="s">
        <v>26</v>
      </c>
      <c r="F129" s="1" t="s">
        <v>26</v>
      </c>
      <c r="G129" s="2" t="s">
        <v>26</v>
      </c>
      <c r="H129" s="1" t="s">
        <v>26</v>
      </c>
      <c r="I129" s="1" t="s">
        <v>26</v>
      </c>
      <c r="J129" s="1" t="s">
        <v>26</v>
      </c>
      <c r="K129" s="2">
        <v>37357074.509999998</v>
      </c>
      <c r="L129" s="1">
        <v>1</v>
      </c>
      <c r="M129" s="1" t="s">
        <v>26</v>
      </c>
      <c r="N129" s="1" t="s">
        <v>26</v>
      </c>
      <c r="O129" s="2" t="s">
        <v>26</v>
      </c>
      <c r="P129" s="1" t="s">
        <v>26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96505775.819999993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96505775.819999993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126</v>
      </c>
      <c r="B130" s="20" t="s">
        <v>25</v>
      </c>
      <c r="C130" s="9" t="s">
        <v>26</v>
      </c>
      <c r="D130" s="10" t="s">
        <v>26</v>
      </c>
      <c r="E130" s="1" t="s">
        <v>26</v>
      </c>
      <c r="F130" s="1" t="s">
        <v>26</v>
      </c>
      <c r="G130" s="9" t="s">
        <v>26</v>
      </c>
      <c r="H130" s="10" t="s">
        <v>26</v>
      </c>
      <c r="I130" s="1" t="s">
        <v>26</v>
      </c>
      <c r="J130" s="1" t="s">
        <v>26</v>
      </c>
      <c r="K130" s="9">
        <v>59648361.409999996</v>
      </c>
      <c r="L130" s="10">
        <v>1.720761514514E-2</v>
      </c>
      <c r="M130" s="1" t="s">
        <v>26</v>
      </c>
      <c r="N130" s="1" t="s">
        <v>26</v>
      </c>
      <c r="O130" s="9" t="s">
        <v>26</v>
      </c>
      <c r="P130" s="10" t="s">
        <v>26</v>
      </c>
      <c r="Q130" s="10" t="s">
        <v>26</v>
      </c>
      <c r="R130" s="10" t="s">
        <v>26</v>
      </c>
      <c r="S130" s="9" t="s">
        <v>26</v>
      </c>
      <c r="T130" s="10" t="s">
        <v>26</v>
      </c>
      <c r="U130" s="1" t="s">
        <v>26</v>
      </c>
      <c r="V130" s="1" t="s">
        <v>26</v>
      </c>
      <c r="W130" s="9" t="s">
        <v>26</v>
      </c>
      <c r="X130" s="10" t="s">
        <v>26</v>
      </c>
      <c r="Y130" s="10" t="s">
        <v>26</v>
      </c>
      <c r="Z130" s="10" t="s">
        <v>26</v>
      </c>
      <c r="AA130" s="9" t="s">
        <v>26</v>
      </c>
      <c r="AB130" s="10" t="s">
        <v>26</v>
      </c>
      <c r="AC130" s="1" t="s">
        <v>26</v>
      </c>
      <c r="AD130" s="1" t="s">
        <v>26</v>
      </c>
      <c r="AE130" s="9">
        <v>59648361.409999996</v>
      </c>
      <c r="AF130" s="10">
        <v>8.6487899820000006E-5</v>
      </c>
      <c r="AG130" s="1" t="s">
        <v>26</v>
      </c>
      <c r="AH130" s="1" t="s">
        <v>26</v>
      </c>
      <c r="AI130" s="9" t="s">
        <v>26</v>
      </c>
      <c r="AJ130" s="10" t="s">
        <v>26</v>
      </c>
      <c r="AK130" s="10" t="s">
        <v>26</v>
      </c>
      <c r="AL130" s="10" t="s">
        <v>26</v>
      </c>
      <c r="AM130" s="9" t="s">
        <v>26</v>
      </c>
      <c r="AN130" s="10" t="s">
        <v>26</v>
      </c>
      <c r="AO130" s="10" t="s">
        <v>26</v>
      </c>
      <c r="AP130" s="10" t="s">
        <v>26</v>
      </c>
      <c r="AQ130" s="9" t="s">
        <v>26</v>
      </c>
      <c r="AR130" s="10" t="s">
        <v>26</v>
      </c>
      <c r="AS130" s="10" t="s">
        <v>26</v>
      </c>
      <c r="AT130" s="10" t="s">
        <v>26</v>
      </c>
      <c r="AU130" s="9" t="s">
        <v>26</v>
      </c>
      <c r="AV130" s="10" t="s">
        <v>26</v>
      </c>
      <c r="AW130" s="1" t="s">
        <v>26</v>
      </c>
      <c r="AX130" s="1" t="s">
        <v>26</v>
      </c>
      <c r="AY130" s="9">
        <v>59648361.409999996</v>
      </c>
      <c r="AZ130" s="10">
        <v>7.6392791460000006E-5</v>
      </c>
      <c r="BA130" s="1" t="s">
        <v>26</v>
      </c>
      <c r="BB130" s="1" t="s">
        <v>26</v>
      </c>
    </row>
    <row r="131" spans="1:54" s="25" customFormat="1">
      <c r="A131" s="3" t="s">
        <v>88</v>
      </c>
      <c r="B131" s="23" t="s">
        <v>47</v>
      </c>
      <c r="C131" s="2" t="s">
        <v>26</v>
      </c>
      <c r="D131" s="1" t="s">
        <v>26</v>
      </c>
      <c r="E131" s="1" t="s">
        <v>26</v>
      </c>
      <c r="F131" s="1" t="s">
        <v>26</v>
      </c>
      <c r="G131" s="2" t="s">
        <v>26</v>
      </c>
      <c r="H131" s="1" t="s">
        <v>26</v>
      </c>
      <c r="I131" s="1" t="s">
        <v>26</v>
      </c>
      <c r="J131" s="1" t="s">
        <v>26</v>
      </c>
      <c r="K131" s="2">
        <v>59648361.409999996</v>
      </c>
      <c r="L131" s="1">
        <v>1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59648361.409999996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59648361.409999996</v>
      </c>
      <c r="AZ131" s="1">
        <v>1</v>
      </c>
      <c r="BA131" s="1" t="s">
        <v>26</v>
      </c>
      <c r="BB131" s="1" t="s">
        <v>26</v>
      </c>
    </row>
    <row r="132" spans="1:54" s="7" customFormat="1">
      <c r="A132" s="12" t="s">
        <v>106</v>
      </c>
      <c r="B132" s="40" t="s">
        <v>25</v>
      </c>
      <c r="C132" s="42" t="s">
        <v>26</v>
      </c>
      <c r="D132" s="43" t="s">
        <v>26</v>
      </c>
      <c r="E132" s="43" t="s">
        <v>26</v>
      </c>
      <c r="F132" s="43" t="s">
        <v>26</v>
      </c>
      <c r="G132" s="42">
        <v>150979232.09</v>
      </c>
      <c r="H132" s="43">
        <v>9.3002939769000004E-4</v>
      </c>
      <c r="I132" s="43">
        <v>0.05</v>
      </c>
      <c r="J132" s="43">
        <f>+I132-H132</f>
        <v>4.9069970602310005E-2</v>
      </c>
      <c r="K132" s="42" t="s">
        <v>26</v>
      </c>
      <c r="L132" s="43" t="s">
        <v>26</v>
      </c>
      <c r="M132" s="43" t="s">
        <v>26</v>
      </c>
      <c r="N132" s="43" t="s">
        <v>26</v>
      </c>
      <c r="O132" s="42" t="s">
        <v>26</v>
      </c>
      <c r="P132" s="43" t="s">
        <v>26</v>
      </c>
      <c r="Q132" s="43" t="s">
        <v>26</v>
      </c>
      <c r="R132" s="43" t="s">
        <v>26</v>
      </c>
      <c r="S132" s="42">
        <v>150979232.09</v>
      </c>
      <c r="T132" s="43">
        <v>1.2644951115300001E-3</v>
      </c>
      <c r="U132" s="43">
        <v>0.05</v>
      </c>
      <c r="V132" s="43">
        <f>+U132-T132</f>
        <v>4.8735504888470005E-2</v>
      </c>
      <c r="W132" s="42" t="s">
        <v>26</v>
      </c>
      <c r="X132" s="43" t="s">
        <v>26</v>
      </c>
      <c r="Y132" s="43" t="s">
        <v>26</v>
      </c>
      <c r="Z132" s="43" t="s">
        <v>26</v>
      </c>
      <c r="AA132" s="42">
        <v>150979232.09</v>
      </c>
      <c r="AB132" s="43">
        <v>1.0144356202E-3</v>
      </c>
      <c r="AC132" s="43">
        <v>0.05</v>
      </c>
      <c r="AD132" s="43">
        <f>+AC132-AB132</f>
        <v>4.8985564379800006E-2</v>
      </c>
      <c r="AE132" s="42">
        <v>452937696.26999998</v>
      </c>
      <c r="AF132" s="43">
        <v>6.5674276999000002E-4</v>
      </c>
      <c r="AG132" s="43">
        <v>0.05</v>
      </c>
      <c r="AH132" s="43">
        <f>+AG132-AF132</f>
        <v>4.9343257230010006E-2</v>
      </c>
      <c r="AI132" s="42" t="s">
        <v>26</v>
      </c>
      <c r="AJ132" s="43" t="s">
        <v>26</v>
      </c>
      <c r="AK132" s="43" t="s">
        <v>26</v>
      </c>
      <c r="AL132" s="43" t="s">
        <v>26</v>
      </c>
      <c r="AM132" s="42" t="s">
        <v>26</v>
      </c>
      <c r="AN132" s="43" t="s">
        <v>26</v>
      </c>
      <c r="AO132" s="43" t="s">
        <v>26</v>
      </c>
      <c r="AP132" s="43" t="s">
        <v>26</v>
      </c>
      <c r="AQ132" s="42" t="s">
        <v>26</v>
      </c>
      <c r="AR132" s="43" t="s">
        <v>26</v>
      </c>
      <c r="AS132" s="43" t="s">
        <v>26</v>
      </c>
      <c r="AT132" s="43" t="s">
        <v>26</v>
      </c>
      <c r="AU132" s="42" t="s">
        <v>26</v>
      </c>
      <c r="AV132" s="43" t="s">
        <v>26</v>
      </c>
      <c r="AW132" s="43" t="s">
        <v>26</v>
      </c>
      <c r="AX132" s="43" t="s">
        <v>26</v>
      </c>
      <c r="AY132" s="42">
        <v>452937696.26999998</v>
      </c>
      <c r="AZ132" s="43">
        <v>5.8008592622999997E-4</v>
      </c>
      <c r="BA132" s="43">
        <v>0.05</v>
      </c>
      <c r="BB132" s="43">
        <f>+BA132-AZ132</f>
        <v>4.9419914073769999E-2</v>
      </c>
    </row>
    <row r="133" spans="1:54" s="7" customFormat="1">
      <c r="A133" s="5" t="s">
        <v>107</v>
      </c>
      <c r="B133" s="20" t="s">
        <v>25</v>
      </c>
      <c r="C133" s="9" t="s">
        <v>26</v>
      </c>
      <c r="D133" s="10" t="s">
        <v>26</v>
      </c>
      <c r="E133" s="10" t="s">
        <v>26</v>
      </c>
      <c r="F133" s="10" t="s">
        <v>26</v>
      </c>
      <c r="G133" s="9">
        <v>150979232.09</v>
      </c>
      <c r="H133" s="10">
        <v>9.3002939769000004E-4</v>
      </c>
      <c r="I133" s="10" t="s">
        <v>26</v>
      </c>
      <c r="J133" s="10" t="s">
        <v>26</v>
      </c>
      <c r="K133" s="9" t="s">
        <v>26</v>
      </c>
      <c r="L133" s="10" t="s">
        <v>26</v>
      </c>
      <c r="M133" s="10" t="s">
        <v>26</v>
      </c>
      <c r="N133" s="10" t="s">
        <v>26</v>
      </c>
      <c r="O133" s="9" t="s">
        <v>26</v>
      </c>
      <c r="P133" s="10" t="s">
        <v>26</v>
      </c>
      <c r="Q133" s="10" t="s">
        <v>26</v>
      </c>
      <c r="R133" s="10" t="s">
        <v>26</v>
      </c>
      <c r="S133" s="9">
        <v>150979232.09</v>
      </c>
      <c r="T133" s="10">
        <v>1.2644951115300001E-3</v>
      </c>
      <c r="U133" s="10" t="s">
        <v>26</v>
      </c>
      <c r="V133" s="10" t="s">
        <v>26</v>
      </c>
      <c r="W133" s="9" t="s">
        <v>26</v>
      </c>
      <c r="X133" s="10" t="s">
        <v>26</v>
      </c>
      <c r="Y133" s="10" t="s">
        <v>26</v>
      </c>
      <c r="Z133" s="10" t="s">
        <v>26</v>
      </c>
      <c r="AA133" s="9">
        <v>150979232.09</v>
      </c>
      <c r="AB133" s="10">
        <v>1.0144356202E-3</v>
      </c>
      <c r="AC133" s="10" t="s">
        <v>26</v>
      </c>
      <c r="AD133" s="10" t="s">
        <v>26</v>
      </c>
      <c r="AE133" s="9">
        <v>452937696.26999998</v>
      </c>
      <c r="AF133" s="10">
        <v>6.5674276999000002E-4</v>
      </c>
      <c r="AG133" s="10" t="s">
        <v>26</v>
      </c>
      <c r="AH133" s="10" t="s">
        <v>26</v>
      </c>
      <c r="AI133" s="9" t="s">
        <v>26</v>
      </c>
      <c r="AJ133" s="10" t="s">
        <v>26</v>
      </c>
      <c r="AK133" s="10" t="s">
        <v>26</v>
      </c>
      <c r="AL133" s="10" t="s">
        <v>26</v>
      </c>
      <c r="AM133" s="9" t="s">
        <v>26</v>
      </c>
      <c r="AN133" s="10" t="s">
        <v>26</v>
      </c>
      <c r="AO133" s="10" t="s">
        <v>26</v>
      </c>
      <c r="AP133" s="10" t="s">
        <v>26</v>
      </c>
      <c r="AQ133" s="9" t="s">
        <v>26</v>
      </c>
      <c r="AR133" s="10" t="s">
        <v>26</v>
      </c>
      <c r="AS133" s="10" t="s">
        <v>26</v>
      </c>
      <c r="AT133" s="10" t="s">
        <v>26</v>
      </c>
      <c r="AU133" s="9" t="s">
        <v>26</v>
      </c>
      <c r="AV133" s="10" t="s">
        <v>26</v>
      </c>
      <c r="AW133" s="10" t="s">
        <v>26</v>
      </c>
      <c r="AX133" s="10" t="s">
        <v>26</v>
      </c>
      <c r="AY133" s="9">
        <v>452937696.26999998</v>
      </c>
      <c r="AZ133" s="10">
        <v>5.8008592622999997E-4</v>
      </c>
      <c r="BA133" s="10" t="s">
        <v>26</v>
      </c>
      <c r="BB133" s="10" t="s">
        <v>26</v>
      </c>
    </row>
    <row r="134" spans="1:54" s="25" customFormat="1">
      <c r="A134" s="3" t="s">
        <v>108</v>
      </c>
      <c r="B134" s="23" t="s">
        <v>40</v>
      </c>
      <c r="C134" s="2" t="s">
        <v>26</v>
      </c>
      <c r="D134" s="1" t="s">
        <v>26</v>
      </c>
      <c r="E134" s="1" t="s">
        <v>26</v>
      </c>
      <c r="F134" s="1" t="s">
        <v>26</v>
      </c>
      <c r="G134" s="2">
        <v>150979232.09</v>
      </c>
      <c r="H134" s="1">
        <v>1</v>
      </c>
      <c r="I134" s="1" t="s">
        <v>26</v>
      </c>
      <c r="J134" s="1" t="s">
        <v>26</v>
      </c>
      <c r="K134" s="2" t="s">
        <v>26</v>
      </c>
      <c r="L134" s="1" t="s">
        <v>26</v>
      </c>
      <c r="M134" s="1" t="s">
        <v>26</v>
      </c>
      <c r="N134" s="1" t="s">
        <v>26</v>
      </c>
      <c r="O134" s="2" t="s">
        <v>26</v>
      </c>
      <c r="P134" s="1" t="s">
        <v>26</v>
      </c>
      <c r="Q134" s="1" t="s">
        <v>26</v>
      </c>
      <c r="R134" s="1" t="s">
        <v>26</v>
      </c>
      <c r="S134" s="2">
        <v>150979232.09</v>
      </c>
      <c r="T134" s="1">
        <v>1</v>
      </c>
      <c r="U134" s="1" t="s">
        <v>26</v>
      </c>
      <c r="V134" s="1" t="s">
        <v>26</v>
      </c>
      <c r="W134" s="2" t="s">
        <v>26</v>
      </c>
      <c r="X134" s="1" t="s">
        <v>26</v>
      </c>
      <c r="Y134" s="1" t="s">
        <v>26</v>
      </c>
      <c r="Z134" s="1" t="s">
        <v>26</v>
      </c>
      <c r="AA134" s="2">
        <v>150979232.09</v>
      </c>
      <c r="AB134" s="1">
        <v>1</v>
      </c>
      <c r="AC134" s="1" t="s">
        <v>26</v>
      </c>
      <c r="AD134" s="1" t="s">
        <v>26</v>
      </c>
      <c r="AE134" s="2">
        <v>452937696.26999998</v>
      </c>
      <c r="AF134" s="1">
        <v>1</v>
      </c>
      <c r="AG134" s="1" t="s">
        <v>26</v>
      </c>
      <c r="AH134" s="1" t="s">
        <v>26</v>
      </c>
      <c r="AI134" s="2" t="s">
        <v>26</v>
      </c>
      <c r="AJ134" s="1" t="s">
        <v>26</v>
      </c>
      <c r="AK134" s="1" t="s">
        <v>26</v>
      </c>
      <c r="AL134" s="1" t="s">
        <v>26</v>
      </c>
      <c r="AM134" s="2" t="s">
        <v>26</v>
      </c>
      <c r="AN134" s="1" t="s">
        <v>26</v>
      </c>
      <c r="AO134" s="1" t="s">
        <v>26</v>
      </c>
      <c r="AP134" s="1" t="s">
        <v>26</v>
      </c>
      <c r="AQ134" s="2" t="s">
        <v>26</v>
      </c>
      <c r="AR134" s="1" t="s">
        <v>26</v>
      </c>
      <c r="AS134" s="1" t="s">
        <v>26</v>
      </c>
      <c r="AT134" s="1" t="s">
        <v>26</v>
      </c>
      <c r="AU134" s="2" t="s">
        <v>26</v>
      </c>
      <c r="AV134" s="1" t="s">
        <v>26</v>
      </c>
      <c r="AW134" s="1" t="s">
        <v>26</v>
      </c>
      <c r="AX134" s="1" t="s">
        <v>26</v>
      </c>
      <c r="AY134" s="2">
        <v>452937696.26999998</v>
      </c>
      <c r="AZ134" s="1">
        <v>1</v>
      </c>
      <c r="BA134" s="1" t="s">
        <v>26</v>
      </c>
      <c r="BB134" s="1" t="s">
        <v>26</v>
      </c>
    </row>
    <row r="135" spans="1:54" s="7" customFormat="1">
      <c r="A135" s="12" t="s">
        <v>109</v>
      </c>
      <c r="B135" s="40" t="s">
        <v>25</v>
      </c>
      <c r="C135" s="42">
        <v>7229174803.6099997</v>
      </c>
      <c r="D135" s="43">
        <v>0.99970000000000003</v>
      </c>
      <c r="E135" s="43" t="s">
        <v>26</v>
      </c>
      <c r="F135" s="43" t="s">
        <v>26</v>
      </c>
      <c r="G135" s="42">
        <v>162337185003.85001</v>
      </c>
      <c r="H135" s="43">
        <v>1</v>
      </c>
      <c r="I135" s="43" t="s">
        <v>26</v>
      </c>
      <c r="J135" s="43" t="s">
        <v>26</v>
      </c>
      <c r="K135" s="42">
        <v>3462321458.8800001</v>
      </c>
      <c r="L135" s="43">
        <v>0.99880000000000002</v>
      </c>
      <c r="M135" s="43" t="s">
        <v>26</v>
      </c>
      <c r="N135" s="43" t="s">
        <v>26</v>
      </c>
      <c r="O135" s="42">
        <v>241572545918.17999</v>
      </c>
      <c r="P135" s="43">
        <v>1</v>
      </c>
      <c r="Q135" s="43" t="s">
        <v>26</v>
      </c>
      <c r="R135" s="43" t="s">
        <v>26</v>
      </c>
      <c r="S135" s="42">
        <v>119398677922.28</v>
      </c>
      <c r="T135" s="43">
        <v>1</v>
      </c>
      <c r="U135" s="43" t="s">
        <v>26</v>
      </c>
      <c r="V135" s="43" t="s">
        <v>26</v>
      </c>
      <c r="W135" s="42">
        <v>6827753989.3999996</v>
      </c>
      <c r="X135" s="43">
        <v>0.999</v>
      </c>
      <c r="Y135" s="43" t="s">
        <v>26</v>
      </c>
      <c r="Z135" s="43" t="s">
        <v>26</v>
      </c>
      <c r="AA135" s="42">
        <v>148830572387.85001</v>
      </c>
      <c r="AB135" s="43">
        <v>1</v>
      </c>
      <c r="AC135" s="43" t="s">
        <v>26</v>
      </c>
      <c r="AD135" s="43" t="s">
        <v>26</v>
      </c>
      <c r="AE135" s="42">
        <v>689658231484.05005</v>
      </c>
      <c r="AF135" s="43">
        <v>1</v>
      </c>
      <c r="AG135" s="43" t="s">
        <v>26</v>
      </c>
      <c r="AH135" s="43" t="s">
        <v>26</v>
      </c>
      <c r="AI135" s="42">
        <v>17732079537.77</v>
      </c>
      <c r="AJ135" s="43">
        <v>1</v>
      </c>
      <c r="AK135" s="43" t="s">
        <v>26</v>
      </c>
      <c r="AL135" s="43" t="s">
        <v>26</v>
      </c>
      <c r="AM135" s="42">
        <v>24507560497.02</v>
      </c>
      <c r="AN135" s="43">
        <v>1</v>
      </c>
      <c r="AO135" s="43" t="s">
        <v>26</v>
      </c>
      <c r="AP135" s="43" t="s">
        <v>26</v>
      </c>
      <c r="AQ135" s="42">
        <v>42239640034.790001</v>
      </c>
      <c r="AR135" s="43">
        <v>1</v>
      </c>
      <c r="AS135" s="43" t="s">
        <v>26</v>
      </c>
      <c r="AT135" s="43" t="s">
        <v>26</v>
      </c>
      <c r="AU135" s="42">
        <v>48897598294.099998</v>
      </c>
      <c r="AV135" s="43">
        <v>1</v>
      </c>
      <c r="AW135" s="43" t="s">
        <v>26</v>
      </c>
      <c r="AX135" s="43" t="s">
        <v>26</v>
      </c>
      <c r="AY135" s="42">
        <v>780795469812.93994</v>
      </c>
      <c r="AZ135" s="43">
        <v>1</v>
      </c>
      <c r="BA135" s="43" t="s">
        <v>26</v>
      </c>
      <c r="BB135" s="43" t="s">
        <v>26</v>
      </c>
    </row>
    <row r="136" spans="1:54" s="41" customFormat="1">
      <c r="A136" s="3" t="s">
        <v>110</v>
      </c>
      <c r="B136" s="23" t="s">
        <v>25</v>
      </c>
      <c r="C136" s="2">
        <v>2316051.09</v>
      </c>
      <c r="D136" s="1">
        <v>2.9999999999999997E-4</v>
      </c>
      <c r="E136" s="1" t="s">
        <v>26</v>
      </c>
      <c r="F136" s="1" t="s">
        <v>26</v>
      </c>
      <c r="G136" s="2">
        <v>943732.01</v>
      </c>
      <c r="H136" s="1">
        <v>0</v>
      </c>
      <c r="I136" s="1" t="s">
        <v>26</v>
      </c>
      <c r="J136" s="1" t="s">
        <v>26</v>
      </c>
      <c r="K136" s="2">
        <v>4071815.66</v>
      </c>
      <c r="L136" s="1">
        <v>1.1999999999999999E-3</v>
      </c>
      <c r="M136" s="1" t="s">
        <v>26</v>
      </c>
      <c r="N136" s="1" t="s">
        <v>26</v>
      </c>
      <c r="O136" s="2">
        <v>201505.81</v>
      </c>
      <c r="P136" s="1">
        <v>0</v>
      </c>
      <c r="Q136" s="1" t="s">
        <v>26</v>
      </c>
      <c r="R136" s="1" t="s">
        <v>26</v>
      </c>
      <c r="S136" s="2">
        <v>148307.98000000001</v>
      </c>
      <c r="T136" s="1">
        <v>0</v>
      </c>
      <c r="U136" s="1" t="s">
        <v>26</v>
      </c>
      <c r="V136" s="1" t="s">
        <v>26</v>
      </c>
      <c r="W136" s="2">
        <v>6800263.79</v>
      </c>
      <c r="X136" s="1">
        <v>1E-3</v>
      </c>
      <c r="Y136" s="1" t="s">
        <v>26</v>
      </c>
      <c r="Z136" s="1" t="s">
        <v>26</v>
      </c>
      <c r="AA136" s="2">
        <v>195265.81</v>
      </c>
      <c r="AB136" s="1">
        <v>0</v>
      </c>
      <c r="AC136" s="1" t="s">
        <v>26</v>
      </c>
      <c r="AD136" s="1" t="s">
        <v>26</v>
      </c>
      <c r="AE136" s="2">
        <v>14676942.15</v>
      </c>
      <c r="AF136" s="1">
        <v>0</v>
      </c>
      <c r="AG136" s="1" t="s">
        <v>26</v>
      </c>
      <c r="AH136" s="1" t="s">
        <v>26</v>
      </c>
      <c r="AI136" s="2">
        <v>82481.149999999994</v>
      </c>
      <c r="AJ136" s="1">
        <v>0</v>
      </c>
      <c r="AK136" s="1" t="s">
        <v>26</v>
      </c>
      <c r="AL136" s="1" t="s">
        <v>26</v>
      </c>
      <c r="AM136" s="2">
        <v>1071004.22</v>
      </c>
      <c r="AN136" s="1">
        <v>0</v>
      </c>
      <c r="AO136" s="1" t="s">
        <v>26</v>
      </c>
      <c r="AP136" s="1" t="s">
        <v>26</v>
      </c>
      <c r="AQ136" s="2">
        <v>1153485.3700000001</v>
      </c>
      <c r="AR136" s="1">
        <v>0</v>
      </c>
      <c r="AS136" s="1" t="s">
        <v>26</v>
      </c>
      <c r="AT136" s="1" t="s">
        <v>26</v>
      </c>
      <c r="AU136" s="2">
        <v>86123.09</v>
      </c>
      <c r="AV136" s="1">
        <v>0</v>
      </c>
      <c r="AW136" s="1" t="s">
        <v>26</v>
      </c>
      <c r="AX136" s="1" t="s">
        <v>26</v>
      </c>
      <c r="AY136" s="2">
        <v>15916550.609999999</v>
      </c>
      <c r="AZ136" s="1">
        <v>0</v>
      </c>
      <c r="BA136" s="1" t="s">
        <v>26</v>
      </c>
      <c r="BB136" s="1" t="s">
        <v>26</v>
      </c>
    </row>
    <row r="137" spans="1:54">
      <c r="A137" s="12" t="s">
        <v>111</v>
      </c>
      <c r="B137" s="40" t="s">
        <v>25</v>
      </c>
      <c r="C137" s="42">
        <v>7231490854.6999998</v>
      </c>
      <c r="D137" s="43">
        <v>1</v>
      </c>
      <c r="E137" s="43" t="s">
        <v>26</v>
      </c>
      <c r="F137" s="43" t="s">
        <v>26</v>
      </c>
      <c r="G137" s="42">
        <v>162338128735.85999</v>
      </c>
      <c r="H137" s="43">
        <v>1</v>
      </c>
      <c r="I137" s="43" t="s">
        <v>26</v>
      </c>
      <c r="J137" s="43" t="s">
        <v>26</v>
      </c>
      <c r="K137" s="42">
        <v>3466393274.54</v>
      </c>
      <c r="L137" s="43">
        <v>1</v>
      </c>
      <c r="M137" s="43" t="s">
        <v>26</v>
      </c>
      <c r="N137" s="43" t="s">
        <v>26</v>
      </c>
      <c r="O137" s="42">
        <v>241572747423.98999</v>
      </c>
      <c r="P137" s="43">
        <v>1</v>
      </c>
      <c r="Q137" s="43" t="s">
        <v>26</v>
      </c>
      <c r="R137" s="43" t="s">
        <v>26</v>
      </c>
      <c r="S137" s="42">
        <v>119398826230.25999</v>
      </c>
      <c r="T137" s="43">
        <v>1</v>
      </c>
      <c r="U137" s="43" t="s">
        <v>26</v>
      </c>
      <c r="V137" s="43" t="s">
        <v>26</v>
      </c>
      <c r="W137" s="42">
        <v>6834554253.1899996</v>
      </c>
      <c r="X137" s="43">
        <v>1</v>
      </c>
      <c r="Y137" s="43" t="s">
        <v>26</v>
      </c>
      <c r="Z137" s="43" t="s">
        <v>26</v>
      </c>
      <c r="AA137" s="42">
        <v>148830767653.66</v>
      </c>
      <c r="AB137" s="43">
        <v>1</v>
      </c>
      <c r="AC137" s="43" t="s">
        <v>26</v>
      </c>
      <c r="AD137" s="43" t="s">
        <v>26</v>
      </c>
      <c r="AE137" s="42">
        <v>689672908426.19995</v>
      </c>
      <c r="AF137" s="43">
        <v>1</v>
      </c>
      <c r="AG137" s="43" t="s">
        <v>26</v>
      </c>
      <c r="AH137" s="43" t="s">
        <v>26</v>
      </c>
      <c r="AI137" s="42">
        <v>17732162018.919998</v>
      </c>
      <c r="AJ137" s="43">
        <v>1</v>
      </c>
      <c r="AK137" s="43" t="s">
        <v>26</v>
      </c>
      <c r="AL137" s="43" t="s">
        <v>26</v>
      </c>
      <c r="AM137" s="42">
        <v>24508631501.240002</v>
      </c>
      <c r="AN137" s="43">
        <v>1</v>
      </c>
      <c r="AO137" s="43" t="s">
        <v>26</v>
      </c>
      <c r="AP137" s="43" t="s">
        <v>26</v>
      </c>
      <c r="AQ137" s="42">
        <v>42240793520.160004</v>
      </c>
      <c r="AR137" s="43">
        <v>1</v>
      </c>
      <c r="AS137" s="43" t="s">
        <v>26</v>
      </c>
      <c r="AT137" s="43" t="s">
        <v>26</v>
      </c>
      <c r="AU137" s="42">
        <v>48897684417.190002</v>
      </c>
      <c r="AV137" s="43">
        <v>1</v>
      </c>
      <c r="AW137" s="43" t="s">
        <v>26</v>
      </c>
      <c r="AX137" s="43" t="s">
        <v>26</v>
      </c>
      <c r="AY137" s="42">
        <v>780811386363.55005</v>
      </c>
      <c r="AZ137" s="43">
        <v>1</v>
      </c>
      <c r="BA137" s="43" t="s">
        <v>26</v>
      </c>
      <c r="BB137" s="43" t="s">
        <v>26</v>
      </c>
    </row>
    <row r="138" spans="1:54">
      <c r="A138" s="24"/>
    </row>
    <row r="139" spans="1:54">
      <c r="A139" s="17" t="s">
        <v>112</v>
      </c>
      <c r="AY139" s="39"/>
    </row>
    <row r="140" spans="1:54">
      <c r="A140" s="24" t="s">
        <v>113</v>
      </c>
    </row>
    <row r="141" spans="1:54">
      <c r="A141" s="24" t="s">
        <v>114</v>
      </c>
      <c r="AY141" s="37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"/>
  <sheetViews>
    <sheetView zoomScaleNormal="100" workbookViewId="0">
      <pane xSplit="2" ySplit="7" topLeftCell="C119" activePane="bottomRight" state="frozen"/>
      <selection pane="topRight" activeCell="C1" sqref="C1"/>
      <selection pane="bottomLeft" activeCell="A8" sqref="A8"/>
      <selection pane="bottomRight" activeCell="A135" sqref="A135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8.85546875" style="13" bestFit="1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127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16"/>
      <c r="E4" s="16"/>
      <c r="F4" s="4"/>
      <c r="G4" s="4"/>
      <c r="H4" s="1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5" spans="1:54">
      <c r="H5" s="37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3152373840.5799999</v>
      </c>
      <c r="D8" s="43">
        <v>0.42989695268631001</v>
      </c>
      <c r="E8" s="43" t="s">
        <v>26</v>
      </c>
      <c r="F8" s="43" t="s">
        <v>26</v>
      </c>
      <c r="G8" s="42">
        <v>81768558569.020004</v>
      </c>
      <c r="H8" s="43">
        <f>+H9+H11</f>
        <v>0.49600152667442227</v>
      </c>
      <c r="I8" s="43" t="s">
        <v>26</v>
      </c>
      <c r="J8" s="43" t="s">
        <v>26</v>
      </c>
      <c r="K8" s="42">
        <v>1122762611.52</v>
      </c>
      <c r="L8" s="43">
        <v>0.31188724962135</v>
      </c>
      <c r="M8" s="43" t="s">
        <v>26</v>
      </c>
      <c r="N8" s="43" t="s">
        <v>26</v>
      </c>
      <c r="O8" s="42">
        <v>115168104088.52</v>
      </c>
      <c r="P8" s="43">
        <f>+P9+P11</f>
        <v>0.46987197496054689</v>
      </c>
      <c r="Q8" s="43" t="s">
        <v>26</v>
      </c>
      <c r="R8" s="43" t="s">
        <v>26</v>
      </c>
      <c r="S8" s="42">
        <v>66140117383.230003</v>
      </c>
      <c r="T8" s="43">
        <f>+S8/S139</f>
        <v>0.54898600825012167</v>
      </c>
      <c r="U8" s="43" t="s">
        <v>26</v>
      </c>
      <c r="V8" s="43" t="s">
        <v>26</v>
      </c>
      <c r="W8" s="42">
        <v>2467907001.9699998</v>
      </c>
      <c r="X8" s="43">
        <v>0.35557632972254999</v>
      </c>
      <c r="Y8" s="43" t="s">
        <v>26</v>
      </c>
      <c r="Z8" s="43" t="s">
        <v>26</v>
      </c>
      <c r="AA8" s="42">
        <f>+AA9+AA11</f>
        <v>69838556692.959991</v>
      </c>
      <c r="AB8" s="43">
        <f>+AA8/AA139</f>
        <v>0.46150235852440147</v>
      </c>
      <c r="AC8" s="43" t="s">
        <v>26</v>
      </c>
      <c r="AD8" s="43" t="s">
        <v>26</v>
      </c>
      <c r="AE8" s="42">
        <f>+AE9+AE11</f>
        <v>339658380187.79999</v>
      </c>
      <c r="AF8" s="43">
        <f>+AE8/AE139</f>
        <v>0.48547602469427548</v>
      </c>
      <c r="AG8" s="43" t="s">
        <v>26</v>
      </c>
      <c r="AH8" s="43" t="s">
        <v>26</v>
      </c>
      <c r="AI8" s="42">
        <v>7652012988.5699997</v>
      </c>
      <c r="AJ8" s="43">
        <v>0.42649416809145002</v>
      </c>
      <c r="AK8" s="43" t="s">
        <v>26</v>
      </c>
      <c r="AL8" s="43" t="s">
        <v>26</v>
      </c>
      <c r="AM8" s="42">
        <v>8491468226.4200001</v>
      </c>
      <c r="AN8" s="43">
        <v>0.34421253785794997</v>
      </c>
      <c r="AO8" s="43" t="s">
        <v>26</v>
      </c>
      <c r="AP8" s="43" t="s">
        <v>26</v>
      </c>
      <c r="AQ8" s="42">
        <v>16143481214.99</v>
      </c>
      <c r="AR8" s="43">
        <v>0.37885785951805001</v>
      </c>
      <c r="AS8" s="43" t="s">
        <v>26</v>
      </c>
      <c r="AT8" s="43" t="s">
        <v>26</v>
      </c>
      <c r="AU8" s="42">
        <v>25489251456.689999</v>
      </c>
      <c r="AV8" s="43">
        <v>0.51278321993876996</v>
      </c>
      <c r="AW8" s="43" t="s">
        <v>26</v>
      </c>
      <c r="AX8" s="43" t="s">
        <v>26</v>
      </c>
      <c r="AY8" s="42">
        <v>381291112859.47998</v>
      </c>
      <c r="AZ8" s="43">
        <v>0.48145343827332998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3152373840.5799999</v>
      </c>
      <c r="D9" s="10">
        <v>0.42989695268631001</v>
      </c>
      <c r="E9" s="10">
        <v>0.6</v>
      </c>
      <c r="F9" s="10">
        <f>E9-D9</f>
        <v>0.17010304731368997</v>
      </c>
      <c r="G9" s="9">
        <f>+G10</f>
        <v>75841274884.419998</v>
      </c>
      <c r="H9" s="10">
        <f>+G9/G139</f>
        <v>0.46004709861498155</v>
      </c>
      <c r="I9" s="10">
        <v>0.6</v>
      </c>
      <c r="J9" s="10">
        <f>I9-H9</f>
        <v>0.13995290138501842</v>
      </c>
      <c r="K9" s="9">
        <v>1122762611.52</v>
      </c>
      <c r="L9" s="10">
        <v>0.31188724962135</v>
      </c>
      <c r="M9" s="10">
        <v>0.6</v>
      </c>
      <c r="N9" s="10">
        <f>M9-L9</f>
        <v>0.28811275037864997</v>
      </c>
      <c r="O9" s="9">
        <f>+O10</f>
        <v>113592497033.12</v>
      </c>
      <c r="P9" s="10">
        <f>+O9/O137</f>
        <v>0.46344368819884474</v>
      </c>
      <c r="Q9" s="10">
        <v>0.6</v>
      </c>
      <c r="R9" s="10">
        <f>Q9-P9</f>
        <v>0.13655631180115524</v>
      </c>
      <c r="S9" s="9">
        <f>+S10</f>
        <v>64585346833.230003</v>
      </c>
      <c r="T9" s="10">
        <f>S9/S137</f>
        <v>0.53608253460109512</v>
      </c>
      <c r="U9" s="10">
        <v>0.6</v>
      </c>
      <c r="V9" s="10">
        <f>U9-T9</f>
        <v>6.391746539890486E-2</v>
      </c>
      <c r="W9" s="9">
        <v>2467907001.9699998</v>
      </c>
      <c r="X9" s="10">
        <v>0.35557632972254999</v>
      </c>
      <c r="Y9" s="10">
        <v>0.6</v>
      </c>
      <c r="Z9" s="10">
        <f>Y9-X9</f>
        <v>0.24442367027744999</v>
      </c>
      <c r="AA9" s="9">
        <f>AA10</f>
        <v>68463026723.959999</v>
      </c>
      <c r="AB9" s="10">
        <f>AA9/AA137</f>
        <v>0.45241327025454869</v>
      </c>
      <c r="AC9" s="10">
        <v>0.6</v>
      </c>
      <c r="AD9" s="10">
        <f>AC9-AB9</f>
        <v>0.14758672974545128</v>
      </c>
      <c r="AE9" s="9">
        <f>+AE10</f>
        <v>329225188928.79999</v>
      </c>
      <c r="AF9" s="10">
        <f>+AE9/AE139</f>
        <v>0.47056379372121993</v>
      </c>
      <c r="AG9" s="10">
        <v>0.6</v>
      </c>
      <c r="AH9" s="10">
        <f>AG9-AF9</f>
        <v>0.12943620627878005</v>
      </c>
      <c r="AI9" s="9">
        <v>7652012988.5699997</v>
      </c>
      <c r="AJ9" s="10">
        <v>0.42649416809145002</v>
      </c>
      <c r="AK9" s="10">
        <v>0.6</v>
      </c>
      <c r="AL9" s="10">
        <f>AK9-AJ9</f>
        <v>0.17350583190854996</v>
      </c>
      <c r="AM9" s="9">
        <v>8491468226.4200001</v>
      </c>
      <c r="AN9" s="10">
        <v>0.34421253785794997</v>
      </c>
      <c r="AO9" s="10">
        <v>0.6</v>
      </c>
      <c r="AP9" s="10">
        <f>AO9-AN9</f>
        <v>0.25578746214205</v>
      </c>
      <c r="AQ9" s="9">
        <v>16143481214.99</v>
      </c>
      <c r="AR9" s="10">
        <v>0.37885785951805001</v>
      </c>
      <c r="AS9" s="10">
        <v>0.6</v>
      </c>
      <c r="AT9" s="10">
        <f>AS9-AR9</f>
        <v>0.22114214048194997</v>
      </c>
      <c r="AU9" s="9">
        <v>25489251456.689999</v>
      </c>
      <c r="AV9" s="10">
        <v>0.51278321993876996</v>
      </c>
      <c r="AW9" s="10">
        <v>0.6</v>
      </c>
      <c r="AX9" s="10">
        <f>AW9-AV9</f>
        <v>8.7216780061230015E-2</v>
      </c>
      <c r="AY9" s="9">
        <f>+AY10</f>
        <v>370857921600.47998</v>
      </c>
      <c r="AZ9" s="10">
        <f>+AY9/AY139</f>
        <v>0.4682795256527616</v>
      </c>
      <c r="BA9" s="10">
        <v>0.6</v>
      </c>
      <c r="BB9" s="10">
        <f>BA9-AZ9</f>
        <v>0.13172047434723838</v>
      </c>
    </row>
    <row r="10" spans="1:54" ht="17.25">
      <c r="A10" s="3" t="s">
        <v>28</v>
      </c>
      <c r="B10" s="23" t="s">
        <v>29</v>
      </c>
      <c r="C10" s="2">
        <v>3152373840.5799999</v>
      </c>
      <c r="D10" s="1">
        <v>1</v>
      </c>
      <c r="E10" s="1" t="s">
        <v>26</v>
      </c>
      <c r="F10" s="1" t="s">
        <v>26</v>
      </c>
      <c r="G10" s="2">
        <v>75841274884.419998</v>
      </c>
      <c r="H10" s="1">
        <f>+G10/G8</f>
        <v>0.92751145686887893</v>
      </c>
      <c r="I10" s="1" t="s">
        <v>26</v>
      </c>
      <c r="J10" s="1" t="s">
        <v>26</v>
      </c>
      <c r="K10" s="2">
        <v>1122762611.52</v>
      </c>
      <c r="L10" s="1">
        <v>1</v>
      </c>
      <c r="M10" s="1" t="s">
        <v>26</v>
      </c>
      <c r="N10" s="1" t="s">
        <v>26</v>
      </c>
      <c r="O10" s="2">
        <v>113592497033.12</v>
      </c>
      <c r="P10" s="1">
        <f>+O10/O8</f>
        <v>0.98631906752420817</v>
      </c>
      <c r="Q10" s="1" t="s">
        <v>26</v>
      </c>
      <c r="R10" s="1" t="s">
        <v>26</v>
      </c>
      <c r="S10" s="2">
        <v>64585346833.230003</v>
      </c>
      <c r="T10" s="1">
        <f>+S10/S8</f>
        <v>0.97649277607127116</v>
      </c>
      <c r="U10" s="1" t="s">
        <v>26</v>
      </c>
      <c r="V10" s="1" t="s">
        <v>26</v>
      </c>
      <c r="W10" s="2">
        <v>2467907001.9699998</v>
      </c>
      <c r="X10" s="1">
        <v>1</v>
      </c>
      <c r="Y10" s="1" t="s">
        <v>26</v>
      </c>
      <c r="Z10" s="1" t="s">
        <v>26</v>
      </c>
      <c r="AA10" s="2">
        <v>68463026723.959999</v>
      </c>
      <c r="AB10" s="1">
        <v>0.98030414667578003</v>
      </c>
      <c r="AC10" s="1" t="s">
        <v>26</v>
      </c>
      <c r="AD10" s="1" t="s">
        <v>26</v>
      </c>
      <c r="AE10" s="2">
        <v>329225188928.79999</v>
      </c>
      <c r="AF10" s="1">
        <f>+AE10/AE8</f>
        <v>0.96928328029701083</v>
      </c>
      <c r="AG10" s="1" t="s">
        <v>26</v>
      </c>
      <c r="AH10" s="1" t="s">
        <v>26</v>
      </c>
      <c r="AI10" s="2">
        <v>7652012988.5699997</v>
      </c>
      <c r="AJ10" s="1">
        <v>1</v>
      </c>
      <c r="AK10" s="1" t="s">
        <v>26</v>
      </c>
      <c r="AL10" s="1" t="s">
        <v>26</v>
      </c>
      <c r="AM10" s="2">
        <v>8491468226.4200001</v>
      </c>
      <c r="AN10" s="1">
        <v>1</v>
      </c>
      <c r="AO10" s="1" t="s">
        <v>26</v>
      </c>
      <c r="AP10" s="1" t="s">
        <v>26</v>
      </c>
      <c r="AQ10" s="2">
        <v>16143481214.99</v>
      </c>
      <c r="AR10" s="1">
        <v>1</v>
      </c>
      <c r="AS10" s="1" t="s">
        <v>26</v>
      </c>
      <c r="AT10" s="1" t="s">
        <v>26</v>
      </c>
      <c r="AU10" s="2">
        <v>25489251456.689999</v>
      </c>
      <c r="AV10" s="1">
        <v>1</v>
      </c>
      <c r="AW10" s="1" t="s">
        <v>26</v>
      </c>
      <c r="AX10" s="1" t="s">
        <v>26</v>
      </c>
      <c r="AY10" s="2">
        <v>370857921600.47998</v>
      </c>
      <c r="AZ10" s="1">
        <f>+AY10/AY8</f>
        <v>0.97263720315756474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+G12</f>
        <v>5927283684.6000004</v>
      </c>
      <c r="H11" s="10">
        <f>+G11/G139</f>
        <v>3.5954428059440727E-2</v>
      </c>
      <c r="I11" s="10">
        <v>0.1</v>
      </c>
      <c r="J11" s="10">
        <f>I11-H11</f>
        <v>6.4045571940559279E-2</v>
      </c>
      <c r="K11" s="2" t="s">
        <v>26</v>
      </c>
      <c r="L11" s="1" t="s">
        <v>26</v>
      </c>
      <c r="M11" s="1" t="s">
        <v>26</v>
      </c>
      <c r="N11" s="1" t="s">
        <v>26</v>
      </c>
      <c r="O11" s="9">
        <f>O12</f>
        <v>1575607055.4000001</v>
      </c>
      <c r="P11" s="10">
        <f>O11/O137</f>
        <v>6.4282867617021632E-3</v>
      </c>
      <c r="Q11" s="10">
        <v>0.1</v>
      </c>
      <c r="R11" s="10">
        <f>Q11-P11</f>
        <v>9.3571713238297841E-2</v>
      </c>
      <c r="S11" s="9">
        <f>S12</f>
        <v>1554770550</v>
      </c>
      <c r="T11" s="10">
        <f>S11/S137</f>
        <v>1.2905177072429989E-2</v>
      </c>
      <c r="U11" s="10">
        <v>0.1</v>
      </c>
      <c r="V11" s="10">
        <f>U11-T11</f>
        <v>8.7094822927570009E-2</v>
      </c>
      <c r="W11" s="2" t="s">
        <v>26</v>
      </c>
      <c r="X11" s="1" t="s">
        <v>26</v>
      </c>
      <c r="Y11" s="1" t="s">
        <v>26</v>
      </c>
      <c r="Z11" s="1" t="s">
        <v>26</v>
      </c>
      <c r="AA11" s="9">
        <f>AA12</f>
        <v>1375529969</v>
      </c>
      <c r="AB11" s="10">
        <f>AA11/AA137</f>
        <v>9.0896947065683686E-3</v>
      </c>
      <c r="AC11" s="10">
        <v>0.1</v>
      </c>
      <c r="AD11" s="10">
        <f>AC11-AB11</f>
        <v>9.0910305293431637E-2</v>
      </c>
      <c r="AE11" s="9">
        <f>+AE12</f>
        <v>10433191259</v>
      </c>
      <c r="AF11" s="10">
        <f>+AE11/AE139</f>
        <v>1.4912230973055534E-2</v>
      </c>
      <c r="AG11" s="10">
        <v>0.1</v>
      </c>
      <c r="AH11" s="10">
        <f>AG11-AF11</f>
        <v>8.5087769026944468E-2</v>
      </c>
      <c r="AI11" s="2" t="s">
        <v>26</v>
      </c>
      <c r="AJ11" s="1" t="s">
        <v>26</v>
      </c>
      <c r="AK11" s="1" t="s">
        <v>26</v>
      </c>
      <c r="AL11" s="1" t="s">
        <v>26</v>
      </c>
      <c r="AM11" s="2" t="s">
        <v>26</v>
      </c>
      <c r="AN11" s="1" t="s">
        <v>26</v>
      </c>
      <c r="AO11" s="1" t="s">
        <v>26</v>
      </c>
      <c r="AP11" s="1" t="s">
        <v>26</v>
      </c>
      <c r="AQ11" s="2" t="s">
        <v>26</v>
      </c>
      <c r="AR11" s="1" t="s">
        <v>26</v>
      </c>
      <c r="AS11" s="1" t="s">
        <v>26</v>
      </c>
      <c r="AT11" s="1" t="s">
        <v>26</v>
      </c>
      <c r="AU11" s="2" t="s">
        <v>26</v>
      </c>
      <c r="AV11" s="1" t="s">
        <v>26</v>
      </c>
      <c r="AW11" s="1" t="s">
        <v>26</v>
      </c>
      <c r="AX11" s="1" t="s">
        <v>26</v>
      </c>
      <c r="AY11" s="9">
        <f>+AY12</f>
        <v>10433191259</v>
      </c>
      <c r="AZ11" s="10">
        <f>+AY11/AY139</f>
        <v>1.3173912620564974E-2</v>
      </c>
      <c r="BA11" s="10">
        <v>0.1</v>
      </c>
      <c r="BB11" s="10">
        <f>+BA11-AZ11</f>
        <v>8.6826087379435035E-2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5927283684.6000004</v>
      </c>
      <c r="H12" s="1">
        <f>+G12/G8</f>
        <v>7.2488543131121005E-2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1575607055.4000001</v>
      </c>
      <c r="P12" s="1">
        <f>+O12/O8</f>
        <v>1.3680932475791769E-2</v>
      </c>
      <c r="Q12" s="1" t="s">
        <v>26</v>
      </c>
      <c r="R12" s="1" t="s">
        <v>26</v>
      </c>
      <c r="S12" s="2">
        <v>1554770550</v>
      </c>
      <c r="T12" s="1">
        <f>+S12/S8</f>
        <v>2.3507223928728862E-2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1375529969</v>
      </c>
      <c r="AB12" s="1">
        <v>1.9695853324220001E-2</v>
      </c>
      <c r="AC12" s="1" t="s">
        <v>26</v>
      </c>
      <c r="AD12" s="1" t="s">
        <v>26</v>
      </c>
      <c r="AE12" s="2">
        <v>10433191259</v>
      </c>
      <c r="AF12" s="1">
        <v>3.071671970299E-2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10433191259</v>
      </c>
      <c r="AZ12" s="1">
        <f>+AY12/AY8</f>
        <v>2.7362796842435245E-2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2601456558.52</v>
      </c>
      <c r="D13" s="43">
        <v>0.35476701165868002</v>
      </c>
      <c r="E13" s="43" t="s">
        <v>26</v>
      </c>
      <c r="F13" s="43" t="s">
        <v>26</v>
      </c>
      <c r="G13" s="42">
        <v>54534008855.510002</v>
      </c>
      <c r="H13" s="43">
        <v>0.33079892958094997</v>
      </c>
      <c r="I13" s="43" t="s">
        <v>26</v>
      </c>
      <c r="J13" s="43" t="s">
        <v>26</v>
      </c>
      <c r="K13" s="42">
        <v>1108544459.4300001</v>
      </c>
      <c r="L13" s="43">
        <v>0.30793765216899999</v>
      </c>
      <c r="M13" s="43" t="s">
        <v>26</v>
      </c>
      <c r="N13" s="43" t="s">
        <v>26</v>
      </c>
      <c r="O13" s="42">
        <v>72292200630.889999</v>
      </c>
      <c r="P13" s="43">
        <v>0.29494322083515001</v>
      </c>
      <c r="Q13" s="43" t="s">
        <v>26</v>
      </c>
      <c r="R13" s="43" t="s">
        <v>26</v>
      </c>
      <c r="S13" s="42">
        <v>34292936194.110001</v>
      </c>
      <c r="T13" s="43">
        <v>0.28464331327531001</v>
      </c>
      <c r="U13" s="43" t="s">
        <v>26</v>
      </c>
      <c r="V13" s="43" t="s">
        <v>26</v>
      </c>
      <c r="W13" s="42">
        <v>3382987227.9200001</v>
      </c>
      <c r="X13" s="43">
        <v>0.48742119579134002</v>
      </c>
      <c r="Y13" s="43" t="s">
        <v>26</v>
      </c>
      <c r="Z13" s="43" t="s">
        <v>26</v>
      </c>
      <c r="AA13" s="42">
        <v>53343198043.010002</v>
      </c>
      <c r="AB13" s="43">
        <v>0.35249886128538999</v>
      </c>
      <c r="AC13" s="43" t="s">
        <v>26</v>
      </c>
      <c r="AD13" s="43" t="s">
        <v>26</v>
      </c>
      <c r="AE13" s="42">
        <v>221555331969.39001</v>
      </c>
      <c r="AF13" s="43">
        <v>0.31667053748195001</v>
      </c>
      <c r="AG13" s="43" t="s">
        <v>26</v>
      </c>
      <c r="AH13" s="43" t="s">
        <v>26</v>
      </c>
      <c r="AI13" s="42">
        <v>8334333892.5100002</v>
      </c>
      <c r="AJ13" s="43">
        <v>0.46452414618113003</v>
      </c>
      <c r="AK13" s="43" t="s">
        <v>26</v>
      </c>
      <c r="AL13" s="43" t="s">
        <v>26</v>
      </c>
      <c r="AM13" s="42">
        <v>12280697833.209999</v>
      </c>
      <c r="AN13" s="43">
        <v>0.49781381206651998</v>
      </c>
      <c r="AO13" s="43" t="s">
        <v>26</v>
      </c>
      <c r="AP13" s="43" t="s">
        <v>26</v>
      </c>
      <c r="AQ13" s="42">
        <v>20615031725.720001</v>
      </c>
      <c r="AR13" s="43">
        <v>0.48379693880716002</v>
      </c>
      <c r="AS13" s="43" t="s">
        <v>26</v>
      </c>
      <c r="AT13" s="43" t="s">
        <v>26</v>
      </c>
      <c r="AU13" s="42">
        <v>16403987791.33</v>
      </c>
      <c r="AV13" s="43">
        <v>0.33000928621883002</v>
      </c>
      <c r="AW13" s="43" t="s">
        <v>26</v>
      </c>
      <c r="AX13" s="43" t="s">
        <v>26</v>
      </c>
      <c r="AY13" s="42">
        <v>258574351486.44</v>
      </c>
      <c r="AZ13" s="43">
        <v>0.32649990092563003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2601456558.52</v>
      </c>
      <c r="D14" s="10">
        <v>0.35476701165868002</v>
      </c>
      <c r="E14" s="10">
        <v>0.5</v>
      </c>
      <c r="F14" s="10">
        <v>0.1452</v>
      </c>
      <c r="G14" s="9">
        <v>54534008855.510002</v>
      </c>
      <c r="H14" s="10">
        <v>0.33079892958094997</v>
      </c>
      <c r="I14" s="10">
        <v>0.5</v>
      </c>
      <c r="J14" s="10">
        <v>0.16919999999999999</v>
      </c>
      <c r="K14" s="9">
        <v>1108544459.4300001</v>
      </c>
      <c r="L14" s="10">
        <v>0.30793765216899999</v>
      </c>
      <c r="M14" s="10">
        <v>0.5</v>
      </c>
      <c r="N14" s="10">
        <v>0.19209999999999999</v>
      </c>
      <c r="O14" s="9">
        <v>72292200630.889999</v>
      </c>
      <c r="P14" s="10">
        <v>0.29494322083515001</v>
      </c>
      <c r="Q14" s="10">
        <v>0.5</v>
      </c>
      <c r="R14" s="10">
        <v>0.2051</v>
      </c>
      <c r="S14" s="9">
        <v>34292936194.110001</v>
      </c>
      <c r="T14" s="10">
        <v>0.28464331327531001</v>
      </c>
      <c r="U14" s="10">
        <v>0.5</v>
      </c>
      <c r="V14" s="10">
        <v>0.21540000000000001</v>
      </c>
      <c r="W14" s="9">
        <v>3382987227.9200001</v>
      </c>
      <c r="X14" s="10">
        <v>0.48742119579134002</v>
      </c>
      <c r="Y14" s="10">
        <v>0.5</v>
      </c>
      <c r="Z14" s="10">
        <v>1.26E-2</v>
      </c>
      <c r="AA14" s="9">
        <v>53343198043.010002</v>
      </c>
      <c r="AB14" s="10">
        <v>0.35249886128538999</v>
      </c>
      <c r="AC14" s="10">
        <v>0.5</v>
      </c>
      <c r="AD14" s="10">
        <v>0.14749999999999999</v>
      </c>
      <c r="AE14" s="9">
        <v>221555331969.39001</v>
      </c>
      <c r="AF14" s="10">
        <v>0.31667053748195001</v>
      </c>
      <c r="AG14" s="10">
        <v>0.5</v>
      </c>
      <c r="AH14" s="10">
        <v>0.18329999999999999</v>
      </c>
      <c r="AI14" s="9">
        <v>8334333892.5100002</v>
      </c>
      <c r="AJ14" s="10">
        <v>0.46452414618113003</v>
      </c>
      <c r="AK14" s="10">
        <v>0.5</v>
      </c>
      <c r="AL14" s="10">
        <v>3.5499999999999997E-2</v>
      </c>
      <c r="AM14" s="9">
        <v>12280697833.209999</v>
      </c>
      <c r="AN14" s="10">
        <v>0.49781381206651998</v>
      </c>
      <c r="AO14" s="10">
        <v>0.5</v>
      </c>
      <c r="AP14" s="10">
        <v>2.2000000000000001E-3</v>
      </c>
      <c r="AQ14" s="9">
        <v>20615031725.720001</v>
      </c>
      <c r="AR14" s="10">
        <v>0.48379693880716002</v>
      </c>
      <c r="AS14" s="10">
        <v>0.5</v>
      </c>
      <c r="AT14" s="10">
        <v>1.6199999999999999E-2</v>
      </c>
      <c r="AU14" s="9">
        <v>16403987791.33</v>
      </c>
      <c r="AV14" s="10">
        <v>0.33000928621883002</v>
      </c>
      <c r="AW14" s="10">
        <v>0.5</v>
      </c>
      <c r="AX14" s="10">
        <v>0.17</v>
      </c>
      <c r="AY14" s="9">
        <v>258574351486.44</v>
      </c>
      <c r="AZ14" s="10">
        <v>0.32649990092563003</v>
      </c>
      <c r="BA14" s="10">
        <v>0.5</v>
      </c>
      <c r="BB14" s="10">
        <v>0.1736</v>
      </c>
    </row>
    <row r="15" spans="1:54" s="7" customFormat="1">
      <c r="A15" s="3" t="s">
        <v>33</v>
      </c>
      <c r="B15" s="23" t="s">
        <v>29</v>
      </c>
      <c r="C15" s="2">
        <v>691634235.50999999</v>
      </c>
      <c r="D15" s="1">
        <v>0.26586422642531998</v>
      </c>
      <c r="E15" s="9" t="s">
        <v>26</v>
      </c>
      <c r="F15" s="10" t="s">
        <v>26</v>
      </c>
      <c r="G15" s="2">
        <v>17195628851.790001</v>
      </c>
      <c r="H15" s="1">
        <v>0.31531936148964002</v>
      </c>
      <c r="I15" s="9" t="s">
        <v>26</v>
      </c>
      <c r="J15" s="10" t="s">
        <v>26</v>
      </c>
      <c r="K15" s="2">
        <v>258391964.24000001</v>
      </c>
      <c r="L15" s="1">
        <v>0.23309120535666999</v>
      </c>
      <c r="M15" s="1" t="s">
        <v>26</v>
      </c>
      <c r="N15" s="1" t="s">
        <v>26</v>
      </c>
      <c r="O15" s="2">
        <v>18677906303.189999</v>
      </c>
      <c r="P15" s="1">
        <v>0.25836682436264002</v>
      </c>
      <c r="Q15" s="1" t="s">
        <v>26</v>
      </c>
      <c r="R15" s="1" t="s">
        <v>26</v>
      </c>
      <c r="S15" s="2">
        <v>10787605419.780001</v>
      </c>
      <c r="T15" s="1">
        <v>0.31457223023185998</v>
      </c>
      <c r="U15" s="1" t="s">
        <v>26</v>
      </c>
      <c r="V15" s="1" t="s">
        <v>26</v>
      </c>
      <c r="W15" s="2">
        <v>1158097716.51</v>
      </c>
      <c r="X15" s="1">
        <v>0.34232991095921</v>
      </c>
      <c r="Y15" s="1" t="s">
        <v>26</v>
      </c>
      <c r="Z15" s="1" t="s">
        <v>26</v>
      </c>
      <c r="AA15" s="2">
        <v>18388010453.23</v>
      </c>
      <c r="AB15" s="1">
        <v>0.34471143703090001</v>
      </c>
      <c r="AC15" s="1" t="s">
        <v>26</v>
      </c>
      <c r="AD15" s="1" t="s">
        <v>26</v>
      </c>
      <c r="AE15" s="2">
        <v>67157274944.25</v>
      </c>
      <c r="AF15" s="1">
        <v>0.30311739441021002</v>
      </c>
      <c r="AG15" s="1" t="s">
        <v>26</v>
      </c>
      <c r="AH15" s="1" t="s">
        <v>26</v>
      </c>
      <c r="AI15" s="2">
        <v>2050356127.25</v>
      </c>
      <c r="AJ15" s="1">
        <v>0.24601319717855999</v>
      </c>
      <c r="AK15" s="1" t="s">
        <v>26</v>
      </c>
      <c r="AL15" s="1" t="s">
        <v>26</v>
      </c>
      <c r="AM15" s="2">
        <v>6339898383.5299997</v>
      </c>
      <c r="AN15" s="1">
        <v>0.51624903320927995</v>
      </c>
      <c r="AO15" s="1" t="s">
        <v>26</v>
      </c>
      <c r="AP15" s="1" t="s">
        <v>26</v>
      </c>
      <c r="AQ15" s="2">
        <v>8390254510.7799997</v>
      </c>
      <c r="AR15" s="1">
        <v>0.40699692449718999</v>
      </c>
      <c r="AS15" s="1" t="s">
        <v>26</v>
      </c>
      <c r="AT15" s="1" t="s">
        <v>26</v>
      </c>
      <c r="AU15" s="2">
        <v>7804572519.2299995</v>
      </c>
      <c r="AV15" s="1">
        <v>0.47577288025994002</v>
      </c>
      <c r="AW15" s="1" t="s">
        <v>26</v>
      </c>
      <c r="AX15" s="1" t="s">
        <v>26</v>
      </c>
      <c r="AY15" s="2">
        <v>83352101974.259995</v>
      </c>
      <c r="AZ15" s="1">
        <v>0.32235255157791998</v>
      </c>
      <c r="BA15" s="1" t="s">
        <v>26</v>
      </c>
      <c r="BB15" s="1" t="s">
        <v>26</v>
      </c>
    </row>
    <row r="16" spans="1:54" s="25" customFormat="1">
      <c r="A16" s="3" t="s">
        <v>34</v>
      </c>
      <c r="B16" s="23" t="s">
        <v>35</v>
      </c>
      <c r="C16" s="9" t="s">
        <v>26</v>
      </c>
      <c r="D16" s="10" t="s">
        <v>26</v>
      </c>
      <c r="E16" s="9" t="s">
        <v>26</v>
      </c>
      <c r="F16" s="10" t="s">
        <v>26</v>
      </c>
      <c r="G16" s="2">
        <v>3525657414.5999999</v>
      </c>
      <c r="H16" s="1">
        <v>6.4650618734840001E-2</v>
      </c>
      <c r="I16" s="9" t="s">
        <v>26</v>
      </c>
      <c r="J16" s="10" t="s">
        <v>26</v>
      </c>
      <c r="K16" s="2">
        <v>152762984.41999999</v>
      </c>
      <c r="L16" s="1">
        <v>0.13780501370107001</v>
      </c>
      <c r="M16" s="1" t="s">
        <v>26</v>
      </c>
      <c r="N16" s="1" t="s">
        <v>26</v>
      </c>
      <c r="O16" s="2">
        <v>4860148669</v>
      </c>
      <c r="P16" s="1">
        <v>6.7229225650699997E-2</v>
      </c>
      <c r="Q16" s="1" t="s">
        <v>26</v>
      </c>
      <c r="R16" s="1" t="s">
        <v>26</v>
      </c>
      <c r="S16" s="2">
        <v>223839120.75</v>
      </c>
      <c r="T16" s="1">
        <v>6.5272661251000001E-3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12243632930.52</v>
      </c>
      <c r="AB16" s="1">
        <v>0.22952566362158999</v>
      </c>
      <c r="AC16" s="1" t="s">
        <v>26</v>
      </c>
      <c r="AD16" s="1" t="s">
        <v>26</v>
      </c>
      <c r="AE16" s="2">
        <v>21006041119.290001</v>
      </c>
      <c r="AF16" s="1">
        <v>9.4811715577180003E-2</v>
      </c>
      <c r="AG16" s="1" t="s">
        <v>26</v>
      </c>
      <c r="AH16" s="1" t="s">
        <v>26</v>
      </c>
      <c r="AI16" s="2">
        <v>49988098.5</v>
      </c>
      <c r="AJ16" s="1">
        <v>5.9978516753400003E-3</v>
      </c>
      <c r="AK16" s="1" t="s">
        <v>26</v>
      </c>
      <c r="AL16" s="1" t="s">
        <v>26</v>
      </c>
      <c r="AM16" s="2">
        <v>993752757.25</v>
      </c>
      <c r="AN16" s="1">
        <v>8.091989321345E-2</v>
      </c>
      <c r="AO16" s="1" t="s">
        <v>26</v>
      </c>
      <c r="AP16" s="1" t="s">
        <v>26</v>
      </c>
      <c r="AQ16" s="2">
        <v>1043740855.75</v>
      </c>
      <c r="AR16" s="1">
        <v>5.0630087289549999E-2</v>
      </c>
      <c r="AS16" s="1" t="s">
        <v>26</v>
      </c>
      <c r="AT16" s="1" t="s">
        <v>26</v>
      </c>
      <c r="AU16" s="2">
        <v>645415990.5</v>
      </c>
      <c r="AV16" s="1">
        <v>3.9345066499079998E-2</v>
      </c>
      <c r="AW16" s="1" t="s">
        <v>26</v>
      </c>
      <c r="AX16" s="1" t="s">
        <v>26</v>
      </c>
      <c r="AY16" s="2">
        <v>22695197965.540001</v>
      </c>
      <c r="AZ16" s="1">
        <v>8.7770491678989995E-2</v>
      </c>
      <c r="BA16" s="1" t="s">
        <v>26</v>
      </c>
      <c r="BB16" s="1" t="s">
        <v>26</v>
      </c>
    </row>
    <row r="17" spans="1:55" s="7" customFormat="1">
      <c r="A17" s="3" t="s">
        <v>36</v>
      </c>
      <c r="B17" s="23" t="s">
        <v>29</v>
      </c>
      <c r="C17" s="2">
        <v>1909822323.01</v>
      </c>
      <c r="D17" s="1">
        <v>0.73413577357467996</v>
      </c>
      <c r="E17" s="9" t="s">
        <v>26</v>
      </c>
      <c r="F17" s="10" t="s">
        <v>26</v>
      </c>
      <c r="G17" s="2">
        <v>33812722589.119999</v>
      </c>
      <c r="H17" s="1">
        <v>0.62003001977551997</v>
      </c>
      <c r="I17" s="9" t="s">
        <v>26</v>
      </c>
      <c r="J17" s="10" t="s">
        <v>26</v>
      </c>
      <c r="K17" s="2">
        <v>697389510.76999998</v>
      </c>
      <c r="L17" s="1">
        <v>0.62910378094224995</v>
      </c>
      <c r="M17" s="1" t="s">
        <v>26</v>
      </c>
      <c r="N17" s="1" t="s">
        <v>26</v>
      </c>
      <c r="O17" s="2">
        <v>48754145658.699997</v>
      </c>
      <c r="P17" s="1">
        <v>0.67440394998665998</v>
      </c>
      <c r="Q17" s="1" t="s">
        <v>26</v>
      </c>
      <c r="R17" s="1" t="s">
        <v>26</v>
      </c>
      <c r="S17" s="2">
        <v>23281491653.580002</v>
      </c>
      <c r="T17" s="1">
        <v>0.67890050364304</v>
      </c>
      <c r="U17" s="1" t="s">
        <v>26</v>
      </c>
      <c r="V17" s="1" t="s">
        <v>26</v>
      </c>
      <c r="W17" s="2">
        <v>2224889511.4099998</v>
      </c>
      <c r="X17" s="1">
        <v>0.65767008904079005</v>
      </c>
      <c r="Y17" s="1" t="s">
        <v>26</v>
      </c>
      <c r="Z17" s="1" t="s">
        <v>26</v>
      </c>
      <c r="AA17" s="2">
        <v>22711554659.259998</v>
      </c>
      <c r="AB17" s="1">
        <v>0.4257628993475</v>
      </c>
      <c r="AC17" s="1" t="s">
        <v>26</v>
      </c>
      <c r="AD17" s="1" t="s">
        <v>26</v>
      </c>
      <c r="AE17" s="2">
        <v>133392015905.85001</v>
      </c>
      <c r="AF17" s="1">
        <v>0.60207089001261005</v>
      </c>
      <c r="AG17" s="1" t="s">
        <v>26</v>
      </c>
      <c r="AH17" s="1" t="s">
        <v>26</v>
      </c>
      <c r="AI17" s="2">
        <v>6233989666.7600002</v>
      </c>
      <c r="AJ17" s="1">
        <v>0.74798895114610997</v>
      </c>
      <c r="AK17" s="1" t="s">
        <v>26</v>
      </c>
      <c r="AL17" s="1" t="s">
        <v>26</v>
      </c>
      <c r="AM17" s="2">
        <v>4947046692.4300003</v>
      </c>
      <c r="AN17" s="1">
        <v>0.40283107357726999</v>
      </c>
      <c r="AO17" s="1" t="s">
        <v>26</v>
      </c>
      <c r="AP17" s="1" t="s">
        <v>26</v>
      </c>
      <c r="AQ17" s="2">
        <v>11181036359.190001</v>
      </c>
      <c r="AR17" s="1">
        <v>0.54237298821325997</v>
      </c>
      <c r="AS17" s="1" t="s">
        <v>26</v>
      </c>
      <c r="AT17" s="1" t="s">
        <v>26</v>
      </c>
      <c r="AU17" s="2">
        <v>7953999281.6000004</v>
      </c>
      <c r="AV17" s="1">
        <v>0.48488205324097999</v>
      </c>
      <c r="AW17" s="1" t="s">
        <v>26</v>
      </c>
      <c r="AX17" s="1" t="s">
        <v>26</v>
      </c>
      <c r="AY17" s="2">
        <v>152527051546.64001</v>
      </c>
      <c r="AZ17" s="1">
        <v>0.58987695674309004</v>
      </c>
      <c r="BA17" s="1" t="s">
        <v>26</v>
      </c>
      <c r="BB17" s="1" t="s">
        <v>26</v>
      </c>
    </row>
    <row r="18" spans="1:55" s="28" customFormat="1">
      <c r="A18" s="12" t="s">
        <v>37</v>
      </c>
      <c r="B18" s="40" t="s">
        <v>25</v>
      </c>
      <c r="C18" s="42">
        <v>247953143.58000001</v>
      </c>
      <c r="D18" s="43">
        <v>3.3813978361910003E-2</v>
      </c>
      <c r="E18" s="43" t="s">
        <v>26</v>
      </c>
      <c r="F18" s="43" t="s">
        <v>26</v>
      </c>
      <c r="G18" s="42">
        <v>11049697707.200001</v>
      </c>
      <c r="H18" s="43">
        <v>6.7026581218700004E-2</v>
      </c>
      <c r="I18" s="43" t="s">
        <v>26</v>
      </c>
      <c r="J18" s="43" t="s">
        <v>26</v>
      </c>
      <c r="K18" s="42">
        <v>245425072.78999999</v>
      </c>
      <c r="L18" s="43">
        <v>6.8175543213860004E-2</v>
      </c>
      <c r="M18" s="43" t="s">
        <v>26</v>
      </c>
      <c r="N18" s="43" t="s">
        <v>26</v>
      </c>
      <c r="O18" s="42">
        <v>15123639099.440001</v>
      </c>
      <c r="P18" s="43">
        <v>6.1702573553020001E-2</v>
      </c>
      <c r="Q18" s="43" t="s">
        <v>26</v>
      </c>
      <c r="R18" s="43" t="s">
        <v>26</v>
      </c>
      <c r="S18" s="42">
        <v>4629900255.3000002</v>
      </c>
      <c r="T18" s="43">
        <v>3.8429784528900002E-2</v>
      </c>
      <c r="U18" s="43" t="s">
        <v>26</v>
      </c>
      <c r="V18" s="43" t="s">
        <v>26</v>
      </c>
      <c r="W18" s="42">
        <v>1015351536.1</v>
      </c>
      <c r="X18" s="43">
        <v>0.14629196817237999</v>
      </c>
      <c r="Y18" s="43" t="s">
        <v>26</v>
      </c>
      <c r="Z18" s="43" t="s">
        <v>26</v>
      </c>
      <c r="AA18" s="42">
        <v>13618571555.02</v>
      </c>
      <c r="AB18" s="43">
        <v>8.9993310142509997E-2</v>
      </c>
      <c r="AC18" s="43" t="s">
        <v>26</v>
      </c>
      <c r="AD18" s="43" t="s">
        <v>26</v>
      </c>
      <c r="AE18" s="42">
        <v>45930538369.43</v>
      </c>
      <c r="AF18" s="43">
        <v>6.5648829766339997E-2</v>
      </c>
      <c r="AG18" s="43" t="s">
        <v>26</v>
      </c>
      <c r="AH18" s="43" t="s">
        <v>26</v>
      </c>
      <c r="AI18" s="42">
        <v>810249635.72000003</v>
      </c>
      <c r="AJ18" s="43">
        <v>4.5160240168040003E-2</v>
      </c>
      <c r="AK18" s="43" t="s">
        <v>26</v>
      </c>
      <c r="AL18" s="43" t="s">
        <v>26</v>
      </c>
      <c r="AM18" s="42">
        <v>1487703407.9400001</v>
      </c>
      <c r="AN18" s="43">
        <v>6.0305962640670001E-2</v>
      </c>
      <c r="AO18" s="43" t="s">
        <v>26</v>
      </c>
      <c r="AP18" s="43" t="s">
        <v>26</v>
      </c>
      <c r="AQ18" s="42">
        <v>2297953043.6599998</v>
      </c>
      <c r="AR18" s="43">
        <v>5.3928738157520001E-2</v>
      </c>
      <c r="AS18" s="43" t="s">
        <v>26</v>
      </c>
      <c r="AT18" s="43" t="s">
        <v>26</v>
      </c>
      <c r="AU18" s="42">
        <v>3340914711.6399999</v>
      </c>
      <c r="AV18" s="43">
        <v>6.7211271632930003E-2</v>
      </c>
      <c r="AW18" s="43" t="s">
        <v>26</v>
      </c>
      <c r="AX18" s="43" t="s">
        <v>26</v>
      </c>
      <c r="AY18" s="42">
        <v>51569406124.730003</v>
      </c>
      <c r="AZ18" s="43">
        <v>6.5116303661700001E-2</v>
      </c>
      <c r="BA18" s="43" t="s">
        <v>26</v>
      </c>
      <c r="BB18" s="43" t="s">
        <v>26</v>
      </c>
    </row>
    <row r="19" spans="1:55" s="7" customFormat="1">
      <c r="A19" s="5" t="s">
        <v>38</v>
      </c>
      <c r="B19" s="20" t="s">
        <v>25</v>
      </c>
      <c r="C19" s="9">
        <v>7086773.29</v>
      </c>
      <c r="D19" s="10">
        <v>9.6644065578000002E-4</v>
      </c>
      <c r="E19" s="10">
        <v>0.15</v>
      </c>
      <c r="F19" s="10">
        <v>0.14899999999999999</v>
      </c>
      <c r="G19" s="9">
        <v>5971821502.9200001</v>
      </c>
      <c r="H19" s="10">
        <v>3.6224590897920003E-2</v>
      </c>
      <c r="I19" s="10">
        <v>0.15</v>
      </c>
      <c r="J19" s="10">
        <v>0.1138</v>
      </c>
      <c r="K19" s="2" t="s">
        <v>26</v>
      </c>
      <c r="L19" s="1" t="s">
        <v>26</v>
      </c>
      <c r="M19" s="1" t="s">
        <v>26</v>
      </c>
      <c r="N19" s="1" t="s">
        <v>26</v>
      </c>
      <c r="O19" s="9">
        <v>6870684079.8299999</v>
      </c>
      <c r="P19" s="10">
        <v>2.8031539698069999E-2</v>
      </c>
      <c r="Q19" s="10">
        <v>0.14130000000000001</v>
      </c>
      <c r="R19" s="10">
        <v>0.1133</v>
      </c>
      <c r="S19" s="9">
        <v>1314043420.26</v>
      </c>
      <c r="T19" s="10">
        <v>1.090701801716E-2</v>
      </c>
      <c r="U19" s="10">
        <v>0.05</v>
      </c>
      <c r="V19" s="10">
        <v>3.9100000000000003E-2</v>
      </c>
      <c r="W19" s="9">
        <v>104975577.12</v>
      </c>
      <c r="X19" s="10">
        <v>1.5124893439269999E-2</v>
      </c>
      <c r="Y19" s="10">
        <v>0.15</v>
      </c>
      <c r="Z19" s="10">
        <v>0.13489999999999999</v>
      </c>
      <c r="AA19" s="9">
        <v>5002919895.5299997</v>
      </c>
      <c r="AB19" s="10">
        <v>3.3059951989649998E-2</v>
      </c>
      <c r="AC19" s="10">
        <v>0.13800000000000001</v>
      </c>
      <c r="AD19" s="10">
        <v>0.10489999999999999</v>
      </c>
      <c r="AE19" s="9">
        <v>19271531248.950001</v>
      </c>
      <c r="AF19" s="10">
        <v>2.7544930218819999E-2</v>
      </c>
      <c r="AG19" s="10">
        <v>0.14299999999999999</v>
      </c>
      <c r="AH19" s="10">
        <v>0.11550000000000001</v>
      </c>
      <c r="AI19" s="9">
        <v>442399974.00999999</v>
      </c>
      <c r="AJ19" s="10">
        <v>2.4657695845639999E-2</v>
      </c>
      <c r="AK19" s="10">
        <v>0.05</v>
      </c>
      <c r="AL19" s="10">
        <v>2.53E-2</v>
      </c>
      <c r="AM19" s="2" t="s">
        <v>26</v>
      </c>
      <c r="AN19" s="1" t="s">
        <v>26</v>
      </c>
      <c r="AO19" s="1" t="s">
        <v>26</v>
      </c>
      <c r="AP19" s="1" t="s">
        <v>26</v>
      </c>
      <c r="AQ19" s="9">
        <v>442399974.00999999</v>
      </c>
      <c r="AR19" s="10">
        <v>1.038231500209E-2</v>
      </c>
      <c r="AS19" s="10">
        <v>0.13789999999999999</v>
      </c>
      <c r="AT19" s="10">
        <v>0.1275</v>
      </c>
      <c r="AU19" s="9">
        <v>1258540739.9400001</v>
      </c>
      <c r="AV19" s="10">
        <v>2.5318851522459999E-2</v>
      </c>
      <c r="AW19" s="10">
        <v>0.05</v>
      </c>
      <c r="AX19" s="10">
        <v>2.47E-2</v>
      </c>
      <c r="AY19" s="9">
        <v>20972471962.900002</v>
      </c>
      <c r="AZ19" s="10">
        <v>2.648178359025E-2</v>
      </c>
      <c r="BA19" s="10">
        <v>0.1429</v>
      </c>
      <c r="BB19" s="10">
        <v>0.1164</v>
      </c>
    </row>
    <row r="20" spans="1:55" s="7" customFormat="1">
      <c r="A20" s="3" t="s">
        <v>39</v>
      </c>
      <c r="B20" s="23" t="s">
        <v>40</v>
      </c>
      <c r="C20" s="9" t="s">
        <v>26</v>
      </c>
      <c r="D20" s="10" t="s">
        <v>26</v>
      </c>
      <c r="E20" s="9" t="s">
        <v>26</v>
      </c>
      <c r="F20" s="10" t="s">
        <v>26</v>
      </c>
      <c r="G20" s="9" t="s">
        <v>26</v>
      </c>
      <c r="H20" s="10" t="s">
        <v>26</v>
      </c>
      <c r="I20" s="9" t="s">
        <v>26</v>
      </c>
      <c r="J20" s="10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4000740000</v>
      </c>
      <c r="P20" s="1">
        <v>0.58229136335125997</v>
      </c>
      <c r="Q20" s="1" t="s">
        <v>26</v>
      </c>
      <c r="R20" s="1" t="s">
        <v>26</v>
      </c>
      <c r="S20" s="2">
        <v>986206054.27999997</v>
      </c>
      <c r="T20" s="1">
        <v>0.75051253183465005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4000740000</v>
      </c>
      <c r="AB20" s="1">
        <v>0.79968100300278</v>
      </c>
      <c r="AC20" s="1" t="s">
        <v>26</v>
      </c>
      <c r="AD20" s="1" t="s">
        <v>26</v>
      </c>
      <c r="AE20" s="2">
        <v>8987686054.2800007</v>
      </c>
      <c r="AF20" s="1">
        <v>0.46637114291421999</v>
      </c>
      <c r="AG20" s="1" t="s">
        <v>26</v>
      </c>
      <c r="AH20" s="1" t="s">
        <v>26</v>
      </c>
      <c r="AI20" s="2">
        <v>358057645.16000003</v>
      </c>
      <c r="AJ20" s="1">
        <v>0.80935277168869002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358057645.16000003</v>
      </c>
      <c r="AR20" s="1">
        <v>0.80935277168869002</v>
      </c>
      <c r="AS20" s="1" t="s">
        <v>26</v>
      </c>
      <c r="AT20" s="1" t="s">
        <v>26</v>
      </c>
      <c r="AU20" s="2">
        <v>639102891.77999997</v>
      </c>
      <c r="AV20" s="1">
        <v>0.50781263688806999</v>
      </c>
      <c r="AW20" s="1" t="s">
        <v>26</v>
      </c>
      <c r="AX20" s="1" t="s">
        <v>26</v>
      </c>
      <c r="AY20" s="2">
        <v>9984846591.2199993</v>
      </c>
      <c r="AZ20" s="1">
        <v>0.47609297601556</v>
      </c>
      <c r="BA20" s="1" t="s">
        <v>26</v>
      </c>
      <c r="BB20" s="1" t="s">
        <v>26</v>
      </c>
    </row>
    <row r="21" spans="1:55" s="25" customFormat="1">
      <c r="A21" s="3" t="s">
        <v>41</v>
      </c>
      <c r="B21" s="23" t="s">
        <v>35</v>
      </c>
      <c r="C21" s="2">
        <v>7086773.29</v>
      </c>
      <c r="D21" s="1">
        <v>1</v>
      </c>
      <c r="E21" s="9" t="s">
        <v>26</v>
      </c>
      <c r="F21" s="10" t="s">
        <v>26</v>
      </c>
      <c r="G21" s="2">
        <v>5971821502.9200001</v>
      </c>
      <c r="H21" s="1">
        <v>1</v>
      </c>
      <c r="I21" s="9" t="s">
        <v>26</v>
      </c>
      <c r="J21" s="10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2869944079.8299999</v>
      </c>
      <c r="P21" s="1">
        <v>0.41770863664873997</v>
      </c>
      <c r="Q21" s="1" t="s">
        <v>26</v>
      </c>
      <c r="R21" s="1" t="s">
        <v>26</v>
      </c>
      <c r="S21" s="2">
        <v>327837365.98000002</v>
      </c>
      <c r="T21" s="1">
        <v>0.24948746816535</v>
      </c>
      <c r="U21" s="1" t="s">
        <v>26</v>
      </c>
      <c r="V21" s="1" t="s">
        <v>26</v>
      </c>
      <c r="W21" s="2">
        <v>104975577.12</v>
      </c>
      <c r="X21" s="1">
        <v>1</v>
      </c>
      <c r="Y21" s="1" t="s">
        <v>26</v>
      </c>
      <c r="Z21" s="1" t="s">
        <v>26</v>
      </c>
      <c r="AA21" s="2">
        <v>1002179895.53</v>
      </c>
      <c r="AB21" s="1">
        <v>0.20031899699722</v>
      </c>
      <c r="AC21" s="1" t="s">
        <v>26</v>
      </c>
      <c r="AD21" s="1" t="s">
        <v>26</v>
      </c>
      <c r="AE21" s="2">
        <v>10283845194.67</v>
      </c>
      <c r="AF21" s="1">
        <v>0.53362885708578001</v>
      </c>
      <c r="AG21" s="1" t="s">
        <v>26</v>
      </c>
      <c r="AH21" s="1" t="s">
        <v>26</v>
      </c>
      <c r="AI21" s="2">
        <v>84342328.849999994</v>
      </c>
      <c r="AJ21" s="1">
        <v>0.19064722831131001</v>
      </c>
      <c r="AK21" s="1" t="s">
        <v>26</v>
      </c>
      <c r="AL21" s="1" t="s">
        <v>26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84342328.849999994</v>
      </c>
      <c r="AR21" s="1">
        <v>0.19064722831131001</v>
      </c>
      <c r="AS21" s="1" t="s">
        <v>26</v>
      </c>
      <c r="AT21" s="1" t="s">
        <v>26</v>
      </c>
      <c r="AU21" s="2">
        <v>619437848.15999997</v>
      </c>
      <c r="AV21" s="1">
        <v>0.49218736311193001</v>
      </c>
      <c r="AW21" s="1" t="s">
        <v>26</v>
      </c>
      <c r="AX21" s="1" t="s">
        <v>26</v>
      </c>
      <c r="AY21" s="2">
        <v>10987625371.68</v>
      </c>
      <c r="AZ21" s="1">
        <v>0.52390702398444</v>
      </c>
      <c r="BA21" s="1" t="s">
        <v>26</v>
      </c>
      <c r="BB21" s="1" t="s">
        <v>26</v>
      </c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9" t="s">
        <v>26</v>
      </c>
      <c r="F22" s="10" t="s">
        <v>26</v>
      </c>
      <c r="G22" s="9" t="s">
        <v>26</v>
      </c>
      <c r="H22" s="10" t="s">
        <v>26</v>
      </c>
      <c r="I22" s="9" t="s">
        <v>26</v>
      </c>
      <c r="J22" s="10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2" t="s">
        <v>26</v>
      </c>
      <c r="T22" s="1" t="s">
        <v>26</v>
      </c>
      <c r="U22" s="1" t="s">
        <v>26</v>
      </c>
      <c r="V22" s="1" t="s">
        <v>26</v>
      </c>
      <c r="W22" s="9">
        <v>53492330.009999998</v>
      </c>
      <c r="X22" s="10">
        <v>7.7071811693399999E-3</v>
      </c>
      <c r="Y22" s="10">
        <v>0.15</v>
      </c>
      <c r="Z22" s="10">
        <v>0.14230000000000001</v>
      </c>
      <c r="AA22" s="9">
        <v>153763655.59</v>
      </c>
      <c r="AB22" s="10">
        <v>1.0160904387299999E-3</v>
      </c>
      <c r="AC22" s="10">
        <v>0.15</v>
      </c>
      <c r="AD22" s="10">
        <v>0.14899999999999999</v>
      </c>
      <c r="AE22" s="9">
        <v>207255985.59999999</v>
      </c>
      <c r="AF22" s="10">
        <v>2.9623238481000001E-4</v>
      </c>
      <c r="AG22" s="10">
        <v>0.15</v>
      </c>
      <c r="AH22" s="10">
        <v>0.1497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2" t="s">
        <v>26</v>
      </c>
      <c r="AV22" s="1" t="s">
        <v>26</v>
      </c>
      <c r="AW22" s="1" t="s">
        <v>26</v>
      </c>
      <c r="AX22" s="1" t="s">
        <v>26</v>
      </c>
      <c r="AY22" s="9">
        <v>207255985.59999999</v>
      </c>
      <c r="AZ22" s="10">
        <v>2.6170058389999998E-4</v>
      </c>
      <c r="BA22" s="10">
        <v>0.15</v>
      </c>
      <c r="BB22" s="10">
        <v>0.1497</v>
      </c>
    </row>
    <row r="23" spans="1:55" s="28" customFormat="1">
      <c r="A23" s="3" t="s">
        <v>41</v>
      </c>
      <c r="B23" s="23" t="s">
        <v>35</v>
      </c>
      <c r="C23" s="9" t="s">
        <v>26</v>
      </c>
      <c r="D23" s="10" t="s">
        <v>26</v>
      </c>
      <c r="E23" s="9" t="s">
        <v>26</v>
      </c>
      <c r="F23" s="10" t="s">
        <v>26</v>
      </c>
      <c r="G23" s="9" t="s">
        <v>26</v>
      </c>
      <c r="H23" s="10" t="s">
        <v>26</v>
      </c>
      <c r="I23" s="9" t="s">
        <v>26</v>
      </c>
      <c r="J23" s="10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53492330.009999998</v>
      </c>
      <c r="X23" s="1">
        <v>1</v>
      </c>
      <c r="Y23" s="1" t="s">
        <v>26</v>
      </c>
      <c r="Z23" s="1" t="s">
        <v>26</v>
      </c>
      <c r="AA23" s="2">
        <v>153763655.59</v>
      </c>
      <c r="AB23" s="1">
        <v>1</v>
      </c>
      <c r="AC23" s="1" t="s">
        <v>26</v>
      </c>
      <c r="AD23" s="1" t="s">
        <v>26</v>
      </c>
      <c r="AE23" s="2">
        <v>207255985.59999999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207255985.59999999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186214462.68000001</v>
      </c>
      <c r="D24" s="10">
        <v>2.5394523016830001E-2</v>
      </c>
      <c r="E24" s="10">
        <v>0.13500000000000001</v>
      </c>
      <c r="F24" s="10">
        <v>0.1096</v>
      </c>
      <c r="G24" s="9" t="s">
        <v>26</v>
      </c>
      <c r="H24" s="10" t="s">
        <v>26</v>
      </c>
      <c r="I24" s="9" t="s">
        <v>26</v>
      </c>
      <c r="J24" s="10" t="s">
        <v>26</v>
      </c>
      <c r="K24" s="2" t="s">
        <v>26</v>
      </c>
      <c r="L24" s="1" t="s">
        <v>26</v>
      </c>
      <c r="M24" s="1" t="s">
        <v>26</v>
      </c>
      <c r="N24" s="1" t="s">
        <v>26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9">
        <v>186214462.68000001</v>
      </c>
      <c r="AF24" s="10">
        <v>2.6615759350000001E-4</v>
      </c>
      <c r="AG24" s="10">
        <v>0.13500000000000001</v>
      </c>
      <c r="AH24" s="10">
        <v>0.13469999999999999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9">
        <v>186214462.68000001</v>
      </c>
      <c r="AZ24" s="10">
        <v>2.3513161018E-4</v>
      </c>
      <c r="BA24" s="10">
        <v>0.13500000000000001</v>
      </c>
      <c r="BB24" s="10">
        <v>0.1348</v>
      </c>
    </row>
    <row r="25" spans="1:55" s="7" customFormat="1">
      <c r="A25" s="3" t="s">
        <v>41</v>
      </c>
      <c r="B25" s="23" t="s">
        <v>44</v>
      </c>
      <c r="C25" s="2">
        <v>186214462.68000001</v>
      </c>
      <c r="D25" s="1">
        <v>1</v>
      </c>
      <c r="E25" s="9" t="s">
        <v>26</v>
      </c>
      <c r="F25" s="10" t="s">
        <v>26</v>
      </c>
      <c r="G25" s="9" t="s">
        <v>26</v>
      </c>
      <c r="H25" s="10" t="s">
        <v>26</v>
      </c>
      <c r="I25" s="9" t="s">
        <v>26</v>
      </c>
      <c r="J25" s="10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186214462.68000001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186214462.68000001</v>
      </c>
      <c r="AZ25" s="1">
        <v>1</v>
      </c>
      <c r="BA25" s="1" t="s">
        <v>26</v>
      </c>
      <c r="BB25" s="1" t="s">
        <v>26</v>
      </c>
      <c r="BC25" s="31"/>
    </row>
    <row r="26" spans="1:55" s="7" customFormat="1">
      <c r="A26" s="5" t="s">
        <v>45</v>
      </c>
      <c r="B26" s="20" t="s">
        <v>25</v>
      </c>
      <c r="C26" s="9">
        <v>20807377.399999999</v>
      </c>
      <c r="D26" s="10">
        <v>2.8375530917400002E-3</v>
      </c>
      <c r="E26" s="10">
        <v>0.13500000000000001</v>
      </c>
      <c r="F26" s="10">
        <v>0.13220000000000001</v>
      </c>
      <c r="G26" s="9">
        <v>1492147735.8</v>
      </c>
      <c r="H26" s="10">
        <v>9.0512486453599994E-3</v>
      </c>
      <c r="I26" s="10">
        <v>0.13500000000000001</v>
      </c>
      <c r="J26" s="10">
        <v>0.12590000000000001</v>
      </c>
      <c r="K26" s="2" t="s">
        <v>26</v>
      </c>
      <c r="L26" s="1" t="s">
        <v>26</v>
      </c>
      <c r="M26" s="1" t="s">
        <v>26</v>
      </c>
      <c r="N26" s="1" t="s">
        <v>26</v>
      </c>
      <c r="O26" s="9">
        <v>1650628839</v>
      </c>
      <c r="P26" s="10">
        <v>6.7343611334200002E-3</v>
      </c>
      <c r="Q26" s="10">
        <v>0.13500000000000001</v>
      </c>
      <c r="R26" s="10">
        <v>0.1283</v>
      </c>
      <c r="S26" s="9">
        <v>828306138</v>
      </c>
      <c r="T26" s="10">
        <v>6.87522941145E-3</v>
      </c>
      <c r="U26" s="10">
        <v>0.13500000000000001</v>
      </c>
      <c r="V26" s="10">
        <v>0.12809999999999999</v>
      </c>
      <c r="W26" s="2" t="s">
        <v>26</v>
      </c>
      <c r="X26" s="1" t="s">
        <v>26</v>
      </c>
      <c r="Y26" s="1" t="s">
        <v>26</v>
      </c>
      <c r="Z26" s="1" t="s">
        <v>26</v>
      </c>
      <c r="AA26" s="9">
        <v>2042677660.3399999</v>
      </c>
      <c r="AB26" s="10">
        <v>1.349828236137E-2</v>
      </c>
      <c r="AC26" s="10">
        <v>0.05</v>
      </c>
      <c r="AD26" s="10">
        <v>3.6499999999999998E-2</v>
      </c>
      <c r="AE26" s="9">
        <v>6034567750.54</v>
      </c>
      <c r="AF26" s="10">
        <v>8.6252485825900008E-3</v>
      </c>
      <c r="AG26" s="10">
        <v>0.13589999999999999</v>
      </c>
      <c r="AH26" s="10">
        <v>0.1273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9">
        <v>972394594.5</v>
      </c>
      <c r="AV26" s="10">
        <v>1.9562270475690001E-2</v>
      </c>
      <c r="AW26" s="10">
        <v>0.13500000000000001</v>
      </c>
      <c r="AX26" s="10">
        <v>0.1154</v>
      </c>
      <c r="AY26" s="9">
        <v>7006962345.04</v>
      </c>
      <c r="AZ26" s="10">
        <v>8.8476389800200006E-3</v>
      </c>
      <c r="BA26" s="10">
        <v>0.1358</v>
      </c>
      <c r="BB26" s="10">
        <v>0.127</v>
      </c>
    </row>
    <row r="27" spans="1:55" s="7" customFormat="1">
      <c r="A27" s="3" t="s">
        <v>39</v>
      </c>
      <c r="B27" s="23" t="s">
        <v>40</v>
      </c>
      <c r="C27" s="2">
        <v>20807377.399999999</v>
      </c>
      <c r="D27" s="1">
        <v>1</v>
      </c>
      <c r="E27" s="9" t="s">
        <v>26</v>
      </c>
      <c r="F27" s="10" t="s">
        <v>26</v>
      </c>
      <c r="G27" s="2">
        <v>1492147735.8</v>
      </c>
      <c r="H27" s="1">
        <v>1</v>
      </c>
      <c r="I27" s="9" t="s">
        <v>26</v>
      </c>
      <c r="J27" s="10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1650628839</v>
      </c>
      <c r="P27" s="1">
        <v>1</v>
      </c>
      <c r="Q27" s="1" t="s">
        <v>26</v>
      </c>
      <c r="R27" s="1" t="s">
        <v>26</v>
      </c>
      <c r="S27" s="2">
        <v>828306138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1669614254.8800001</v>
      </c>
      <c r="AB27" s="1">
        <v>0.81736550376827</v>
      </c>
      <c r="AC27" s="1" t="s">
        <v>26</v>
      </c>
      <c r="AD27" s="1" t="s">
        <v>26</v>
      </c>
      <c r="AE27" s="2">
        <v>5661504345.0799999</v>
      </c>
      <c r="AF27" s="1">
        <v>0.93817893494912996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972394594.5</v>
      </c>
      <c r="AV27" s="1">
        <v>1</v>
      </c>
      <c r="AW27" s="1" t="s">
        <v>26</v>
      </c>
      <c r="AX27" s="1" t="s">
        <v>26</v>
      </c>
      <c r="AY27" s="2">
        <v>6633898939.5799999</v>
      </c>
      <c r="AZ27" s="1">
        <v>0.94675818320558003</v>
      </c>
      <c r="BA27" s="1" t="s">
        <v>26</v>
      </c>
      <c r="BB27" s="1" t="s">
        <v>26</v>
      </c>
    </row>
    <row r="28" spans="1:55" s="7" customFormat="1">
      <c r="A28" s="3" t="s">
        <v>41</v>
      </c>
      <c r="B28" s="23" t="s">
        <v>35</v>
      </c>
      <c r="C28" s="9" t="s">
        <v>26</v>
      </c>
      <c r="D28" s="10" t="s">
        <v>26</v>
      </c>
      <c r="E28" s="9" t="s">
        <v>26</v>
      </c>
      <c r="F28" s="10" t="s">
        <v>26</v>
      </c>
      <c r="G28" s="9" t="s">
        <v>26</v>
      </c>
      <c r="H28" s="10" t="s">
        <v>26</v>
      </c>
      <c r="I28" s="9" t="s">
        <v>26</v>
      </c>
      <c r="J28" s="10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373063405.45999998</v>
      </c>
      <c r="AB28" s="1">
        <v>0.18263449623173</v>
      </c>
      <c r="AC28" s="1" t="s">
        <v>26</v>
      </c>
      <c r="AD28" s="1" t="s">
        <v>26</v>
      </c>
      <c r="AE28" s="2">
        <v>373063405.45999998</v>
      </c>
      <c r="AF28" s="1">
        <v>6.1821065050869997E-2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373063405.45999998</v>
      </c>
      <c r="AZ28" s="1">
        <v>5.3241816794419999E-2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9" t="s">
        <v>26</v>
      </c>
      <c r="F29" s="10" t="s">
        <v>26</v>
      </c>
      <c r="G29" s="9" t="s">
        <v>26</v>
      </c>
      <c r="H29" s="10" t="s">
        <v>26</v>
      </c>
      <c r="I29" s="9" t="s">
        <v>26</v>
      </c>
      <c r="J29" s="10" t="s">
        <v>26</v>
      </c>
      <c r="K29" s="2" t="s">
        <v>26</v>
      </c>
      <c r="L29" s="1" t="s">
        <v>26</v>
      </c>
      <c r="M29" s="1" t="s">
        <v>26</v>
      </c>
      <c r="N29" s="1" t="s">
        <v>26</v>
      </c>
      <c r="O29" s="2" t="s">
        <v>26</v>
      </c>
      <c r="P29" s="1" t="s">
        <v>26</v>
      </c>
      <c r="Q29" s="1" t="s">
        <v>26</v>
      </c>
      <c r="R29" s="1" t="s">
        <v>26</v>
      </c>
      <c r="S29" s="9">
        <v>20017188.239999998</v>
      </c>
      <c r="T29" s="10">
        <v>1.6614963358E-4</v>
      </c>
      <c r="U29" s="10">
        <v>0.13500000000000001</v>
      </c>
      <c r="V29" s="10">
        <v>0.1348</v>
      </c>
      <c r="W29" s="2" t="s">
        <v>26</v>
      </c>
      <c r="X29" s="1" t="s">
        <v>26</v>
      </c>
      <c r="Y29" s="1" t="s">
        <v>26</v>
      </c>
      <c r="Z29" s="1" t="s">
        <v>26</v>
      </c>
      <c r="AA29" s="2" t="s">
        <v>26</v>
      </c>
      <c r="AB29" s="1" t="s">
        <v>26</v>
      </c>
      <c r="AC29" s="1" t="s">
        <v>26</v>
      </c>
      <c r="AD29" s="1" t="s">
        <v>26</v>
      </c>
      <c r="AE29" s="9">
        <v>20017188.239999998</v>
      </c>
      <c r="AF29" s="10">
        <v>2.8610702809999998E-5</v>
      </c>
      <c r="AG29" s="10">
        <v>0.13500000000000001</v>
      </c>
      <c r="AH29" s="10">
        <v>0.13500000000000001</v>
      </c>
      <c r="AI29" s="2" t="s">
        <v>26</v>
      </c>
      <c r="AJ29" s="1" t="s">
        <v>26</v>
      </c>
      <c r="AK29" s="1" t="s">
        <v>26</v>
      </c>
      <c r="AL29" s="1" t="s">
        <v>26</v>
      </c>
      <c r="AM29" s="9">
        <v>478052637.25999999</v>
      </c>
      <c r="AN29" s="10">
        <v>1.9378475796330001E-2</v>
      </c>
      <c r="AO29" s="10">
        <v>0.13500000000000001</v>
      </c>
      <c r="AP29" s="10">
        <v>0.11559999999999999</v>
      </c>
      <c r="AQ29" s="9">
        <v>478052637.25999999</v>
      </c>
      <c r="AR29" s="10">
        <v>1.121901753886E-2</v>
      </c>
      <c r="AS29" s="10">
        <v>0.13500000000000001</v>
      </c>
      <c r="AT29" s="10">
        <v>0.12379999999999999</v>
      </c>
      <c r="AU29" s="2" t="s">
        <v>26</v>
      </c>
      <c r="AV29" s="1" t="s">
        <v>26</v>
      </c>
      <c r="AW29" s="1" t="s">
        <v>26</v>
      </c>
      <c r="AX29" s="1" t="s">
        <v>26</v>
      </c>
      <c r="AY29" s="9">
        <v>498069825.5</v>
      </c>
      <c r="AZ29" s="10">
        <v>6.2890904587000005E-4</v>
      </c>
      <c r="BA29" s="10">
        <v>0.13500000000000001</v>
      </c>
      <c r="BB29" s="10">
        <v>0.13439999999999999</v>
      </c>
    </row>
    <row r="30" spans="1:55" s="7" customFormat="1">
      <c r="A30" s="3" t="s">
        <v>41</v>
      </c>
      <c r="B30" s="23" t="s">
        <v>44</v>
      </c>
      <c r="C30" s="9" t="s">
        <v>26</v>
      </c>
      <c r="D30" s="10" t="s">
        <v>26</v>
      </c>
      <c r="E30" s="9" t="s">
        <v>26</v>
      </c>
      <c r="F30" s="10" t="s">
        <v>26</v>
      </c>
      <c r="G30" s="9" t="s">
        <v>26</v>
      </c>
      <c r="H30" s="10" t="s">
        <v>26</v>
      </c>
      <c r="I30" s="9" t="s">
        <v>26</v>
      </c>
      <c r="J30" s="10" t="s">
        <v>26</v>
      </c>
      <c r="K30" s="2" t="s">
        <v>26</v>
      </c>
      <c r="L30" s="1" t="s">
        <v>26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20017188.239999998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20017188.239999998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478052637.25999999</v>
      </c>
      <c r="AN30" s="1">
        <v>1</v>
      </c>
      <c r="AO30" s="1" t="s">
        <v>26</v>
      </c>
      <c r="AP30" s="1" t="s">
        <v>26</v>
      </c>
      <c r="AQ30" s="2">
        <v>478052637.25999999</v>
      </c>
      <c r="AR30" s="1">
        <v>1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498069825.5</v>
      </c>
      <c r="AZ30" s="1">
        <v>1</v>
      </c>
      <c r="BA30" s="1" t="s">
        <v>26</v>
      </c>
      <c r="BB30" s="1" t="s">
        <v>26</v>
      </c>
    </row>
    <row r="31" spans="1:55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9" t="s">
        <v>26</v>
      </c>
      <c r="F31" s="10" t="s">
        <v>26</v>
      </c>
      <c r="G31" s="9">
        <v>10056051.07</v>
      </c>
      <c r="H31" s="10">
        <v>6.0999200310000002E-5</v>
      </c>
      <c r="I31" s="10">
        <v>0.13500000000000001</v>
      </c>
      <c r="J31" s="10">
        <v>0.13489999999999999</v>
      </c>
      <c r="K31" s="9">
        <v>58499072.579999998</v>
      </c>
      <c r="L31" s="10">
        <v>1.6250198096350001E-2</v>
      </c>
      <c r="M31" s="10">
        <v>0.13500000000000001</v>
      </c>
      <c r="N31" s="10">
        <v>0.1187</v>
      </c>
      <c r="O31" s="2" t="s">
        <v>26</v>
      </c>
      <c r="P31" s="1" t="s">
        <v>26</v>
      </c>
      <c r="Q31" s="1" t="s">
        <v>26</v>
      </c>
      <c r="R31" s="1" t="s">
        <v>26</v>
      </c>
      <c r="S31" s="2" t="s">
        <v>26</v>
      </c>
      <c r="T31" s="1" t="s">
        <v>26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9">
        <v>68555123.650000006</v>
      </c>
      <c r="AF31" s="10">
        <v>9.7986302840000005E-5</v>
      </c>
      <c r="AG31" s="10">
        <v>0.13500000000000001</v>
      </c>
      <c r="AH31" s="10">
        <v>0.13489999999999999</v>
      </c>
      <c r="AI31" s="9">
        <v>6041633.4699999997</v>
      </c>
      <c r="AJ31" s="10">
        <v>3.3673772437999998E-4</v>
      </c>
      <c r="AK31" s="10">
        <v>0.13500000000000001</v>
      </c>
      <c r="AL31" s="10">
        <v>0.13469999999999999</v>
      </c>
      <c r="AM31" s="2" t="s">
        <v>26</v>
      </c>
      <c r="AN31" s="1" t="s">
        <v>26</v>
      </c>
      <c r="AO31" s="1" t="s">
        <v>26</v>
      </c>
      <c r="AP31" s="1" t="s">
        <v>26</v>
      </c>
      <c r="AQ31" s="9">
        <v>6041633.4699999997</v>
      </c>
      <c r="AR31" s="10">
        <v>1.4178604316999999E-4</v>
      </c>
      <c r="AS31" s="10">
        <v>0.13500000000000001</v>
      </c>
      <c r="AT31" s="10">
        <v>0.13489999999999999</v>
      </c>
      <c r="AU31" s="2" t="s">
        <v>26</v>
      </c>
      <c r="AV31" s="1" t="s">
        <v>26</v>
      </c>
      <c r="AW31" s="1" t="s">
        <v>26</v>
      </c>
      <c r="AX31" s="1" t="s">
        <v>26</v>
      </c>
      <c r="AY31" s="9">
        <v>74596757.120000005</v>
      </c>
      <c r="AZ31" s="10">
        <v>9.4192767649999999E-5</v>
      </c>
      <c r="BA31" s="10">
        <v>0.13500000000000001</v>
      </c>
      <c r="BB31" s="10">
        <v>0.13489999999999999</v>
      </c>
    </row>
    <row r="32" spans="1:55" s="7" customFormat="1">
      <c r="A32" s="3" t="s">
        <v>41</v>
      </c>
      <c r="B32" s="23" t="s">
        <v>44</v>
      </c>
      <c r="C32" s="9" t="s">
        <v>26</v>
      </c>
      <c r="D32" s="10" t="s">
        <v>26</v>
      </c>
      <c r="E32" s="9" t="s">
        <v>26</v>
      </c>
      <c r="F32" s="10" t="s">
        <v>26</v>
      </c>
      <c r="G32" s="2">
        <v>10056051.07</v>
      </c>
      <c r="H32" s="1">
        <v>1</v>
      </c>
      <c r="I32" s="9" t="s">
        <v>26</v>
      </c>
      <c r="J32" s="10" t="s">
        <v>26</v>
      </c>
      <c r="K32" s="2">
        <v>58499072.579999998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68555123.650000006</v>
      </c>
      <c r="AF32" s="1">
        <v>1</v>
      </c>
      <c r="AG32" s="1" t="s">
        <v>26</v>
      </c>
      <c r="AH32" s="1" t="s">
        <v>26</v>
      </c>
      <c r="AI32" s="2">
        <v>6041633.4699999997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6041633.4699999997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74596757.120000005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9" t="s">
        <v>26</v>
      </c>
      <c r="F33" s="10" t="s">
        <v>26</v>
      </c>
      <c r="G33" s="9" t="s">
        <v>26</v>
      </c>
      <c r="H33" s="10" t="s">
        <v>26</v>
      </c>
      <c r="I33" s="9" t="s">
        <v>26</v>
      </c>
      <c r="J33" s="10" t="s">
        <v>26</v>
      </c>
      <c r="K33" s="9">
        <v>186926000.21000001</v>
      </c>
      <c r="L33" s="10">
        <v>5.1925345117509999E-2</v>
      </c>
      <c r="M33" s="10">
        <v>0.13500000000000001</v>
      </c>
      <c r="N33" s="10">
        <v>8.3099999999999993E-2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9">
        <v>50055403.729999997</v>
      </c>
      <c r="AB33" s="10">
        <v>3.3077268449000001E-4</v>
      </c>
      <c r="AC33" s="10">
        <v>0.13500000000000001</v>
      </c>
      <c r="AD33" s="10">
        <v>0.13469999999999999</v>
      </c>
      <c r="AE33" s="9">
        <v>236981403.94</v>
      </c>
      <c r="AF33" s="10">
        <v>3.3871912668999998E-4</v>
      </c>
      <c r="AG33" s="10">
        <v>0.13500000000000001</v>
      </c>
      <c r="AH33" s="10">
        <v>0.13469999999999999</v>
      </c>
      <c r="AI33" s="9">
        <v>20181409.59</v>
      </c>
      <c r="AJ33" s="10">
        <v>1.12483519132E-3</v>
      </c>
      <c r="AK33" s="10">
        <v>0.13500000000000001</v>
      </c>
      <c r="AL33" s="10">
        <v>0.13389999999999999</v>
      </c>
      <c r="AM33" s="2" t="s">
        <v>26</v>
      </c>
      <c r="AN33" s="1" t="s">
        <v>26</v>
      </c>
      <c r="AO33" s="1" t="s">
        <v>26</v>
      </c>
      <c r="AP33" s="1" t="s">
        <v>26</v>
      </c>
      <c r="AQ33" s="9">
        <v>20181409.59</v>
      </c>
      <c r="AR33" s="10">
        <v>4.7362062355E-4</v>
      </c>
      <c r="AS33" s="10">
        <v>0.13500000000000001</v>
      </c>
      <c r="AT33" s="10">
        <v>0.13450000000000001</v>
      </c>
      <c r="AU33" s="2" t="s">
        <v>26</v>
      </c>
      <c r="AV33" s="1" t="s">
        <v>26</v>
      </c>
      <c r="AW33" s="1" t="s">
        <v>26</v>
      </c>
      <c r="AX33" s="1" t="s">
        <v>26</v>
      </c>
      <c r="AY33" s="9">
        <v>257162813.53</v>
      </c>
      <c r="AZ33" s="10">
        <v>3.247175625E-4</v>
      </c>
      <c r="BA33" s="10">
        <v>0.13500000000000001</v>
      </c>
      <c r="BB33" s="10">
        <v>0.13469999999999999</v>
      </c>
    </row>
    <row r="34" spans="1:54" s="7" customFormat="1">
      <c r="A34" s="3" t="s">
        <v>41</v>
      </c>
      <c r="B34" s="23" t="s">
        <v>44</v>
      </c>
      <c r="C34" s="9" t="s">
        <v>26</v>
      </c>
      <c r="D34" s="10" t="s">
        <v>26</v>
      </c>
      <c r="E34" s="9" t="s">
        <v>26</v>
      </c>
      <c r="F34" s="10" t="s">
        <v>26</v>
      </c>
      <c r="G34" s="9" t="s">
        <v>26</v>
      </c>
      <c r="H34" s="10" t="s">
        <v>26</v>
      </c>
      <c r="I34" s="9" t="s">
        <v>26</v>
      </c>
      <c r="J34" s="10" t="s">
        <v>26</v>
      </c>
      <c r="K34" s="2">
        <v>186926000.21000001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50055403.729999997</v>
      </c>
      <c r="AB34" s="1">
        <v>1</v>
      </c>
      <c r="AC34" s="1" t="s">
        <v>26</v>
      </c>
      <c r="AD34" s="1" t="s">
        <v>26</v>
      </c>
      <c r="AE34" s="2">
        <v>236981403.94</v>
      </c>
      <c r="AF34" s="1">
        <v>1</v>
      </c>
      <c r="AG34" s="1" t="s">
        <v>26</v>
      </c>
      <c r="AH34" s="1" t="s">
        <v>26</v>
      </c>
      <c r="AI34" s="2">
        <v>20181409.59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20181409.59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257162813.53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9201679.9600000009</v>
      </c>
      <c r="D35" s="10">
        <v>1.2548556657500001E-3</v>
      </c>
      <c r="E35" s="10">
        <v>0.13500000000000001</v>
      </c>
      <c r="F35" s="10">
        <v>0.13370000000000001</v>
      </c>
      <c r="G35" s="9">
        <v>868159996.04999995</v>
      </c>
      <c r="H35" s="10">
        <v>5.2661889970200002E-3</v>
      </c>
      <c r="I35" s="10">
        <v>0.1056</v>
      </c>
      <c r="J35" s="10">
        <v>0.1003</v>
      </c>
      <c r="K35" s="2" t="s">
        <v>26</v>
      </c>
      <c r="L35" s="1" t="s">
        <v>26</v>
      </c>
      <c r="M35" s="1" t="s">
        <v>26</v>
      </c>
      <c r="N35" s="1" t="s">
        <v>26</v>
      </c>
      <c r="O35" s="9">
        <v>1540039843.45</v>
      </c>
      <c r="P35" s="10">
        <v>6.2831717346799997E-3</v>
      </c>
      <c r="Q35" s="10">
        <v>0.1187</v>
      </c>
      <c r="R35" s="10">
        <v>0.1124</v>
      </c>
      <c r="S35" s="9">
        <v>303563880</v>
      </c>
      <c r="T35" s="10">
        <v>2.51968592321E-3</v>
      </c>
      <c r="U35" s="10">
        <v>0.09</v>
      </c>
      <c r="V35" s="10">
        <v>8.7499999999999994E-2</v>
      </c>
      <c r="W35" s="2" t="s">
        <v>26</v>
      </c>
      <c r="X35" s="1" t="s">
        <v>26</v>
      </c>
      <c r="Y35" s="1" t="s">
        <v>26</v>
      </c>
      <c r="Z35" s="1" t="s">
        <v>26</v>
      </c>
      <c r="AA35" s="9">
        <v>771079642.21000004</v>
      </c>
      <c r="AB35" s="10">
        <v>5.0953955857700002E-3</v>
      </c>
      <c r="AC35" s="10">
        <v>0.1024</v>
      </c>
      <c r="AD35" s="10">
        <v>9.7299999999999998E-2</v>
      </c>
      <c r="AE35" s="9">
        <v>3492045041.6700001</v>
      </c>
      <c r="AF35" s="10">
        <v>4.9912036439300001E-3</v>
      </c>
      <c r="AG35" s="10">
        <v>0.1094</v>
      </c>
      <c r="AH35" s="10">
        <v>0.10440000000000001</v>
      </c>
      <c r="AI35" s="9">
        <v>101568934.65000001</v>
      </c>
      <c r="AJ35" s="10">
        <v>5.6610670097099998E-3</v>
      </c>
      <c r="AK35" s="10">
        <v>0.11219999999999999</v>
      </c>
      <c r="AL35" s="10">
        <v>0.1065</v>
      </c>
      <c r="AM35" s="9">
        <v>112237693.3</v>
      </c>
      <c r="AN35" s="10">
        <v>4.5496986179499998E-3</v>
      </c>
      <c r="AO35" s="10">
        <v>0.13500000000000001</v>
      </c>
      <c r="AP35" s="10">
        <v>0.1305</v>
      </c>
      <c r="AQ35" s="9">
        <v>213806627.94999999</v>
      </c>
      <c r="AR35" s="10">
        <v>5.0176489405900004E-3</v>
      </c>
      <c r="AS35" s="10">
        <v>0.1242</v>
      </c>
      <c r="AT35" s="10">
        <v>0.1192</v>
      </c>
      <c r="AU35" s="2" t="s">
        <v>26</v>
      </c>
      <c r="AV35" s="1" t="s">
        <v>26</v>
      </c>
      <c r="AW35" s="1" t="s">
        <v>26</v>
      </c>
      <c r="AX35" s="1" t="s">
        <v>26</v>
      </c>
      <c r="AY35" s="9">
        <v>3705851669.6199999</v>
      </c>
      <c r="AZ35" s="10">
        <v>4.6793512040900001E-3</v>
      </c>
      <c r="BA35" s="10">
        <v>0.11020000000000001</v>
      </c>
      <c r="BB35" s="10">
        <v>0.1055</v>
      </c>
    </row>
    <row r="36" spans="1:54" s="7" customFormat="1">
      <c r="A36" s="3" t="s">
        <v>39</v>
      </c>
      <c r="B36" s="23" t="s">
        <v>47</v>
      </c>
      <c r="C36" s="9" t="s">
        <v>26</v>
      </c>
      <c r="D36" s="10" t="s">
        <v>26</v>
      </c>
      <c r="E36" s="9" t="s">
        <v>26</v>
      </c>
      <c r="F36" s="10" t="s">
        <v>26</v>
      </c>
      <c r="G36" s="2">
        <v>568001686.38999999</v>
      </c>
      <c r="H36" s="1">
        <v>0.65425922522844004</v>
      </c>
      <c r="I36" s="9" t="s">
        <v>26</v>
      </c>
      <c r="J36" s="10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558753921.16999996</v>
      </c>
      <c r="P36" s="1">
        <v>0.36281783458166</v>
      </c>
      <c r="Q36" s="1" t="s">
        <v>26</v>
      </c>
      <c r="R36" s="1" t="s">
        <v>26</v>
      </c>
      <c r="S36" s="2">
        <v>303563880</v>
      </c>
      <c r="T36" s="1">
        <v>1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558753921.16999996</v>
      </c>
      <c r="AB36" s="1">
        <v>0.72463840384704004</v>
      </c>
      <c r="AC36" s="1" t="s">
        <v>26</v>
      </c>
      <c r="AD36" s="1" t="s">
        <v>26</v>
      </c>
      <c r="AE36" s="2">
        <v>1989073408.73</v>
      </c>
      <c r="AF36" s="1">
        <v>0.56960130381902996</v>
      </c>
      <c r="AG36" s="1" t="s">
        <v>26</v>
      </c>
      <c r="AH36" s="1" t="s">
        <v>26</v>
      </c>
      <c r="AI36" s="2">
        <v>51542545</v>
      </c>
      <c r="AJ36" s="1">
        <v>0.50746367654255997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51542545</v>
      </c>
      <c r="AR36" s="1">
        <v>0.24107084749520999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2040615953.73</v>
      </c>
      <c r="AZ36" s="1">
        <v>0.55064695936393004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9201679.9600000009</v>
      </c>
      <c r="D37" s="1">
        <v>1</v>
      </c>
      <c r="E37" s="9" t="s">
        <v>26</v>
      </c>
      <c r="F37" s="10" t="s">
        <v>26</v>
      </c>
      <c r="G37" s="2">
        <v>300158309.66000003</v>
      </c>
      <c r="H37" s="1">
        <v>0.34574077477156001</v>
      </c>
      <c r="I37" s="9" t="s">
        <v>26</v>
      </c>
      <c r="J37" s="10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981285922.27999997</v>
      </c>
      <c r="P37" s="1">
        <v>0.63718216541834005</v>
      </c>
      <c r="Q37" s="1" t="s">
        <v>26</v>
      </c>
      <c r="R37" s="1" t="s">
        <v>26</v>
      </c>
      <c r="S37" s="2" t="s">
        <v>26</v>
      </c>
      <c r="T37" s="1" t="s">
        <v>26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212325721.03999999</v>
      </c>
      <c r="AB37" s="1">
        <v>0.27536159615296002</v>
      </c>
      <c r="AC37" s="1" t="s">
        <v>26</v>
      </c>
      <c r="AD37" s="1" t="s">
        <v>26</v>
      </c>
      <c r="AE37" s="2">
        <v>1502971632.9400001</v>
      </c>
      <c r="AF37" s="1">
        <v>0.43039869618096999</v>
      </c>
      <c r="AG37" s="1" t="s">
        <v>26</v>
      </c>
      <c r="AH37" s="1" t="s">
        <v>26</v>
      </c>
      <c r="AI37" s="2">
        <v>50026389.649999999</v>
      </c>
      <c r="AJ37" s="1">
        <v>0.49253632345743997</v>
      </c>
      <c r="AK37" s="1" t="s">
        <v>26</v>
      </c>
      <c r="AL37" s="1" t="s">
        <v>26</v>
      </c>
      <c r="AM37" s="2">
        <v>112237693.3</v>
      </c>
      <c r="AN37" s="1">
        <v>1</v>
      </c>
      <c r="AO37" s="1" t="s">
        <v>26</v>
      </c>
      <c r="AP37" s="1" t="s">
        <v>26</v>
      </c>
      <c r="AQ37" s="2">
        <v>162264082.94999999</v>
      </c>
      <c r="AR37" s="1">
        <v>0.75892915250478998</v>
      </c>
      <c r="AS37" s="1" t="s">
        <v>26</v>
      </c>
      <c r="AT37" s="1" t="s">
        <v>26</v>
      </c>
      <c r="AU37" s="2" t="s">
        <v>26</v>
      </c>
      <c r="AV37" s="1" t="s">
        <v>26</v>
      </c>
      <c r="AW37" s="1" t="s">
        <v>26</v>
      </c>
      <c r="AX37" s="1" t="s">
        <v>26</v>
      </c>
      <c r="AY37" s="2">
        <v>1665235715.8900001</v>
      </c>
      <c r="AZ37" s="1">
        <v>0.44935304063607001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9" t="s">
        <v>26</v>
      </c>
      <c r="F38" s="10" t="s">
        <v>26</v>
      </c>
      <c r="G38" s="9" t="s">
        <v>26</v>
      </c>
      <c r="H38" s="10" t="s">
        <v>26</v>
      </c>
      <c r="I38" s="9" t="s">
        <v>26</v>
      </c>
      <c r="J38" s="10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9">
        <v>100357548.06</v>
      </c>
      <c r="P38" s="10">
        <v>4.0944636075999999E-4</v>
      </c>
      <c r="Q38" s="10">
        <v>0.13500000000000001</v>
      </c>
      <c r="R38" s="10">
        <v>0.1346</v>
      </c>
      <c r="S38" s="2" t="s">
        <v>26</v>
      </c>
      <c r="T38" s="1" t="s">
        <v>26</v>
      </c>
      <c r="U38" s="1" t="s">
        <v>26</v>
      </c>
      <c r="V38" s="1" t="s">
        <v>26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9">
        <v>100357548.06</v>
      </c>
      <c r="AF38" s="10">
        <v>1.4344172356999999E-4</v>
      </c>
      <c r="AG38" s="10">
        <v>0.13500000000000001</v>
      </c>
      <c r="AH38" s="10">
        <v>0.13489999999999999</v>
      </c>
      <c r="AI38" s="2" t="s">
        <v>26</v>
      </c>
      <c r="AJ38" s="1" t="s">
        <v>26</v>
      </c>
      <c r="AK38" s="1" t="s">
        <v>26</v>
      </c>
      <c r="AL38" s="1" t="s">
        <v>26</v>
      </c>
      <c r="AM38" s="2" t="s">
        <v>26</v>
      </c>
      <c r="AN38" s="1" t="s">
        <v>26</v>
      </c>
      <c r="AO38" s="1" t="s">
        <v>26</v>
      </c>
      <c r="AP38" s="1" t="s">
        <v>26</v>
      </c>
      <c r="AQ38" s="2" t="s">
        <v>26</v>
      </c>
      <c r="AR38" s="1" t="s">
        <v>26</v>
      </c>
      <c r="AS38" s="2" t="s">
        <v>26</v>
      </c>
      <c r="AT38" s="1" t="s">
        <v>26</v>
      </c>
      <c r="AU38" s="2" t="s">
        <v>26</v>
      </c>
      <c r="AV38" s="1" t="s">
        <v>26</v>
      </c>
      <c r="AW38" s="1" t="s">
        <v>26</v>
      </c>
      <c r="AX38" s="1" t="s">
        <v>26</v>
      </c>
      <c r="AY38" s="9">
        <v>100357548.06</v>
      </c>
      <c r="AZ38" s="10">
        <v>1.2672072582E-4</v>
      </c>
      <c r="BA38" s="10">
        <v>0.13500000000000001</v>
      </c>
      <c r="BB38" s="10">
        <v>0.13489999999999999</v>
      </c>
    </row>
    <row r="39" spans="1:54" s="7" customFormat="1">
      <c r="A39" s="3" t="s">
        <v>41</v>
      </c>
      <c r="B39" s="23" t="s">
        <v>44</v>
      </c>
      <c r="C39" s="9" t="s">
        <v>26</v>
      </c>
      <c r="D39" s="10" t="s">
        <v>26</v>
      </c>
      <c r="E39" s="9" t="s">
        <v>26</v>
      </c>
      <c r="F39" s="10" t="s">
        <v>26</v>
      </c>
      <c r="G39" s="9" t="s">
        <v>26</v>
      </c>
      <c r="H39" s="10" t="s">
        <v>26</v>
      </c>
      <c r="I39" s="9" t="s">
        <v>26</v>
      </c>
      <c r="J39" s="10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100357548.06</v>
      </c>
      <c r="P39" s="1">
        <v>1</v>
      </c>
      <c r="Q39" s="1" t="s">
        <v>26</v>
      </c>
      <c r="R39" s="1" t="s">
        <v>26</v>
      </c>
      <c r="S39" s="2" t="s">
        <v>26</v>
      </c>
      <c r="T39" s="1" t="s">
        <v>26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100357548.06</v>
      </c>
      <c r="AF39" s="1">
        <v>1</v>
      </c>
      <c r="AG39" s="1" t="s">
        <v>26</v>
      </c>
      <c r="AH39" s="1" t="s">
        <v>26</v>
      </c>
      <c r="AI39" s="2" t="s">
        <v>26</v>
      </c>
      <c r="AJ39" s="1" t="s">
        <v>26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 t="s">
        <v>26</v>
      </c>
      <c r="AR39" s="1" t="s">
        <v>26</v>
      </c>
      <c r="AS39" s="2" t="s">
        <v>26</v>
      </c>
      <c r="AT39" s="1" t="s">
        <v>26</v>
      </c>
      <c r="AU39" s="2" t="s">
        <v>26</v>
      </c>
      <c r="AV39" s="1" t="s">
        <v>26</v>
      </c>
      <c r="AW39" s="1" t="s">
        <v>26</v>
      </c>
      <c r="AX39" s="1" t="s">
        <v>26</v>
      </c>
      <c r="AY39" s="2">
        <v>100357548.06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24642850.25</v>
      </c>
      <c r="D40" s="10">
        <v>3.3606059318200001E-3</v>
      </c>
      <c r="E40" s="10">
        <v>0.13500000000000001</v>
      </c>
      <c r="F40" s="10">
        <v>0.13159999999999999</v>
      </c>
      <c r="G40" s="9">
        <v>2704361644</v>
      </c>
      <c r="H40" s="10">
        <v>1.6404441115000001E-2</v>
      </c>
      <c r="I40" s="10">
        <v>0.13500000000000001</v>
      </c>
      <c r="J40" s="10">
        <v>0.1186</v>
      </c>
      <c r="K40" s="2" t="s">
        <v>26</v>
      </c>
      <c r="L40" s="1" t="s">
        <v>26</v>
      </c>
      <c r="M40" s="1" t="s">
        <v>26</v>
      </c>
      <c r="N40" s="1" t="s">
        <v>26</v>
      </c>
      <c r="O40" s="9">
        <v>4733464388.5200005</v>
      </c>
      <c r="P40" s="10">
        <v>1.9311948180780001E-2</v>
      </c>
      <c r="Q40" s="10">
        <v>0.05</v>
      </c>
      <c r="R40" s="10">
        <v>3.0700000000000002E-2</v>
      </c>
      <c r="S40" s="9">
        <v>2163969628.8000002</v>
      </c>
      <c r="T40" s="10">
        <v>1.7961701543499999E-2</v>
      </c>
      <c r="U40" s="10">
        <v>0.13500000000000001</v>
      </c>
      <c r="V40" s="10">
        <v>0.11700000000000001</v>
      </c>
      <c r="W40" s="9">
        <v>856883628.97000003</v>
      </c>
      <c r="X40" s="10">
        <v>0.12345989356377</v>
      </c>
      <c r="Y40" s="10">
        <v>0.15</v>
      </c>
      <c r="Z40" s="10">
        <v>2.6499999999999999E-2</v>
      </c>
      <c r="AA40" s="9">
        <v>5456092340.5299997</v>
      </c>
      <c r="AB40" s="10">
        <v>3.6054575047300003E-2</v>
      </c>
      <c r="AC40" s="10">
        <v>0.1391</v>
      </c>
      <c r="AD40" s="10">
        <v>0.10299999999999999</v>
      </c>
      <c r="AE40" s="9">
        <v>15939414481.07</v>
      </c>
      <c r="AF40" s="10">
        <v>2.2782313140469999E-2</v>
      </c>
      <c r="AG40" s="10">
        <v>0.13730000000000001</v>
      </c>
      <c r="AH40" s="10">
        <v>0.1145</v>
      </c>
      <c r="AI40" s="9">
        <v>240057684</v>
      </c>
      <c r="AJ40" s="10">
        <v>1.3379904396980001E-2</v>
      </c>
      <c r="AK40" s="10">
        <v>0.13500000000000001</v>
      </c>
      <c r="AL40" s="10">
        <v>0.1216</v>
      </c>
      <c r="AM40" s="2" t="s">
        <v>26</v>
      </c>
      <c r="AN40" s="1" t="s">
        <v>26</v>
      </c>
      <c r="AO40" s="1" t="s">
        <v>26</v>
      </c>
      <c r="AP40" s="1" t="s">
        <v>26</v>
      </c>
      <c r="AQ40" s="9">
        <v>240057684</v>
      </c>
      <c r="AR40" s="10">
        <v>5.6337130207500001E-3</v>
      </c>
      <c r="AS40" s="10">
        <v>0.13500000000000001</v>
      </c>
      <c r="AT40" s="10">
        <v>0.12939999999999999</v>
      </c>
      <c r="AU40" s="9">
        <v>1109979377.2</v>
      </c>
      <c r="AV40" s="10">
        <v>2.2330149634770001E-2</v>
      </c>
      <c r="AW40" s="10">
        <v>0.13500000000000001</v>
      </c>
      <c r="AX40" s="10">
        <v>0.11269999999999999</v>
      </c>
      <c r="AY40" s="9">
        <v>17289451542.27</v>
      </c>
      <c r="AZ40" s="10">
        <v>2.1831261233600002E-2</v>
      </c>
      <c r="BA40" s="10">
        <v>0.1371</v>
      </c>
      <c r="BB40" s="10">
        <v>0.1153</v>
      </c>
    </row>
    <row r="41" spans="1:54" s="7" customFormat="1">
      <c r="A41" s="3" t="s">
        <v>39</v>
      </c>
      <c r="B41" s="23" t="s">
        <v>40</v>
      </c>
      <c r="C41" s="2">
        <v>24642850.25</v>
      </c>
      <c r="D41" s="1">
        <v>1</v>
      </c>
      <c r="E41" s="9" t="s">
        <v>26</v>
      </c>
      <c r="F41" s="10" t="s">
        <v>26</v>
      </c>
      <c r="G41" s="2">
        <v>2704361644</v>
      </c>
      <c r="H41" s="1">
        <v>1</v>
      </c>
      <c r="I41" s="9" t="s">
        <v>26</v>
      </c>
      <c r="J41" s="10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4698326741.71</v>
      </c>
      <c r="P41" s="1">
        <v>0.99257675902343001</v>
      </c>
      <c r="Q41" s="1" t="s">
        <v>26</v>
      </c>
      <c r="R41" s="1" t="s">
        <v>26</v>
      </c>
      <c r="S41" s="2">
        <v>2163969628.8000002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3954864938</v>
      </c>
      <c r="AB41" s="1">
        <v>0.72485300672455999</v>
      </c>
      <c r="AC41" s="1" t="s">
        <v>26</v>
      </c>
      <c r="AD41" s="1" t="s">
        <v>26</v>
      </c>
      <c r="AE41" s="2">
        <v>13546165802.76</v>
      </c>
      <c r="AF41" s="1">
        <v>0.84985341330121</v>
      </c>
      <c r="AG41" s="1" t="s">
        <v>26</v>
      </c>
      <c r="AH41" s="1" t="s">
        <v>26</v>
      </c>
      <c r="AI41" s="2">
        <v>240057684</v>
      </c>
      <c r="AJ41" s="1">
        <v>1</v>
      </c>
      <c r="AK41" s="1" t="s">
        <v>25</v>
      </c>
      <c r="AL41" s="1" t="s">
        <v>25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240057684</v>
      </c>
      <c r="AR41" s="1">
        <v>1</v>
      </c>
      <c r="AS41" s="1" t="s">
        <v>26</v>
      </c>
      <c r="AT41" s="1" t="s">
        <v>26</v>
      </c>
      <c r="AU41" s="2">
        <v>1109979377.2</v>
      </c>
      <c r="AV41" s="1">
        <v>1</v>
      </c>
      <c r="AW41" s="1" t="s">
        <v>26</v>
      </c>
      <c r="AX41" s="1" t="s">
        <v>26</v>
      </c>
      <c r="AY41" s="2">
        <v>14896202863.959999</v>
      </c>
      <c r="AZ41" s="1">
        <v>0.86157752474339999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9" t="s">
        <v>26</v>
      </c>
      <c r="D42" s="10" t="s">
        <v>26</v>
      </c>
      <c r="E42" s="9" t="s">
        <v>26</v>
      </c>
      <c r="F42" s="10" t="s">
        <v>26</v>
      </c>
      <c r="G42" s="9" t="s">
        <v>26</v>
      </c>
      <c r="H42" s="10" t="s">
        <v>26</v>
      </c>
      <c r="I42" s="9" t="s">
        <v>26</v>
      </c>
      <c r="J42" s="10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35137646.810000002</v>
      </c>
      <c r="P42" s="1">
        <v>7.4232409765700004E-3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856883628.97000003</v>
      </c>
      <c r="X42" s="1">
        <v>1</v>
      </c>
      <c r="Y42" s="1" t="s">
        <v>26</v>
      </c>
      <c r="Z42" s="1" t="s">
        <v>26</v>
      </c>
      <c r="AA42" s="2">
        <v>1501227402.53</v>
      </c>
      <c r="AB42" s="1">
        <v>0.27514699327544001</v>
      </c>
      <c r="AC42" s="1" t="s">
        <v>26</v>
      </c>
      <c r="AD42" s="1" t="s">
        <v>26</v>
      </c>
      <c r="AE42" s="2">
        <v>2393248678.3099999</v>
      </c>
      <c r="AF42" s="1">
        <v>0.15014658669879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2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2393248678.3099999</v>
      </c>
      <c r="AZ42" s="1">
        <v>0.13842247525660001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9" t="s">
        <v>26</v>
      </c>
      <c r="F43" s="10" t="s">
        <v>26</v>
      </c>
      <c r="G43" s="9" t="s">
        <v>26</v>
      </c>
      <c r="H43" s="10" t="s">
        <v>26</v>
      </c>
      <c r="I43" s="9" t="s">
        <v>26</v>
      </c>
      <c r="J43" s="10" t="s">
        <v>26</v>
      </c>
      <c r="K43" s="2" t="s">
        <v>26</v>
      </c>
      <c r="L43" s="1" t="s">
        <v>26</v>
      </c>
      <c r="M43" s="1" t="s">
        <v>26</v>
      </c>
      <c r="N43" s="1" t="s">
        <v>26</v>
      </c>
      <c r="O43" s="2" t="s">
        <v>26</v>
      </c>
      <c r="P43" s="1" t="s">
        <v>26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 t="s">
        <v>26</v>
      </c>
      <c r="X43" s="1" t="s">
        <v>26</v>
      </c>
      <c r="Y43" s="1" t="s">
        <v>26</v>
      </c>
      <c r="Z43" s="1" t="s">
        <v>26</v>
      </c>
      <c r="AA43" s="9">
        <v>141982957.09</v>
      </c>
      <c r="AB43" s="10">
        <v>9.3824203519999997E-4</v>
      </c>
      <c r="AC43" s="10">
        <v>0.15</v>
      </c>
      <c r="AD43" s="10">
        <v>0.14910000000000001</v>
      </c>
      <c r="AE43" s="9">
        <v>141982957.09</v>
      </c>
      <c r="AF43" s="10">
        <v>2.029372028E-4</v>
      </c>
      <c r="AG43" s="10">
        <v>0.15</v>
      </c>
      <c r="AH43" s="10">
        <v>0.14979999999999999</v>
      </c>
      <c r="AI43" s="2" t="s">
        <v>26</v>
      </c>
      <c r="AJ43" s="1" t="s">
        <v>26</v>
      </c>
      <c r="AK43" s="1" t="s">
        <v>26</v>
      </c>
      <c r="AL43" s="1" t="s">
        <v>26</v>
      </c>
      <c r="AM43" s="9">
        <v>897413077.38</v>
      </c>
      <c r="AN43" s="10">
        <v>3.6377788226399997E-2</v>
      </c>
      <c r="AO43" s="10">
        <v>0.15</v>
      </c>
      <c r="AP43" s="10">
        <v>0.11360000000000001</v>
      </c>
      <c r="AQ43" s="9">
        <v>897413077.38</v>
      </c>
      <c r="AR43" s="10">
        <v>2.106063698851E-2</v>
      </c>
      <c r="AS43" s="10">
        <v>0.15</v>
      </c>
      <c r="AT43" s="10">
        <v>0.12889999999999999</v>
      </c>
      <c r="AU43" s="2" t="s">
        <v>26</v>
      </c>
      <c r="AV43" s="1" t="s">
        <v>26</v>
      </c>
      <c r="AW43" s="1" t="s">
        <v>26</v>
      </c>
      <c r="AX43" s="1" t="s">
        <v>26</v>
      </c>
      <c r="AY43" s="9">
        <v>1039396034.47</v>
      </c>
      <c r="AZ43" s="10">
        <v>1.31243760383E-3</v>
      </c>
      <c r="BA43" s="10">
        <v>0.15</v>
      </c>
      <c r="BB43" s="10">
        <v>0.1487</v>
      </c>
    </row>
    <row r="44" spans="1:54" s="7" customFormat="1">
      <c r="A44" s="3" t="s">
        <v>41</v>
      </c>
      <c r="B44" s="23" t="s">
        <v>35</v>
      </c>
      <c r="C44" s="9" t="s">
        <v>26</v>
      </c>
      <c r="D44" s="10" t="s">
        <v>26</v>
      </c>
      <c r="E44" s="9" t="s">
        <v>26</v>
      </c>
      <c r="F44" s="10" t="s">
        <v>26</v>
      </c>
      <c r="G44" s="9" t="s">
        <v>26</v>
      </c>
      <c r="H44" s="10" t="s">
        <v>26</v>
      </c>
      <c r="I44" s="9" t="s">
        <v>26</v>
      </c>
      <c r="J44" s="10" t="s">
        <v>26</v>
      </c>
      <c r="K44" s="2" t="s">
        <v>26</v>
      </c>
      <c r="L44" s="1" t="s">
        <v>26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141982957.09</v>
      </c>
      <c r="AB44" s="1">
        <v>1</v>
      </c>
      <c r="AC44" s="1" t="s">
        <v>25</v>
      </c>
      <c r="AD44" s="1" t="s">
        <v>25</v>
      </c>
      <c r="AE44" s="2">
        <v>141982957.09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897413077.38</v>
      </c>
      <c r="AN44" s="1">
        <v>1</v>
      </c>
      <c r="AO44" s="1" t="s">
        <v>26</v>
      </c>
      <c r="AP44" s="1" t="s">
        <v>26</v>
      </c>
      <c r="AQ44" s="2">
        <v>897413077.38</v>
      </c>
      <c r="AR44" s="1">
        <v>1</v>
      </c>
      <c r="AS44" s="2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1039396034.47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9" t="s">
        <v>26</v>
      </c>
      <c r="F45" s="10" t="s">
        <v>26</v>
      </c>
      <c r="G45" s="9" t="s">
        <v>26</v>
      </c>
      <c r="H45" s="10" t="s">
        <v>26</v>
      </c>
      <c r="I45" s="9" t="s">
        <v>26</v>
      </c>
      <c r="J45" s="10" t="s">
        <v>26</v>
      </c>
      <c r="K45" s="2" t="s">
        <v>26</v>
      </c>
      <c r="L45" s="1" t="s">
        <v>26</v>
      </c>
      <c r="M45" s="1" t="s">
        <v>26</v>
      </c>
      <c r="N45" s="1" t="s">
        <v>26</v>
      </c>
      <c r="O45" s="9">
        <v>228464400.58000001</v>
      </c>
      <c r="P45" s="10">
        <v>9.3210644530000004E-4</v>
      </c>
      <c r="Q45" s="10">
        <v>0.15</v>
      </c>
      <c r="R45" s="10">
        <v>0.14910000000000001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 t="s">
        <v>26</v>
      </c>
      <c r="AB45" s="1" t="s">
        <v>26</v>
      </c>
      <c r="AC45" s="1" t="s">
        <v>26</v>
      </c>
      <c r="AD45" s="1" t="s">
        <v>26</v>
      </c>
      <c r="AE45" s="9">
        <v>228464400.58000001</v>
      </c>
      <c r="AF45" s="10">
        <v>3.2654571606999998E-4</v>
      </c>
      <c r="AG45" s="10">
        <v>0.15</v>
      </c>
      <c r="AH45" s="10">
        <v>0.1497</v>
      </c>
      <c r="AI45" s="2" t="s">
        <v>26</v>
      </c>
      <c r="AJ45" s="1" t="s">
        <v>26</v>
      </c>
      <c r="AK45" s="1" t="s">
        <v>26</v>
      </c>
      <c r="AL45" s="1" t="s">
        <v>26</v>
      </c>
      <c r="AM45" s="2" t="s">
        <v>26</v>
      </c>
      <c r="AN45" s="1" t="s">
        <v>26</v>
      </c>
      <c r="AO45" s="1" t="s">
        <v>26</v>
      </c>
      <c r="AP45" s="1" t="s">
        <v>26</v>
      </c>
      <c r="AQ45" s="2" t="s">
        <v>26</v>
      </c>
      <c r="AR45" s="1" t="s">
        <v>26</v>
      </c>
      <c r="AS45" s="2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9">
        <v>228464400.58000001</v>
      </c>
      <c r="AZ45" s="10">
        <v>2.8848029097000002E-4</v>
      </c>
      <c r="BA45" s="10">
        <v>0.15</v>
      </c>
      <c r="BB45" s="10">
        <v>0.1497</v>
      </c>
    </row>
    <row r="46" spans="1:54" s="7" customFormat="1">
      <c r="A46" s="3" t="s">
        <v>41</v>
      </c>
      <c r="B46" s="23" t="s">
        <v>35</v>
      </c>
      <c r="C46" s="9" t="s">
        <v>26</v>
      </c>
      <c r="D46" s="10" t="s">
        <v>26</v>
      </c>
      <c r="E46" s="9" t="s">
        <v>26</v>
      </c>
      <c r="F46" s="10" t="s">
        <v>26</v>
      </c>
      <c r="G46" s="9" t="s">
        <v>26</v>
      </c>
      <c r="H46" s="10" t="s">
        <v>26</v>
      </c>
      <c r="I46" s="9" t="s">
        <v>26</v>
      </c>
      <c r="J46" s="10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228464400.58000001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228464400.58000001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2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228464400.58000001</v>
      </c>
      <c r="AZ46" s="1">
        <v>1</v>
      </c>
      <c r="BA46" s="1" t="s">
        <v>26</v>
      </c>
      <c r="BB46" s="1" t="s">
        <v>26</v>
      </c>
    </row>
    <row r="47" spans="1:54" s="7" customFormat="1">
      <c r="A47" s="5" t="s">
        <v>128</v>
      </c>
      <c r="B47" s="20" t="s">
        <v>25</v>
      </c>
      <c r="C47" s="9" t="s">
        <v>26</v>
      </c>
      <c r="D47" s="10" t="s">
        <v>26</v>
      </c>
      <c r="E47" s="9" t="s">
        <v>26</v>
      </c>
      <c r="F47" s="10" t="s">
        <v>26</v>
      </c>
      <c r="G47" s="9">
        <v>3150777.36</v>
      </c>
      <c r="H47" s="10">
        <v>1.9112363090000001E-5</v>
      </c>
      <c r="I47" s="10">
        <v>0.05</v>
      </c>
      <c r="J47" s="10">
        <v>0.05</v>
      </c>
      <c r="K47" s="2" t="s">
        <v>26</v>
      </c>
      <c r="L47" s="1" t="s">
        <v>26</v>
      </c>
      <c r="M47" s="1" t="s">
        <v>26</v>
      </c>
      <c r="N47" s="1" t="s">
        <v>26</v>
      </c>
      <c r="O47" s="2" t="s">
        <v>26</v>
      </c>
      <c r="P47" s="1" t="s">
        <v>26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9">
        <v>3150777.36</v>
      </c>
      <c r="AF47" s="10">
        <v>4.5034274299999997E-6</v>
      </c>
      <c r="AG47" s="10">
        <v>0.15</v>
      </c>
      <c r="AH47" s="10">
        <v>0.15</v>
      </c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2" t="s">
        <v>26</v>
      </c>
      <c r="AT47" s="1" t="s">
        <v>26</v>
      </c>
      <c r="AU47" s="2" t="s">
        <v>26</v>
      </c>
      <c r="AV47" s="1" t="s">
        <v>26</v>
      </c>
      <c r="AW47" s="1" t="s">
        <v>26</v>
      </c>
      <c r="AX47" s="1" t="s">
        <v>26</v>
      </c>
      <c r="AY47" s="9">
        <v>3150777.36</v>
      </c>
      <c r="AZ47" s="10">
        <v>3.9784630200000002E-6</v>
      </c>
      <c r="BA47" s="10">
        <v>0.15</v>
      </c>
      <c r="BB47" s="10">
        <v>0.15</v>
      </c>
    </row>
    <row r="48" spans="1:54" s="7" customFormat="1">
      <c r="A48" s="3" t="s">
        <v>41</v>
      </c>
      <c r="B48" s="23" t="s">
        <v>35</v>
      </c>
      <c r="C48" s="9" t="s">
        <v>26</v>
      </c>
      <c r="D48" s="10" t="s">
        <v>26</v>
      </c>
      <c r="E48" s="9" t="s">
        <v>26</v>
      </c>
      <c r="F48" s="10" t="s">
        <v>26</v>
      </c>
      <c r="G48" s="2">
        <v>3150777.36</v>
      </c>
      <c r="H48" s="1">
        <v>1</v>
      </c>
      <c r="I48" s="9" t="s">
        <v>26</v>
      </c>
      <c r="J48" s="10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 t="s">
        <v>26</v>
      </c>
      <c r="P48" s="1" t="s">
        <v>26</v>
      </c>
      <c r="Q48" s="1" t="s">
        <v>26</v>
      </c>
      <c r="R48" s="1" t="s">
        <v>26</v>
      </c>
      <c r="S48" s="2" t="s">
        <v>26</v>
      </c>
      <c r="T48" s="1" t="s">
        <v>26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>
        <v>3150777.36</v>
      </c>
      <c r="AF48" s="1">
        <v>1</v>
      </c>
      <c r="AG48" s="1" t="s">
        <v>26</v>
      </c>
      <c r="AH48" s="1" t="s">
        <v>26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2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>
        <v>3150777.36</v>
      </c>
      <c r="AZ48" s="1">
        <v>1</v>
      </c>
      <c r="BA48" s="1" t="s">
        <v>26</v>
      </c>
      <c r="BB48" s="1" t="s">
        <v>26</v>
      </c>
    </row>
    <row r="49" spans="1:54" s="7" customFormat="1">
      <c r="A49" s="12" t="s">
        <v>55</v>
      </c>
      <c r="B49" s="40" t="s">
        <v>25</v>
      </c>
      <c r="C49" s="42">
        <v>68574003.859999999</v>
      </c>
      <c r="D49" s="43">
        <v>9.3516051026099993E-3</v>
      </c>
      <c r="E49" s="43" t="s">
        <v>26</v>
      </c>
      <c r="F49" s="43" t="s">
        <v>26</v>
      </c>
      <c r="G49" s="42">
        <v>308372679</v>
      </c>
      <c r="H49" s="43">
        <v>1.8705639703700001E-3</v>
      </c>
      <c r="I49" s="43" t="s">
        <v>26</v>
      </c>
      <c r="J49" s="43" t="s">
        <v>26</v>
      </c>
      <c r="K49" s="42">
        <v>97569983.969999999</v>
      </c>
      <c r="L49" s="43">
        <v>2.7103533403920001E-2</v>
      </c>
      <c r="M49" s="43" t="s">
        <v>26</v>
      </c>
      <c r="N49" s="43" t="s">
        <v>26</v>
      </c>
      <c r="O49" s="42">
        <v>3443638338.3200002</v>
      </c>
      <c r="P49" s="43">
        <v>1.404961771853E-2</v>
      </c>
      <c r="Q49" s="43" t="s">
        <v>26</v>
      </c>
      <c r="R49" s="43" t="s">
        <v>26</v>
      </c>
      <c r="S49" s="42">
        <v>1142146354.79</v>
      </c>
      <c r="T49" s="43">
        <v>9.4802125088500003E-3</v>
      </c>
      <c r="U49" s="43" t="s">
        <v>26</v>
      </c>
      <c r="V49" s="43" t="s">
        <v>26</v>
      </c>
      <c r="W49" s="42">
        <v>70036445.280000001</v>
      </c>
      <c r="X49" s="43">
        <v>1.0090859234000001E-2</v>
      </c>
      <c r="Y49" s="43" t="s">
        <v>26</v>
      </c>
      <c r="Z49" s="43" t="s">
        <v>26</v>
      </c>
      <c r="AA49" s="42">
        <v>2451198273.5500002</v>
      </c>
      <c r="AB49" s="43">
        <v>1.619784024787E-2</v>
      </c>
      <c r="AC49" s="43" t="s">
        <v>26</v>
      </c>
      <c r="AD49" s="43" t="s">
        <v>26</v>
      </c>
      <c r="AE49" s="42">
        <v>7581536078.7700005</v>
      </c>
      <c r="AF49" s="43">
        <v>1.0836340898059999E-2</v>
      </c>
      <c r="AG49" s="43" t="s">
        <v>26</v>
      </c>
      <c r="AH49" s="43" t="s">
        <v>26</v>
      </c>
      <c r="AI49" s="42">
        <v>203015520</v>
      </c>
      <c r="AJ49" s="43">
        <v>1.13153147337E-2</v>
      </c>
      <c r="AK49" s="43" t="s">
        <v>26</v>
      </c>
      <c r="AL49" s="43" t="s">
        <v>26</v>
      </c>
      <c r="AM49" s="42">
        <v>219967315.91999999</v>
      </c>
      <c r="AN49" s="43">
        <v>8.9166568183200005E-3</v>
      </c>
      <c r="AO49" s="43" t="s">
        <v>26</v>
      </c>
      <c r="AP49" s="43" t="s">
        <v>26</v>
      </c>
      <c r="AQ49" s="42">
        <v>422982835.92000002</v>
      </c>
      <c r="AR49" s="43">
        <v>9.9266304271899992E-3</v>
      </c>
      <c r="AS49" s="43" t="s">
        <v>26</v>
      </c>
      <c r="AT49" s="43" t="s">
        <v>26</v>
      </c>
      <c r="AU49" s="42">
        <v>507073654</v>
      </c>
      <c r="AV49" s="43">
        <v>1.020111796873E-2</v>
      </c>
      <c r="AW49" s="43" t="s">
        <v>26</v>
      </c>
      <c r="AX49" s="43" t="s">
        <v>26</v>
      </c>
      <c r="AY49" s="42">
        <v>8511592568.6899996</v>
      </c>
      <c r="AZ49" s="43">
        <v>1.074752431717E-2</v>
      </c>
      <c r="BA49" s="43" t="s">
        <v>26</v>
      </c>
      <c r="BB49" s="43" t="s">
        <v>26</v>
      </c>
    </row>
    <row r="50" spans="1:54" s="7" customFormat="1">
      <c r="A50" s="5" t="s">
        <v>56</v>
      </c>
      <c r="B50" s="20" t="s">
        <v>25</v>
      </c>
      <c r="C50" s="9">
        <v>35446315.450000003</v>
      </c>
      <c r="D50" s="10">
        <v>4.8339009795600003E-3</v>
      </c>
      <c r="E50" s="10">
        <v>0.12</v>
      </c>
      <c r="F50" s="10">
        <v>0.1152</v>
      </c>
      <c r="G50" s="9" t="s">
        <v>26</v>
      </c>
      <c r="H50" s="10" t="s">
        <v>26</v>
      </c>
      <c r="I50" s="9" t="s">
        <v>26</v>
      </c>
      <c r="J50" s="10" t="s">
        <v>26</v>
      </c>
      <c r="K50" s="9">
        <v>30382556.100000001</v>
      </c>
      <c r="L50" s="10">
        <v>8.4398355994999997E-3</v>
      </c>
      <c r="M50" s="10">
        <v>0.12</v>
      </c>
      <c r="N50" s="10">
        <v>0.1116</v>
      </c>
      <c r="O50" s="9">
        <v>813239751.61000001</v>
      </c>
      <c r="P50" s="10">
        <v>3.31791741789E-3</v>
      </c>
      <c r="Q50" s="10">
        <v>0.12</v>
      </c>
      <c r="R50" s="10">
        <v>0.1167</v>
      </c>
      <c r="S50" s="9">
        <v>303825561</v>
      </c>
      <c r="T50" s="10">
        <v>2.5218579666499998E-3</v>
      </c>
      <c r="U50" s="10">
        <v>0.12</v>
      </c>
      <c r="V50" s="10">
        <v>0.11749999999999999</v>
      </c>
      <c r="W50" s="2" t="s">
        <v>26</v>
      </c>
      <c r="X50" s="1" t="s">
        <v>26</v>
      </c>
      <c r="Y50" s="1" t="s">
        <v>26</v>
      </c>
      <c r="Z50" s="1" t="s">
        <v>26</v>
      </c>
      <c r="AA50" s="9">
        <v>891221645.60000002</v>
      </c>
      <c r="AB50" s="10">
        <v>5.8893097293000003E-3</v>
      </c>
      <c r="AC50" s="10">
        <v>0.12</v>
      </c>
      <c r="AD50" s="10">
        <v>0.11409999999999999</v>
      </c>
      <c r="AE50" s="9">
        <v>2074115829.76</v>
      </c>
      <c r="AF50" s="10">
        <v>2.9645478119200001E-3</v>
      </c>
      <c r="AG50" s="10">
        <v>0.12</v>
      </c>
      <c r="AH50" s="10">
        <v>0.11700000000000001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9">
        <v>202550374</v>
      </c>
      <c r="AV50" s="10">
        <v>4.0748326076199999E-3</v>
      </c>
      <c r="AW50" s="10">
        <v>0.12</v>
      </c>
      <c r="AX50" s="10">
        <v>0.1159</v>
      </c>
      <c r="AY50" s="9">
        <v>2276666203.7600002</v>
      </c>
      <c r="AZ50" s="10">
        <v>2.8747293987E-3</v>
      </c>
      <c r="BA50" s="10">
        <v>0.12</v>
      </c>
      <c r="BB50" s="10">
        <v>0.1171</v>
      </c>
    </row>
    <row r="51" spans="1:54" s="7" customFormat="1">
      <c r="A51" s="3" t="s">
        <v>39</v>
      </c>
      <c r="B51" s="23" t="s">
        <v>57</v>
      </c>
      <c r="C51" s="2">
        <v>35446315.450000003</v>
      </c>
      <c r="D51" s="1">
        <v>1</v>
      </c>
      <c r="E51" s="9" t="s">
        <v>26</v>
      </c>
      <c r="F51" s="10" t="s">
        <v>26</v>
      </c>
      <c r="G51" s="9" t="s">
        <v>26</v>
      </c>
      <c r="H51" s="10" t="s">
        <v>26</v>
      </c>
      <c r="I51" s="9" t="s">
        <v>26</v>
      </c>
      <c r="J51" s="10" t="s">
        <v>26</v>
      </c>
      <c r="K51" s="2">
        <v>30382556.100000001</v>
      </c>
      <c r="L51" s="1">
        <v>1</v>
      </c>
      <c r="M51" s="1" t="s">
        <v>26</v>
      </c>
      <c r="N51" s="1" t="s">
        <v>26</v>
      </c>
      <c r="O51" s="2">
        <v>813239751.61000001</v>
      </c>
      <c r="P51" s="1">
        <v>1</v>
      </c>
      <c r="Q51" s="1" t="s">
        <v>26</v>
      </c>
      <c r="R51" s="1" t="s">
        <v>26</v>
      </c>
      <c r="S51" s="2">
        <v>303825561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891221645.60000002</v>
      </c>
      <c r="AB51" s="1">
        <v>1</v>
      </c>
      <c r="AC51" s="1" t="s">
        <v>26</v>
      </c>
      <c r="AD51" s="1" t="s">
        <v>26</v>
      </c>
      <c r="AE51" s="2">
        <v>2074115829.76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>
        <v>202550374</v>
      </c>
      <c r="AV51" s="1">
        <v>1</v>
      </c>
      <c r="AW51" s="1" t="s">
        <v>26</v>
      </c>
      <c r="AX51" s="1" t="s">
        <v>26</v>
      </c>
      <c r="AY51" s="2">
        <v>2276666203.7600002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0" t="s">
        <v>25</v>
      </c>
      <c r="C52" s="9">
        <v>33127688.41</v>
      </c>
      <c r="D52" s="10">
        <v>4.5177041230599997E-3</v>
      </c>
      <c r="E52" s="10">
        <v>0.09</v>
      </c>
      <c r="F52" s="10">
        <v>8.5500000000000007E-2</v>
      </c>
      <c r="G52" s="9" t="s">
        <v>26</v>
      </c>
      <c r="H52" s="10" t="s">
        <v>26</v>
      </c>
      <c r="I52" s="9" t="s">
        <v>26</v>
      </c>
      <c r="J52" s="10" t="s">
        <v>26</v>
      </c>
      <c r="K52" s="9">
        <v>16433547.869999999</v>
      </c>
      <c r="L52" s="10">
        <v>4.5650024271399999E-3</v>
      </c>
      <c r="M52" s="10">
        <v>0.09</v>
      </c>
      <c r="N52" s="10">
        <v>8.5400000000000004E-2</v>
      </c>
      <c r="O52" s="9">
        <v>383346956.70999998</v>
      </c>
      <c r="P52" s="10">
        <v>1.5640080827900001E-3</v>
      </c>
      <c r="Q52" s="10">
        <v>0.09</v>
      </c>
      <c r="R52" s="10">
        <v>8.8400000000000006E-2</v>
      </c>
      <c r="S52" s="9">
        <v>290178889.79000002</v>
      </c>
      <c r="T52" s="10">
        <v>2.4085858430099999E-3</v>
      </c>
      <c r="U52" s="10">
        <v>0.09</v>
      </c>
      <c r="V52" s="10">
        <v>8.7599999999999997E-2</v>
      </c>
      <c r="W52" s="2" t="s">
        <v>26</v>
      </c>
      <c r="X52" s="1" t="s">
        <v>26</v>
      </c>
      <c r="Y52" s="1" t="s">
        <v>26</v>
      </c>
      <c r="Z52" s="1" t="s">
        <v>26</v>
      </c>
      <c r="AA52" s="9">
        <v>104844313.52</v>
      </c>
      <c r="AB52" s="10">
        <v>6.9282499894999996E-4</v>
      </c>
      <c r="AC52" s="10">
        <v>0.09</v>
      </c>
      <c r="AD52" s="10">
        <v>8.9300000000000004E-2</v>
      </c>
      <c r="AE52" s="9">
        <v>827931396.29999995</v>
      </c>
      <c r="AF52" s="10">
        <v>1.1833679556900001E-3</v>
      </c>
      <c r="AG52" s="10">
        <v>0.09</v>
      </c>
      <c r="AH52" s="10">
        <v>8.8800000000000004E-2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9">
        <v>827931396.29999995</v>
      </c>
      <c r="AZ52" s="10">
        <v>1.04542278579E-3</v>
      </c>
      <c r="BA52" s="10">
        <v>0.09</v>
      </c>
      <c r="BB52" s="10">
        <v>8.8999999999999996E-2</v>
      </c>
    </row>
    <row r="53" spans="1:54" s="28" customFormat="1">
      <c r="A53" s="3" t="s">
        <v>39</v>
      </c>
      <c r="B53" s="23" t="s">
        <v>47</v>
      </c>
      <c r="C53" s="2">
        <v>33127688.41</v>
      </c>
      <c r="D53" s="1">
        <v>1</v>
      </c>
      <c r="E53" s="9" t="s">
        <v>26</v>
      </c>
      <c r="F53" s="10" t="s">
        <v>26</v>
      </c>
      <c r="G53" s="9" t="s">
        <v>26</v>
      </c>
      <c r="H53" s="10" t="s">
        <v>26</v>
      </c>
      <c r="I53" s="9" t="s">
        <v>26</v>
      </c>
      <c r="J53" s="10" t="s">
        <v>26</v>
      </c>
      <c r="K53" s="2">
        <v>16433547.869999999</v>
      </c>
      <c r="L53" s="1">
        <v>1</v>
      </c>
      <c r="M53" s="1" t="s">
        <v>26</v>
      </c>
      <c r="N53" s="1" t="s">
        <v>26</v>
      </c>
      <c r="O53" s="2">
        <v>383346956.70999998</v>
      </c>
      <c r="P53" s="1">
        <v>1</v>
      </c>
      <c r="Q53" s="1" t="s">
        <v>26</v>
      </c>
      <c r="R53" s="1" t="s">
        <v>26</v>
      </c>
      <c r="S53" s="2">
        <v>290178889.79000002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104844313.52</v>
      </c>
      <c r="AB53" s="1">
        <v>1</v>
      </c>
      <c r="AC53" s="1" t="s">
        <v>26</v>
      </c>
      <c r="AD53" s="1" t="s">
        <v>26</v>
      </c>
      <c r="AE53" s="2">
        <v>827931396.29999995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827931396.29999995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60</v>
      </c>
      <c r="B54" s="20" t="s">
        <v>25</v>
      </c>
      <c r="C54" s="9" t="s">
        <v>26</v>
      </c>
      <c r="D54" s="10" t="s">
        <v>26</v>
      </c>
      <c r="E54" s="9" t="s">
        <v>26</v>
      </c>
      <c r="F54" s="10" t="s">
        <v>26</v>
      </c>
      <c r="G54" s="9">
        <v>308372679</v>
      </c>
      <c r="H54" s="10">
        <v>1.8705639703700001E-3</v>
      </c>
      <c r="I54" s="10">
        <v>0.12</v>
      </c>
      <c r="J54" s="10">
        <v>0.1181</v>
      </c>
      <c r="K54" s="9">
        <v>50753880</v>
      </c>
      <c r="L54" s="10">
        <v>1.409869537727E-2</v>
      </c>
      <c r="M54" s="10">
        <v>0.12</v>
      </c>
      <c r="N54" s="10">
        <v>0.10589999999999999</v>
      </c>
      <c r="O54" s="9">
        <v>2247051630</v>
      </c>
      <c r="P54" s="10">
        <v>9.16769221785E-3</v>
      </c>
      <c r="Q54" s="10">
        <v>0.12</v>
      </c>
      <c r="R54" s="10">
        <v>0.1108</v>
      </c>
      <c r="S54" s="9">
        <v>548141904</v>
      </c>
      <c r="T54" s="10">
        <v>4.5497686992E-3</v>
      </c>
      <c r="U54" s="10">
        <v>0.12</v>
      </c>
      <c r="V54" s="10">
        <v>0.11550000000000001</v>
      </c>
      <c r="W54" s="9">
        <v>70036445.280000001</v>
      </c>
      <c r="X54" s="10">
        <v>1.0090859234000001E-2</v>
      </c>
      <c r="Y54" s="10">
        <v>0.12970000000000001</v>
      </c>
      <c r="Z54" s="10">
        <v>0.1196</v>
      </c>
      <c r="AA54" s="9">
        <v>1455132314.4300001</v>
      </c>
      <c r="AB54" s="10">
        <v>9.6157055196200002E-3</v>
      </c>
      <c r="AC54" s="10">
        <v>0.12</v>
      </c>
      <c r="AD54" s="10">
        <v>0.1104</v>
      </c>
      <c r="AE54" s="9">
        <v>4679488852.71</v>
      </c>
      <c r="AF54" s="10">
        <v>6.6884251304500002E-3</v>
      </c>
      <c r="AG54" s="10">
        <v>0.1201</v>
      </c>
      <c r="AH54" s="10">
        <v>0.1134</v>
      </c>
      <c r="AI54" s="9">
        <v>203015520</v>
      </c>
      <c r="AJ54" s="10">
        <v>1.13153147337E-2</v>
      </c>
      <c r="AK54" s="10">
        <v>0.12</v>
      </c>
      <c r="AL54" s="10">
        <v>0.1087</v>
      </c>
      <c r="AM54" s="9">
        <v>219967315.91999999</v>
      </c>
      <c r="AN54" s="10">
        <v>8.9166568183200005E-3</v>
      </c>
      <c r="AO54" s="10">
        <v>0.12</v>
      </c>
      <c r="AP54" s="10">
        <v>0.1111</v>
      </c>
      <c r="AQ54" s="9">
        <v>422982835.92000002</v>
      </c>
      <c r="AR54" s="10">
        <v>9.9266304271899992E-3</v>
      </c>
      <c r="AS54" s="10">
        <v>0.12</v>
      </c>
      <c r="AT54" s="10">
        <v>0.1101</v>
      </c>
      <c r="AU54" s="9">
        <v>304523280</v>
      </c>
      <c r="AV54" s="10">
        <v>6.12628536111E-3</v>
      </c>
      <c r="AW54" s="10">
        <v>0.12</v>
      </c>
      <c r="AX54" s="10">
        <v>0.1139</v>
      </c>
      <c r="AY54" s="9">
        <v>5406994968.6300001</v>
      </c>
      <c r="AZ54" s="10">
        <v>6.8273721326799998E-3</v>
      </c>
      <c r="BA54" s="10">
        <v>0.1201</v>
      </c>
      <c r="BB54" s="10">
        <v>0.1133</v>
      </c>
    </row>
    <row r="55" spans="1:54" s="28" customFormat="1">
      <c r="A55" s="3" t="s">
        <v>39</v>
      </c>
      <c r="B55" s="23" t="s">
        <v>57</v>
      </c>
      <c r="C55" s="9" t="s">
        <v>26</v>
      </c>
      <c r="D55" s="10" t="s">
        <v>26</v>
      </c>
      <c r="E55" s="9" t="s">
        <v>26</v>
      </c>
      <c r="F55" s="10" t="s">
        <v>26</v>
      </c>
      <c r="G55" s="2">
        <v>308372679</v>
      </c>
      <c r="H55" s="1">
        <v>1</v>
      </c>
      <c r="I55" s="9" t="s">
        <v>26</v>
      </c>
      <c r="J55" s="10" t="s">
        <v>26</v>
      </c>
      <c r="K55" s="2">
        <v>50753880</v>
      </c>
      <c r="L55" s="1">
        <v>1</v>
      </c>
      <c r="M55" s="1" t="s">
        <v>26</v>
      </c>
      <c r="N55" s="1" t="s">
        <v>26</v>
      </c>
      <c r="O55" s="2">
        <v>2247051630</v>
      </c>
      <c r="P55" s="1">
        <v>1</v>
      </c>
      <c r="Q55" s="1" t="s">
        <v>26</v>
      </c>
      <c r="R55" s="1" t="s">
        <v>26</v>
      </c>
      <c r="S55" s="2">
        <v>548141904</v>
      </c>
      <c r="T55" s="1">
        <v>1</v>
      </c>
      <c r="U55" s="1" t="s">
        <v>26</v>
      </c>
      <c r="V55" s="1" t="s">
        <v>26</v>
      </c>
      <c r="W55" s="2">
        <v>47309877.009999998</v>
      </c>
      <c r="X55" s="1">
        <v>0.67550368698552998</v>
      </c>
      <c r="Y55" s="1" t="s">
        <v>26</v>
      </c>
      <c r="Z55" s="1" t="s">
        <v>26</v>
      </c>
      <c r="AA55" s="2">
        <v>1455132314.4300001</v>
      </c>
      <c r="AB55" s="1">
        <v>1</v>
      </c>
      <c r="AC55" s="1" t="s">
        <v>26</v>
      </c>
      <c r="AD55" s="1" t="s">
        <v>26</v>
      </c>
      <c r="AE55" s="2">
        <v>4656762284.4399996</v>
      </c>
      <c r="AF55" s="1">
        <v>0.99514336522955005</v>
      </c>
      <c r="AG55" s="1" t="s">
        <v>26</v>
      </c>
      <c r="AH55" s="1" t="s">
        <v>26</v>
      </c>
      <c r="AI55" s="2">
        <v>203015520</v>
      </c>
      <c r="AJ55" s="1">
        <v>1</v>
      </c>
      <c r="AK55" s="1" t="s">
        <v>26</v>
      </c>
      <c r="AL55" s="1" t="s">
        <v>26</v>
      </c>
      <c r="AM55" s="2">
        <v>219967315.91999999</v>
      </c>
      <c r="AN55" s="1">
        <v>1</v>
      </c>
      <c r="AO55" s="1" t="s">
        <v>26</v>
      </c>
      <c r="AP55" s="1" t="s">
        <v>26</v>
      </c>
      <c r="AQ55" s="2">
        <v>422982835.92000002</v>
      </c>
      <c r="AR55" s="1">
        <v>1</v>
      </c>
      <c r="AS55" s="1" t="s">
        <v>26</v>
      </c>
      <c r="AT55" s="1" t="s">
        <v>26</v>
      </c>
      <c r="AU55" s="2">
        <v>304523280</v>
      </c>
      <c r="AV55" s="1">
        <v>1</v>
      </c>
      <c r="AW55" s="1" t="s">
        <v>26</v>
      </c>
      <c r="AX55" s="1" t="s">
        <v>26</v>
      </c>
      <c r="AY55" s="2">
        <v>5384268400.3599997</v>
      </c>
      <c r="AZ55" s="1">
        <v>0.99579682089554999</v>
      </c>
      <c r="BA55" s="1" t="s">
        <v>26</v>
      </c>
      <c r="BB55" s="1" t="s">
        <v>26</v>
      </c>
    </row>
    <row r="56" spans="1:54" s="7" customFormat="1">
      <c r="A56" s="3" t="s">
        <v>41</v>
      </c>
      <c r="B56" s="23" t="s">
        <v>35</v>
      </c>
      <c r="C56" s="2" t="s">
        <v>25</v>
      </c>
      <c r="D56" s="1" t="s">
        <v>25</v>
      </c>
      <c r="E56" s="1" t="s">
        <v>25</v>
      </c>
      <c r="F56" s="1" t="s">
        <v>25</v>
      </c>
      <c r="G56" s="9" t="s">
        <v>26</v>
      </c>
      <c r="H56" s="10" t="s">
        <v>26</v>
      </c>
      <c r="I56" s="9" t="s">
        <v>26</v>
      </c>
      <c r="J56" s="10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 t="s">
        <v>26</v>
      </c>
      <c r="T56" s="1" t="s">
        <v>26</v>
      </c>
      <c r="U56" s="1" t="s">
        <v>26</v>
      </c>
      <c r="V56" s="1" t="s">
        <v>26</v>
      </c>
      <c r="W56" s="2">
        <v>22726568.27</v>
      </c>
      <c r="X56" s="1">
        <v>0.32449631301447002</v>
      </c>
      <c r="Y56" s="1" t="s">
        <v>26</v>
      </c>
      <c r="Z56" s="1" t="s">
        <v>26</v>
      </c>
      <c r="AA56" s="2" t="s">
        <v>26</v>
      </c>
      <c r="AB56" s="1" t="s">
        <v>26</v>
      </c>
      <c r="AC56" s="1" t="s">
        <v>26</v>
      </c>
      <c r="AD56" s="1" t="s">
        <v>26</v>
      </c>
      <c r="AE56" s="2">
        <v>22726568.27</v>
      </c>
      <c r="AF56" s="1">
        <v>4.8566347704500001E-3</v>
      </c>
      <c r="AG56" s="1" t="s">
        <v>26</v>
      </c>
      <c r="AH56" s="1" t="s">
        <v>26</v>
      </c>
      <c r="AI56" s="2" t="s">
        <v>26</v>
      </c>
      <c r="AJ56" s="1" t="s">
        <v>26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 t="s">
        <v>26</v>
      </c>
      <c r="AR56" s="1" t="s">
        <v>26</v>
      </c>
      <c r="AS56" s="1" t="s">
        <v>26</v>
      </c>
      <c r="AT56" s="1" t="s">
        <v>26</v>
      </c>
      <c r="AU56" s="2" t="s">
        <v>26</v>
      </c>
      <c r="AV56" s="1" t="s">
        <v>26</v>
      </c>
      <c r="AW56" s="1" t="s">
        <v>26</v>
      </c>
      <c r="AX56" s="1" t="s">
        <v>26</v>
      </c>
      <c r="AY56" s="2">
        <v>22726568.27</v>
      </c>
      <c r="AZ56" s="1">
        <v>4.2031791044500003E-3</v>
      </c>
      <c r="BA56" s="1" t="s">
        <v>26</v>
      </c>
      <c r="BB56" s="1" t="s">
        <v>26</v>
      </c>
    </row>
    <row r="57" spans="1:54" s="7" customFormat="1">
      <c r="A57" s="12" t="s">
        <v>61</v>
      </c>
      <c r="B57" s="40" t="s">
        <v>25</v>
      </c>
      <c r="C57" s="42">
        <v>10025548.800000001</v>
      </c>
      <c r="D57" s="43">
        <v>1.3672086802200001E-3</v>
      </c>
      <c r="E57" s="43" t="s">
        <v>26</v>
      </c>
      <c r="F57" s="43" t="s">
        <v>26</v>
      </c>
      <c r="G57" s="43" t="s">
        <v>26</v>
      </c>
      <c r="H57" s="43" t="s">
        <v>26</v>
      </c>
      <c r="I57" s="43" t="s">
        <v>26</v>
      </c>
      <c r="J57" s="43" t="s">
        <v>26</v>
      </c>
      <c r="K57" s="42">
        <v>37866755.759999998</v>
      </c>
      <c r="L57" s="43">
        <v>1.0518838252090001E-2</v>
      </c>
      <c r="M57" s="43" t="s">
        <v>26</v>
      </c>
      <c r="N57" s="43" t="s">
        <v>26</v>
      </c>
      <c r="O57" s="42">
        <v>100765968.86</v>
      </c>
      <c r="P57" s="43">
        <v>4.1111266701999999E-4</v>
      </c>
      <c r="Q57" s="43" t="s">
        <v>26</v>
      </c>
      <c r="R57" s="43" t="s">
        <v>26</v>
      </c>
      <c r="S57" s="43" t="s">
        <v>26</v>
      </c>
      <c r="T57" s="43" t="s">
        <v>26</v>
      </c>
      <c r="U57" s="43" t="s">
        <v>26</v>
      </c>
      <c r="V57" s="43" t="s">
        <v>26</v>
      </c>
      <c r="W57" s="43" t="s">
        <v>26</v>
      </c>
      <c r="X57" s="43" t="s">
        <v>26</v>
      </c>
      <c r="Y57" s="43" t="s">
        <v>26</v>
      </c>
      <c r="Z57" s="43" t="s">
        <v>26</v>
      </c>
      <c r="AA57" s="42">
        <v>140832372.15000001</v>
      </c>
      <c r="AB57" s="43">
        <v>9.3063881875E-4</v>
      </c>
      <c r="AC57" s="43" t="s">
        <v>26</v>
      </c>
      <c r="AD57" s="43" t="s">
        <v>26</v>
      </c>
      <c r="AE57" s="42">
        <v>289490645.56999999</v>
      </c>
      <c r="AF57" s="43">
        <v>4.1377094160999998E-4</v>
      </c>
      <c r="AG57" s="43" t="s">
        <v>26</v>
      </c>
      <c r="AH57" s="43" t="s">
        <v>26</v>
      </c>
      <c r="AI57" s="42">
        <v>27300385.030000001</v>
      </c>
      <c r="AJ57" s="43">
        <v>1.5216198690899999E-3</v>
      </c>
      <c r="AK57" s="43" t="s">
        <v>26</v>
      </c>
      <c r="AL57" s="43" t="s">
        <v>26</v>
      </c>
      <c r="AM57" s="43" t="s">
        <v>26</v>
      </c>
      <c r="AN57" s="43" t="s">
        <v>26</v>
      </c>
      <c r="AO57" s="43" t="s">
        <v>26</v>
      </c>
      <c r="AP57" s="43" t="s">
        <v>26</v>
      </c>
      <c r="AQ57" s="42">
        <v>27300385.030000001</v>
      </c>
      <c r="AR57" s="43">
        <v>6.4068990440999997E-4</v>
      </c>
      <c r="AS57" s="43" t="s">
        <v>26</v>
      </c>
      <c r="AT57" s="43" t="s">
        <v>26</v>
      </c>
      <c r="AU57" s="43" t="s">
        <v>26</v>
      </c>
      <c r="AV57" s="43" t="s">
        <v>26</v>
      </c>
      <c r="AW57" s="43" t="s">
        <v>26</v>
      </c>
      <c r="AX57" s="43" t="s">
        <v>26</v>
      </c>
      <c r="AY57" s="42">
        <v>316791030.60000002</v>
      </c>
      <c r="AZ57" s="43">
        <v>4.0000966651000002E-4</v>
      </c>
      <c r="BA57" s="43" t="s">
        <v>26</v>
      </c>
      <c r="BB57" s="43" t="s">
        <v>26</v>
      </c>
    </row>
    <row r="58" spans="1:54" s="7" customFormat="1">
      <c r="A58" s="5" t="s">
        <v>62</v>
      </c>
      <c r="B58" s="20" t="s">
        <v>25</v>
      </c>
      <c r="C58" s="9">
        <v>10025548.800000001</v>
      </c>
      <c r="D58" s="10">
        <v>1.3672086802200001E-3</v>
      </c>
      <c r="E58" s="10">
        <v>0.09</v>
      </c>
      <c r="F58" s="10">
        <v>8.8599999999999998E-2</v>
      </c>
      <c r="G58" s="9" t="s">
        <v>26</v>
      </c>
      <c r="H58" s="10" t="s">
        <v>26</v>
      </c>
      <c r="I58" s="9" t="s">
        <v>26</v>
      </c>
      <c r="J58" s="10" t="s">
        <v>26</v>
      </c>
      <c r="K58" s="2" t="s">
        <v>26</v>
      </c>
      <c r="L58" s="1" t="s">
        <v>26</v>
      </c>
      <c r="M58" s="1" t="s">
        <v>26</v>
      </c>
      <c r="N58" s="1" t="s">
        <v>26</v>
      </c>
      <c r="O58" s="2" t="s">
        <v>26</v>
      </c>
      <c r="P58" s="1" t="s">
        <v>26</v>
      </c>
      <c r="Q58" s="1" t="s">
        <v>26</v>
      </c>
      <c r="R58" s="1" t="s">
        <v>26</v>
      </c>
      <c r="S58" s="2" t="s">
        <v>26</v>
      </c>
      <c r="T58" s="1" t="s">
        <v>26</v>
      </c>
      <c r="U58" s="1" t="s">
        <v>26</v>
      </c>
      <c r="V58" s="1" t="s">
        <v>26</v>
      </c>
      <c r="W58" s="2" t="s">
        <v>26</v>
      </c>
      <c r="X58" s="1" t="s">
        <v>26</v>
      </c>
      <c r="Y58" s="1" t="s">
        <v>26</v>
      </c>
      <c r="Z58" s="1" t="s">
        <v>26</v>
      </c>
      <c r="AA58" s="2" t="s">
        <v>26</v>
      </c>
      <c r="AB58" s="1" t="s">
        <v>26</v>
      </c>
      <c r="AC58" s="1" t="s">
        <v>26</v>
      </c>
      <c r="AD58" s="1" t="s">
        <v>26</v>
      </c>
      <c r="AE58" s="9">
        <v>10025548.800000001</v>
      </c>
      <c r="AF58" s="10">
        <v>1.4329584839999999E-5</v>
      </c>
      <c r="AG58" s="10">
        <v>0.09</v>
      </c>
      <c r="AH58" s="10">
        <v>0.09</v>
      </c>
      <c r="AI58" s="2" t="s">
        <v>26</v>
      </c>
      <c r="AJ58" s="1" t="s">
        <v>26</v>
      </c>
      <c r="AK58" s="1" t="s">
        <v>26</v>
      </c>
      <c r="AL58" s="1" t="s">
        <v>26</v>
      </c>
      <c r="AM58" s="2" t="s">
        <v>26</v>
      </c>
      <c r="AN58" s="1" t="s">
        <v>26</v>
      </c>
      <c r="AO58" s="1" t="s">
        <v>26</v>
      </c>
      <c r="AP58" s="1" t="s">
        <v>26</v>
      </c>
      <c r="AQ58" s="2" t="s">
        <v>26</v>
      </c>
      <c r="AR58" s="1" t="s">
        <v>26</v>
      </c>
      <c r="AS58" s="1" t="s">
        <v>26</v>
      </c>
      <c r="AT58" s="1" t="s">
        <v>26</v>
      </c>
      <c r="AU58" s="2" t="s">
        <v>26</v>
      </c>
      <c r="AV58" s="1" t="s">
        <v>26</v>
      </c>
      <c r="AW58" s="1" t="s">
        <v>26</v>
      </c>
      <c r="AX58" s="1" t="s">
        <v>26</v>
      </c>
      <c r="AY58" s="9">
        <v>10025548.800000001</v>
      </c>
      <c r="AZ58" s="10">
        <v>1.2659185530000001E-5</v>
      </c>
      <c r="BA58" s="10">
        <v>0.09</v>
      </c>
      <c r="BB58" s="10">
        <v>0.09</v>
      </c>
    </row>
    <row r="59" spans="1:54" s="7" customFormat="1">
      <c r="A59" s="3" t="s">
        <v>39</v>
      </c>
      <c r="B59" s="23" t="s">
        <v>47</v>
      </c>
      <c r="C59" s="2">
        <v>10025548.800000001</v>
      </c>
      <c r="D59" s="1">
        <v>1</v>
      </c>
      <c r="E59" s="9" t="s">
        <v>26</v>
      </c>
      <c r="F59" s="10" t="s">
        <v>26</v>
      </c>
      <c r="G59" s="9" t="s">
        <v>26</v>
      </c>
      <c r="H59" s="10" t="s">
        <v>26</v>
      </c>
      <c r="I59" s="9" t="s">
        <v>26</v>
      </c>
      <c r="J59" s="10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10025548.800000001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10025548.800000001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63</v>
      </c>
      <c r="B60" s="20" t="s">
        <v>25</v>
      </c>
      <c r="C60" s="9" t="s">
        <v>26</v>
      </c>
      <c r="D60" s="10" t="s">
        <v>26</v>
      </c>
      <c r="E60" s="9" t="s">
        <v>26</v>
      </c>
      <c r="F60" s="10" t="s">
        <v>26</v>
      </c>
      <c r="G60" s="9" t="s">
        <v>26</v>
      </c>
      <c r="H60" s="10" t="s">
        <v>26</v>
      </c>
      <c r="I60" s="9" t="s">
        <v>26</v>
      </c>
      <c r="J60" s="10" t="s">
        <v>26</v>
      </c>
      <c r="K60" s="2" t="s">
        <v>26</v>
      </c>
      <c r="L60" s="1" t="s">
        <v>26</v>
      </c>
      <c r="M60" s="1" t="s">
        <v>26</v>
      </c>
      <c r="N60" s="1" t="s">
        <v>26</v>
      </c>
      <c r="O60" s="2" t="s">
        <v>26</v>
      </c>
      <c r="P60" s="1" t="s">
        <v>26</v>
      </c>
      <c r="Q60" s="1" t="s">
        <v>26</v>
      </c>
      <c r="R60" s="1" t="s">
        <v>26</v>
      </c>
      <c r="S60" s="2" t="s">
        <v>26</v>
      </c>
      <c r="T60" s="1" t="s">
        <v>26</v>
      </c>
      <c r="U60" s="1" t="s">
        <v>26</v>
      </c>
      <c r="V60" s="1" t="s">
        <v>26</v>
      </c>
      <c r="W60" s="2" t="s">
        <v>26</v>
      </c>
      <c r="X60" s="1" t="s">
        <v>26</v>
      </c>
      <c r="Y60" s="1" t="s">
        <v>26</v>
      </c>
      <c r="Z60" s="1" t="s">
        <v>26</v>
      </c>
      <c r="AA60" s="9">
        <v>94806861.420000002</v>
      </c>
      <c r="AB60" s="10">
        <v>6.2649619668000002E-4</v>
      </c>
      <c r="AC60" s="10">
        <v>0.13500000000000001</v>
      </c>
      <c r="AD60" s="10">
        <v>0.13439999999999999</v>
      </c>
      <c r="AE60" s="9">
        <v>94806861.420000002</v>
      </c>
      <c r="AF60" s="10">
        <v>1.3550808954000001E-4</v>
      </c>
      <c r="AG60" s="10">
        <v>0.13500000000000001</v>
      </c>
      <c r="AH60" s="10">
        <v>0.13489999999999999</v>
      </c>
      <c r="AI60" s="2" t="s">
        <v>26</v>
      </c>
      <c r="AJ60" s="1" t="s">
        <v>26</v>
      </c>
      <c r="AK60" s="1" t="s">
        <v>26</v>
      </c>
      <c r="AL60" s="1" t="s">
        <v>26</v>
      </c>
      <c r="AM60" s="2" t="s">
        <v>26</v>
      </c>
      <c r="AN60" s="1" t="s">
        <v>26</v>
      </c>
      <c r="AO60" s="1" t="s">
        <v>26</v>
      </c>
      <c r="AP60" s="1" t="s">
        <v>26</v>
      </c>
      <c r="AQ60" s="2" t="s">
        <v>26</v>
      </c>
      <c r="AR60" s="1" t="s">
        <v>26</v>
      </c>
      <c r="AS60" s="1" t="s">
        <v>26</v>
      </c>
      <c r="AT60" s="1" t="s">
        <v>26</v>
      </c>
      <c r="AU60" s="2" t="s">
        <v>26</v>
      </c>
      <c r="AV60" s="1" t="s">
        <v>26</v>
      </c>
      <c r="AW60" s="1" t="s">
        <v>26</v>
      </c>
      <c r="AX60" s="1" t="s">
        <v>26</v>
      </c>
      <c r="AY60" s="9">
        <v>94806861.420000002</v>
      </c>
      <c r="AZ60" s="10">
        <v>1.1971191528999999E-4</v>
      </c>
      <c r="BA60" s="10">
        <v>0.13500000000000001</v>
      </c>
      <c r="BB60" s="10">
        <v>0.13489999999999999</v>
      </c>
    </row>
    <row r="61" spans="1:54" s="7" customFormat="1">
      <c r="A61" s="3" t="s">
        <v>41</v>
      </c>
      <c r="B61" s="23" t="s">
        <v>44</v>
      </c>
      <c r="C61" s="9" t="s">
        <v>26</v>
      </c>
      <c r="D61" s="10" t="s">
        <v>26</v>
      </c>
      <c r="E61" s="9" t="s">
        <v>26</v>
      </c>
      <c r="F61" s="10" t="s">
        <v>26</v>
      </c>
      <c r="G61" s="9" t="s">
        <v>26</v>
      </c>
      <c r="H61" s="10" t="s">
        <v>26</v>
      </c>
      <c r="I61" s="9" t="s">
        <v>26</v>
      </c>
      <c r="J61" s="10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2" t="s">
        <v>26</v>
      </c>
      <c r="P61" s="1" t="s">
        <v>26</v>
      </c>
      <c r="Q61" s="1" t="s">
        <v>26</v>
      </c>
      <c r="R61" s="1" t="s">
        <v>26</v>
      </c>
      <c r="S61" s="2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>
        <v>94806861.420000002</v>
      </c>
      <c r="AB61" s="1">
        <v>1</v>
      </c>
      <c r="AC61" s="1" t="s">
        <v>26</v>
      </c>
      <c r="AD61" s="1" t="s">
        <v>26</v>
      </c>
      <c r="AE61" s="2">
        <v>94806861.420000002</v>
      </c>
      <c r="AF61" s="1">
        <v>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94806861.420000002</v>
      </c>
      <c r="AZ61" s="1">
        <v>1</v>
      </c>
      <c r="BA61" s="1" t="s">
        <v>26</v>
      </c>
      <c r="BB61" s="1" t="s">
        <v>26</v>
      </c>
    </row>
    <row r="62" spans="1:54" s="7" customFormat="1">
      <c r="A62" s="5" t="s">
        <v>65</v>
      </c>
      <c r="B62" s="20" t="s">
        <v>25</v>
      </c>
      <c r="C62" s="9" t="s">
        <v>26</v>
      </c>
      <c r="D62" s="10" t="s">
        <v>26</v>
      </c>
      <c r="E62" s="9" t="s">
        <v>26</v>
      </c>
      <c r="F62" s="10" t="s">
        <v>26</v>
      </c>
      <c r="G62" s="9" t="s">
        <v>26</v>
      </c>
      <c r="H62" s="10" t="s">
        <v>26</v>
      </c>
      <c r="I62" s="9" t="s">
        <v>26</v>
      </c>
      <c r="J62" s="10" t="s">
        <v>26</v>
      </c>
      <c r="K62" s="9">
        <v>37866755.759999998</v>
      </c>
      <c r="L62" s="10">
        <v>1.0518838252090001E-2</v>
      </c>
      <c r="M62" s="10">
        <v>0.13500000000000001</v>
      </c>
      <c r="N62" s="10">
        <v>0.1245</v>
      </c>
      <c r="O62" s="9">
        <v>100765968.86</v>
      </c>
      <c r="P62" s="10">
        <v>4.1111266701999999E-4</v>
      </c>
      <c r="Q62" s="10">
        <v>0.13500000000000001</v>
      </c>
      <c r="R62" s="10">
        <v>0.1346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9">
        <v>46025510.729999997</v>
      </c>
      <c r="AB62" s="10">
        <v>3.0414262206999998E-4</v>
      </c>
      <c r="AC62" s="10">
        <v>0.13500000000000001</v>
      </c>
      <c r="AD62" s="10">
        <v>0.13469999999999999</v>
      </c>
      <c r="AE62" s="9">
        <v>184658235.34999999</v>
      </c>
      <c r="AF62" s="10">
        <v>2.6393326723000001E-4</v>
      </c>
      <c r="AG62" s="10">
        <v>0.13500000000000001</v>
      </c>
      <c r="AH62" s="10">
        <v>0.13469999999999999</v>
      </c>
      <c r="AI62" s="9">
        <v>27300385.030000001</v>
      </c>
      <c r="AJ62" s="10">
        <v>1.5216198690899999E-3</v>
      </c>
      <c r="AK62" s="10">
        <v>0.13500000000000001</v>
      </c>
      <c r="AL62" s="10">
        <v>0.13350000000000001</v>
      </c>
      <c r="AM62" s="2" t="s">
        <v>26</v>
      </c>
      <c r="AN62" s="1" t="s">
        <v>26</v>
      </c>
      <c r="AO62" s="1" t="s">
        <v>26</v>
      </c>
      <c r="AP62" s="1" t="s">
        <v>26</v>
      </c>
      <c r="AQ62" s="9">
        <v>27300385.030000001</v>
      </c>
      <c r="AR62" s="10">
        <v>6.4068990440999997E-4</v>
      </c>
      <c r="AS62" s="10">
        <v>0.13500000000000001</v>
      </c>
      <c r="AT62" s="10">
        <v>0.13439999999999999</v>
      </c>
      <c r="AU62" s="2" t="s">
        <v>26</v>
      </c>
      <c r="AV62" s="1" t="s">
        <v>26</v>
      </c>
      <c r="AW62" s="1" t="s">
        <v>26</v>
      </c>
      <c r="AX62" s="1" t="s">
        <v>26</v>
      </c>
      <c r="AY62" s="9">
        <v>211958620.38</v>
      </c>
      <c r="AZ62" s="10">
        <v>2.6763856568000002E-4</v>
      </c>
      <c r="BA62" s="10">
        <v>0.13500000000000001</v>
      </c>
      <c r="BB62" s="10">
        <v>0.13469999999999999</v>
      </c>
    </row>
    <row r="63" spans="1:54" s="28" customFormat="1">
      <c r="A63" s="3" t="s">
        <v>41</v>
      </c>
      <c r="B63" s="23" t="s">
        <v>44</v>
      </c>
      <c r="C63" s="9" t="s">
        <v>26</v>
      </c>
      <c r="D63" s="10" t="s">
        <v>26</v>
      </c>
      <c r="E63" s="9" t="s">
        <v>26</v>
      </c>
      <c r="F63" s="10" t="s">
        <v>26</v>
      </c>
      <c r="G63" s="9" t="s">
        <v>26</v>
      </c>
      <c r="H63" s="10" t="s">
        <v>26</v>
      </c>
      <c r="I63" s="9" t="s">
        <v>26</v>
      </c>
      <c r="J63" s="10" t="s">
        <v>26</v>
      </c>
      <c r="K63" s="2">
        <v>37866755.759999998</v>
      </c>
      <c r="L63" s="1">
        <v>1</v>
      </c>
      <c r="M63" s="1" t="s">
        <v>26</v>
      </c>
      <c r="N63" s="1" t="s">
        <v>26</v>
      </c>
      <c r="O63" s="2">
        <v>100765968.86</v>
      </c>
      <c r="P63" s="1">
        <v>1</v>
      </c>
      <c r="Q63" s="1" t="s">
        <v>26</v>
      </c>
      <c r="R63" s="1" t="s">
        <v>26</v>
      </c>
      <c r="S63" s="2" t="s">
        <v>26</v>
      </c>
      <c r="T63" s="1" t="s">
        <v>26</v>
      </c>
      <c r="U63" s="1" t="s">
        <v>26</v>
      </c>
      <c r="V63" s="1" t="s">
        <v>26</v>
      </c>
      <c r="W63" s="2" t="s">
        <v>26</v>
      </c>
      <c r="X63" s="1" t="s">
        <v>26</v>
      </c>
      <c r="Y63" s="1" t="s">
        <v>26</v>
      </c>
      <c r="Z63" s="1" t="s">
        <v>26</v>
      </c>
      <c r="AA63" s="2">
        <v>46025510.729999997</v>
      </c>
      <c r="AB63" s="1">
        <v>1</v>
      </c>
      <c r="AC63" s="1" t="s">
        <v>26</v>
      </c>
      <c r="AD63" s="1" t="s">
        <v>26</v>
      </c>
      <c r="AE63" s="2">
        <v>184658235.34999999</v>
      </c>
      <c r="AF63" s="1">
        <v>1</v>
      </c>
      <c r="AG63" s="1" t="s">
        <v>26</v>
      </c>
      <c r="AH63" s="1" t="s">
        <v>26</v>
      </c>
      <c r="AI63" s="2">
        <v>27300385.030000001</v>
      </c>
      <c r="AJ63" s="1">
        <v>1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>
        <v>27300385.030000001</v>
      </c>
      <c r="AR63" s="1">
        <v>1</v>
      </c>
      <c r="AS63" s="1" t="s">
        <v>26</v>
      </c>
      <c r="AT63" s="1" t="s">
        <v>26</v>
      </c>
      <c r="AU63" s="2" t="s">
        <v>26</v>
      </c>
      <c r="AV63" s="1" t="s">
        <v>26</v>
      </c>
      <c r="AW63" s="1" t="s">
        <v>26</v>
      </c>
      <c r="AX63" s="1" t="s">
        <v>26</v>
      </c>
      <c r="AY63" s="2">
        <v>211958620.38</v>
      </c>
      <c r="AZ63" s="1">
        <v>1</v>
      </c>
      <c r="BA63" s="1" t="s">
        <v>26</v>
      </c>
      <c r="BB63" s="1" t="s">
        <v>26</v>
      </c>
    </row>
    <row r="64" spans="1:54" s="7" customFormat="1">
      <c r="A64" s="12" t="s">
        <v>66</v>
      </c>
      <c r="B64" s="40" t="s">
        <v>25</v>
      </c>
      <c r="C64" s="42">
        <v>1132139331.5599999</v>
      </c>
      <c r="D64" s="43">
        <v>0.15439261752166</v>
      </c>
      <c r="E64" s="43" t="s">
        <v>26</v>
      </c>
      <c r="F64" s="43" t="s">
        <v>26</v>
      </c>
      <c r="G64" s="42">
        <v>6662537212.2299995</v>
      </c>
      <c r="H64" s="43">
        <v>4.0414417064739999E-2</v>
      </c>
      <c r="I64" s="43" t="s">
        <v>26</v>
      </c>
      <c r="J64" s="43" t="s">
        <v>26</v>
      </c>
      <c r="K64" s="42">
        <v>651859352.11000001</v>
      </c>
      <c r="L64" s="43">
        <v>0.18107712029553999</v>
      </c>
      <c r="M64" s="43" t="s">
        <v>26</v>
      </c>
      <c r="N64" s="43" t="s">
        <v>26</v>
      </c>
      <c r="O64" s="42">
        <v>10504951604.690001</v>
      </c>
      <c r="P64" s="43">
        <v>4.285890087679E-2</v>
      </c>
      <c r="Q64" s="43" t="s">
        <v>26</v>
      </c>
      <c r="R64" s="43" t="s">
        <v>26</v>
      </c>
      <c r="S64" s="42">
        <v>6180414208.96</v>
      </c>
      <c r="T64" s="43">
        <v>5.1299590326540002E-2</v>
      </c>
      <c r="U64" s="43" t="s">
        <v>26</v>
      </c>
      <c r="V64" s="43" t="s">
        <v>26</v>
      </c>
      <c r="W64" s="43" t="s">
        <v>26</v>
      </c>
      <c r="X64" s="43" t="s">
        <v>26</v>
      </c>
      <c r="Y64" s="43" t="s">
        <v>26</v>
      </c>
      <c r="Z64" s="43" t="s">
        <v>26</v>
      </c>
      <c r="AA64" s="42">
        <v>5108115332.2399998</v>
      </c>
      <c r="AB64" s="43">
        <v>3.3755097256769999E-2</v>
      </c>
      <c r="AC64" s="43" t="s">
        <v>26</v>
      </c>
      <c r="AD64" s="43" t="s">
        <v>26</v>
      </c>
      <c r="AE64" s="42">
        <v>30240017041.790001</v>
      </c>
      <c r="AF64" s="43">
        <v>4.3222261296830003E-2</v>
      </c>
      <c r="AG64" s="43" t="s">
        <v>26</v>
      </c>
      <c r="AH64" s="43" t="s">
        <v>26</v>
      </c>
      <c r="AI64" s="42">
        <v>903662524.79999995</v>
      </c>
      <c r="AJ64" s="43">
        <v>5.0366720146149999E-2</v>
      </c>
      <c r="AK64" s="43" t="s">
        <v>26</v>
      </c>
      <c r="AL64" s="43" t="s">
        <v>26</v>
      </c>
      <c r="AM64" s="42">
        <v>2189065491.5500002</v>
      </c>
      <c r="AN64" s="43">
        <v>8.8736572791880006E-2</v>
      </c>
      <c r="AO64" s="43" t="s">
        <v>26</v>
      </c>
      <c r="AP64" s="43" t="s">
        <v>26</v>
      </c>
      <c r="AQ64" s="42">
        <v>3092728016.3499999</v>
      </c>
      <c r="AR64" s="43">
        <v>7.2580647305359999E-2</v>
      </c>
      <c r="AS64" s="43" t="s">
        <v>26</v>
      </c>
      <c r="AT64" s="43" t="s">
        <v>26</v>
      </c>
      <c r="AU64" s="42">
        <v>1466957317.21</v>
      </c>
      <c r="AV64" s="43">
        <v>2.9511698211689998E-2</v>
      </c>
      <c r="AW64" s="43" t="s">
        <v>26</v>
      </c>
      <c r="AX64" s="43" t="s">
        <v>26</v>
      </c>
      <c r="AY64" s="42">
        <v>34799702375.349998</v>
      </c>
      <c r="AZ64" s="43">
        <v>4.3941324081359999E-2</v>
      </c>
      <c r="BA64" s="43" t="s">
        <v>26</v>
      </c>
      <c r="BB64" s="43" t="s">
        <v>26</v>
      </c>
    </row>
    <row r="65" spans="1:54" s="28" customFormat="1">
      <c r="A65" s="5" t="s">
        <v>67</v>
      </c>
      <c r="B65" s="20" t="s">
        <v>25</v>
      </c>
      <c r="C65" s="9">
        <v>290770842.99000001</v>
      </c>
      <c r="D65" s="10">
        <v>3.9653133052400001E-2</v>
      </c>
      <c r="E65" s="10">
        <v>0.08</v>
      </c>
      <c r="F65" s="10">
        <v>4.0300000000000002E-2</v>
      </c>
      <c r="G65" s="9" t="s">
        <v>26</v>
      </c>
      <c r="H65" s="10" t="s">
        <v>26</v>
      </c>
      <c r="I65" s="9" t="s">
        <v>26</v>
      </c>
      <c r="J65" s="10" t="s">
        <v>26</v>
      </c>
      <c r="K65" s="9">
        <v>190917210.47999999</v>
      </c>
      <c r="L65" s="10">
        <v>5.3034045728839997E-2</v>
      </c>
      <c r="M65" s="10">
        <v>0.08</v>
      </c>
      <c r="N65" s="10">
        <v>2.7E-2</v>
      </c>
      <c r="O65" s="2" t="s">
        <v>26</v>
      </c>
      <c r="P65" s="1" t="s">
        <v>26</v>
      </c>
      <c r="Q65" s="1" t="s">
        <v>26</v>
      </c>
      <c r="R65" s="1" t="s">
        <v>26</v>
      </c>
      <c r="S65" s="9">
        <v>490520737.94999999</v>
      </c>
      <c r="T65" s="10">
        <v>4.0714929538299997E-3</v>
      </c>
      <c r="U65" s="10">
        <v>0.08</v>
      </c>
      <c r="V65" s="10">
        <v>7.5899999999999995E-2</v>
      </c>
      <c r="W65" s="2" t="s">
        <v>26</v>
      </c>
      <c r="X65" s="1" t="s">
        <v>26</v>
      </c>
      <c r="Y65" s="1" t="s">
        <v>26</v>
      </c>
      <c r="Z65" s="1" t="s">
        <v>26</v>
      </c>
      <c r="AA65" s="2" t="s">
        <v>26</v>
      </c>
      <c r="AB65" s="1" t="s">
        <v>26</v>
      </c>
      <c r="AC65" s="1" t="s">
        <v>26</v>
      </c>
      <c r="AD65" s="1" t="s">
        <v>26</v>
      </c>
      <c r="AE65" s="9">
        <v>972208791.41999996</v>
      </c>
      <c r="AF65" s="10">
        <v>1.3895846143099999E-3</v>
      </c>
      <c r="AG65" s="10">
        <v>0.08</v>
      </c>
      <c r="AH65" s="10">
        <v>7.8600000000000003E-2</v>
      </c>
      <c r="AI65" s="2" t="s">
        <v>26</v>
      </c>
      <c r="AJ65" s="1" t="s">
        <v>26</v>
      </c>
      <c r="AK65" s="1" t="s">
        <v>26</v>
      </c>
      <c r="AL65" s="1" t="s">
        <v>26</v>
      </c>
      <c r="AM65" s="2" t="s">
        <v>26</v>
      </c>
      <c r="AN65" s="1" t="s">
        <v>26</v>
      </c>
      <c r="AO65" s="1" t="s">
        <v>26</v>
      </c>
      <c r="AP65" s="1" t="s">
        <v>26</v>
      </c>
      <c r="AQ65" s="2" t="s">
        <v>26</v>
      </c>
      <c r="AR65" s="1" t="s">
        <v>26</v>
      </c>
      <c r="AS65" s="1" t="s">
        <v>26</v>
      </c>
      <c r="AT65" s="1" t="s">
        <v>26</v>
      </c>
      <c r="AU65" s="2" t="s">
        <v>26</v>
      </c>
      <c r="AV65" s="1" t="s">
        <v>26</v>
      </c>
      <c r="AW65" s="1" t="s">
        <v>26</v>
      </c>
      <c r="AX65" s="1" t="s">
        <v>26</v>
      </c>
      <c r="AY65" s="9">
        <v>972208791.41999996</v>
      </c>
      <c r="AZ65" s="10">
        <v>1.2276007742200001E-3</v>
      </c>
      <c r="BA65" s="10">
        <v>0.08</v>
      </c>
      <c r="BB65" s="10">
        <v>7.8799999999999995E-2</v>
      </c>
    </row>
    <row r="66" spans="1:54" s="7" customFormat="1">
      <c r="A66" s="3" t="s">
        <v>68</v>
      </c>
      <c r="B66" s="23" t="s">
        <v>57</v>
      </c>
      <c r="C66" s="2">
        <v>290770842.99000001</v>
      </c>
      <c r="D66" s="1">
        <v>1</v>
      </c>
      <c r="E66" s="9" t="s">
        <v>26</v>
      </c>
      <c r="F66" s="10" t="s">
        <v>26</v>
      </c>
      <c r="G66" s="9" t="s">
        <v>26</v>
      </c>
      <c r="H66" s="10" t="s">
        <v>26</v>
      </c>
      <c r="I66" s="9" t="s">
        <v>26</v>
      </c>
      <c r="J66" s="10" t="s">
        <v>26</v>
      </c>
      <c r="K66" s="2">
        <v>190917210.47999999</v>
      </c>
      <c r="L66" s="1">
        <v>1</v>
      </c>
      <c r="M66" s="1" t="s">
        <v>26</v>
      </c>
      <c r="N66" s="1" t="s">
        <v>26</v>
      </c>
      <c r="O66" s="2" t="s">
        <v>26</v>
      </c>
      <c r="P66" s="1" t="s">
        <v>26</v>
      </c>
      <c r="Q66" s="1" t="s">
        <v>26</v>
      </c>
      <c r="R66" s="1" t="s">
        <v>26</v>
      </c>
      <c r="S66" s="2">
        <v>490520737.94999999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972208791.41999996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972208791.41999996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69</v>
      </c>
      <c r="B67" s="20" t="s">
        <v>25</v>
      </c>
      <c r="C67" s="9" t="s">
        <v>26</v>
      </c>
      <c r="D67" s="10" t="s">
        <v>26</v>
      </c>
      <c r="E67" s="9" t="s">
        <v>26</v>
      </c>
      <c r="F67" s="10" t="s">
        <v>26</v>
      </c>
      <c r="G67" s="9">
        <v>527999051.35000002</v>
      </c>
      <c r="H67" s="10">
        <v>3.2027999531299999E-3</v>
      </c>
      <c r="I67" s="10">
        <v>0.08</v>
      </c>
      <c r="J67" s="10">
        <v>7.6799999999999993E-2</v>
      </c>
      <c r="K67" s="2" t="s">
        <v>26</v>
      </c>
      <c r="L67" s="1" t="s">
        <v>26</v>
      </c>
      <c r="M67" s="1" t="s">
        <v>26</v>
      </c>
      <c r="N67" s="1" t="s">
        <v>26</v>
      </c>
      <c r="O67" s="9">
        <v>462007677.86000001</v>
      </c>
      <c r="P67" s="10">
        <v>1.8849340782199999E-3</v>
      </c>
      <c r="Q67" s="10">
        <v>0.08</v>
      </c>
      <c r="R67" s="10">
        <v>7.8100000000000003E-2</v>
      </c>
      <c r="S67" s="9">
        <v>102119016</v>
      </c>
      <c r="T67" s="10">
        <v>8.4762339678999999E-4</v>
      </c>
      <c r="U67" s="10">
        <v>0.08</v>
      </c>
      <c r="V67" s="10">
        <v>7.9200000000000007E-2</v>
      </c>
      <c r="W67" s="2" t="s">
        <v>26</v>
      </c>
      <c r="X67" s="1" t="s">
        <v>26</v>
      </c>
      <c r="Y67" s="1" t="s">
        <v>26</v>
      </c>
      <c r="Z67" s="1" t="s">
        <v>26</v>
      </c>
      <c r="AA67" s="9">
        <v>43229465.140000001</v>
      </c>
      <c r="AB67" s="10">
        <v>2.8566598544999997E-4</v>
      </c>
      <c r="AC67" s="10">
        <v>0.08</v>
      </c>
      <c r="AD67" s="10">
        <v>7.9699999999999993E-2</v>
      </c>
      <c r="AE67" s="9">
        <v>1135355210.3499999</v>
      </c>
      <c r="AF67" s="10">
        <v>1.62277089655E-3</v>
      </c>
      <c r="AG67" s="10">
        <v>0.08</v>
      </c>
      <c r="AH67" s="10">
        <v>7.8399999999999997E-2</v>
      </c>
      <c r="AI67" s="2" t="s">
        <v>26</v>
      </c>
      <c r="AJ67" s="1" t="s">
        <v>26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 t="s">
        <v>26</v>
      </c>
      <c r="AR67" s="1" t="s">
        <v>26</v>
      </c>
      <c r="AS67" s="1" t="s">
        <v>26</v>
      </c>
      <c r="AT67" s="1" t="s">
        <v>26</v>
      </c>
      <c r="AU67" s="9">
        <v>102119016</v>
      </c>
      <c r="AV67" s="10">
        <v>2.05439213978E-3</v>
      </c>
      <c r="AW67" s="10">
        <v>0.08</v>
      </c>
      <c r="AX67" s="10">
        <v>7.7899999999999997E-2</v>
      </c>
      <c r="AY67" s="9">
        <v>1237474226.3499999</v>
      </c>
      <c r="AZ67" s="10">
        <v>1.5625494562E-3</v>
      </c>
      <c r="BA67" s="10">
        <v>0.08</v>
      </c>
      <c r="BB67" s="10">
        <v>7.8399999999999997E-2</v>
      </c>
    </row>
    <row r="68" spans="1:54" s="7" customFormat="1">
      <c r="A68" s="3" t="s">
        <v>68</v>
      </c>
      <c r="B68" s="23" t="s">
        <v>57</v>
      </c>
      <c r="C68" s="9" t="s">
        <v>26</v>
      </c>
      <c r="D68" s="10" t="s">
        <v>26</v>
      </c>
      <c r="E68" s="9" t="s">
        <v>26</v>
      </c>
      <c r="F68" s="10" t="s">
        <v>26</v>
      </c>
      <c r="G68" s="2">
        <v>527999051.35000002</v>
      </c>
      <c r="H68" s="1">
        <v>1</v>
      </c>
      <c r="I68" s="9" t="s">
        <v>26</v>
      </c>
      <c r="J68" s="10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462007677.86000001</v>
      </c>
      <c r="P68" s="1">
        <v>1</v>
      </c>
      <c r="Q68" s="1" t="s">
        <v>26</v>
      </c>
      <c r="R68" s="1" t="s">
        <v>26</v>
      </c>
      <c r="S68" s="2">
        <v>102119016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43229465.140000001</v>
      </c>
      <c r="AB68" s="1">
        <v>1</v>
      </c>
      <c r="AC68" s="1" t="s">
        <v>26</v>
      </c>
      <c r="AD68" s="1" t="s">
        <v>26</v>
      </c>
      <c r="AE68" s="2">
        <v>1135355210.3499999</v>
      </c>
      <c r="AF68" s="1">
        <v>1</v>
      </c>
      <c r="AG68" s="1" t="s">
        <v>26</v>
      </c>
      <c r="AH68" s="1" t="s">
        <v>26</v>
      </c>
      <c r="AI68" s="2" t="s">
        <v>26</v>
      </c>
      <c r="AJ68" s="1" t="s">
        <v>26</v>
      </c>
      <c r="AK68" s="1" t="s">
        <v>26</v>
      </c>
      <c r="AL68" s="1" t="s">
        <v>26</v>
      </c>
      <c r="AM68" s="2" t="s">
        <v>26</v>
      </c>
      <c r="AN68" s="1" t="s">
        <v>26</v>
      </c>
      <c r="AO68" s="1" t="s">
        <v>26</v>
      </c>
      <c r="AP68" s="1" t="s">
        <v>26</v>
      </c>
      <c r="AQ68" s="2" t="s">
        <v>26</v>
      </c>
      <c r="AR68" s="1" t="s">
        <v>26</v>
      </c>
      <c r="AS68" s="1" t="s">
        <v>26</v>
      </c>
      <c r="AT68" s="1" t="s">
        <v>26</v>
      </c>
      <c r="AU68" s="2">
        <v>102119016</v>
      </c>
      <c r="AV68" s="1">
        <v>1</v>
      </c>
      <c r="AW68" s="1" t="s">
        <v>26</v>
      </c>
      <c r="AX68" s="1" t="s">
        <v>26</v>
      </c>
      <c r="AY68" s="2">
        <v>1237474226.3499999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70</v>
      </c>
      <c r="B69" s="20" t="s">
        <v>25</v>
      </c>
      <c r="C69" s="9" t="s">
        <v>26</v>
      </c>
      <c r="D69" s="10" t="s">
        <v>26</v>
      </c>
      <c r="E69" s="9" t="s">
        <v>26</v>
      </c>
      <c r="F69" s="10" t="s">
        <v>26</v>
      </c>
      <c r="G69" s="9">
        <v>513464380.19999999</v>
      </c>
      <c r="H69" s="10">
        <v>3.11463380215E-3</v>
      </c>
      <c r="I69" s="10">
        <v>0.09</v>
      </c>
      <c r="J69" s="10">
        <v>8.6900000000000005E-2</v>
      </c>
      <c r="K69" s="2" t="s">
        <v>26</v>
      </c>
      <c r="L69" s="1" t="s">
        <v>26</v>
      </c>
      <c r="M69" s="1" t="s">
        <v>26</v>
      </c>
      <c r="N69" s="1" t="s">
        <v>26</v>
      </c>
      <c r="O69" s="9">
        <v>1129447395.8399999</v>
      </c>
      <c r="P69" s="10">
        <v>4.6080054250100004E-3</v>
      </c>
      <c r="Q69" s="10">
        <v>0.09</v>
      </c>
      <c r="R69" s="10">
        <v>8.5400000000000004E-2</v>
      </c>
      <c r="S69" s="9">
        <v>516661548.83999997</v>
      </c>
      <c r="T69" s="10">
        <v>4.2884707880199999E-3</v>
      </c>
      <c r="U69" s="10">
        <v>0.09</v>
      </c>
      <c r="V69" s="10">
        <v>8.5699999999999998E-2</v>
      </c>
      <c r="W69" s="2" t="s">
        <v>26</v>
      </c>
      <c r="X69" s="1" t="s">
        <v>26</v>
      </c>
      <c r="Y69" s="1" t="s">
        <v>26</v>
      </c>
      <c r="Z69" s="1" t="s">
        <v>26</v>
      </c>
      <c r="AA69" s="9">
        <v>1373524597.9300001</v>
      </c>
      <c r="AB69" s="10">
        <v>9.0764310067700006E-3</v>
      </c>
      <c r="AC69" s="10">
        <v>0.09</v>
      </c>
      <c r="AD69" s="10">
        <v>8.09E-2</v>
      </c>
      <c r="AE69" s="9">
        <v>3533097922.8099999</v>
      </c>
      <c r="AF69" s="10">
        <v>5.04988080516E-3</v>
      </c>
      <c r="AG69" s="10">
        <v>0.09</v>
      </c>
      <c r="AH69" s="10">
        <v>8.5000000000000006E-2</v>
      </c>
      <c r="AI69" s="9">
        <v>96076669.930000007</v>
      </c>
      <c r="AJ69" s="10">
        <v>5.35494901485E-3</v>
      </c>
      <c r="AK69" s="10">
        <v>0.09</v>
      </c>
      <c r="AL69" s="10">
        <v>8.4599999999999995E-2</v>
      </c>
      <c r="AM69" s="9">
        <v>13508995.890000001</v>
      </c>
      <c r="AN69" s="10">
        <v>5.4760444662999995E-4</v>
      </c>
      <c r="AO69" s="10">
        <v>0.09</v>
      </c>
      <c r="AP69" s="10">
        <v>8.9499999999999996E-2</v>
      </c>
      <c r="AQ69" s="9">
        <v>109585665.81999999</v>
      </c>
      <c r="AR69" s="10">
        <v>2.5717743424400002E-3</v>
      </c>
      <c r="AS69" s="10">
        <v>0.09</v>
      </c>
      <c r="AT69" s="10">
        <v>8.7400000000000005E-2</v>
      </c>
      <c r="AU69" s="9">
        <v>186101990.05000001</v>
      </c>
      <c r="AV69" s="10">
        <v>3.7439301760999999E-3</v>
      </c>
      <c r="AW69" s="10">
        <v>0.09</v>
      </c>
      <c r="AX69" s="10">
        <v>8.6300000000000002E-2</v>
      </c>
      <c r="AY69" s="9">
        <v>3828785578.6799998</v>
      </c>
      <c r="AZ69" s="10">
        <v>4.8345789322000003E-3</v>
      </c>
      <c r="BA69" s="10">
        <v>0.09</v>
      </c>
      <c r="BB69" s="10">
        <v>8.5199999999999998E-2</v>
      </c>
    </row>
    <row r="70" spans="1:54" s="7" customFormat="1">
      <c r="A70" s="3" t="s">
        <v>68</v>
      </c>
      <c r="B70" s="23" t="s">
        <v>40</v>
      </c>
      <c r="C70" s="9" t="s">
        <v>26</v>
      </c>
      <c r="D70" s="10" t="s">
        <v>26</v>
      </c>
      <c r="E70" s="9" t="s">
        <v>26</v>
      </c>
      <c r="F70" s="10" t="s">
        <v>26</v>
      </c>
      <c r="G70" s="2">
        <v>513464380.19999999</v>
      </c>
      <c r="H70" s="1">
        <v>1</v>
      </c>
      <c r="I70" s="9" t="s">
        <v>26</v>
      </c>
      <c r="J70" s="10" t="s">
        <v>26</v>
      </c>
      <c r="K70" s="2" t="s">
        <v>26</v>
      </c>
      <c r="L70" s="1" t="s">
        <v>26</v>
      </c>
      <c r="M70" s="1" t="s">
        <v>26</v>
      </c>
      <c r="N70" s="1" t="s">
        <v>26</v>
      </c>
      <c r="O70" s="2">
        <v>1129447395.8399999</v>
      </c>
      <c r="P70" s="1">
        <v>1</v>
      </c>
      <c r="Q70" s="1" t="s">
        <v>26</v>
      </c>
      <c r="R70" s="1" t="s">
        <v>26</v>
      </c>
      <c r="S70" s="2">
        <v>516661548.83999997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>
        <v>1373524597.9300001</v>
      </c>
      <c r="AB70" s="1">
        <v>1</v>
      </c>
      <c r="AC70" s="1" t="s">
        <v>26</v>
      </c>
      <c r="AD70" s="1" t="s">
        <v>26</v>
      </c>
      <c r="AE70" s="2">
        <v>3533097922.8099999</v>
      </c>
      <c r="AF70" s="1">
        <v>1</v>
      </c>
      <c r="AG70" s="1" t="s">
        <v>26</v>
      </c>
      <c r="AH70" s="1" t="s">
        <v>26</v>
      </c>
      <c r="AI70" s="2">
        <v>96076669.930000007</v>
      </c>
      <c r="AJ70" s="1">
        <v>1</v>
      </c>
      <c r="AK70" s="1" t="s">
        <v>26</v>
      </c>
      <c r="AL70" s="1" t="s">
        <v>26</v>
      </c>
      <c r="AM70" s="2">
        <v>13508995.890000001</v>
      </c>
      <c r="AN70" s="1">
        <v>1</v>
      </c>
      <c r="AO70" s="1" t="s">
        <v>26</v>
      </c>
      <c r="AP70" s="1" t="s">
        <v>26</v>
      </c>
      <c r="AQ70" s="2">
        <v>109585665.81999999</v>
      </c>
      <c r="AR70" s="1">
        <v>1</v>
      </c>
      <c r="AS70" s="1" t="s">
        <v>26</v>
      </c>
      <c r="AT70" s="1" t="s">
        <v>26</v>
      </c>
      <c r="AU70" s="2">
        <v>186101990.05000001</v>
      </c>
      <c r="AV70" s="1">
        <v>1</v>
      </c>
      <c r="AW70" s="1" t="s">
        <v>26</v>
      </c>
      <c r="AX70" s="1" t="s">
        <v>26</v>
      </c>
      <c r="AY70" s="2">
        <v>3828785578.6799998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71</v>
      </c>
      <c r="B71" s="20" t="s">
        <v>25</v>
      </c>
      <c r="C71" s="9">
        <v>351448150.68000001</v>
      </c>
      <c r="D71" s="10">
        <v>4.7927846329540003E-2</v>
      </c>
      <c r="E71" s="10">
        <v>0.08</v>
      </c>
      <c r="F71" s="10">
        <v>3.2099999999999997E-2</v>
      </c>
      <c r="G71" s="9">
        <v>468681794.94999999</v>
      </c>
      <c r="H71" s="10">
        <v>2.8429862270799998E-3</v>
      </c>
      <c r="I71" s="10">
        <v>0.08</v>
      </c>
      <c r="J71" s="10">
        <v>7.7200000000000005E-2</v>
      </c>
      <c r="K71" s="9">
        <v>164746611.13999999</v>
      </c>
      <c r="L71" s="10">
        <v>4.5764230929750002E-2</v>
      </c>
      <c r="M71" s="10">
        <v>0.08</v>
      </c>
      <c r="N71" s="10">
        <v>3.4200000000000001E-2</v>
      </c>
      <c r="O71" s="9">
        <v>1444361839.8399999</v>
      </c>
      <c r="P71" s="10">
        <v>5.8928173354299996E-3</v>
      </c>
      <c r="Q71" s="10">
        <v>0.08</v>
      </c>
      <c r="R71" s="10">
        <v>7.4099999999999999E-2</v>
      </c>
      <c r="S71" s="9">
        <v>311358123.58999997</v>
      </c>
      <c r="T71" s="10">
        <v>2.5843808594300001E-3</v>
      </c>
      <c r="U71" s="10">
        <v>0.08</v>
      </c>
      <c r="V71" s="10">
        <v>7.7399999999999997E-2</v>
      </c>
      <c r="W71" s="2" t="s">
        <v>26</v>
      </c>
      <c r="X71" s="1" t="s">
        <v>26</v>
      </c>
      <c r="Y71" s="1" t="s">
        <v>26</v>
      </c>
      <c r="Z71" s="1" t="s">
        <v>26</v>
      </c>
      <c r="AA71" s="2" t="s">
        <v>26</v>
      </c>
      <c r="AB71" s="1" t="s">
        <v>26</v>
      </c>
      <c r="AC71" s="1" t="s">
        <v>26</v>
      </c>
      <c r="AD71" s="1" t="s">
        <v>26</v>
      </c>
      <c r="AE71" s="9">
        <v>2740596520.1999998</v>
      </c>
      <c r="AF71" s="10">
        <v>3.9171531795600002E-3</v>
      </c>
      <c r="AG71" s="10">
        <v>0.08</v>
      </c>
      <c r="AH71" s="10">
        <v>7.6100000000000001E-2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 t="s">
        <v>26</v>
      </c>
      <c r="AV71" s="1" t="s">
        <v>26</v>
      </c>
      <c r="AW71" s="1" t="s">
        <v>26</v>
      </c>
      <c r="AX71" s="1" t="s">
        <v>26</v>
      </c>
      <c r="AY71" s="9">
        <v>2740596520.1999998</v>
      </c>
      <c r="AZ71" s="10">
        <v>3.4605307416600002E-3</v>
      </c>
      <c r="BA71" s="10">
        <v>0.08</v>
      </c>
      <c r="BB71" s="10">
        <v>7.6499999999999999E-2</v>
      </c>
    </row>
    <row r="72" spans="1:54" s="28" customFormat="1">
      <c r="A72" s="3" t="s">
        <v>68</v>
      </c>
      <c r="B72" s="23" t="s">
        <v>57</v>
      </c>
      <c r="C72" s="2">
        <v>351448150.68000001</v>
      </c>
      <c r="D72" s="1">
        <v>1</v>
      </c>
      <c r="E72" s="9" t="s">
        <v>26</v>
      </c>
      <c r="F72" s="10" t="s">
        <v>26</v>
      </c>
      <c r="G72" s="2">
        <v>468681794.94999999</v>
      </c>
      <c r="H72" s="1">
        <v>1</v>
      </c>
      <c r="I72" s="9" t="s">
        <v>26</v>
      </c>
      <c r="J72" s="10" t="s">
        <v>26</v>
      </c>
      <c r="K72" s="2">
        <v>164746611.13999999</v>
      </c>
      <c r="L72" s="1">
        <v>1</v>
      </c>
      <c r="M72" s="1" t="s">
        <v>26</v>
      </c>
      <c r="N72" s="1" t="s">
        <v>26</v>
      </c>
      <c r="O72" s="2">
        <v>1444361839.8399999</v>
      </c>
      <c r="P72" s="1">
        <v>1</v>
      </c>
      <c r="Q72" s="1" t="s">
        <v>26</v>
      </c>
      <c r="R72" s="1" t="s">
        <v>26</v>
      </c>
      <c r="S72" s="2">
        <v>311358123.58999997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2740596520.1999998</v>
      </c>
      <c r="AF72" s="1">
        <v>1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2740596520.1999998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72</v>
      </c>
      <c r="B73" s="20" t="s">
        <v>25</v>
      </c>
      <c r="C73" s="9" t="s">
        <v>26</v>
      </c>
      <c r="D73" s="10" t="s">
        <v>26</v>
      </c>
      <c r="E73" s="9" t="s">
        <v>26</v>
      </c>
      <c r="F73" s="10" t="s">
        <v>26</v>
      </c>
      <c r="G73" s="9">
        <v>2581638278.27</v>
      </c>
      <c r="H73" s="10">
        <v>1.566001100854E-2</v>
      </c>
      <c r="I73" s="10">
        <v>0.09</v>
      </c>
      <c r="J73" s="10">
        <v>7.4300000000000005E-2</v>
      </c>
      <c r="K73" s="2" t="s">
        <v>26</v>
      </c>
      <c r="L73" s="1" t="s">
        <v>26</v>
      </c>
      <c r="M73" s="1" t="s">
        <v>26</v>
      </c>
      <c r="N73" s="1" t="s">
        <v>26</v>
      </c>
      <c r="O73" s="9">
        <v>2172993160.8099999</v>
      </c>
      <c r="P73" s="10">
        <v>8.8655428401500005E-3</v>
      </c>
      <c r="Q73" s="10">
        <v>0.09</v>
      </c>
      <c r="R73" s="10">
        <v>8.1100000000000005E-2</v>
      </c>
      <c r="S73" s="9">
        <v>1360396035.54</v>
      </c>
      <c r="T73" s="10">
        <v>1.129176086675E-2</v>
      </c>
      <c r="U73" s="10">
        <v>0.09</v>
      </c>
      <c r="V73" s="10">
        <v>7.8700000000000006E-2</v>
      </c>
      <c r="W73" s="2" t="s">
        <v>26</v>
      </c>
      <c r="X73" s="1" t="s">
        <v>26</v>
      </c>
      <c r="Y73" s="1" t="s">
        <v>26</v>
      </c>
      <c r="Z73" s="1" t="s">
        <v>26</v>
      </c>
      <c r="AA73" s="9">
        <v>1811749101.48</v>
      </c>
      <c r="AB73" s="10">
        <v>1.1972276103349999E-2</v>
      </c>
      <c r="AC73" s="10">
        <v>0.09</v>
      </c>
      <c r="AD73" s="10">
        <v>7.8E-2</v>
      </c>
      <c r="AE73" s="9">
        <v>7926776576.1000004</v>
      </c>
      <c r="AF73" s="10">
        <v>1.132979548061E-2</v>
      </c>
      <c r="AG73" s="10">
        <v>0.09</v>
      </c>
      <c r="AH73" s="10">
        <v>7.8700000000000006E-2</v>
      </c>
      <c r="AI73" s="9">
        <v>16160059.880000001</v>
      </c>
      <c r="AJ73" s="10">
        <v>9.0070041766999998E-4</v>
      </c>
      <c r="AK73" s="10">
        <v>0.09</v>
      </c>
      <c r="AL73" s="10">
        <v>8.9099999999999999E-2</v>
      </c>
      <c r="AM73" s="9">
        <v>115434020.19</v>
      </c>
      <c r="AN73" s="10">
        <v>4.67926582132E-3</v>
      </c>
      <c r="AO73" s="10">
        <v>0.09</v>
      </c>
      <c r="AP73" s="10">
        <v>8.5300000000000001E-2</v>
      </c>
      <c r="AQ73" s="9">
        <v>131594080.06999999</v>
      </c>
      <c r="AR73" s="10">
        <v>3.0882714104000001E-3</v>
      </c>
      <c r="AS73" s="10">
        <v>0.09</v>
      </c>
      <c r="AT73" s="10">
        <v>8.6900000000000005E-2</v>
      </c>
      <c r="AU73" s="9">
        <v>477253546.63999999</v>
      </c>
      <c r="AV73" s="10">
        <v>9.6012082108099996E-3</v>
      </c>
      <c r="AW73" s="10">
        <v>0.09</v>
      </c>
      <c r="AX73" s="10">
        <v>8.0399999999999999E-2</v>
      </c>
      <c r="AY73" s="9">
        <v>8535624202.8100004</v>
      </c>
      <c r="AZ73" s="10">
        <v>1.077786888195E-2</v>
      </c>
      <c r="BA73" s="10">
        <v>0.09</v>
      </c>
      <c r="BB73" s="10">
        <v>7.9200000000000007E-2</v>
      </c>
    </row>
    <row r="74" spans="1:54" s="28" customFormat="1">
      <c r="A74" s="3" t="s">
        <v>68</v>
      </c>
      <c r="B74" s="23" t="s">
        <v>40</v>
      </c>
      <c r="C74" s="9" t="s">
        <v>26</v>
      </c>
      <c r="D74" s="10" t="s">
        <v>26</v>
      </c>
      <c r="E74" s="9" t="s">
        <v>26</v>
      </c>
      <c r="F74" s="10" t="s">
        <v>26</v>
      </c>
      <c r="G74" s="2">
        <v>2581638278.27</v>
      </c>
      <c r="H74" s="1">
        <v>1</v>
      </c>
      <c r="I74" s="9" t="s">
        <v>26</v>
      </c>
      <c r="J74" s="10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2172993160.8099999</v>
      </c>
      <c r="P74" s="1">
        <v>1</v>
      </c>
      <c r="Q74" s="1" t="s">
        <v>26</v>
      </c>
      <c r="R74" s="1" t="s">
        <v>26</v>
      </c>
      <c r="S74" s="2">
        <v>1360396035.54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1811749101.48</v>
      </c>
      <c r="AB74" s="1">
        <v>1</v>
      </c>
      <c r="AC74" s="1" t="s">
        <v>26</v>
      </c>
      <c r="AD74" s="1" t="s">
        <v>26</v>
      </c>
      <c r="AE74" s="2">
        <v>7926776576.1000004</v>
      </c>
      <c r="AF74" s="1">
        <v>1</v>
      </c>
      <c r="AG74" s="1" t="s">
        <v>26</v>
      </c>
      <c r="AH74" s="1" t="s">
        <v>26</v>
      </c>
      <c r="AI74" s="2">
        <v>16160059.880000001</v>
      </c>
      <c r="AJ74" s="1">
        <v>1</v>
      </c>
      <c r="AK74" s="1" t="s">
        <v>26</v>
      </c>
      <c r="AL74" s="1" t="s">
        <v>26</v>
      </c>
      <c r="AM74" s="2">
        <v>115434020.19</v>
      </c>
      <c r="AN74" s="1">
        <v>1</v>
      </c>
      <c r="AO74" s="1" t="s">
        <v>26</v>
      </c>
      <c r="AP74" s="1" t="s">
        <v>26</v>
      </c>
      <c r="AQ74" s="2">
        <v>131594080.06999999</v>
      </c>
      <c r="AR74" s="1">
        <v>1</v>
      </c>
      <c r="AS74" s="1" t="s">
        <v>26</v>
      </c>
      <c r="AT74" s="1" t="s">
        <v>26</v>
      </c>
      <c r="AU74" s="2">
        <v>477253546.63999999</v>
      </c>
      <c r="AV74" s="1">
        <v>1</v>
      </c>
      <c r="AW74" s="1" t="s">
        <v>26</v>
      </c>
      <c r="AX74" s="1" t="s">
        <v>26</v>
      </c>
      <c r="AY74" s="2">
        <v>8535624202.8100004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73</v>
      </c>
      <c r="B75" s="20" t="s">
        <v>25</v>
      </c>
      <c r="C75" s="9">
        <v>87503743.790000007</v>
      </c>
      <c r="D75" s="10">
        <v>1.193310016716E-2</v>
      </c>
      <c r="E75" s="10">
        <v>0.08</v>
      </c>
      <c r="F75" s="10">
        <v>6.8099999999999994E-2</v>
      </c>
      <c r="G75" s="9">
        <v>220456051.22999999</v>
      </c>
      <c r="H75" s="10">
        <v>1.3372687483800001E-3</v>
      </c>
      <c r="I75" s="10">
        <v>0.08</v>
      </c>
      <c r="J75" s="10">
        <v>7.8700000000000006E-2</v>
      </c>
      <c r="K75" s="9">
        <v>105292738.19</v>
      </c>
      <c r="L75" s="10">
        <v>2.924880307042E-2</v>
      </c>
      <c r="M75" s="10">
        <v>0.08</v>
      </c>
      <c r="N75" s="10">
        <v>5.0799999999999998E-2</v>
      </c>
      <c r="O75" s="9">
        <v>2718153896.73</v>
      </c>
      <c r="P75" s="10">
        <v>1.108973109175E-2</v>
      </c>
      <c r="Q75" s="10">
        <v>0.08</v>
      </c>
      <c r="R75" s="10">
        <v>6.8900000000000003E-2</v>
      </c>
      <c r="S75" s="9">
        <v>2865056906.3699999</v>
      </c>
      <c r="T75" s="10">
        <v>2.3780970108109999E-2</v>
      </c>
      <c r="U75" s="10">
        <v>0.08</v>
      </c>
      <c r="V75" s="10">
        <v>5.62E-2</v>
      </c>
      <c r="W75" s="2" t="s">
        <v>26</v>
      </c>
      <c r="X75" s="1" t="s">
        <v>26</v>
      </c>
      <c r="Y75" s="1" t="s">
        <v>26</v>
      </c>
      <c r="Z75" s="1" t="s">
        <v>26</v>
      </c>
      <c r="AA75" s="9">
        <v>1879612167.6900001</v>
      </c>
      <c r="AB75" s="10">
        <v>1.242072416121E-2</v>
      </c>
      <c r="AC75" s="10">
        <v>0.08</v>
      </c>
      <c r="AD75" s="10">
        <v>6.7599999999999993E-2</v>
      </c>
      <c r="AE75" s="9">
        <v>7876075504</v>
      </c>
      <c r="AF75" s="10">
        <v>1.1257328094660001E-2</v>
      </c>
      <c r="AG75" s="10">
        <v>0.08</v>
      </c>
      <c r="AH75" s="10">
        <v>6.8699999999999997E-2</v>
      </c>
      <c r="AI75" s="9">
        <v>606313910.99000001</v>
      </c>
      <c r="AJ75" s="10">
        <v>3.3793636714450001E-2</v>
      </c>
      <c r="AK75" s="10">
        <v>0.08</v>
      </c>
      <c r="AL75" s="10">
        <v>4.6199999999999998E-2</v>
      </c>
      <c r="AM75" s="9">
        <v>1686612112.6700001</v>
      </c>
      <c r="AN75" s="10">
        <v>6.8368981688909994E-2</v>
      </c>
      <c r="AO75" s="10">
        <v>0.08</v>
      </c>
      <c r="AP75" s="10">
        <v>1.1599999999999999E-2</v>
      </c>
      <c r="AQ75" s="9">
        <v>2292926023.6599998</v>
      </c>
      <c r="AR75" s="10">
        <v>5.3810763229340003E-2</v>
      </c>
      <c r="AS75" s="10">
        <v>0.08</v>
      </c>
      <c r="AT75" s="10">
        <v>2.6200000000000001E-2</v>
      </c>
      <c r="AU75" s="9">
        <v>701482764.51999998</v>
      </c>
      <c r="AV75" s="10">
        <v>1.411216768501E-2</v>
      </c>
      <c r="AW75" s="10">
        <v>0.08</v>
      </c>
      <c r="AX75" s="10">
        <v>6.59E-2</v>
      </c>
      <c r="AY75" s="9">
        <v>10870484292.18</v>
      </c>
      <c r="AZ75" s="10">
        <v>1.3726079265040001E-2</v>
      </c>
      <c r="BA75" s="10">
        <v>0.08</v>
      </c>
      <c r="BB75" s="10">
        <v>6.6299999999999998E-2</v>
      </c>
    </row>
    <row r="76" spans="1:54" s="7" customFormat="1">
      <c r="A76" s="3" t="s">
        <v>68</v>
      </c>
      <c r="B76" s="23" t="s">
        <v>57</v>
      </c>
      <c r="C76" s="2">
        <v>87503743.790000007</v>
      </c>
      <c r="D76" s="1">
        <v>1</v>
      </c>
      <c r="E76" s="9" t="s">
        <v>26</v>
      </c>
      <c r="F76" s="10" t="s">
        <v>26</v>
      </c>
      <c r="G76" s="2">
        <v>220456051.22999999</v>
      </c>
      <c r="H76" s="1">
        <v>1</v>
      </c>
      <c r="I76" s="9" t="s">
        <v>26</v>
      </c>
      <c r="J76" s="10" t="s">
        <v>26</v>
      </c>
      <c r="K76" s="2">
        <v>105292738.19</v>
      </c>
      <c r="L76" s="1">
        <v>1</v>
      </c>
      <c r="M76" s="1" t="s">
        <v>26</v>
      </c>
      <c r="N76" s="1" t="s">
        <v>26</v>
      </c>
      <c r="O76" s="2">
        <v>2718153896.73</v>
      </c>
      <c r="P76" s="1">
        <v>1</v>
      </c>
      <c r="Q76" s="1" t="s">
        <v>26</v>
      </c>
      <c r="R76" s="1" t="s">
        <v>26</v>
      </c>
      <c r="S76" s="2">
        <v>2865056906.3699999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>
        <v>1879612167.6900001</v>
      </c>
      <c r="AB76" s="1">
        <v>1</v>
      </c>
      <c r="AC76" s="1" t="s">
        <v>26</v>
      </c>
      <c r="AD76" s="1" t="s">
        <v>26</v>
      </c>
      <c r="AE76" s="2">
        <v>7876075504</v>
      </c>
      <c r="AF76" s="1">
        <v>1</v>
      </c>
      <c r="AG76" s="1" t="s">
        <v>26</v>
      </c>
      <c r="AH76" s="1" t="s">
        <v>26</v>
      </c>
      <c r="AI76" s="2">
        <v>606313910.99000001</v>
      </c>
      <c r="AJ76" s="1">
        <v>1</v>
      </c>
      <c r="AK76" s="1" t="s">
        <v>26</v>
      </c>
      <c r="AL76" s="1" t="s">
        <v>26</v>
      </c>
      <c r="AM76" s="2">
        <v>1686612112.6700001</v>
      </c>
      <c r="AN76" s="1">
        <v>1</v>
      </c>
      <c r="AO76" s="1" t="s">
        <v>26</v>
      </c>
      <c r="AP76" s="1" t="s">
        <v>26</v>
      </c>
      <c r="AQ76" s="2">
        <v>2292926023.6599998</v>
      </c>
      <c r="AR76" s="1">
        <v>1</v>
      </c>
      <c r="AS76" s="1" t="s">
        <v>26</v>
      </c>
      <c r="AT76" s="1" t="s">
        <v>26</v>
      </c>
      <c r="AU76" s="2">
        <v>701482764.51999998</v>
      </c>
      <c r="AV76" s="1">
        <v>1</v>
      </c>
      <c r="AW76" s="1" t="s">
        <v>26</v>
      </c>
      <c r="AX76" s="1" t="s">
        <v>26</v>
      </c>
      <c r="AY76" s="2">
        <v>10870484292.18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74</v>
      </c>
      <c r="B77" s="20" t="s">
        <v>25</v>
      </c>
      <c r="C77" s="9">
        <v>254221161.09999999</v>
      </c>
      <c r="D77" s="10">
        <v>3.4668763285120002E-2</v>
      </c>
      <c r="E77" s="10">
        <v>0.08</v>
      </c>
      <c r="F77" s="10">
        <v>4.53E-2</v>
      </c>
      <c r="G77" s="9">
        <v>862871368.11000001</v>
      </c>
      <c r="H77" s="10">
        <v>5.2341086035500002E-3</v>
      </c>
      <c r="I77" s="10">
        <v>0.08</v>
      </c>
      <c r="J77" s="10">
        <v>7.4800000000000005E-2</v>
      </c>
      <c r="K77" s="9">
        <v>106625076.93000001</v>
      </c>
      <c r="L77" s="10">
        <v>2.9618907543900001E-2</v>
      </c>
      <c r="M77" s="10">
        <v>0.08</v>
      </c>
      <c r="N77" s="10">
        <v>5.04E-2</v>
      </c>
      <c r="O77" s="9">
        <v>1842282426.73</v>
      </c>
      <c r="P77" s="10">
        <v>7.5162840235299998E-3</v>
      </c>
      <c r="Q77" s="10">
        <v>0.08</v>
      </c>
      <c r="R77" s="10">
        <v>7.2499999999999995E-2</v>
      </c>
      <c r="S77" s="2" t="s">
        <v>26</v>
      </c>
      <c r="T77" s="1" t="s">
        <v>26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 t="s">
        <v>26</v>
      </c>
      <c r="AB77" s="1" t="s">
        <v>26</v>
      </c>
      <c r="AC77" s="1" t="s">
        <v>26</v>
      </c>
      <c r="AD77" s="1" t="s">
        <v>26</v>
      </c>
      <c r="AE77" s="9">
        <v>3066000032.8699999</v>
      </c>
      <c r="AF77" s="10">
        <v>4.3822546255100001E-3</v>
      </c>
      <c r="AG77" s="10">
        <v>0.08</v>
      </c>
      <c r="AH77" s="10">
        <v>7.5600000000000001E-2</v>
      </c>
      <c r="AI77" s="2" t="s">
        <v>26</v>
      </c>
      <c r="AJ77" s="1" t="s">
        <v>26</v>
      </c>
      <c r="AK77" s="1" t="s">
        <v>26</v>
      </c>
      <c r="AL77" s="1" t="s">
        <v>26</v>
      </c>
      <c r="AM77" s="9">
        <v>373510362.80000001</v>
      </c>
      <c r="AN77" s="10">
        <v>1.5140720835019999E-2</v>
      </c>
      <c r="AO77" s="10">
        <v>0.08</v>
      </c>
      <c r="AP77" s="10">
        <v>6.4899999999999999E-2</v>
      </c>
      <c r="AQ77" s="9">
        <v>373510362.80000001</v>
      </c>
      <c r="AR77" s="10">
        <v>8.7656023303600006E-3</v>
      </c>
      <c r="AS77" s="10">
        <v>0.08</v>
      </c>
      <c r="AT77" s="10">
        <v>7.1199999999999999E-2</v>
      </c>
      <c r="AU77" s="2" t="s">
        <v>26</v>
      </c>
      <c r="AV77" s="1" t="s">
        <v>26</v>
      </c>
      <c r="AW77" s="1" t="s">
        <v>26</v>
      </c>
      <c r="AX77" s="1" t="s">
        <v>26</v>
      </c>
      <c r="AY77" s="9">
        <v>3439510395.6700001</v>
      </c>
      <c r="AZ77" s="10">
        <v>4.3430440682299997E-3</v>
      </c>
      <c r="BA77" s="10">
        <v>0.08</v>
      </c>
      <c r="BB77" s="10">
        <v>7.5700000000000003E-2</v>
      </c>
    </row>
    <row r="78" spans="1:54" s="7" customFormat="1">
      <c r="A78" s="3" t="s">
        <v>68</v>
      </c>
      <c r="B78" s="23" t="s">
        <v>57</v>
      </c>
      <c r="C78" s="2">
        <v>254221161.09999999</v>
      </c>
      <c r="D78" s="1">
        <v>1</v>
      </c>
      <c r="E78" s="9" t="s">
        <v>26</v>
      </c>
      <c r="F78" s="10" t="s">
        <v>26</v>
      </c>
      <c r="G78" s="2">
        <v>862871368.11000001</v>
      </c>
      <c r="H78" s="1">
        <v>1</v>
      </c>
      <c r="I78" s="9" t="s">
        <v>26</v>
      </c>
      <c r="J78" s="10" t="s">
        <v>26</v>
      </c>
      <c r="K78" s="2">
        <v>106625076.93000001</v>
      </c>
      <c r="L78" s="1">
        <v>1</v>
      </c>
      <c r="M78" s="1" t="s">
        <v>26</v>
      </c>
      <c r="N78" s="1" t="s">
        <v>26</v>
      </c>
      <c r="O78" s="2">
        <v>1842282426.73</v>
      </c>
      <c r="P78" s="1">
        <v>1</v>
      </c>
      <c r="Q78" s="1" t="s">
        <v>26</v>
      </c>
      <c r="R78" s="1" t="s">
        <v>26</v>
      </c>
      <c r="S78" s="2" t="s">
        <v>26</v>
      </c>
      <c r="T78" s="1" t="s">
        <v>26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3066000032.8699999</v>
      </c>
      <c r="AF78" s="1">
        <v>1</v>
      </c>
      <c r="AG78" s="1" t="s">
        <v>26</v>
      </c>
      <c r="AH78" s="1" t="s">
        <v>26</v>
      </c>
      <c r="AI78" s="2" t="s">
        <v>26</v>
      </c>
      <c r="AJ78" s="1" t="s">
        <v>26</v>
      </c>
      <c r="AK78" s="1" t="s">
        <v>26</v>
      </c>
      <c r="AL78" s="1" t="s">
        <v>26</v>
      </c>
      <c r="AM78" s="2">
        <v>373510362.80000001</v>
      </c>
      <c r="AN78" s="1">
        <v>1</v>
      </c>
      <c r="AO78" s="1" t="s">
        <v>26</v>
      </c>
      <c r="AP78" s="1" t="s">
        <v>26</v>
      </c>
      <c r="AQ78" s="2">
        <v>373510362.80000001</v>
      </c>
      <c r="AR78" s="1">
        <v>1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3439510395.6700001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75</v>
      </c>
      <c r="B79" s="20" t="s">
        <v>25</v>
      </c>
      <c r="C79" s="9">
        <v>110968067.59999999</v>
      </c>
      <c r="D79" s="10">
        <v>1.51329875577E-2</v>
      </c>
      <c r="E79" s="10">
        <v>0.06</v>
      </c>
      <c r="F79" s="10">
        <v>4.4900000000000002E-2</v>
      </c>
      <c r="G79" s="9">
        <v>658467895.10000002</v>
      </c>
      <c r="H79" s="10">
        <v>3.9942135088500003E-3</v>
      </c>
      <c r="I79" s="10">
        <v>0.06</v>
      </c>
      <c r="J79" s="10">
        <v>5.6000000000000001E-2</v>
      </c>
      <c r="K79" s="9">
        <v>33710722.619999997</v>
      </c>
      <c r="L79" s="10">
        <v>9.3643522262200005E-3</v>
      </c>
      <c r="M79" s="10">
        <v>0.06</v>
      </c>
      <c r="N79" s="10">
        <v>5.0599999999999999E-2</v>
      </c>
      <c r="O79" s="9">
        <v>299757817.30000001</v>
      </c>
      <c r="P79" s="10">
        <v>1.2229747515400001E-3</v>
      </c>
      <c r="Q79" s="10">
        <v>0.06</v>
      </c>
      <c r="R79" s="10">
        <v>5.8799999999999998E-2</v>
      </c>
      <c r="S79" s="9">
        <v>330553474.67000002</v>
      </c>
      <c r="T79" s="10">
        <v>2.7437089583700002E-3</v>
      </c>
      <c r="U79" s="10">
        <v>0.06</v>
      </c>
      <c r="V79" s="10">
        <v>5.7299999999999997E-2</v>
      </c>
      <c r="W79" s="2" t="s">
        <v>26</v>
      </c>
      <c r="X79" s="1" t="s">
        <v>26</v>
      </c>
      <c r="Y79" s="1" t="s">
        <v>26</v>
      </c>
      <c r="Z79" s="1" t="s">
        <v>26</v>
      </c>
      <c r="AA79" s="2" t="s">
        <v>26</v>
      </c>
      <c r="AB79" s="1" t="s">
        <v>26</v>
      </c>
      <c r="AC79" s="1" t="s">
        <v>26</v>
      </c>
      <c r="AD79" s="1" t="s">
        <v>26</v>
      </c>
      <c r="AE79" s="9">
        <v>1433457977.29</v>
      </c>
      <c r="AF79" s="10">
        <v>2.0488512016000001E-3</v>
      </c>
      <c r="AG79" s="10">
        <v>0.06</v>
      </c>
      <c r="AH79" s="10">
        <v>5.8000000000000003E-2</v>
      </c>
      <c r="AI79" s="9">
        <v>50329279</v>
      </c>
      <c r="AJ79" s="10">
        <v>2.8051630348499999E-3</v>
      </c>
      <c r="AK79" s="10">
        <v>0.06</v>
      </c>
      <c r="AL79" s="10">
        <v>5.7200000000000001E-2</v>
      </c>
      <c r="AM79" s="2" t="s">
        <v>26</v>
      </c>
      <c r="AN79" s="1" t="s">
        <v>26</v>
      </c>
      <c r="AO79" s="1" t="s">
        <v>26</v>
      </c>
      <c r="AP79" s="1" t="s">
        <v>26</v>
      </c>
      <c r="AQ79" s="9">
        <v>50329279</v>
      </c>
      <c r="AR79" s="10">
        <v>1.18113575747E-3</v>
      </c>
      <c r="AS79" s="10">
        <v>0.06</v>
      </c>
      <c r="AT79" s="10">
        <v>5.8799999999999998E-2</v>
      </c>
      <c r="AU79" s="2" t="s">
        <v>26</v>
      </c>
      <c r="AV79" s="1" t="s">
        <v>26</v>
      </c>
      <c r="AW79" s="1" t="s">
        <v>26</v>
      </c>
      <c r="AX79" s="1" t="s">
        <v>26</v>
      </c>
      <c r="AY79" s="9">
        <v>1483787256.29</v>
      </c>
      <c r="AZ79" s="10">
        <v>1.8735670780500001E-3</v>
      </c>
      <c r="BA79" s="10">
        <v>0.06</v>
      </c>
      <c r="BB79" s="10">
        <v>5.8099999999999999E-2</v>
      </c>
    </row>
    <row r="80" spans="1:54" s="7" customFormat="1">
      <c r="A80" s="3" t="s">
        <v>68</v>
      </c>
      <c r="B80" s="23" t="s">
        <v>47</v>
      </c>
      <c r="C80" s="2">
        <v>110968067.59999999</v>
      </c>
      <c r="D80" s="1">
        <v>1</v>
      </c>
      <c r="E80" s="9" t="s">
        <v>26</v>
      </c>
      <c r="F80" s="10" t="s">
        <v>26</v>
      </c>
      <c r="G80" s="2">
        <v>658467895.10000002</v>
      </c>
      <c r="H80" s="1">
        <v>1</v>
      </c>
      <c r="I80" s="9" t="s">
        <v>26</v>
      </c>
      <c r="J80" s="10" t="s">
        <v>26</v>
      </c>
      <c r="K80" s="2">
        <v>33710722.619999997</v>
      </c>
      <c r="L80" s="1">
        <v>1</v>
      </c>
      <c r="M80" s="1" t="s">
        <v>26</v>
      </c>
      <c r="N80" s="1" t="s">
        <v>26</v>
      </c>
      <c r="O80" s="2">
        <v>299757817.30000001</v>
      </c>
      <c r="P80" s="1">
        <v>1</v>
      </c>
      <c r="Q80" s="1" t="s">
        <v>26</v>
      </c>
      <c r="R80" s="1" t="s">
        <v>26</v>
      </c>
      <c r="S80" s="2">
        <v>330553474.67000002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1433457977.29</v>
      </c>
      <c r="AF80" s="1">
        <v>1</v>
      </c>
      <c r="AG80" s="1" t="s">
        <v>26</v>
      </c>
      <c r="AH80" s="1" t="s">
        <v>26</v>
      </c>
      <c r="AI80" s="2">
        <v>50329279</v>
      </c>
      <c r="AJ80" s="1">
        <v>1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>
        <v>50329279</v>
      </c>
      <c r="AR80" s="1">
        <v>1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1483787256.29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76</v>
      </c>
      <c r="B81" s="20" t="s">
        <v>25</v>
      </c>
      <c r="C81" s="9">
        <v>37227365.399999999</v>
      </c>
      <c r="D81" s="10">
        <v>5.0767871297400001E-3</v>
      </c>
      <c r="E81" s="10">
        <v>0.06</v>
      </c>
      <c r="F81" s="10">
        <v>5.4899999999999997E-2</v>
      </c>
      <c r="G81" s="9">
        <v>828958393.01999998</v>
      </c>
      <c r="H81" s="10">
        <v>5.0283952130599999E-3</v>
      </c>
      <c r="I81" s="10">
        <v>0.06</v>
      </c>
      <c r="J81" s="10">
        <v>5.5E-2</v>
      </c>
      <c r="K81" s="9">
        <v>50566992.75</v>
      </c>
      <c r="L81" s="10">
        <v>1.40467807964E-2</v>
      </c>
      <c r="M81" s="10">
        <v>0.06</v>
      </c>
      <c r="N81" s="10">
        <v>4.5999999999999999E-2</v>
      </c>
      <c r="O81" s="9">
        <v>435947389.57999998</v>
      </c>
      <c r="P81" s="10">
        <v>1.7786113311700001E-3</v>
      </c>
      <c r="Q81" s="10">
        <v>0.06</v>
      </c>
      <c r="R81" s="10">
        <v>5.8200000000000002E-2</v>
      </c>
      <c r="S81" s="9">
        <v>203748366</v>
      </c>
      <c r="T81" s="10">
        <v>1.6911823952400001E-3</v>
      </c>
      <c r="U81" s="10">
        <v>0.06</v>
      </c>
      <c r="V81" s="10">
        <v>5.8299999999999998E-2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9">
        <v>1556448506.75</v>
      </c>
      <c r="AF81" s="10">
        <v>2.2246423988700002E-3</v>
      </c>
      <c r="AG81" s="10">
        <v>0.06</v>
      </c>
      <c r="AH81" s="10">
        <v>5.7799999999999997E-2</v>
      </c>
      <c r="AI81" s="9">
        <v>134782605</v>
      </c>
      <c r="AJ81" s="10">
        <v>7.5122709643300001E-3</v>
      </c>
      <c r="AK81" s="10">
        <v>0.06</v>
      </c>
      <c r="AL81" s="10">
        <v>5.2499999999999998E-2</v>
      </c>
      <c r="AM81" s="2" t="s">
        <v>26</v>
      </c>
      <c r="AN81" s="1" t="s">
        <v>26</v>
      </c>
      <c r="AO81" s="1" t="s">
        <v>26</v>
      </c>
      <c r="AP81" s="1" t="s">
        <v>26</v>
      </c>
      <c r="AQ81" s="9">
        <v>134782605</v>
      </c>
      <c r="AR81" s="10">
        <v>3.1631002353500002E-3</v>
      </c>
      <c r="AS81" s="10">
        <v>0.06</v>
      </c>
      <c r="AT81" s="10">
        <v>5.6800000000000003E-2</v>
      </c>
      <c r="AU81" s="2" t="s">
        <v>26</v>
      </c>
      <c r="AV81" s="1" t="s">
        <v>26</v>
      </c>
      <c r="AW81" s="1" t="s">
        <v>26</v>
      </c>
      <c r="AX81" s="1" t="s">
        <v>26</v>
      </c>
      <c r="AY81" s="9">
        <v>1691231111.75</v>
      </c>
      <c r="AZ81" s="10">
        <v>2.1355048838200001E-3</v>
      </c>
      <c r="BA81" s="10">
        <v>0.06</v>
      </c>
      <c r="BB81" s="10">
        <v>5.79E-2</v>
      </c>
    </row>
    <row r="82" spans="1:54" s="7" customFormat="1">
      <c r="A82" s="3" t="s">
        <v>68</v>
      </c>
      <c r="B82" s="23" t="s">
        <v>47</v>
      </c>
      <c r="C82" s="2">
        <v>37227365.399999999</v>
      </c>
      <c r="D82" s="1">
        <v>1</v>
      </c>
      <c r="E82" s="9" t="s">
        <v>26</v>
      </c>
      <c r="F82" s="10" t="s">
        <v>26</v>
      </c>
      <c r="G82" s="2">
        <v>828958393.01999998</v>
      </c>
      <c r="H82" s="1">
        <v>1</v>
      </c>
      <c r="I82" s="9" t="s">
        <v>26</v>
      </c>
      <c r="J82" s="10" t="s">
        <v>26</v>
      </c>
      <c r="K82" s="2">
        <v>50566992.75</v>
      </c>
      <c r="L82" s="1">
        <v>1</v>
      </c>
      <c r="M82" s="1" t="s">
        <v>26</v>
      </c>
      <c r="N82" s="1" t="s">
        <v>26</v>
      </c>
      <c r="O82" s="2">
        <v>435947389.57999998</v>
      </c>
      <c r="P82" s="1">
        <v>1</v>
      </c>
      <c r="Q82" s="1" t="s">
        <v>26</v>
      </c>
      <c r="R82" s="1" t="s">
        <v>26</v>
      </c>
      <c r="S82" s="2">
        <v>203748366</v>
      </c>
      <c r="T82" s="1">
        <v>1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1556448506.75</v>
      </c>
      <c r="AF82" s="1">
        <v>1</v>
      </c>
      <c r="AG82" s="1" t="s">
        <v>26</v>
      </c>
      <c r="AH82" s="1" t="s">
        <v>26</v>
      </c>
      <c r="AI82" s="2">
        <v>134782605</v>
      </c>
      <c r="AJ82" s="1">
        <v>1</v>
      </c>
      <c r="AK82" s="1" t="s">
        <v>26</v>
      </c>
      <c r="AL82" s="1" t="s">
        <v>26</v>
      </c>
      <c r="AM82" s="2" t="s">
        <v>26</v>
      </c>
      <c r="AN82" s="1" t="s">
        <v>26</v>
      </c>
      <c r="AO82" s="1" t="s">
        <v>26</v>
      </c>
      <c r="AP82" s="1" t="s">
        <v>26</v>
      </c>
      <c r="AQ82" s="2">
        <v>134782605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1691231111.75</v>
      </c>
      <c r="AZ82" s="1">
        <v>1</v>
      </c>
      <c r="BA82" s="1" t="s">
        <v>26</v>
      </c>
      <c r="BB82" s="1" t="s">
        <v>26</v>
      </c>
    </row>
    <row r="83" spans="1:54" s="7" customFormat="1">
      <c r="A83" s="12" t="s">
        <v>77</v>
      </c>
      <c r="B83" s="40" t="s">
        <v>25</v>
      </c>
      <c r="C83" s="42" t="s">
        <v>26</v>
      </c>
      <c r="D83" s="43" t="s">
        <v>26</v>
      </c>
      <c r="E83" s="43" t="s">
        <v>26</v>
      </c>
      <c r="F83" s="43" t="s">
        <v>26</v>
      </c>
      <c r="G83" s="42" t="s">
        <v>26</v>
      </c>
      <c r="H83" s="43" t="s">
        <v>26</v>
      </c>
      <c r="I83" s="43" t="s">
        <v>26</v>
      </c>
      <c r="J83" s="43" t="s">
        <v>26</v>
      </c>
      <c r="K83" s="42" t="s">
        <v>26</v>
      </c>
      <c r="L83" s="43" t="s">
        <v>26</v>
      </c>
      <c r="M83" s="43" t="s">
        <v>26</v>
      </c>
      <c r="N83" s="43" t="s">
        <v>26</v>
      </c>
      <c r="O83" s="42">
        <v>127726578.75</v>
      </c>
      <c r="P83" s="43">
        <v>5.2110861467999999E-4</v>
      </c>
      <c r="Q83" s="43" t="s">
        <v>26</v>
      </c>
      <c r="R83" s="43" t="s">
        <v>26</v>
      </c>
      <c r="S83" s="42">
        <v>224503192.03</v>
      </c>
      <c r="T83" s="43">
        <v>1.86345467937E-3</v>
      </c>
      <c r="U83" s="43" t="s">
        <v>26</v>
      </c>
      <c r="V83" s="43" t="s">
        <v>26</v>
      </c>
      <c r="W83" s="43" t="s">
        <v>26</v>
      </c>
      <c r="X83" s="43" t="s">
        <v>26</v>
      </c>
      <c r="Y83" s="43" t="s">
        <v>26</v>
      </c>
      <c r="Z83" s="43" t="s">
        <v>26</v>
      </c>
      <c r="AA83" s="42">
        <v>142031955.56999999</v>
      </c>
      <c r="AB83" s="43">
        <v>9.3856582359999998E-4</v>
      </c>
      <c r="AC83" s="43" t="s">
        <v>26</v>
      </c>
      <c r="AD83" s="43" t="s">
        <v>26</v>
      </c>
      <c r="AE83" s="42">
        <v>494261726.35000002</v>
      </c>
      <c r="AF83" s="43">
        <v>7.0645163511999997E-4</v>
      </c>
      <c r="AG83" s="43" t="s">
        <v>26</v>
      </c>
      <c r="AH83" s="43" t="s">
        <v>26</v>
      </c>
      <c r="AI83" s="42">
        <v>8903912.1899999995</v>
      </c>
      <c r="AJ83" s="43">
        <v>4.9627027919000005E-4</v>
      </c>
      <c r="AK83" s="43" t="s">
        <v>26</v>
      </c>
      <c r="AL83" s="43" t="s">
        <v>26</v>
      </c>
      <c r="AM83" s="43" t="s">
        <v>26</v>
      </c>
      <c r="AN83" s="43" t="s">
        <v>26</v>
      </c>
      <c r="AO83" s="43" t="s">
        <v>26</v>
      </c>
      <c r="AP83" s="43" t="s">
        <v>26</v>
      </c>
      <c r="AQ83" s="42">
        <v>8903912.1899999995</v>
      </c>
      <c r="AR83" s="43">
        <v>2.0895846867E-4</v>
      </c>
      <c r="AS83" s="43" t="s">
        <v>26</v>
      </c>
      <c r="AT83" s="43" t="s">
        <v>26</v>
      </c>
      <c r="AU83" s="42">
        <v>26711736.57</v>
      </c>
      <c r="AV83" s="43">
        <v>5.3737671785999996E-4</v>
      </c>
      <c r="AW83" s="43" t="s">
        <v>26</v>
      </c>
      <c r="AX83" s="43" t="s">
        <v>26</v>
      </c>
      <c r="AY83" s="42">
        <v>529877375.11000001</v>
      </c>
      <c r="AZ83" s="43">
        <v>6.6907220101999996E-4</v>
      </c>
      <c r="BA83" s="43" t="s">
        <v>26</v>
      </c>
      <c r="BB83" s="43" t="s">
        <v>26</v>
      </c>
    </row>
    <row r="84" spans="1:54" s="7" customFormat="1">
      <c r="A84" s="5" t="s">
        <v>78</v>
      </c>
      <c r="B84" s="20" t="s">
        <v>25</v>
      </c>
      <c r="C84" s="9" t="s">
        <v>26</v>
      </c>
      <c r="D84" s="10" t="s">
        <v>26</v>
      </c>
      <c r="E84" s="9" t="s">
        <v>26</v>
      </c>
      <c r="F84" s="10" t="s">
        <v>26</v>
      </c>
      <c r="G84" s="9" t="s">
        <v>26</v>
      </c>
      <c r="H84" s="10" t="s">
        <v>26</v>
      </c>
      <c r="I84" s="9" t="s">
        <v>26</v>
      </c>
      <c r="J84" s="10" t="s">
        <v>26</v>
      </c>
      <c r="K84" s="2" t="s">
        <v>26</v>
      </c>
      <c r="L84" s="1" t="s">
        <v>26</v>
      </c>
      <c r="M84" s="1" t="s">
        <v>26</v>
      </c>
      <c r="N84" s="1" t="s">
        <v>26</v>
      </c>
      <c r="O84" s="2" t="s">
        <v>26</v>
      </c>
      <c r="P84" s="1" t="s">
        <v>26</v>
      </c>
      <c r="Q84" s="1" t="s">
        <v>26</v>
      </c>
      <c r="R84" s="1" t="s">
        <v>26</v>
      </c>
      <c r="S84" s="9">
        <v>71231297.530000001</v>
      </c>
      <c r="T84" s="10">
        <v>5.9124457652000003E-4</v>
      </c>
      <c r="U84" s="10">
        <v>0.1</v>
      </c>
      <c r="V84" s="10">
        <v>9.9400000000000002E-2</v>
      </c>
      <c r="W84" s="2" t="s">
        <v>26</v>
      </c>
      <c r="X84" s="1" t="s">
        <v>26</v>
      </c>
      <c r="Y84" s="1" t="s">
        <v>26</v>
      </c>
      <c r="Z84" s="1" t="s">
        <v>26</v>
      </c>
      <c r="AA84" s="2" t="s">
        <v>26</v>
      </c>
      <c r="AB84" s="1" t="s">
        <v>26</v>
      </c>
      <c r="AC84" s="1" t="s">
        <v>26</v>
      </c>
      <c r="AD84" s="1" t="s">
        <v>26</v>
      </c>
      <c r="AE84" s="9">
        <v>71231297.530000001</v>
      </c>
      <c r="AF84" s="10">
        <v>1.0181137629999999E-4</v>
      </c>
      <c r="AG84" s="10">
        <v>0.1</v>
      </c>
      <c r="AH84" s="10">
        <v>9.9900000000000003E-2</v>
      </c>
      <c r="AI84" s="9">
        <v>8903912.1899999995</v>
      </c>
      <c r="AJ84" s="10">
        <v>4.9627027919000005E-4</v>
      </c>
      <c r="AK84" s="10">
        <v>0.1</v>
      </c>
      <c r="AL84" s="10">
        <v>9.9500000000000005E-2</v>
      </c>
      <c r="AM84" s="2" t="s">
        <v>26</v>
      </c>
      <c r="AN84" s="1" t="s">
        <v>26</v>
      </c>
      <c r="AO84" s="1" t="s">
        <v>26</v>
      </c>
      <c r="AP84" s="1" t="s">
        <v>26</v>
      </c>
      <c r="AQ84" s="9">
        <v>8903912.1899999995</v>
      </c>
      <c r="AR84" s="10">
        <v>2.0895846867E-4</v>
      </c>
      <c r="AS84" s="10">
        <v>0.1</v>
      </c>
      <c r="AT84" s="10">
        <v>9.98E-2</v>
      </c>
      <c r="AU84" s="9">
        <v>26711736.57</v>
      </c>
      <c r="AV84" s="10">
        <v>5.3737671785999996E-4</v>
      </c>
      <c r="AW84" s="10">
        <v>0.1</v>
      </c>
      <c r="AX84" s="10">
        <v>9.9500000000000005E-2</v>
      </c>
      <c r="AY84" s="9">
        <v>106846946.29000001</v>
      </c>
      <c r="AZ84" s="10">
        <f>+AY84/AY139</f>
        <v>1.3491484046019241E-4</v>
      </c>
      <c r="BA84" s="10">
        <v>0.1</v>
      </c>
      <c r="BB84" s="10">
        <v>9.9900000000000003E-2</v>
      </c>
    </row>
    <row r="85" spans="1:54" s="7" customFormat="1">
      <c r="A85" s="3" t="s">
        <v>79</v>
      </c>
      <c r="B85" s="23" t="s">
        <v>29</v>
      </c>
      <c r="C85" s="9" t="s">
        <v>26</v>
      </c>
      <c r="D85" s="10" t="s">
        <v>26</v>
      </c>
      <c r="E85" s="9" t="s">
        <v>26</v>
      </c>
      <c r="F85" s="10" t="s">
        <v>26</v>
      </c>
      <c r="G85" s="9" t="s">
        <v>26</v>
      </c>
      <c r="H85" s="10" t="s">
        <v>26</v>
      </c>
      <c r="I85" s="9" t="s">
        <v>26</v>
      </c>
      <c r="J85" s="10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 t="s">
        <v>26</v>
      </c>
      <c r="P85" s="1" t="s">
        <v>26</v>
      </c>
      <c r="Q85" s="1" t="s">
        <v>26</v>
      </c>
      <c r="R85" s="1" t="s">
        <v>26</v>
      </c>
      <c r="S85" s="2">
        <v>71231297.530000001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 t="s">
        <v>26</v>
      </c>
      <c r="AB85" s="1" t="s">
        <v>26</v>
      </c>
      <c r="AC85" s="1" t="s">
        <v>26</v>
      </c>
      <c r="AD85" s="1" t="s">
        <v>26</v>
      </c>
      <c r="AE85" s="2">
        <v>71231297.530000001</v>
      </c>
      <c r="AF85" s="1">
        <v>1</v>
      </c>
      <c r="AG85" s="1" t="s">
        <v>26</v>
      </c>
      <c r="AH85" s="1" t="s">
        <v>26</v>
      </c>
      <c r="AI85" s="2">
        <v>8903912.1899999995</v>
      </c>
      <c r="AJ85" s="1">
        <v>1</v>
      </c>
      <c r="AK85" s="1" t="s">
        <v>25</v>
      </c>
      <c r="AL85" s="1" t="s">
        <v>25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8903912.1899999995</v>
      </c>
      <c r="AR85" s="1">
        <v>1</v>
      </c>
      <c r="AS85" s="1" t="s">
        <v>26</v>
      </c>
      <c r="AT85" s="1" t="s">
        <v>26</v>
      </c>
      <c r="AU85" s="2">
        <v>26711736.57</v>
      </c>
      <c r="AV85" s="1">
        <v>1</v>
      </c>
      <c r="AW85" s="1" t="s">
        <v>26</v>
      </c>
      <c r="AX85" s="1" t="s">
        <v>26</v>
      </c>
      <c r="AY85" s="2">
        <v>106846946.29000001</v>
      </c>
      <c r="AZ85" s="1">
        <v>1</v>
      </c>
      <c r="BA85" s="1" t="s">
        <v>26</v>
      </c>
      <c r="BB85" s="1" t="s">
        <v>26</v>
      </c>
    </row>
    <row r="86" spans="1:54" s="7" customFormat="1">
      <c r="A86" s="5" t="s">
        <v>80</v>
      </c>
      <c r="B86" s="20" t="s">
        <v>25</v>
      </c>
      <c r="C86" s="9" t="s">
        <v>26</v>
      </c>
      <c r="D86" s="10" t="s">
        <v>26</v>
      </c>
      <c r="E86" s="9" t="s">
        <v>26</v>
      </c>
      <c r="F86" s="10" t="s">
        <v>26</v>
      </c>
      <c r="G86" s="9" t="s">
        <v>26</v>
      </c>
      <c r="H86" s="10" t="s">
        <v>26</v>
      </c>
      <c r="I86" s="9" t="s">
        <v>26</v>
      </c>
      <c r="J86" s="10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9">
        <v>127726578.75</v>
      </c>
      <c r="P86" s="10">
        <v>5.2110861467999999E-4</v>
      </c>
      <c r="Q86" s="10">
        <v>0.09</v>
      </c>
      <c r="R86" s="10">
        <v>8.9499999999999996E-2</v>
      </c>
      <c r="S86" s="9">
        <v>153271894.5</v>
      </c>
      <c r="T86" s="10">
        <v>1.27221010285E-3</v>
      </c>
      <c r="U86" s="10">
        <v>0.09</v>
      </c>
      <c r="V86" s="10">
        <v>8.8700000000000001E-2</v>
      </c>
      <c r="W86" s="2" t="s">
        <v>26</v>
      </c>
      <c r="X86" s="1" t="s">
        <v>26</v>
      </c>
      <c r="Y86" s="1" t="s">
        <v>26</v>
      </c>
      <c r="Z86" s="1" t="s">
        <v>26</v>
      </c>
      <c r="AA86" s="9">
        <v>142031955.56999999</v>
      </c>
      <c r="AB86" s="10">
        <v>9.3856582359999998E-4</v>
      </c>
      <c r="AC86" s="10">
        <v>0.09</v>
      </c>
      <c r="AD86" s="10">
        <v>8.9099999999999999E-2</v>
      </c>
      <c r="AE86" s="9">
        <v>423030428.81999999</v>
      </c>
      <c r="AF86" s="10">
        <v>6.0464025881999998E-4</v>
      </c>
      <c r="AG86" s="10">
        <v>0.09</v>
      </c>
      <c r="AH86" s="10">
        <v>8.9399999999999993E-2</v>
      </c>
      <c r="AI86" s="2" t="s">
        <v>26</v>
      </c>
      <c r="AJ86" s="1" t="s">
        <v>26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 t="s">
        <v>26</v>
      </c>
      <c r="AR86" s="1" t="s">
        <v>26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9">
        <v>423030428.81999999</v>
      </c>
      <c r="AZ86" s="10">
        <f>+AY86/AY139</f>
        <v>5.3415736055901347E-4</v>
      </c>
      <c r="BA86" s="10">
        <v>0.09</v>
      </c>
      <c r="BB86" s="10">
        <v>8.9499999999999996E-2</v>
      </c>
    </row>
    <row r="87" spans="1:54" s="7" customFormat="1">
      <c r="A87" s="3" t="s">
        <v>79</v>
      </c>
      <c r="B87" s="23" t="s">
        <v>40</v>
      </c>
      <c r="C87" s="9" t="s">
        <v>26</v>
      </c>
      <c r="D87" s="10" t="s">
        <v>26</v>
      </c>
      <c r="E87" s="9" t="s">
        <v>26</v>
      </c>
      <c r="F87" s="10" t="s">
        <v>26</v>
      </c>
      <c r="G87" s="9" t="s">
        <v>26</v>
      </c>
      <c r="H87" s="10" t="s">
        <v>26</v>
      </c>
      <c r="I87" s="9" t="s">
        <v>26</v>
      </c>
      <c r="J87" s="10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>
        <v>127726578.75</v>
      </c>
      <c r="P87" s="1">
        <v>1</v>
      </c>
      <c r="Q87" s="1" t="s">
        <v>26</v>
      </c>
      <c r="R87" s="1" t="s">
        <v>26</v>
      </c>
      <c r="S87" s="2">
        <v>153271894.5</v>
      </c>
      <c r="T87" s="1">
        <v>1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>
        <v>142031955.56999999</v>
      </c>
      <c r="AB87" s="1">
        <v>1</v>
      </c>
      <c r="AC87" s="1" t="s">
        <v>26</v>
      </c>
      <c r="AD87" s="1" t="s">
        <v>26</v>
      </c>
      <c r="AE87" s="2">
        <v>423030428.81999999</v>
      </c>
      <c r="AF87" s="1">
        <v>1</v>
      </c>
      <c r="AG87" s="1" t="s">
        <v>26</v>
      </c>
      <c r="AH87" s="1" t="s">
        <v>26</v>
      </c>
      <c r="AI87" s="2" t="s">
        <v>26</v>
      </c>
      <c r="AJ87" s="1" t="s">
        <v>26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 t="s">
        <v>26</v>
      </c>
      <c r="AR87" s="1" t="s">
        <v>26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2">
        <v>423030428.81999999</v>
      </c>
      <c r="AZ87" s="1">
        <v>1</v>
      </c>
      <c r="BA87" s="1" t="s">
        <v>26</v>
      </c>
      <c r="BB87" s="1" t="s">
        <v>26</v>
      </c>
    </row>
    <row r="88" spans="1:54" s="7" customFormat="1">
      <c r="A88" s="12" t="s">
        <v>81</v>
      </c>
      <c r="B88" s="40" t="s">
        <v>25</v>
      </c>
      <c r="C88" s="42" t="s">
        <v>26</v>
      </c>
      <c r="D88" s="43" t="s">
        <v>26</v>
      </c>
      <c r="E88" s="43" t="s">
        <v>26</v>
      </c>
      <c r="F88" s="43" t="s">
        <v>26</v>
      </c>
      <c r="G88" s="42">
        <v>736242418.86000001</v>
      </c>
      <c r="H88" s="43">
        <v>4.4659875402899996E-3</v>
      </c>
      <c r="I88" s="43">
        <v>0.05</v>
      </c>
      <c r="J88" s="43">
        <f>+I88-H88</f>
        <v>4.5534012459710005E-2</v>
      </c>
      <c r="K88" s="42">
        <v>24756248.690000001</v>
      </c>
      <c r="L88" s="43">
        <v>6.8769286006199999E-3</v>
      </c>
      <c r="M88" s="43">
        <v>0.05</v>
      </c>
      <c r="N88" s="43">
        <f>+M88-L88</f>
        <v>4.312307139938E-2</v>
      </c>
      <c r="O88" s="42">
        <v>1918155738.8399999</v>
      </c>
      <c r="P88" s="43">
        <v>7.8258377354600006E-3</v>
      </c>
      <c r="Q88" s="43">
        <v>0.05</v>
      </c>
      <c r="R88" s="43">
        <f>+Q88-P88</f>
        <v>4.2174162264540002E-2</v>
      </c>
      <c r="S88" s="42">
        <v>1630854168.3800001</v>
      </c>
      <c r="T88" s="43">
        <v>1.3536657559120001E-2</v>
      </c>
      <c r="U88" s="43">
        <v>0.05</v>
      </c>
      <c r="V88" s="43">
        <f>+U88-T88</f>
        <v>3.6463342440880002E-2</v>
      </c>
      <c r="W88" s="43" t="s">
        <v>26</v>
      </c>
      <c r="X88" s="43" t="s">
        <v>26</v>
      </c>
      <c r="Y88" s="43" t="s">
        <v>26</v>
      </c>
      <c r="Z88" s="43" t="s">
        <v>26</v>
      </c>
      <c r="AA88" s="42">
        <v>389920571.77999997</v>
      </c>
      <c r="AB88" s="43">
        <v>2.5766463689200002E-3</v>
      </c>
      <c r="AC88" s="43">
        <v>0.05</v>
      </c>
      <c r="AD88" s="43">
        <f>+AC88-AB88</f>
        <v>4.7423353631080002E-2</v>
      </c>
      <c r="AE88" s="42">
        <v>4699929146.5500002</v>
      </c>
      <c r="AF88" s="43">
        <v>6.7176405809600001E-3</v>
      </c>
      <c r="AG88" s="43">
        <v>0.05</v>
      </c>
      <c r="AH88" s="43">
        <f>+AG88-AF88</f>
        <v>4.3282359419040004E-2</v>
      </c>
      <c r="AI88" s="43" t="s">
        <v>26</v>
      </c>
      <c r="AJ88" s="43" t="s">
        <v>26</v>
      </c>
      <c r="AK88" s="43" t="s">
        <v>26</v>
      </c>
      <c r="AL88" s="43" t="s">
        <v>26</v>
      </c>
      <c r="AM88" s="43" t="s">
        <v>26</v>
      </c>
      <c r="AN88" s="43" t="s">
        <v>26</v>
      </c>
      <c r="AO88" s="43" t="s">
        <v>26</v>
      </c>
      <c r="AP88" s="43" t="s">
        <v>26</v>
      </c>
      <c r="AQ88" s="43" t="s">
        <v>26</v>
      </c>
      <c r="AR88" s="43" t="s">
        <v>26</v>
      </c>
      <c r="AS88" s="43" t="s">
        <v>26</v>
      </c>
      <c r="AT88" s="43" t="s">
        <v>26</v>
      </c>
      <c r="AU88" s="42">
        <v>608030646</v>
      </c>
      <c r="AV88" s="43">
        <v>1.2232132944630001E-2</v>
      </c>
      <c r="AW88" s="43">
        <v>0.05</v>
      </c>
      <c r="AX88" s="43">
        <f>+AW88-AV88</f>
        <v>3.7767867055370004E-2</v>
      </c>
      <c r="AY88" s="42">
        <v>5307959792.5500002</v>
      </c>
      <c r="AZ88" s="43">
        <v>6.7023211560699996E-3</v>
      </c>
      <c r="BA88" s="43">
        <v>0.05</v>
      </c>
      <c r="BB88" s="43">
        <f>+BA88-AZ88</f>
        <v>4.3297678843930001E-2</v>
      </c>
    </row>
    <row r="89" spans="1:54" s="7" customFormat="1">
      <c r="A89" s="5" t="s">
        <v>82</v>
      </c>
      <c r="B89" s="20" t="s">
        <v>25</v>
      </c>
      <c r="C89" s="9" t="s">
        <v>26</v>
      </c>
      <c r="D89" s="10" t="s">
        <v>26</v>
      </c>
      <c r="E89" s="9" t="s">
        <v>26</v>
      </c>
      <c r="F89" s="10" t="s">
        <v>26</v>
      </c>
      <c r="G89" s="9" t="s">
        <v>26</v>
      </c>
      <c r="H89" s="10" t="s">
        <v>26</v>
      </c>
      <c r="I89" s="9" t="s">
        <v>26</v>
      </c>
      <c r="J89" s="10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9">
        <v>673900632.64999998</v>
      </c>
      <c r="T89" s="10">
        <v>5.5936099437500003E-3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9">
        <v>673900632.64999998</v>
      </c>
      <c r="AF89" s="10">
        <v>9.6321074132E-4</v>
      </c>
      <c r="AG89" s="1" t="s">
        <v>26</v>
      </c>
      <c r="AH89" s="1" t="s">
        <v>26</v>
      </c>
      <c r="AI89" s="2" t="s">
        <v>26</v>
      </c>
      <c r="AJ89" s="1" t="s">
        <v>26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 t="s">
        <v>26</v>
      </c>
      <c r="AR89" s="1" t="s">
        <v>26</v>
      </c>
      <c r="AS89" s="1" t="s">
        <v>26</v>
      </c>
      <c r="AT89" s="1" t="s">
        <v>26</v>
      </c>
      <c r="AU89" s="9">
        <v>608030646</v>
      </c>
      <c r="AV89" s="10">
        <v>1.2232132944630001E-2</v>
      </c>
      <c r="AW89" s="1" t="s">
        <v>26</v>
      </c>
      <c r="AX89" s="1" t="s">
        <v>26</v>
      </c>
      <c r="AY89" s="9">
        <v>1281931278.6500001</v>
      </c>
      <c r="AZ89" s="10">
        <v>1.6186850438399999E-3</v>
      </c>
      <c r="BA89" s="1" t="s">
        <v>26</v>
      </c>
      <c r="BB89" s="1" t="s">
        <v>26</v>
      </c>
    </row>
    <row r="90" spans="1:54" s="7" customFormat="1">
      <c r="A90" s="3" t="s">
        <v>83</v>
      </c>
      <c r="B90" s="23" t="s">
        <v>40</v>
      </c>
      <c r="C90" s="9" t="s">
        <v>26</v>
      </c>
      <c r="D90" s="10" t="s">
        <v>26</v>
      </c>
      <c r="E90" s="9" t="s">
        <v>26</v>
      </c>
      <c r="F90" s="10" t="s">
        <v>26</v>
      </c>
      <c r="G90" s="9" t="s">
        <v>26</v>
      </c>
      <c r="H90" s="10" t="s">
        <v>26</v>
      </c>
      <c r="I90" s="9" t="s">
        <v>26</v>
      </c>
      <c r="J90" s="10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2">
        <v>673900632.64999998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 t="s">
        <v>26</v>
      </c>
      <c r="AB90" s="1" t="s">
        <v>26</v>
      </c>
      <c r="AC90" s="1" t="s">
        <v>26</v>
      </c>
      <c r="AD90" s="1" t="s">
        <v>26</v>
      </c>
      <c r="AE90" s="2">
        <v>673900632.64999998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>
        <v>608030646</v>
      </c>
      <c r="AV90" s="1">
        <v>1</v>
      </c>
      <c r="AW90" s="1" t="s">
        <v>26</v>
      </c>
      <c r="AX90" s="1" t="s">
        <v>26</v>
      </c>
      <c r="AY90" s="2">
        <v>1281931278.6500001</v>
      </c>
      <c r="AZ90" s="1">
        <v>1</v>
      </c>
      <c r="BA90" s="1" t="s">
        <v>26</v>
      </c>
      <c r="BB90" s="1" t="s">
        <v>26</v>
      </c>
    </row>
    <row r="91" spans="1:54" s="7" customFormat="1">
      <c r="A91" s="5" t="s">
        <v>84</v>
      </c>
      <c r="B91" s="20" t="s">
        <v>25</v>
      </c>
      <c r="C91" s="9" t="s">
        <v>26</v>
      </c>
      <c r="D91" s="10" t="s">
        <v>26</v>
      </c>
      <c r="E91" s="9" t="s">
        <v>26</v>
      </c>
      <c r="F91" s="10" t="s">
        <v>26</v>
      </c>
      <c r="G91" s="9">
        <v>736242418.86000001</v>
      </c>
      <c r="H91" s="10">
        <v>4.4659875402899996E-3</v>
      </c>
      <c r="I91" s="9" t="s">
        <v>26</v>
      </c>
      <c r="J91" s="10" t="s">
        <v>26</v>
      </c>
      <c r="K91" s="9">
        <v>24756248.690000001</v>
      </c>
      <c r="L91" s="10">
        <v>6.8769286006199999E-3</v>
      </c>
      <c r="M91" s="1" t="s">
        <v>26</v>
      </c>
      <c r="N91" s="1" t="s">
        <v>26</v>
      </c>
      <c r="O91" s="9">
        <v>1918155738.8399999</v>
      </c>
      <c r="P91" s="10">
        <v>7.8258377354600006E-3</v>
      </c>
      <c r="Q91" s="1" t="s">
        <v>26</v>
      </c>
      <c r="R91" s="1" t="s">
        <v>26</v>
      </c>
      <c r="S91" s="9">
        <v>956953535.73000002</v>
      </c>
      <c r="T91" s="10">
        <v>7.9430476153699997E-3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9">
        <v>389920571.77999997</v>
      </c>
      <c r="AB91" s="10">
        <v>2.5766463689200002E-3</v>
      </c>
      <c r="AC91" s="1" t="s">
        <v>26</v>
      </c>
      <c r="AD91" s="1" t="s">
        <v>26</v>
      </c>
      <c r="AE91" s="9">
        <v>4026028513.9000001</v>
      </c>
      <c r="AF91" s="10">
        <v>5.7544298396300002E-3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9">
        <v>4026028513.9000001</v>
      </c>
      <c r="AZ91" s="10">
        <v>5.0836361122300004E-3</v>
      </c>
      <c r="BA91" s="1" t="s">
        <v>26</v>
      </c>
      <c r="BB91" s="1" t="s">
        <v>26</v>
      </c>
    </row>
    <row r="92" spans="1:54" s="28" customFormat="1">
      <c r="A92" s="3" t="s">
        <v>85</v>
      </c>
      <c r="B92" s="23" t="s">
        <v>40</v>
      </c>
      <c r="C92" s="9" t="s">
        <v>26</v>
      </c>
      <c r="D92" s="10" t="s">
        <v>26</v>
      </c>
      <c r="E92" s="9" t="s">
        <v>26</v>
      </c>
      <c r="F92" s="10" t="s">
        <v>26</v>
      </c>
      <c r="G92" s="2">
        <v>736242418.86000001</v>
      </c>
      <c r="H92" s="1">
        <v>1</v>
      </c>
      <c r="I92" s="9" t="s">
        <v>26</v>
      </c>
      <c r="J92" s="10" t="s">
        <v>26</v>
      </c>
      <c r="K92" s="2">
        <v>24756248.690000001</v>
      </c>
      <c r="L92" s="1">
        <v>1</v>
      </c>
      <c r="M92" s="1" t="s">
        <v>26</v>
      </c>
      <c r="N92" s="1" t="s">
        <v>26</v>
      </c>
      <c r="O92" s="2">
        <v>1918155738.8399999</v>
      </c>
      <c r="P92" s="1">
        <v>1</v>
      </c>
      <c r="Q92" s="1" t="s">
        <v>26</v>
      </c>
      <c r="R92" s="1" t="s">
        <v>26</v>
      </c>
      <c r="S92" s="2">
        <v>956953535.73000002</v>
      </c>
      <c r="T92" s="1">
        <v>1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>
        <v>389920571.77999997</v>
      </c>
      <c r="AB92" s="1">
        <v>1</v>
      </c>
      <c r="AC92" s="1" t="s">
        <v>26</v>
      </c>
      <c r="AD92" s="1" t="s">
        <v>26</v>
      </c>
      <c r="AE92" s="2">
        <v>4026028513.9000001</v>
      </c>
      <c r="AF92" s="1">
        <v>1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2">
        <v>4026028513.9000001</v>
      </c>
      <c r="AZ92" s="1">
        <v>1</v>
      </c>
      <c r="BA92" s="1" t="s">
        <v>26</v>
      </c>
      <c r="BB92" s="1" t="s">
        <v>26</v>
      </c>
    </row>
    <row r="93" spans="1:54" s="7" customFormat="1">
      <c r="A93" s="12" t="s">
        <v>86</v>
      </c>
      <c r="B93" s="40" t="s">
        <v>25</v>
      </c>
      <c r="C93" s="42">
        <v>118049762.20999999</v>
      </c>
      <c r="D93" s="43">
        <v>1.6098735621430001E-2</v>
      </c>
      <c r="E93" s="43">
        <v>0.15</v>
      </c>
      <c r="F93" s="43">
        <f>+E93-D93</f>
        <v>0.13390126437857</v>
      </c>
      <c r="G93" s="42">
        <v>9646746758.9500008</v>
      </c>
      <c r="H93" s="43">
        <v>5.851639314202E-2</v>
      </c>
      <c r="I93" s="43">
        <v>0.15</v>
      </c>
      <c r="J93" s="43">
        <f>+I93-H93</f>
        <v>9.1483606857979988E-2</v>
      </c>
      <c r="K93" s="42">
        <v>254997872.78</v>
      </c>
      <c r="L93" s="43">
        <v>7.0834728895169993E-2</v>
      </c>
      <c r="M93" s="43">
        <v>0.15</v>
      </c>
      <c r="N93" s="43">
        <f>+M93-L93</f>
        <v>7.9165271104830001E-2</v>
      </c>
      <c r="O93" s="42">
        <v>26426102424.529999</v>
      </c>
      <c r="P93" s="43">
        <v>0.10781522342923</v>
      </c>
      <c r="Q93" s="43">
        <v>0.15</v>
      </c>
      <c r="R93" s="43">
        <f>+Q93-P93</f>
        <v>4.2184776570769994E-2</v>
      </c>
      <c r="S93" s="42">
        <v>6087289996.3000002</v>
      </c>
      <c r="T93" s="43">
        <v>5.0526626930009998E-2</v>
      </c>
      <c r="U93" s="43">
        <v>0.15</v>
      </c>
      <c r="V93" s="43">
        <f>+U93-T93</f>
        <v>9.947337306998999E-2</v>
      </c>
      <c r="W93" s="43" t="s">
        <v>26</v>
      </c>
      <c r="X93" s="43" t="s">
        <v>26</v>
      </c>
      <c r="Y93" s="43" t="s">
        <v>26</v>
      </c>
      <c r="Z93" s="43" t="s">
        <v>26</v>
      </c>
      <c r="AA93" s="42">
        <v>6147749560.25</v>
      </c>
      <c r="AB93" s="43">
        <v>4.0625136830160002E-2</v>
      </c>
      <c r="AC93" s="43">
        <v>0.15</v>
      </c>
      <c r="AD93" s="43">
        <f>+AC93-AB93</f>
        <v>0.10937486316983999</v>
      </c>
      <c r="AE93" s="42">
        <v>48680936375.019997</v>
      </c>
      <c r="AF93" s="43">
        <v>6.9579992275389996E-2</v>
      </c>
      <c r="AG93" s="43">
        <v>0.15</v>
      </c>
      <c r="AH93" s="43">
        <f>+AG93-AF93</f>
        <v>8.0420007724609999E-2</v>
      </c>
      <c r="AI93" s="43" t="s">
        <v>26</v>
      </c>
      <c r="AJ93" s="43" t="s">
        <v>26</v>
      </c>
      <c r="AK93" s="43" t="s">
        <v>26</v>
      </c>
      <c r="AL93" s="43" t="s">
        <v>26</v>
      </c>
      <c r="AM93" s="43" t="s">
        <v>26</v>
      </c>
      <c r="AN93" s="43" t="s">
        <v>26</v>
      </c>
      <c r="AO93" s="43" t="s">
        <v>26</v>
      </c>
      <c r="AP93" s="43" t="s">
        <v>26</v>
      </c>
      <c r="AQ93" s="43" t="s">
        <v>26</v>
      </c>
      <c r="AR93" s="43" t="s">
        <v>26</v>
      </c>
      <c r="AS93" s="43" t="s">
        <v>26</v>
      </c>
      <c r="AT93" s="43" t="s">
        <v>26</v>
      </c>
      <c r="AU93" s="42">
        <v>1864507236.0999999</v>
      </c>
      <c r="AV93" s="43">
        <v>3.7509458673240001E-2</v>
      </c>
      <c r="AW93" s="43">
        <v>0.15</v>
      </c>
      <c r="AX93" s="43">
        <f>+AW93-AV93</f>
        <v>0.11249054132675999</v>
      </c>
      <c r="AY93" s="42">
        <v>50545443611.120003</v>
      </c>
      <c r="AZ93" s="43">
        <v>6.3823353849300005E-2</v>
      </c>
      <c r="BA93" s="43">
        <v>0.15</v>
      </c>
      <c r="BB93" s="43">
        <f>+BA93-AZ93</f>
        <v>8.617664615069999E-2</v>
      </c>
    </row>
    <row r="94" spans="1:54" s="28" customFormat="1">
      <c r="A94" s="5" t="s">
        <v>124</v>
      </c>
      <c r="B94" s="20" t="s">
        <v>25</v>
      </c>
      <c r="C94" s="9" t="s">
        <v>26</v>
      </c>
      <c r="D94" s="10" t="s">
        <v>26</v>
      </c>
      <c r="E94" s="9" t="s">
        <v>26</v>
      </c>
      <c r="F94" s="10" t="s">
        <v>26</v>
      </c>
      <c r="G94" s="9">
        <v>578658996.52999997</v>
      </c>
      <c r="H94" s="10">
        <v>3.5100991227600001E-3</v>
      </c>
      <c r="I94" s="9" t="s">
        <v>26</v>
      </c>
      <c r="J94" s="10" t="s">
        <v>26</v>
      </c>
      <c r="K94" s="9">
        <v>68077529</v>
      </c>
      <c r="L94" s="10">
        <v>1.8910955052270001E-2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9">
        <v>728739003.65999997</v>
      </c>
      <c r="T94" s="10">
        <v>6.0487875211599996E-3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9">
        <v>451787237.94</v>
      </c>
      <c r="AB94" s="10">
        <v>2.9854694274000001E-3</v>
      </c>
      <c r="AC94" s="1" t="s">
        <v>26</v>
      </c>
      <c r="AD94" s="1" t="s">
        <v>26</v>
      </c>
      <c r="AE94" s="9">
        <v>1827262767.1300001</v>
      </c>
      <c r="AF94" s="10">
        <v>2.6117190565599999E-3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 t="s">
        <v>26</v>
      </c>
      <c r="AV94" s="1" t="s">
        <v>26</v>
      </c>
      <c r="AW94" s="1" t="s">
        <v>26</v>
      </c>
      <c r="AX94" s="1" t="s">
        <v>26</v>
      </c>
      <c r="AY94" s="9">
        <v>1827262767.1300001</v>
      </c>
      <c r="AZ94" s="10">
        <v>2.3072710383E-3</v>
      </c>
      <c r="BA94" s="1" t="s">
        <v>26</v>
      </c>
      <c r="BB94" s="1" t="s">
        <v>26</v>
      </c>
    </row>
    <row r="95" spans="1:54" s="7" customFormat="1">
      <c r="A95" s="3" t="s">
        <v>88</v>
      </c>
      <c r="B95" s="23" t="s">
        <v>47</v>
      </c>
      <c r="C95" s="9" t="s">
        <v>26</v>
      </c>
      <c r="D95" s="10" t="s">
        <v>26</v>
      </c>
      <c r="E95" s="9" t="s">
        <v>26</v>
      </c>
      <c r="F95" s="10" t="s">
        <v>26</v>
      </c>
      <c r="G95" s="2">
        <v>578658996.52999997</v>
      </c>
      <c r="H95" s="1">
        <v>1</v>
      </c>
      <c r="I95" s="9" t="s">
        <v>26</v>
      </c>
      <c r="J95" s="10" t="s">
        <v>26</v>
      </c>
      <c r="K95" s="2">
        <v>68077529</v>
      </c>
      <c r="L95" s="1">
        <v>1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728739003.65999997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451787237.94</v>
      </c>
      <c r="AB95" s="1">
        <v>1</v>
      </c>
      <c r="AC95" s="1" t="s">
        <v>26</v>
      </c>
      <c r="AD95" s="1" t="s">
        <v>26</v>
      </c>
      <c r="AE95" s="2">
        <v>1827262767.1300001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1827262767.1300001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125</v>
      </c>
      <c r="B96" s="20" t="s">
        <v>25</v>
      </c>
      <c r="C96" s="9" t="s">
        <v>26</v>
      </c>
      <c r="D96" s="10" t="s">
        <v>26</v>
      </c>
      <c r="E96" s="9" t="s">
        <v>26</v>
      </c>
      <c r="F96" s="10" t="s">
        <v>26</v>
      </c>
      <c r="G96" s="9">
        <v>17066932.949999999</v>
      </c>
      <c r="H96" s="10">
        <v>1.0352664823E-4</v>
      </c>
      <c r="I96" s="9" t="s">
        <v>26</v>
      </c>
      <c r="J96" s="10" t="s">
        <v>26</v>
      </c>
      <c r="K96" s="2" t="s">
        <v>26</v>
      </c>
      <c r="L96" s="1" t="s">
        <v>26</v>
      </c>
      <c r="M96" s="1" t="s">
        <v>26</v>
      </c>
      <c r="N96" s="1" t="s">
        <v>26</v>
      </c>
      <c r="O96" s="2" t="s">
        <v>26</v>
      </c>
      <c r="P96" s="1" t="s">
        <v>26</v>
      </c>
      <c r="Q96" s="1" t="s">
        <v>26</v>
      </c>
      <c r="R96" s="1" t="s">
        <v>26</v>
      </c>
      <c r="S96" s="9">
        <v>17066932.949999999</v>
      </c>
      <c r="T96" s="10">
        <v>1.4166148722000001E-4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 t="s">
        <v>26</v>
      </c>
      <c r="AB96" s="1" t="s">
        <v>26</v>
      </c>
      <c r="AC96" s="1" t="s">
        <v>26</v>
      </c>
      <c r="AD96" s="1" t="s">
        <v>26</v>
      </c>
      <c r="AE96" s="9">
        <v>34133865.899999999</v>
      </c>
      <c r="AF96" s="10">
        <v>4.8787765859999997E-5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9">
        <v>34133865.899999999</v>
      </c>
      <c r="AZ96" s="10">
        <v>4.3100577340000003E-5</v>
      </c>
      <c r="BA96" s="1" t="s">
        <v>26</v>
      </c>
      <c r="BB96" s="1" t="s">
        <v>26</v>
      </c>
    </row>
    <row r="97" spans="1:54" s="28" customFormat="1">
      <c r="A97" s="3" t="s">
        <v>88</v>
      </c>
      <c r="B97" s="23" t="s">
        <v>47</v>
      </c>
      <c r="C97" s="9" t="s">
        <v>26</v>
      </c>
      <c r="D97" s="10" t="s">
        <v>26</v>
      </c>
      <c r="E97" s="9" t="s">
        <v>26</v>
      </c>
      <c r="F97" s="10" t="s">
        <v>26</v>
      </c>
      <c r="G97" s="2">
        <v>17066932.949999999</v>
      </c>
      <c r="H97" s="1">
        <v>1</v>
      </c>
      <c r="I97" s="9" t="s">
        <v>26</v>
      </c>
      <c r="J97" s="10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 t="s">
        <v>26</v>
      </c>
      <c r="P97" s="1" t="s">
        <v>26</v>
      </c>
      <c r="Q97" s="1" t="s">
        <v>26</v>
      </c>
      <c r="R97" s="1" t="s">
        <v>26</v>
      </c>
      <c r="S97" s="2">
        <v>17066932.949999999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 t="s">
        <v>26</v>
      </c>
      <c r="AB97" s="1" t="s">
        <v>26</v>
      </c>
      <c r="AC97" s="1" t="s">
        <v>26</v>
      </c>
      <c r="AD97" s="1" t="s">
        <v>26</v>
      </c>
      <c r="AE97" s="2">
        <v>34133865.899999999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34133865.899999999</v>
      </c>
      <c r="AZ97" s="1">
        <v>1</v>
      </c>
      <c r="BA97" s="1" t="s">
        <v>26</v>
      </c>
      <c r="BB97" s="1" t="s">
        <v>26</v>
      </c>
    </row>
    <row r="98" spans="1:54" s="7" customFormat="1">
      <c r="A98" s="5" t="s">
        <v>89</v>
      </c>
      <c r="B98" s="20" t="s">
        <v>25</v>
      </c>
      <c r="C98" s="9" t="s">
        <v>26</v>
      </c>
      <c r="D98" s="10" t="s">
        <v>26</v>
      </c>
      <c r="E98" s="9" t="s">
        <v>26</v>
      </c>
      <c r="F98" s="10" t="s">
        <v>26</v>
      </c>
      <c r="G98" s="9">
        <v>2760641147.48</v>
      </c>
      <c r="H98" s="10">
        <v>1.6745828075160001E-2</v>
      </c>
      <c r="I98" s="9" t="s">
        <v>26</v>
      </c>
      <c r="J98" s="10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9">
        <v>3468238969.1900001</v>
      </c>
      <c r="P98" s="10">
        <v>1.414998524421E-2</v>
      </c>
      <c r="Q98" s="1" t="s">
        <v>26</v>
      </c>
      <c r="R98" s="1" t="s">
        <v>26</v>
      </c>
      <c r="S98" s="9">
        <v>1263980424.3299999</v>
      </c>
      <c r="T98" s="10">
        <v>1.0491477715990001E-2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9">
        <v>1932811041.54</v>
      </c>
      <c r="AB98" s="10">
        <v>1.2772269309260001E-2</v>
      </c>
      <c r="AC98" s="1" t="s">
        <v>26</v>
      </c>
      <c r="AD98" s="1" t="s">
        <v>26</v>
      </c>
      <c r="AE98" s="9">
        <v>9425671582.5400009</v>
      </c>
      <c r="AF98" s="10">
        <v>1.347217627145E-2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9">
        <v>317074113.75</v>
      </c>
      <c r="AV98" s="10">
        <v>6.3787783365899997E-3</v>
      </c>
      <c r="AW98" s="1" t="s">
        <v>26</v>
      </c>
      <c r="AX98" s="1" t="s">
        <v>26</v>
      </c>
      <c r="AY98" s="9">
        <v>9742745696.2900009</v>
      </c>
      <c r="AZ98" s="10">
        <v>1.230209216922E-2</v>
      </c>
      <c r="BA98" s="1" t="s">
        <v>26</v>
      </c>
      <c r="BB98" s="1" t="s">
        <v>26</v>
      </c>
    </row>
    <row r="99" spans="1:54" s="28" customFormat="1">
      <c r="A99" s="3" t="s">
        <v>88</v>
      </c>
      <c r="B99" s="23" t="s">
        <v>47</v>
      </c>
      <c r="C99" s="9" t="s">
        <v>26</v>
      </c>
      <c r="D99" s="10" t="s">
        <v>26</v>
      </c>
      <c r="E99" s="9" t="s">
        <v>26</v>
      </c>
      <c r="F99" s="10" t="s">
        <v>26</v>
      </c>
      <c r="G99" s="2">
        <v>2760641147.48</v>
      </c>
      <c r="H99" s="1">
        <v>1</v>
      </c>
      <c r="I99" s="9" t="s">
        <v>26</v>
      </c>
      <c r="J99" s="10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3468238969.1900001</v>
      </c>
      <c r="P99" s="1">
        <v>1</v>
      </c>
      <c r="Q99" s="1" t="s">
        <v>26</v>
      </c>
      <c r="R99" s="1" t="s">
        <v>26</v>
      </c>
      <c r="S99" s="2">
        <v>1263980424.3299999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1932811041.54</v>
      </c>
      <c r="AB99" s="1">
        <v>1</v>
      </c>
      <c r="AC99" s="1" t="s">
        <v>26</v>
      </c>
      <c r="AD99" s="1" t="s">
        <v>26</v>
      </c>
      <c r="AE99" s="2">
        <v>9425671582.5400009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>
        <v>317074113.75</v>
      </c>
      <c r="AV99" s="1">
        <v>1</v>
      </c>
      <c r="AW99" s="1" t="s">
        <v>26</v>
      </c>
      <c r="AX99" s="1" t="s">
        <v>26</v>
      </c>
      <c r="AY99" s="2">
        <v>9742745696.2900009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90</v>
      </c>
      <c r="B100" s="20" t="s">
        <v>25</v>
      </c>
      <c r="C100" s="9" t="s">
        <v>26</v>
      </c>
      <c r="D100" s="10" t="s">
        <v>26</v>
      </c>
      <c r="E100" s="9" t="s">
        <v>26</v>
      </c>
      <c r="F100" s="10" t="s">
        <v>26</v>
      </c>
      <c r="G100" s="9">
        <v>2018355014.9400001</v>
      </c>
      <c r="H100" s="10">
        <v>1.2243179851780001E-2</v>
      </c>
      <c r="I100" s="9" t="s">
        <v>26</v>
      </c>
      <c r="J100" s="10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9">
        <v>1314033212.8599999</v>
      </c>
      <c r="P100" s="10">
        <v>5.36109268639E-3</v>
      </c>
      <c r="Q100" s="1" t="s">
        <v>26</v>
      </c>
      <c r="R100" s="1" t="s">
        <v>26</v>
      </c>
      <c r="S100" s="9">
        <v>1314033212.8499999</v>
      </c>
      <c r="T100" s="10">
        <v>1.0906933292099999E-2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9">
        <v>1260683464.4100001</v>
      </c>
      <c r="AB100" s="10">
        <v>8.3307619705800008E-3</v>
      </c>
      <c r="AC100" s="1" t="s">
        <v>26</v>
      </c>
      <c r="AD100" s="1" t="s">
        <v>26</v>
      </c>
      <c r="AE100" s="9">
        <v>5907104905.0600004</v>
      </c>
      <c r="AF100" s="10">
        <v>8.4430650737200002E-3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9">
        <v>5907104905.0600004</v>
      </c>
      <c r="AZ100" s="10">
        <v>7.4588572113699998E-3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9" t="s">
        <v>26</v>
      </c>
      <c r="D101" s="10" t="s">
        <v>26</v>
      </c>
      <c r="E101" s="9" t="s">
        <v>26</v>
      </c>
      <c r="F101" s="10" t="s">
        <v>26</v>
      </c>
      <c r="G101" s="2">
        <v>2018355014.9400001</v>
      </c>
      <c r="H101" s="1">
        <v>1</v>
      </c>
      <c r="I101" s="9" t="s">
        <v>26</v>
      </c>
      <c r="J101" s="10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1314033212.8599999</v>
      </c>
      <c r="P101" s="1">
        <v>1</v>
      </c>
      <c r="Q101" s="1" t="s">
        <v>26</v>
      </c>
      <c r="R101" s="1" t="s">
        <v>26</v>
      </c>
      <c r="S101" s="2">
        <v>1314033212.8499999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1260683464.4100001</v>
      </c>
      <c r="AB101" s="1">
        <v>1</v>
      </c>
      <c r="AC101" s="1" t="s">
        <v>26</v>
      </c>
      <c r="AD101" s="1" t="s">
        <v>26</v>
      </c>
      <c r="AE101" s="2">
        <v>5907104905.0600004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" t="s">
        <v>26</v>
      </c>
      <c r="AX101" s="1" t="s">
        <v>26</v>
      </c>
      <c r="AY101" s="2">
        <v>5907104905.0600004</v>
      </c>
      <c r="AZ101" s="1">
        <v>1</v>
      </c>
      <c r="BA101" s="1" t="s">
        <v>26</v>
      </c>
      <c r="BB101" s="1" t="s">
        <v>26</v>
      </c>
    </row>
    <row r="102" spans="1:54" s="28" customFormat="1">
      <c r="A102" s="5" t="s">
        <v>91</v>
      </c>
      <c r="B102" s="20" t="s">
        <v>25</v>
      </c>
      <c r="C102" s="9" t="s">
        <v>26</v>
      </c>
      <c r="D102" s="10" t="s">
        <v>26</v>
      </c>
      <c r="E102" s="9" t="s">
        <v>26</v>
      </c>
      <c r="F102" s="10" t="s">
        <v>26</v>
      </c>
      <c r="G102" s="9">
        <v>491988059.93000001</v>
      </c>
      <c r="H102" s="10">
        <v>2.9843601636299999E-3</v>
      </c>
      <c r="I102" s="9" t="s">
        <v>26</v>
      </c>
      <c r="J102" s="10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9">
        <v>4254842148.6100001</v>
      </c>
      <c r="P102" s="10">
        <v>1.7359228748109998E-2</v>
      </c>
      <c r="Q102" s="1" t="s">
        <v>26</v>
      </c>
      <c r="R102" s="1" t="s">
        <v>26</v>
      </c>
      <c r="S102" s="9">
        <v>958912807.53999996</v>
      </c>
      <c r="T102" s="10">
        <v>7.9593102537299995E-3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9">
        <v>1318137340.1300001</v>
      </c>
      <c r="AB102" s="10">
        <v>8.7104247300499992E-3</v>
      </c>
      <c r="AC102" s="1" t="s">
        <v>26</v>
      </c>
      <c r="AD102" s="1" t="s">
        <v>26</v>
      </c>
      <c r="AE102" s="9">
        <v>7023880356.21</v>
      </c>
      <c r="AF102" s="10">
        <v>1.0039279794530001E-2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9">
        <v>366244213.35000002</v>
      </c>
      <c r="AV102" s="10">
        <v>7.3679639955199997E-3</v>
      </c>
      <c r="AW102" s="1" t="s">
        <v>26</v>
      </c>
      <c r="AX102" s="1" t="s">
        <v>26</v>
      </c>
      <c r="AY102" s="9">
        <v>7390124569.5600004</v>
      </c>
      <c r="AZ102" s="10">
        <v>9.3314550570000009E-3</v>
      </c>
      <c r="BA102" s="1" t="s">
        <v>26</v>
      </c>
      <c r="BB102" s="1" t="s">
        <v>26</v>
      </c>
    </row>
    <row r="103" spans="1:54" s="28" customFormat="1">
      <c r="A103" s="3" t="s">
        <v>88</v>
      </c>
      <c r="B103" s="23" t="s">
        <v>47</v>
      </c>
      <c r="C103" s="9" t="s">
        <v>26</v>
      </c>
      <c r="D103" s="10" t="s">
        <v>26</v>
      </c>
      <c r="E103" s="9" t="s">
        <v>26</v>
      </c>
      <c r="F103" s="10" t="s">
        <v>26</v>
      </c>
      <c r="G103" s="2">
        <v>491988059.93000001</v>
      </c>
      <c r="H103" s="1">
        <v>1</v>
      </c>
      <c r="I103" s="9" t="s">
        <v>26</v>
      </c>
      <c r="J103" s="10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4254842148.6100001</v>
      </c>
      <c r="P103" s="1">
        <v>1</v>
      </c>
      <c r="Q103" s="1" t="s">
        <v>26</v>
      </c>
      <c r="R103" s="1" t="s">
        <v>26</v>
      </c>
      <c r="S103" s="2">
        <v>958912807.53999996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1318137340.1300001</v>
      </c>
      <c r="AB103" s="1">
        <v>1</v>
      </c>
      <c r="AC103" s="1" t="s">
        <v>26</v>
      </c>
      <c r="AD103" s="1" t="s">
        <v>26</v>
      </c>
      <c r="AE103" s="2">
        <v>7023880356.21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>
        <v>366244213.35000002</v>
      </c>
      <c r="AV103" s="1">
        <v>1</v>
      </c>
      <c r="AW103" s="1" t="s">
        <v>26</v>
      </c>
      <c r="AX103" s="1" t="s">
        <v>26</v>
      </c>
      <c r="AY103" s="2">
        <v>7390124569.5600004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92</v>
      </c>
      <c r="B104" s="20" t="s">
        <v>25</v>
      </c>
      <c r="C104" s="9" t="s">
        <v>26</v>
      </c>
      <c r="D104" s="10" t="s">
        <v>26</v>
      </c>
      <c r="E104" s="9" t="s">
        <v>26</v>
      </c>
      <c r="F104" s="10" t="s">
        <v>26</v>
      </c>
      <c r="G104" s="9" t="s">
        <v>26</v>
      </c>
      <c r="H104" s="10" t="s">
        <v>26</v>
      </c>
      <c r="I104" s="9" t="s">
        <v>26</v>
      </c>
      <c r="J104" s="10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9">
        <v>1542901679.2</v>
      </c>
      <c r="P104" s="10">
        <v>6.2948476699299996E-3</v>
      </c>
      <c r="Q104" s="1" t="s">
        <v>26</v>
      </c>
      <c r="R104" s="1" t="s">
        <v>26</v>
      </c>
      <c r="S104" s="2" t="s">
        <v>26</v>
      </c>
      <c r="T104" s="1" t="s">
        <v>26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 t="s">
        <v>26</v>
      </c>
      <c r="AB104" s="1" t="s">
        <v>26</v>
      </c>
      <c r="AC104" s="1" t="s">
        <v>26</v>
      </c>
      <c r="AD104" s="1" t="s">
        <v>26</v>
      </c>
      <c r="AE104" s="9">
        <v>1542901679.2</v>
      </c>
      <c r="AF104" s="10">
        <v>2.2052798264500001E-3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9">
        <v>1542901679.2</v>
      </c>
      <c r="AZ104" s="10">
        <v>1.94821041801E-3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9" t="s">
        <v>26</v>
      </c>
      <c r="D105" s="10" t="s">
        <v>26</v>
      </c>
      <c r="E105" s="9" t="s">
        <v>26</v>
      </c>
      <c r="F105" s="10" t="s">
        <v>26</v>
      </c>
      <c r="G105" s="9" t="s">
        <v>26</v>
      </c>
      <c r="H105" s="10" t="s">
        <v>26</v>
      </c>
      <c r="I105" s="9" t="s">
        <v>26</v>
      </c>
      <c r="J105" s="10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1542901679.2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 t="s">
        <v>26</v>
      </c>
      <c r="AB105" s="1" t="s">
        <v>26</v>
      </c>
      <c r="AC105" s="1" t="s">
        <v>26</v>
      </c>
      <c r="AD105" s="1" t="s">
        <v>26</v>
      </c>
      <c r="AE105" s="2">
        <v>1542901679.2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1542901679.2</v>
      </c>
      <c r="AZ105" s="1">
        <v>1</v>
      </c>
      <c r="BA105" s="1" t="s">
        <v>26</v>
      </c>
      <c r="BB105" s="1" t="s">
        <v>26</v>
      </c>
    </row>
    <row r="106" spans="1:54" s="28" customFormat="1">
      <c r="A106" s="5" t="s">
        <v>93</v>
      </c>
      <c r="B106" s="20" t="s">
        <v>25</v>
      </c>
      <c r="C106" s="9" t="s">
        <v>26</v>
      </c>
      <c r="D106" s="10" t="s">
        <v>26</v>
      </c>
      <c r="E106" s="9" t="s">
        <v>26</v>
      </c>
      <c r="F106" s="10" t="s">
        <v>26</v>
      </c>
      <c r="G106" s="9" t="s">
        <v>26</v>
      </c>
      <c r="H106" s="10" t="s">
        <v>26</v>
      </c>
      <c r="I106" s="9" t="s">
        <v>26</v>
      </c>
      <c r="J106" s="10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9">
        <v>327959044.98000002</v>
      </c>
      <c r="P106" s="10">
        <v>1.3380322660600001E-3</v>
      </c>
      <c r="Q106" s="1" t="s">
        <v>26</v>
      </c>
      <c r="R106" s="1" t="s">
        <v>26</v>
      </c>
      <c r="S106" s="2" t="s">
        <v>26</v>
      </c>
      <c r="T106" s="1" t="s">
        <v>26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9">
        <v>327959044.98000002</v>
      </c>
      <c r="AB106" s="10">
        <v>2.1671964588699999E-3</v>
      </c>
      <c r="AC106" s="1" t="s">
        <v>26</v>
      </c>
      <c r="AD106" s="1" t="s">
        <v>26</v>
      </c>
      <c r="AE106" s="9">
        <v>655918089.96000004</v>
      </c>
      <c r="AF106" s="10">
        <v>9.3750817118999998E-4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9">
        <v>655918089.96000004</v>
      </c>
      <c r="AZ106" s="10">
        <v>8.2822286958000001E-4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9" t="s">
        <v>26</v>
      </c>
      <c r="D107" s="10" t="s">
        <v>26</v>
      </c>
      <c r="E107" s="9" t="s">
        <v>26</v>
      </c>
      <c r="F107" s="10" t="s">
        <v>26</v>
      </c>
      <c r="G107" s="9" t="s">
        <v>26</v>
      </c>
      <c r="H107" s="10" t="s">
        <v>26</v>
      </c>
      <c r="I107" s="9" t="s">
        <v>26</v>
      </c>
      <c r="J107" s="10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327959044.98000002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>
        <v>327959044.98000002</v>
      </c>
      <c r="AB107" s="1">
        <v>1</v>
      </c>
      <c r="AC107" s="1" t="s">
        <v>26</v>
      </c>
      <c r="AD107" s="1" t="s">
        <v>26</v>
      </c>
      <c r="AE107" s="2">
        <v>655918089.96000004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655918089.96000004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94</v>
      </c>
      <c r="B108" s="20" t="s">
        <v>25</v>
      </c>
      <c r="C108" s="9" t="s">
        <v>26</v>
      </c>
      <c r="D108" s="10" t="s">
        <v>26</v>
      </c>
      <c r="E108" s="9" t="s">
        <v>26</v>
      </c>
      <c r="F108" s="10" t="s">
        <v>26</v>
      </c>
      <c r="G108" s="9" t="s">
        <v>26</v>
      </c>
      <c r="H108" s="10" t="s">
        <v>26</v>
      </c>
      <c r="I108" s="9" t="s">
        <v>26</v>
      </c>
      <c r="J108" s="10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9">
        <v>6152758015.1800003</v>
      </c>
      <c r="P108" s="10">
        <v>2.5102490312639999E-2</v>
      </c>
      <c r="Q108" s="1" t="s">
        <v>26</v>
      </c>
      <c r="R108" s="1" t="s">
        <v>26</v>
      </c>
      <c r="S108" s="2" t="s">
        <v>26</v>
      </c>
      <c r="T108" s="1" t="s">
        <v>26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9">
        <v>6152758015.1800003</v>
      </c>
      <c r="AF108" s="10">
        <v>8.7941787288299995E-3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9">
        <v>6152758015.1800003</v>
      </c>
      <c r="AZ108" s="10">
        <v>7.7690415574000003E-3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9" t="s">
        <v>26</v>
      </c>
      <c r="D109" s="10" t="s">
        <v>26</v>
      </c>
      <c r="E109" s="9" t="s">
        <v>26</v>
      </c>
      <c r="F109" s="10" t="s">
        <v>26</v>
      </c>
      <c r="G109" s="9" t="s">
        <v>26</v>
      </c>
      <c r="H109" s="10" t="s">
        <v>26</v>
      </c>
      <c r="I109" s="9" t="s">
        <v>26</v>
      </c>
      <c r="J109" s="10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6152758015.1800003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6152758015.1800003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6152758015.1800003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95</v>
      </c>
      <c r="B110" s="20" t="s">
        <v>25</v>
      </c>
      <c r="C110" s="9" t="s">
        <v>26</v>
      </c>
      <c r="D110" s="10" t="s">
        <v>26</v>
      </c>
      <c r="E110" s="9" t="s">
        <v>26</v>
      </c>
      <c r="F110" s="10" t="s">
        <v>26</v>
      </c>
      <c r="G110" s="9" t="s">
        <v>26</v>
      </c>
      <c r="H110" s="10" t="s">
        <v>26</v>
      </c>
      <c r="I110" s="9" t="s">
        <v>26</v>
      </c>
      <c r="J110" s="10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 t="s">
        <v>26</v>
      </c>
      <c r="P110" s="1" t="s">
        <v>26</v>
      </c>
      <c r="Q110" s="1" t="s">
        <v>26</v>
      </c>
      <c r="R110" s="1" t="s">
        <v>26</v>
      </c>
      <c r="S110" s="9">
        <v>138513047.16</v>
      </c>
      <c r="T110" s="10">
        <v>1.14970653001E-3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9">
        <v>138513047.16</v>
      </c>
      <c r="AF110" s="10">
        <v>1.9797763701999999E-4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9">
        <v>177438246.56</v>
      </c>
      <c r="AV110" s="10">
        <v>3.5696362274900001E-3</v>
      </c>
      <c r="AW110" s="1" t="s">
        <v>26</v>
      </c>
      <c r="AX110" s="1" t="s">
        <v>26</v>
      </c>
      <c r="AY110" s="9">
        <v>315951293.72000003</v>
      </c>
      <c r="AZ110" s="10">
        <v>3.9894933702000002E-4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9" t="s">
        <v>26</v>
      </c>
      <c r="D111" s="10" t="s">
        <v>26</v>
      </c>
      <c r="E111" s="9" t="s">
        <v>26</v>
      </c>
      <c r="F111" s="10" t="s">
        <v>26</v>
      </c>
      <c r="G111" s="9" t="s">
        <v>26</v>
      </c>
      <c r="H111" s="10" t="s">
        <v>26</v>
      </c>
      <c r="I111" s="9" t="s">
        <v>26</v>
      </c>
      <c r="J111" s="10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>
        <v>138513047.16</v>
      </c>
      <c r="T111" s="1">
        <v>1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138513047.16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>
        <v>177438246.56</v>
      </c>
      <c r="AV111" s="1">
        <v>1</v>
      </c>
      <c r="AW111" s="1" t="s">
        <v>26</v>
      </c>
      <c r="AX111" s="1" t="s">
        <v>26</v>
      </c>
      <c r="AY111" s="2">
        <v>315951293.72000003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96</v>
      </c>
      <c r="B112" s="20" t="s">
        <v>25</v>
      </c>
      <c r="C112" s="9">
        <v>58718601.609999999</v>
      </c>
      <c r="D112" s="10">
        <v>8.0075997247500003E-3</v>
      </c>
      <c r="E112" s="9" t="s">
        <v>26</v>
      </c>
      <c r="F112" s="10" t="s">
        <v>26</v>
      </c>
      <c r="G112" s="9" t="s">
        <v>26</v>
      </c>
      <c r="H112" s="10" t="s">
        <v>26</v>
      </c>
      <c r="I112" s="9" t="s">
        <v>26</v>
      </c>
      <c r="J112" s="10" t="s">
        <v>26</v>
      </c>
      <c r="K112" s="9">
        <v>89446432.840000004</v>
      </c>
      <c r="L112" s="10">
        <v>2.4846928140170001E-2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9">
        <v>286968008.93000001</v>
      </c>
      <c r="T112" s="10">
        <v>2.3819344136500002E-3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9">
        <v>435133043.38</v>
      </c>
      <c r="AF112" s="10">
        <v>6.2193860783000003E-4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 t="s">
        <v>26</v>
      </c>
      <c r="AV112" s="1" t="s">
        <v>26</v>
      </c>
      <c r="AW112" s="1" t="s">
        <v>26</v>
      </c>
      <c r="AX112" s="1" t="s">
        <v>26</v>
      </c>
      <c r="AY112" s="9">
        <v>435133043.38</v>
      </c>
      <c r="AZ112" s="10">
        <v>5.4943924149999999E-4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>
        <v>58718601.609999999</v>
      </c>
      <c r="D113" s="1">
        <v>1</v>
      </c>
      <c r="E113" s="9" t="s">
        <v>26</v>
      </c>
      <c r="F113" s="10" t="s">
        <v>26</v>
      </c>
      <c r="G113" s="9" t="s">
        <v>26</v>
      </c>
      <c r="H113" s="10" t="s">
        <v>26</v>
      </c>
      <c r="I113" s="9" t="s">
        <v>26</v>
      </c>
      <c r="J113" s="10" t="s">
        <v>26</v>
      </c>
      <c r="K113" s="2">
        <v>89446432.840000004</v>
      </c>
      <c r="L113" s="1">
        <v>1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286968008.93000001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435133043.38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435133043.38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117</v>
      </c>
      <c r="B114" s="20" t="s">
        <v>25</v>
      </c>
      <c r="C114" s="9" t="s">
        <v>26</v>
      </c>
      <c r="D114" s="10" t="s">
        <v>26</v>
      </c>
      <c r="E114" s="9" t="s">
        <v>26</v>
      </c>
      <c r="F114" s="10" t="s">
        <v>26</v>
      </c>
      <c r="G114" s="9">
        <v>971941440.98000002</v>
      </c>
      <c r="H114" s="10">
        <v>5.8957189291399996E-3</v>
      </c>
      <c r="I114" s="9" t="s">
        <v>26</v>
      </c>
      <c r="J114" s="10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 t="s">
        <v>26</v>
      </c>
      <c r="P114" s="1" t="s">
        <v>26</v>
      </c>
      <c r="Q114" s="1" t="s">
        <v>26</v>
      </c>
      <c r="R114" s="1" t="s">
        <v>26</v>
      </c>
      <c r="S114" s="2" t="s">
        <v>26</v>
      </c>
      <c r="T114" s="1" t="s">
        <v>26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9">
        <v>971941440.98000002</v>
      </c>
      <c r="AF114" s="10">
        <v>1.38920248852E-3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9">
        <v>971941440.98000002</v>
      </c>
      <c r="AZ114" s="10">
        <v>1.2272631928199999E-3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9" t="s">
        <v>26</v>
      </c>
      <c r="D115" s="10" t="s">
        <v>26</v>
      </c>
      <c r="E115" s="9" t="s">
        <v>26</v>
      </c>
      <c r="F115" s="10" t="s">
        <v>26</v>
      </c>
      <c r="G115" s="2">
        <v>971941440.98000002</v>
      </c>
      <c r="H115" s="1">
        <v>1</v>
      </c>
      <c r="I115" s="9" t="s">
        <v>26</v>
      </c>
      <c r="J115" s="10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971941440.98000002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971941440.98000002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97</v>
      </c>
      <c r="B116" s="20" t="s">
        <v>25</v>
      </c>
      <c r="C116" s="9" t="s">
        <v>26</v>
      </c>
      <c r="D116" s="10" t="s">
        <v>26</v>
      </c>
      <c r="E116" s="9" t="s">
        <v>26</v>
      </c>
      <c r="F116" s="10" t="s">
        <v>26</v>
      </c>
      <c r="G116" s="9">
        <v>732579120.35000002</v>
      </c>
      <c r="H116" s="10">
        <v>4.4437662649600002E-3</v>
      </c>
      <c r="I116" s="9" t="s">
        <v>26</v>
      </c>
      <c r="J116" s="10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9">
        <v>2111445092.3499999</v>
      </c>
      <c r="P116" s="10">
        <v>8.6144343472699999E-3</v>
      </c>
      <c r="Q116" s="1" t="s">
        <v>26</v>
      </c>
      <c r="R116" s="1" t="s">
        <v>26</v>
      </c>
      <c r="S116" s="9">
        <v>111335129.90000001</v>
      </c>
      <c r="T116" s="10">
        <v>9.2412035175999999E-4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9">
        <v>2955359342.5999999</v>
      </c>
      <c r="AF116" s="10">
        <v>4.2241151370799998E-3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9">
        <v>2955359342.5999999</v>
      </c>
      <c r="AZ116" s="10">
        <v>3.7317101522700001E-3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9" t="s">
        <v>26</v>
      </c>
      <c r="D117" s="10" t="s">
        <v>26</v>
      </c>
      <c r="E117" s="9" t="s">
        <v>26</v>
      </c>
      <c r="F117" s="10" t="s">
        <v>26</v>
      </c>
      <c r="G117" s="2">
        <v>732579120.35000002</v>
      </c>
      <c r="H117" s="1">
        <v>1</v>
      </c>
      <c r="I117" s="9" t="s">
        <v>26</v>
      </c>
      <c r="J117" s="10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2111445092.3499999</v>
      </c>
      <c r="P117" s="1">
        <v>1</v>
      </c>
      <c r="Q117" s="1" t="s">
        <v>26</v>
      </c>
      <c r="R117" s="1" t="s">
        <v>26</v>
      </c>
      <c r="S117" s="2">
        <v>111335129.90000001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2955359342.5999999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2955359342.5999999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98</v>
      </c>
      <c r="B118" s="20" t="s">
        <v>25</v>
      </c>
      <c r="C118" s="9" t="s">
        <v>26</v>
      </c>
      <c r="D118" s="10" t="s">
        <v>26</v>
      </c>
      <c r="E118" s="9" t="s">
        <v>26</v>
      </c>
      <c r="F118" s="10" t="s">
        <v>26</v>
      </c>
      <c r="G118" s="9">
        <v>1504601758.29</v>
      </c>
      <c r="H118" s="10">
        <v>9.1267937482199992E-3</v>
      </c>
      <c r="I118" s="9" t="s">
        <v>26</v>
      </c>
      <c r="J118" s="10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9">
        <v>3584823794.4299998</v>
      </c>
      <c r="P118" s="10">
        <v>1.4625636885149999E-2</v>
      </c>
      <c r="Q118" s="1" t="s">
        <v>26</v>
      </c>
      <c r="R118" s="1" t="s">
        <v>26</v>
      </c>
      <c r="S118" s="9">
        <v>1003750662.4400001</v>
      </c>
      <c r="T118" s="10">
        <v>8.3314800646400004E-3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" t="s">
        <v>26</v>
      </c>
      <c r="AD118" s="1" t="s">
        <v>26</v>
      </c>
      <c r="AE118" s="9">
        <v>6093176215.1599998</v>
      </c>
      <c r="AF118" s="10">
        <v>8.7090180582700006E-3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9">
        <v>1003750662.4400001</v>
      </c>
      <c r="AV118" s="10">
        <v>2.0193080113639999E-2</v>
      </c>
      <c r="AW118" s="1" t="s">
        <v>26</v>
      </c>
      <c r="AX118" s="1" t="s">
        <v>26</v>
      </c>
      <c r="AY118" s="9">
        <v>7096926877.6000004</v>
      </c>
      <c r="AZ118" s="10">
        <v>8.9612365228500003E-3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40</v>
      </c>
      <c r="C119" s="9" t="s">
        <v>26</v>
      </c>
      <c r="D119" s="10" t="s">
        <v>26</v>
      </c>
      <c r="E119" s="9" t="s">
        <v>26</v>
      </c>
      <c r="F119" s="10" t="s">
        <v>26</v>
      </c>
      <c r="G119" s="2">
        <v>1504601758.29</v>
      </c>
      <c r="H119" s="1">
        <v>1</v>
      </c>
      <c r="I119" s="9" t="s">
        <v>26</v>
      </c>
      <c r="J119" s="10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3584823794.4299998</v>
      </c>
      <c r="P119" s="1">
        <v>1</v>
      </c>
      <c r="Q119" s="1" t="s">
        <v>26</v>
      </c>
      <c r="R119" s="1" t="s">
        <v>26</v>
      </c>
      <c r="S119" s="2">
        <v>1003750662.4400001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6093176215.1599998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1003750662.4400001</v>
      </c>
      <c r="AV119" s="1">
        <v>1</v>
      </c>
      <c r="AW119" s="1" t="s">
        <v>26</v>
      </c>
      <c r="AX119" s="1" t="s">
        <v>26</v>
      </c>
      <c r="AY119" s="2">
        <v>7096926877.6000004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99</v>
      </c>
      <c r="B120" s="20" t="s">
        <v>25</v>
      </c>
      <c r="C120" s="9" t="s">
        <v>26</v>
      </c>
      <c r="D120" s="10" t="s">
        <v>26</v>
      </c>
      <c r="E120" s="9" t="s">
        <v>26</v>
      </c>
      <c r="F120" s="10" t="s">
        <v>26</v>
      </c>
      <c r="G120" s="9">
        <v>570914287.5</v>
      </c>
      <c r="H120" s="10">
        <v>3.4631203381300002E-3</v>
      </c>
      <c r="I120" s="9" t="s">
        <v>26</v>
      </c>
      <c r="J120" s="10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9">
        <v>791618332.75999999</v>
      </c>
      <c r="P120" s="10">
        <v>3.2297047081E-3</v>
      </c>
      <c r="Q120" s="1" t="s">
        <v>26</v>
      </c>
      <c r="R120" s="1" t="s">
        <v>26</v>
      </c>
      <c r="S120" s="9">
        <v>263990766.53999999</v>
      </c>
      <c r="T120" s="10">
        <v>2.1912152997499998E-3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9">
        <v>856371431.25</v>
      </c>
      <c r="AB120" s="10">
        <v>5.6590149340000001E-3</v>
      </c>
      <c r="AC120" s="1" t="s">
        <v>26</v>
      </c>
      <c r="AD120" s="1" t="s">
        <v>26</v>
      </c>
      <c r="AE120" s="9">
        <v>2482894818.0500002</v>
      </c>
      <c r="AF120" s="10">
        <v>3.5488183902100002E-3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9">
        <v>2482894818.0500002</v>
      </c>
      <c r="AZ120" s="10">
        <v>3.1351327285200001E-3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47</v>
      </c>
      <c r="C121" s="9" t="s">
        <v>26</v>
      </c>
      <c r="D121" s="10" t="s">
        <v>26</v>
      </c>
      <c r="E121" s="9" t="s">
        <v>26</v>
      </c>
      <c r="F121" s="10" t="s">
        <v>26</v>
      </c>
      <c r="G121" s="2">
        <v>570914287.5</v>
      </c>
      <c r="H121" s="1">
        <v>1</v>
      </c>
      <c r="I121" s="9" t="s">
        <v>26</v>
      </c>
      <c r="J121" s="10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791618332.75999999</v>
      </c>
      <c r="P121" s="1">
        <v>1</v>
      </c>
      <c r="Q121" s="1" t="s">
        <v>26</v>
      </c>
      <c r="R121" s="1" t="s">
        <v>26</v>
      </c>
      <c r="S121" s="2">
        <v>263990766.53999999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>
        <v>856371431.25</v>
      </c>
      <c r="AB121" s="1">
        <v>1</v>
      </c>
      <c r="AC121" s="1" t="s">
        <v>26</v>
      </c>
      <c r="AD121" s="1" t="s">
        <v>26</v>
      </c>
      <c r="AE121" s="2">
        <v>2482894818.0500002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2482894818.0500002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100</v>
      </c>
      <c r="B122" s="20" t="s">
        <v>25</v>
      </c>
      <c r="C122" s="9" t="s">
        <v>26</v>
      </c>
      <c r="D122" s="10" t="s">
        <v>26</v>
      </c>
      <c r="E122" s="9" t="s">
        <v>26</v>
      </c>
      <c r="F122" s="10" t="s">
        <v>26</v>
      </c>
      <c r="G122" s="9" t="s">
        <v>26</v>
      </c>
      <c r="H122" s="10" t="s">
        <v>26</v>
      </c>
      <c r="I122" s="9" t="s">
        <v>26</v>
      </c>
      <c r="J122" s="10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9">
        <v>380123922.06</v>
      </c>
      <c r="P122" s="10">
        <v>1.5508585007799999E-3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9">
        <v>380123922.06</v>
      </c>
      <c r="AF122" s="10">
        <v>5.4331369792999995E-4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9">
        <v>380123922.06</v>
      </c>
      <c r="AZ122" s="10">
        <v>4.7997963516999999E-4</v>
      </c>
      <c r="BA122" s="1" t="s">
        <v>26</v>
      </c>
      <c r="BB122" s="1" t="s">
        <v>26</v>
      </c>
    </row>
    <row r="123" spans="1:54" s="7" customFormat="1">
      <c r="A123" s="3" t="s">
        <v>88</v>
      </c>
      <c r="B123" s="23" t="s">
        <v>57</v>
      </c>
      <c r="C123" s="9" t="s">
        <v>26</v>
      </c>
      <c r="D123" s="10" t="s">
        <v>26</v>
      </c>
      <c r="E123" s="9" t="s">
        <v>26</v>
      </c>
      <c r="F123" s="10" t="s">
        <v>26</v>
      </c>
      <c r="G123" s="9" t="s">
        <v>26</v>
      </c>
      <c r="H123" s="10" t="s">
        <v>26</v>
      </c>
      <c r="I123" s="9" t="s">
        <v>26</v>
      </c>
      <c r="J123" s="10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380123922.06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380123922.06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380123922.06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101</v>
      </c>
      <c r="B124" s="20" t="s">
        <v>25</v>
      </c>
      <c r="C124" s="9" t="s">
        <v>26</v>
      </c>
      <c r="D124" s="10" t="s">
        <v>26</v>
      </c>
      <c r="E124" s="9" t="s">
        <v>26</v>
      </c>
      <c r="F124" s="10" t="s">
        <v>26</v>
      </c>
      <c r="G124" s="9" t="s">
        <v>26</v>
      </c>
      <c r="H124" s="10" t="s">
        <v>26</v>
      </c>
      <c r="I124" s="9" t="s">
        <v>26</v>
      </c>
      <c r="J124" s="10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9">
        <v>32942597.460000001</v>
      </c>
      <c r="P124" s="10">
        <v>1.3440171571E-4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9">
        <v>32942597.460000001</v>
      </c>
      <c r="AF124" s="10">
        <v>4.7085077799999997E-5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9">
        <v>32942597.460000001</v>
      </c>
      <c r="AZ124" s="10">
        <v>4.1596371590000001E-5</v>
      </c>
      <c r="BA124" s="1" t="s">
        <v>26</v>
      </c>
      <c r="BB124" s="1" t="s">
        <v>26</v>
      </c>
    </row>
    <row r="125" spans="1:54" s="28" customFormat="1">
      <c r="A125" s="3" t="s">
        <v>88</v>
      </c>
      <c r="B125" s="23" t="s">
        <v>57</v>
      </c>
      <c r="C125" s="9" t="s">
        <v>26</v>
      </c>
      <c r="D125" s="10" t="s">
        <v>26</v>
      </c>
      <c r="E125" s="9" t="s">
        <v>26</v>
      </c>
      <c r="F125" s="10" t="s">
        <v>26</v>
      </c>
      <c r="G125" s="9" t="s">
        <v>26</v>
      </c>
      <c r="H125" s="10" t="s">
        <v>26</v>
      </c>
      <c r="I125" s="9" t="s">
        <v>26</v>
      </c>
      <c r="J125" s="10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32942597.460000001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32942597.460000001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32942597.460000001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102</v>
      </c>
      <c r="B126" s="20" t="s">
        <v>25</v>
      </c>
      <c r="C126" s="9" t="s">
        <v>26</v>
      </c>
      <c r="D126" s="10" t="s">
        <v>26</v>
      </c>
      <c r="E126" s="9" t="s">
        <v>26</v>
      </c>
      <c r="F126" s="10" t="s">
        <v>26</v>
      </c>
      <c r="G126" s="9" t="s">
        <v>26</v>
      </c>
      <c r="H126" s="10" t="s">
        <v>26</v>
      </c>
      <c r="I126" s="9" t="s">
        <v>26</v>
      </c>
      <c r="J126" s="10" t="s">
        <v>26</v>
      </c>
      <c r="K126" s="2" t="s">
        <v>26</v>
      </c>
      <c r="L126" s="1" t="s">
        <v>26</v>
      </c>
      <c r="M126" s="1" t="s">
        <v>26</v>
      </c>
      <c r="N126" s="1" t="s">
        <v>26</v>
      </c>
      <c r="O126" s="9">
        <v>1840448024.95</v>
      </c>
      <c r="P126" s="10">
        <v>7.5087998915700001E-3</v>
      </c>
      <c r="Q126" s="1" t="s">
        <v>26</v>
      </c>
      <c r="R126" s="1" t="s">
        <v>26</v>
      </c>
      <c r="S126" s="2" t="s">
        <v>26</v>
      </c>
      <c r="T126" s="1" t="s">
        <v>26</v>
      </c>
      <c r="U126" s="1" t="s">
        <v>26</v>
      </c>
      <c r="V126" s="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9">
        <v>1840448024.95</v>
      </c>
      <c r="AF126" s="10">
        <v>2.6305648349200001E-3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9">
        <v>1840448024.95</v>
      </c>
      <c r="AZ126" s="10">
        <v>2.3239199648000001E-3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47</v>
      </c>
      <c r="C127" s="9" t="s">
        <v>26</v>
      </c>
      <c r="D127" s="10" t="s">
        <v>26</v>
      </c>
      <c r="E127" s="9" t="s">
        <v>26</v>
      </c>
      <c r="F127" s="10" t="s">
        <v>26</v>
      </c>
      <c r="G127" s="9" t="s">
        <v>26</v>
      </c>
      <c r="H127" s="10" t="s">
        <v>26</v>
      </c>
      <c r="I127" s="9" t="s">
        <v>26</v>
      </c>
      <c r="J127" s="10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1840448024.95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1840448024.95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1840448024.95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103</v>
      </c>
      <c r="B128" s="20" t="s">
        <v>25</v>
      </c>
      <c r="C128" s="9" t="s">
        <v>26</v>
      </c>
      <c r="D128" s="10" t="s">
        <v>26</v>
      </c>
      <c r="E128" s="9" t="s">
        <v>26</v>
      </c>
      <c r="F128" s="10" t="s">
        <v>26</v>
      </c>
      <c r="G128" s="9" t="s">
        <v>26</v>
      </c>
      <c r="H128" s="10" t="s">
        <v>26</v>
      </c>
      <c r="I128" s="9" t="s">
        <v>26</v>
      </c>
      <c r="J128" s="10" t="s">
        <v>26</v>
      </c>
      <c r="K128" s="2" t="s">
        <v>26</v>
      </c>
      <c r="L128" s="1" t="s">
        <v>26</v>
      </c>
      <c r="M128" s="1" t="s">
        <v>26</v>
      </c>
      <c r="N128" s="1" t="s">
        <v>26</v>
      </c>
      <c r="O128" s="9">
        <v>623967590.5</v>
      </c>
      <c r="P128" s="10">
        <v>2.5457104533099999E-3</v>
      </c>
      <c r="Q128" s="1" t="s">
        <v>26</v>
      </c>
      <c r="R128" s="1" t="s">
        <v>26</v>
      </c>
      <c r="S128" s="2" t="s">
        <v>26</v>
      </c>
      <c r="T128" s="1" t="s">
        <v>26</v>
      </c>
      <c r="U128" s="1" t="s">
        <v>26</v>
      </c>
      <c r="V128" s="1" t="s">
        <v>26</v>
      </c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" t="s">
        <v>26</v>
      </c>
      <c r="AD128" s="1" t="s">
        <v>26</v>
      </c>
      <c r="AE128" s="9">
        <v>623967590.5</v>
      </c>
      <c r="AF128" s="10">
        <v>8.9184110577999998E-4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9">
        <v>623967590.5</v>
      </c>
      <c r="AZ128" s="10">
        <v>7.8787921272000004E-4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120</v>
      </c>
      <c r="C129" s="9" t="s">
        <v>26</v>
      </c>
      <c r="D129" s="10" t="s">
        <v>26</v>
      </c>
      <c r="E129" s="9" t="s">
        <v>26</v>
      </c>
      <c r="F129" s="10" t="s">
        <v>26</v>
      </c>
      <c r="G129" s="9" t="s">
        <v>26</v>
      </c>
      <c r="H129" s="10" t="s">
        <v>26</v>
      </c>
      <c r="I129" s="9" t="s">
        <v>26</v>
      </c>
      <c r="J129" s="10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623967590.5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623967590.5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623967590.5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121</v>
      </c>
      <c r="B130" s="20" t="s">
        <v>25</v>
      </c>
      <c r="C130" s="9">
        <v>59331160.600000001</v>
      </c>
      <c r="D130" s="10">
        <v>8.0911358966800004E-3</v>
      </c>
      <c r="E130" s="9" t="s">
        <v>26</v>
      </c>
      <c r="F130" s="10" t="s">
        <v>26</v>
      </c>
      <c r="G130" s="9" t="s">
        <v>26</v>
      </c>
      <c r="H130" s="10" t="s">
        <v>26</v>
      </c>
      <c r="I130" s="9" t="s">
        <v>26</v>
      </c>
      <c r="J130" s="10" t="s">
        <v>26</v>
      </c>
      <c r="K130" s="9">
        <v>37472311.960000001</v>
      </c>
      <c r="L130" s="10">
        <v>1.0409267457110001E-2</v>
      </c>
      <c r="M130" s="1" t="s">
        <v>26</v>
      </c>
      <c r="N130" s="1" t="s">
        <v>26</v>
      </c>
      <c r="O130" s="2" t="s">
        <v>26</v>
      </c>
      <c r="P130" s="1" t="s">
        <v>26</v>
      </c>
      <c r="Q130" s="1" t="s">
        <v>26</v>
      </c>
      <c r="R130" s="1" t="s">
        <v>26</v>
      </c>
      <c r="S130" s="2" t="s">
        <v>26</v>
      </c>
      <c r="T130" s="1" t="s">
        <v>26</v>
      </c>
      <c r="U130" s="1" t="s">
        <v>26</v>
      </c>
      <c r="V130" s="1" t="s">
        <v>26</v>
      </c>
      <c r="W130" s="2" t="s">
        <v>26</v>
      </c>
      <c r="X130" s="1" t="s">
        <v>26</v>
      </c>
      <c r="Y130" s="1" t="s">
        <v>26</v>
      </c>
      <c r="Z130" s="1" t="s">
        <v>26</v>
      </c>
      <c r="AA130" s="2" t="s">
        <v>26</v>
      </c>
      <c r="AB130" s="1" t="s">
        <v>26</v>
      </c>
      <c r="AC130" s="1" t="s">
        <v>26</v>
      </c>
      <c r="AD130" s="1" t="s">
        <v>26</v>
      </c>
      <c r="AE130" s="9">
        <v>96803472.560000002</v>
      </c>
      <c r="AF130" s="10">
        <v>1.3836185937000001E-4</v>
      </c>
      <c r="AG130" s="1" t="s">
        <v>26</v>
      </c>
      <c r="AH130" s="1" t="s">
        <v>26</v>
      </c>
      <c r="AI130" s="2" t="s">
        <v>26</v>
      </c>
      <c r="AJ130" s="1" t="s">
        <v>26</v>
      </c>
      <c r="AK130" s="1" t="s">
        <v>26</v>
      </c>
      <c r="AL130" s="1" t="s">
        <v>26</v>
      </c>
      <c r="AM130" s="2" t="s">
        <v>26</v>
      </c>
      <c r="AN130" s="1" t="s">
        <v>26</v>
      </c>
      <c r="AO130" s="1" t="s">
        <v>26</v>
      </c>
      <c r="AP130" s="1" t="s">
        <v>26</v>
      </c>
      <c r="AQ130" s="2" t="s">
        <v>26</v>
      </c>
      <c r="AR130" s="1" t="s">
        <v>26</v>
      </c>
      <c r="AS130" s="1" t="s">
        <v>26</v>
      </c>
      <c r="AT130" s="1" t="s">
        <v>26</v>
      </c>
      <c r="AU130" s="2" t="s">
        <v>26</v>
      </c>
      <c r="AV130" s="1" t="s">
        <v>26</v>
      </c>
      <c r="AW130" s="1" t="s">
        <v>26</v>
      </c>
      <c r="AX130" s="1" t="s">
        <v>26</v>
      </c>
      <c r="AY130" s="9">
        <v>96803472.560000002</v>
      </c>
      <c r="AZ130" s="10">
        <v>1.2223302124999999E-4</v>
      </c>
      <c r="BA130" s="1" t="s">
        <v>26</v>
      </c>
      <c r="BB130" s="1" t="s">
        <v>26</v>
      </c>
    </row>
    <row r="131" spans="1:54" s="7" customFormat="1">
      <c r="A131" s="3" t="s">
        <v>88</v>
      </c>
      <c r="B131" s="23" t="s">
        <v>47</v>
      </c>
      <c r="C131" s="2">
        <v>59331160.600000001</v>
      </c>
      <c r="D131" s="1">
        <v>1</v>
      </c>
      <c r="E131" s="9" t="s">
        <v>26</v>
      </c>
      <c r="F131" s="10" t="s">
        <v>26</v>
      </c>
      <c r="G131" s="9" t="s">
        <v>26</v>
      </c>
      <c r="H131" s="10" t="s">
        <v>26</v>
      </c>
      <c r="I131" s="9" t="s">
        <v>26</v>
      </c>
      <c r="J131" s="10" t="s">
        <v>26</v>
      </c>
      <c r="K131" s="2">
        <v>37472311.960000001</v>
      </c>
      <c r="L131" s="1">
        <v>1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96803472.560000002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96803472.560000002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126</v>
      </c>
      <c r="B132" s="20" t="s">
        <v>25</v>
      </c>
      <c r="C132" s="9" t="s">
        <v>26</v>
      </c>
      <c r="D132" s="10" t="s">
        <v>26</v>
      </c>
      <c r="E132" s="9" t="s">
        <v>26</v>
      </c>
      <c r="F132" s="10" t="s">
        <v>26</v>
      </c>
      <c r="G132" s="9" t="s">
        <v>26</v>
      </c>
      <c r="H132" s="10" t="s">
        <v>26</v>
      </c>
      <c r="I132" s="9" t="s">
        <v>26</v>
      </c>
      <c r="J132" s="10" t="s">
        <v>26</v>
      </c>
      <c r="K132" s="9">
        <v>60001598.979999997</v>
      </c>
      <c r="L132" s="10">
        <v>1.666757824561E-2</v>
      </c>
      <c r="M132" s="1" t="s">
        <v>26</v>
      </c>
      <c r="N132" s="1" t="s">
        <v>26</v>
      </c>
      <c r="O132" s="2" t="s">
        <v>26</v>
      </c>
      <c r="P132" s="1" t="s">
        <v>26</v>
      </c>
      <c r="Q132" s="1" t="s">
        <v>26</v>
      </c>
      <c r="R132" s="1" t="s">
        <v>26</v>
      </c>
      <c r="S132" s="2" t="s">
        <v>26</v>
      </c>
      <c r="T132" s="1" t="s">
        <v>26</v>
      </c>
      <c r="U132" s="1" t="s">
        <v>26</v>
      </c>
      <c r="V132" s="1" t="s">
        <v>26</v>
      </c>
      <c r="W132" s="2" t="s">
        <v>26</v>
      </c>
      <c r="X132" s="1" t="s">
        <v>26</v>
      </c>
      <c r="Y132" s="1" t="s">
        <v>26</v>
      </c>
      <c r="Z132" s="1" t="s">
        <v>26</v>
      </c>
      <c r="AA132" s="2" t="s">
        <v>26</v>
      </c>
      <c r="AB132" s="1" t="s">
        <v>26</v>
      </c>
      <c r="AC132" s="1" t="s">
        <v>26</v>
      </c>
      <c r="AD132" s="1" t="s">
        <v>26</v>
      </c>
      <c r="AE132" s="9">
        <v>60001598.979999997</v>
      </c>
      <c r="AF132" s="10">
        <v>8.5760692059999997E-5</v>
      </c>
      <c r="AG132" s="1" t="s">
        <v>26</v>
      </c>
      <c r="AH132" s="1" t="s">
        <v>26</v>
      </c>
      <c r="AI132" s="2" t="s">
        <v>26</v>
      </c>
      <c r="AJ132" s="1" t="s">
        <v>26</v>
      </c>
      <c r="AK132" s="1" t="s">
        <v>26</v>
      </c>
      <c r="AL132" s="1" t="s">
        <v>26</v>
      </c>
      <c r="AM132" s="2" t="s">
        <v>26</v>
      </c>
      <c r="AN132" s="1" t="s">
        <v>26</v>
      </c>
      <c r="AO132" s="1" t="s">
        <v>26</v>
      </c>
      <c r="AP132" s="1" t="s">
        <v>26</v>
      </c>
      <c r="AQ132" s="2" t="s">
        <v>26</v>
      </c>
      <c r="AR132" s="1" t="s">
        <v>26</v>
      </c>
      <c r="AS132" s="1" t="s">
        <v>26</v>
      </c>
      <c r="AT132" s="1" t="s">
        <v>26</v>
      </c>
      <c r="AU132" s="2" t="s">
        <v>26</v>
      </c>
      <c r="AV132" s="1" t="s">
        <v>26</v>
      </c>
      <c r="AW132" s="1" t="s">
        <v>26</v>
      </c>
      <c r="AX132" s="1" t="s">
        <v>26</v>
      </c>
      <c r="AY132" s="9">
        <v>60001598.979999997</v>
      </c>
      <c r="AZ132" s="10">
        <v>7.5763570549999999E-5</v>
      </c>
      <c r="BA132" s="1" t="s">
        <v>26</v>
      </c>
      <c r="BB132" s="1" t="s">
        <v>26</v>
      </c>
    </row>
    <row r="133" spans="1:54" s="25" customFormat="1">
      <c r="A133" s="3" t="s">
        <v>88</v>
      </c>
      <c r="B133" s="23" t="s">
        <v>47</v>
      </c>
      <c r="C133" s="9" t="s">
        <v>26</v>
      </c>
      <c r="D133" s="10" t="s">
        <v>26</v>
      </c>
      <c r="E133" s="9" t="s">
        <v>26</v>
      </c>
      <c r="F133" s="10" t="s">
        <v>26</v>
      </c>
      <c r="G133" s="9" t="s">
        <v>26</v>
      </c>
      <c r="H133" s="10" t="s">
        <v>26</v>
      </c>
      <c r="I133" s="9" t="s">
        <v>26</v>
      </c>
      <c r="J133" s="10" t="s">
        <v>26</v>
      </c>
      <c r="K133" s="2">
        <v>60001598.979999997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60001598.979999997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60001598.979999997</v>
      </c>
      <c r="AZ133" s="1">
        <v>1</v>
      </c>
      <c r="BA133" s="1" t="s">
        <v>26</v>
      </c>
      <c r="BB133" s="1" t="s">
        <v>26</v>
      </c>
    </row>
    <row r="134" spans="1:54" s="7" customFormat="1">
      <c r="A134" s="12" t="s">
        <v>106</v>
      </c>
      <c r="B134" s="40" t="s">
        <v>25</v>
      </c>
      <c r="C134" s="42" t="s">
        <v>26</v>
      </c>
      <c r="D134" s="43" t="s">
        <v>26</v>
      </c>
      <c r="E134" s="43" t="s">
        <v>26</v>
      </c>
      <c r="F134" s="43" t="s">
        <v>26</v>
      </c>
      <c r="G134" s="42">
        <v>148337040.66999999</v>
      </c>
      <c r="H134" s="43">
        <f>+G134/G139</f>
        <v>8.9980060700937546E-4</v>
      </c>
      <c r="I134" s="43">
        <v>0.05</v>
      </c>
      <c r="J134" s="43">
        <f>+I134-H134</f>
        <v>4.910019939299063E-2</v>
      </c>
      <c r="K134" s="42" t="s">
        <v>26</v>
      </c>
      <c r="L134" s="43" t="s">
        <v>26</v>
      </c>
      <c r="M134" s="43" t="s">
        <v>26</v>
      </c>
      <c r="N134" s="43" t="s">
        <v>26</v>
      </c>
      <c r="O134" s="42" t="s">
        <v>26</v>
      </c>
      <c r="P134" s="43" t="s">
        <v>26</v>
      </c>
      <c r="Q134" s="43" t="s">
        <v>26</v>
      </c>
      <c r="R134" s="43" t="s">
        <v>26</v>
      </c>
      <c r="S134" s="42">
        <v>148337040.66999999</v>
      </c>
      <c r="T134" s="43">
        <f>+S134/S139</f>
        <v>1.2312490974457704E-3</v>
      </c>
      <c r="U134" s="43">
        <v>0.05</v>
      </c>
      <c r="V134" s="43">
        <f>+U134-T134</f>
        <v>4.8768750902554232E-2</v>
      </c>
      <c r="W134" s="42" t="s">
        <v>26</v>
      </c>
      <c r="X134" s="43" t="s">
        <v>26</v>
      </c>
      <c r="Y134" s="43" t="s">
        <v>26</v>
      </c>
      <c r="Z134" s="43" t="s">
        <v>26</v>
      </c>
      <c r="AA134" s="42">
        <v>148337040.66999999</v>
      </c>
      <c r="AB134" s="43">
        <f>+AA134/AA139</f>
        <v>9.8023065434621015E-4</v>
      </c>
      <c r="AC134" s="43">
        <v>0.05</v>
      </c>
      <c r="AD134" s="47">
        <f>+AC134-AB134</f>
        <v>4.9019769345653795E-2</v>
      </c>
      <c r="AE134" s="42">
        <v>445011122.00999999</v>
      </c>
      <c r="AF134" s="43">
        <f>+AE134/AE139</f>
        <v>6.3605741256465517E-4</v>
      </c>
      <c r="AG134" s="43">
        <v>0.05</v>
      </c>
      <c r="AH134" s="43">
        <f>+AG134-AF134</f>
        <v>4.9363942587435344E-2</v>
      </c>
      <c r="AI134" s="42" t="s">
        <v>26</v>
      </c>
      <c r="AJ134" s="43" t="s">
        <v>26</v>
      </c>
      <c r="AK134" s="43" t="s">
        <v>26</v>
      </c>
      <c r="AL134" s="43" t="s">
        <v>26</v>
      </c>
      <c r="AM134" s="42" t="s">
        <v>26</v>
      </c>
      <c r="AN134" s="43" t="s">
        <v>26</v>
      </c>
      <c r="AO134" s="43" t="s">
        <v>26</v>
      </c>
      <c r="AP134" s="43" t="s">
        <v>26</v>
      </c>
      <c r="AQ134" s="42" t="s">
        <v>26</v>
      </c>
      <c r="AR134" s="43" t="s">
        <v>26</v>
      </c>
      <c r="AS134" s="43" t="s">
        <v>26</v>
      </c>
      <c r="AT134" s="43" t="s">
        <v>26</v>
      </c>
      <c r="AU134" s="42" t="s">
        <v>26</v>
      </c>
      <c r="AV134" s="43" t="s">
        <v>26</v>
      </c>
      <c r="AW134" s="43" t="s">
        <v>26</v>
      </c>
      <c r="AX134" s="43" t="s">
        <v>26</v>
      </c>
      <c r="AY134" s="42">
        <v>445011122.00999999</v>
      </c>
      <c r="AZ134" s="43">
        <f>+AY134/AY139</f>
        <v>5.6191221755683889E-4</v>
      </c>
      <c r="BA134" s="43">
        <v>0.05</v>
      </c>
      <c r="BB134" s="43">
        <f>+BA134-AZ134</f>
        <v>4.9438087782443164E-2</v>
      </c>
    </row>
    <row r="135" spans="1:54" s="7" customFormat="1">
      <c r="A135" s="5" t="s">
        <v>107</v>
      </c>
      <c r="B135" s="20" t="s">
        <v>25</v>
      </c>
      <c r="C135" s="9" t="s">
        <v>26</v>
      </c>
      <c r="D135" s="10" t="s">
        <v>26</v>
      </c>
      <c r="E135" s="10" t="s">
        <v>26</v>
      </c>
      <c r="F135" s="10" t="s">
        <v>26</v>
      </c>
      <c r="G135" s="9">
        <v>148337040.66999999</v>
      </c>
      <c r="H135" s="10">
        <v>8.9980060700999996E-4</v>
      </c>
      <c r="I135" s="9" t="s">
        <v>26</v>
      </c>
      <c r="J135" s="10" t="s">
        <v>26</v>
      </c>
      <c r="K135" s="2" t="s">
        <v>26</v>
      </c>
      <c r="L135" s="1" t="s">
        <v>26</v>
      </c>
      <c r="M135" s="1" t="s">
        <v>26</v>
      </c>
      <c r="N135" s="1" t="s">
        <v>26</v>
      </c>
      <c r="O135" s="2" t="s">
        <v>26</v>
      </c>
      <c r="P135" s="1" t="s">
        <v>26</v>
      </c>
      <c r="Q135" s="1" t="s">
        <v>26</v>
      </c>
      <c r="R135" s="1" t="s">
        <v>26</v>
      </c>
      <c r="S135" s="9">
        <v>148337040.66999999</v>
      </c>
      <c r="T135" s="10">
        <v>1.2312490974499999E-3</v>
      </c>
      <c r="U135" s="1" t="s">
        <v>26</v>
      </c>
      <c r="V135" s="1" t="s">
        <v>26</v>
      </c>
      <c r="W135" s="2" t="s">
        <v>26</v>
      </c>
      <c r="X135" s="1" t="s">
        <v>26</v>
      </c>
      <c r="Y135" s="1" t="s">
        <v>26</v>
      </c>
      <c r="Z135" s="1" t="s">
        <v>26</v>
      </c>
      <c r="AA135" s="9">
        <v>148337040.66999999</v>
      </c>
      <c r="AB135" s="10">
        <v>9.8023065435000009E-4</v>
      </c>
      <c r="AC135" s="1" t="s">
        <v>26</v>
      </c>
      <c r="AD135" s="1" t="s">
        <v>26</v>
      </c>
      <c r="AE135" s="9">
        <v>445011122.00999999</v>
      </c>
      <c r="AF135" s="10">
        <v>6.3605741256000004E-4</v>
      </c>
      <c r="AG135" s="10" t="s">
        <v>26</v>
      </c>
      <c r="AH135" s="10" t="s">
        <v>26</v>
      </c>
      <c r="AI135" s="2" t="s">
        <v>26</v>
      </c>
      <c r="AJ135" s="1" t="s">
        <v>26</v>
      </c>
      <c r="AK135" s="1" t="s">
        <v>26</v>
      </c>
      <c r="AL135" s="1" t="s">
        <v>26</v>
      </c>
      <c r="AM135" s="2" t="s">
        <v>26</v>
      </c>
      <c r="AN135" s="1" t="s">
        <v>26</v>
      </c>
      <c r="AO135" s="1" t="s">
        <v>26</v>
      </c>
      <c r="AP135" s="1" t="s">
        <v>26</v>
      </c>
      <c r="AQ135" s="2" t="s">
        <v>26</v>
      </c>
      <c r="AR135" s="1" t="s">
        <v>26</v>
      </c>
      <c r="AS135" s="1" t="s">
        <v>26</v>
      </c>
      <c r="AT135" s="1" t="s">
        <v>26</v>
      </c>
      <c r="AU135" s="2" t="s">
        <v>26</v>
      </c>
      <c r="AV135" s="1" t="s">
        <v>26</v>
      </c>
      <c r="AW135" s="1" t="s">
        <v>26</v>
      </c>
      <c r="AX135" s="1" t="s">
        <v>26</v>
      </c>
      <c r="AY135" s="9">
        <v>445011122.00999999</v>
      </c>
      <c r="AZ135" s="10">
        <v>5.6191221755999999E-4</v>
      </c>
      <c r="BA135" s="1" t="s">
        <v>26</v>
      </c>
      <c r="BB135" s="1" t="s">
        <v>26</v>
      </c>
    </row>
    <row r="136" spans="1:54" s="25" customFormat="1">
      <c r="A136" s="3" t="s">
        <v>108</v>
      </c>
      <c r="B136" s="23" t="s">
        <v>40</v>
      </c>
      <c r="C136" s="2" t="s">
        <v>26</v>
      </c>
      <c r="D136" s="1" t="s">
        <v>26</v>
      </c>
      <c r="E136" s="1" t="s">
        <v>26</v>
      </c>
      <c r="F136" s="1" t="s">
        <v>26</v>
      </c>
      <c r="G136" s="2">
        <v>148337040.66999999</v>
      </c>
      <c r="H136" s="1">
        <v>8.9980060700999996E-4</v>
      </c>
      <c r="I136" s="9" t="s">
        <v>26</v>
      </c>
      <c r="J136" s="10" t="s">
        <v>26</v>
      </c>
      <c r="K136" s="2" t="s">
        <v>26</v>
      </c>
      <c r="L136" s="1" t="s">
        <v>26</v>
      </c>
      <c r="M136" s="1" t="s">
        <v>26</v>
      </c>
      <c r="N136" s="1" t="s">
        <v>26</v>
      </c>
      <c r="O136" s="2" t="s">
        <v>26</v>
      </c>
      <c r="P136" s="1" t="s">
        <v>26</v>
      </c>
      <c r="Q136" s="1" t="s">
        <v>26</v>
      </c>
      <c r="R136" s="1" t="s">
        <v>26</v>
      </c>
      <c r="S136" s="2">
        <v>148337040.66999999</v>
      </c>
      <c r="T136" s="1">
        <v>1.2312490974499999E-3</v>
      </c>
      <c r="U136" s="1" t="s">
        <v>26</v>
      </c>
      <c r="V136" s="1" t="s">
        <v>26</v>
      </c>
      <c r="W136" s="2" t="s">
        <v>26</v>
      </c>
      <c r="X136" s="1" t="s">
        <v>26</v>
      </c>
      <c r="Y136" s="1" t="s">
        <v>26</v>
      </c>
      <c r="Z136" s="1" t="s">
        <v>26</v>
      </c>
      <c r="AA136" s="2">
        <v>148337040.66999999</v>
      </c>
      <c r="AB136" s="1">
        <v>9.8023065435000009E-4</v>
      </c>
      <c r="AC136" s="1" t="s">
        <v>26</v>
      </c>
      <c r="AD136" s="1" t="s">
        <v>26</v>
      </c>
      <c r="AE136" s="2">
        <v>445011122.00999999</v>
      </c>
      <c r="AF136" s="1">
        <v>6.3605741256000004E-4</v>
      </c>
      <c r="AG136" s="1" t="s">
        <v>26</v>
      </c>
      <c r="AH136" s="1" t="s">
        <v>26</v>
      </c>
      <c r="AI136" s="2" t="s">
        <v>26</v>
      </c>
      <c r="AJ136" s="1" t="s">
        <v>26</v>
      </c>
      <c r="AK136" s="1" t="s">
        <v>26</v>
      </c>
      <c r="AL136" s="1" t="s">
        <v>26</v>
      </c>
      <c r="AM136" s="2" t="s">
        <v>26</v>
      </c>
      <c r="AN136" s="1" t="s">
        <v>26</v>
      </c>
      <c r="AO136" s="1" t="s">
        <v>26</v>
      </c>
      <c r="AP136" s="1" t="s">
        <v>26</v>
      </c>
      <c r="AQ136" s="2" t="s">
        <v>26</v>
      </c>
      <c r="AR136" s="1" t="s">
        <v>26</v>
      </c>
      <c r="AS136" s="1" t="s">
        <v>26</v>
      </c>
      <c r="AT136" s="1" t="s">
        <v>26</v>
      </c>
      <c r="AU136" s="2" t="s">
        <v>26</v>
      </c>
      <c r="AV136" s="1" t="s">
        <v>26</v>
      </c>
      <c r="AW136" s="1" t="s">
        <v>26</v>
      </c>
      <c r="AX136" s="1" t="s">
        <v>26</v>
      </c>
      <c r="AY136" s="2">
        <v>445011122.00999999</v>
      </c>
      <c r="AZ136" s="1">
        <v>5.6191221755999999E-4</v>
      </c>
      <c r="BA136" s="1" t="s">
        <v>26</v>
      </c>
      <c r="BB136" s="1" t="s">
        <v>26</v>
      </c>
    </row>
    <row r="137" spans="1:54" s="7" customFormat="1">
      <c r="A137" s="12" t="s">
        <v>109</v>
      </c>
      <c r="B137" s="40" t="s">
        <v>25</v>
      </c>
      <c r="C137" s="42">
        <v>7330572189.1099997</v>
      </c>
      <c r="D137" s="43">
        <v>0.99970000000000003</v>
      </c>
      <c r="E137" s="43" t="s">
        <v>26</v>
      </c>
      <c r="F137" s="43" t="s">
        <v>26</v>
      </c>
      <c r="G137" s="42">
        <v>164854501241.44</v>
      </c>
      <c r="H137" s="43">
        <v>1</v>
      </c>
      <c r="I137" s="43" t="s">
        <v>26</v>
      </c>
      <c r="J137" s="43" t="s">
        <v>26</v>
      </c>
      <c r="K137" s="42">
        <v>3543782357.0500002</v>
      </c>
      <c r="L137" s="43">
        <v>0.98440000000000005</v>
      </c>
      <c r="M137" s="43" t="s">
        <v>26</v>
      </c>
      <c r="N137" s="43" t="s">
        <v>26</v>
      </c>
      <c r="O137" s="42">
        <v>245105284472.84</v>
      </c>
      <c r="P137" s="43">
        <v>1</v>
      </c>
      <c r="Q137" s="43" t="s">
        <v>26</v>
      </c>
      <c r="R137" s="43" t="s">
        <v>26</v>
      </c>
      <c r="S137" s="42">
        <v>120476498793.77</v>
      </c>
      <c r="T137" s="43">
        <v>1</v>
      </c>
      <c r="U137" s="43" t="s">
        <v>26</v>
      </c>
      <c r="V137" s="43" t="s">
        <v>26</v>
      </c>
      <c r="W137" s="42">
        <v>6936282211.2700005</v>
      </c>
      <c r="X137" s="43">
        <v>0.99939999999999996</v>
      </c>
      <c r="Y137" s="43" t="s">
        <v>26</v>
      </c>
      <c r="Z137" s="43" t="s">
        <v>26</v>
      </c>
      <c r="AA137" s="42">
        <v>151328511397.20001</v>
      </c>
      <c r="AB137" s="43">
        <v>1</v>
      </c>
      <c r="AC137" s="43" t="s">
        <v>26</v>
      </c>
      <c r="AD137" s="43" t="s">
        <v>26</v>
      </c>
      <c r="AE137" s="42">
        <v>699575432662.68005</v>
      </c>
      <c r="AF137" s="43">
        <v>0.99990000000000001</v>
      </c>
      <c r="AG137" s="43" t="s">
        <v>26</v>
      </c>
      <c r="AH137" s="43" t="s">
        <v>26</v>
      </c>
      <c r="AI137" s="42">
        <v>17939478858.82</v>
      </c>
      <c r="AJ137" s="43">
        <v>0.99990000000000001</v>
      </c>
      <c r="AK137" s="43" t="s">
        <v>26</v>
      </c>
      <c r="AL137" s="43" t="s">
        <v>26</v>
      </c>
      <c r="AM137" s="42">
        <v>24668902275.040001</v>
      </c>
      <c r="AN137" s="43">
        <v>1</v>
      </c>
      <c r="AO137" s="43" t="s">
        <v>26</v>
      </c>
      <c r="AP137" s="43" t="s">
        <v>26</v>
      </c>
      <c r="AQ137" s="42">
        <v>42608381133.860001</v>
      </c>
      <c r="AR137" s="43">
        <v>0.99990000000000001</v>
      </c>
      <c r="AS137" s="43" t="s">
        <v>26</v>
      </c>
      <c r="AT137" s="43" t="s">
        <v>26</v>
      </c>
      <c r="AU137" s="42">
        <v>49707434549.540001</v>
      </c>
      <c r="AV137" s="43">
        <v>1</v>
      </c>
      <c r="AW137" s="43" t="s">
        <v>26</v>
      </c>
      <c r="AX137" s="43" t="s">
        <v>26</v>
      </c>
      <c r="AY137" s="42">
        <v>791891248346.07996</v>
      </c>
      <c r="AZ137" s="43">
        <v>0.99990000000000001</v>
      </c>
      <c r="BA137" s="43" t="s">
        <v>26</v>
      </c>
      <c r="BB137" s="43" t="s">
        <v>26</v>
      </c>
    </row>
    <row r="138" spans="1:54" s="41" customFormat="1">
      <c r="A138" s="3" t="s">
        <v>110</v>
      </c>
      <c r="B138" s="23" t="s">
        <v>25</v>
      </c>
      <c r="C138" s="2">
        <v>2287048.16</v>
      </c>
      <c r="D138" s="1">
        <v>2.9999999999999997E-4</v>
      </c>
      <c r="E138" s="1" t="s">
        <v>26</v>
      </c>
      <c r="F138" s="1" t="s">
        <v>26</v>
      </c>
      <c r="G138" s="2">
        <v>956194.87</v>
      </c>
      <c r="H138" s="1">
        <v>0</v>
      </c>
      <c r="I138" s="9" t="s">
        <v>26</v>
      </c>
      <c r="J138" s="10" t="s">
        <v>26</v>
      </c>
      <c r="K138" s="2">
        <v>56116686.219999999</v>
      </c>
      <c r="L138" s="1">
        <v>1.5599999999999999E-2</v>
      </c>
      <c r="M138" s="9" t="s">
        <v>26</v>
      </c>
      <c r="N138" s="10" t="s">
        <v>26</v>
      </c>
      <c r="O138" s="2">
        <v>198630.62</v>
      </c>
      <c r="P138" s="1">
        <v>0</v>
      </c>
      <c r="Q138" s="9" t="s">
        <v>26</v>
      </c>
      <c r="R138" s="10" t="s">
        <v>26</v>
      </c>
      <c r="S138" s="2">
        <v>373820.98</v>
      </c>
      <c r="T138" s="1">
        <v>0</v>
      </c>
      <c r="U138" s="9" t="s">
        <v>26</v>
      </c>
      <c r="V138" s="10" t="s">
        <v>26</v>
      </c>
      <c r="W138" s="2">
        <v>4300711.9400000004</v>
      </c>
      <c r="X138" s="1">
        <v>5.9999999999999995E-4</v>
      </c>
      <c r="Y138" s="9" t="s">
        <v>26</v>
      </c>
      <c r="Z138" s="10" t="s">
        <v>26</v>
      </c>
      <c r="AA138" s="2">
        <v>198853.08</v>
      </c>
      <c r="AB138" s="1">
        <v>0</v>
      </c>
      <c r="AC138" s="9" t="s">
        <v>26</v>
      </c>
      <c r="AD138" s="10" t="s">
        <v>26</v>
      </c>
      <c r="AE138" s="2">
        <v>64431945.869999997</v>
      </c>
      <c r="AF138" s="1">
        <v>1E-4</v>
      </c>
      <c r="AG138" s="9" t="s">
        <v>26</v>
      </c>
      <c r="AH138" s="10" t="s">
        <v>26</v>
      </c>
      <c r="AI138" s="2">
        <v>2180279.9500000002</v>
      </c>
      <c r="AJ138" s="1">
        <v>1E-4</v>
      </c>
      <c r="AK138" s="9" t="s">
        <v>26</v>
      </c>
      <c r="AL138" s="10" t="s">
        <v>26</v>
      </c>
      <c r="AM138" s="2">
        <v>356663.82</v>
      </c>
      <c r="AN138" s="1">
        <v>0</v>
      </c>
      <c r="AO138" s="9" t="s">
        <v>26</v>
      </c>
      <c r="AP138" s="10" t="s">
        <v>26</v>
      </c>
      <c r="AQ138" s="2">
        <v>2536943.77</v>
      </c>
      <c r="AR138" s="1">
        <v>1E-4</v>
      </c>
      <c r="AS138" s="9" t="s">
        <v>26</v>
      </c>
      <c r="AT138" s="10" t="s">
        <v>26</v>
      </c>
      <c r="AU138" s="2">
        <v>220587.33</v>
      </c>
      <c r="AV138" s="1">
        <v>0</v>
      </c>
      <c r="AW138" s="9" t="s">
        <v>26</v>
      </c>
      <c r="AX138" s="10" t="s">
        <v>26</v>
      </c>
      <c r="AY138" s="2">
        <v>67189476.969999999</v>
      </c>
      <c r="AZ138" s="1">
        <v>1E-4</v>
      </c>
      <c r="BA138" s="9" t="s">
        <v>26</v>
      </c>
      <c r="BB138" s="10" t="s">
        <v>26</v>
      </c>
    </row>
    <row r="139" spans="1:54">
      <c r="A139" s="12" t="s">
        <v>111</v>
      </c>
      <c r="B139" s="40" t="s">
        <v>25</v>
      </c>
      <c r="C139" s="42">
        <v>7332859237.2700005</v>
      </c>
      <c r="D139" s="43">
        <v>1</v>
      </c>
      <c r="E139" s="43" t="s">
        <v>26</v>
      </c>
      <c r="F139" s="43" t="s">
        <v>26</v>
      </c>
      <c r="G139" s="42">
        <v>164855457436.31</v>
      </c>
      <c r="H139" s="43">
        <v>1</v>
      </c>
      <c r="I139" s="43" t="s">
        <v>26</v>
      </c>
      <c r="J139" s="43" t="s">
        <v>26</v>
      </c>
      <c r="K139" s="42">
        <v>3599899043.27</v>
      </c>
      <c r="L139" s="43">
        <v>1</v>
      </c>
      <c r="M139" s="43" t="s">
        <v>26</v>
      </c>
      <c r="N139" s="43" t="s">
        <v>26</v>
      </c>
      <c r="O139" s="42">
        <v>245105483103.45999</v>
      </c>
      <c r="P139" s="43">
        <v>1</v>
      </c>
      <c r="Q139" s="43" t="s">
        <v>26</v>
      </c>
      <c r="R139" s="43" t="s">
        <v>26</v>
      </c>
      <c r="S139" s="42">
        <v>120476872614.75</v>
      </c>
      <c r="T139" s="43">
        <v>1</v>
      </c>
      <c r="U139" s="43" t="s">
        <v>26</v>
      </c>
      <c r="V139" s="43" t="s">
        <v>26</v>
      </c>
      <c r="W139" s="42">
        <v>6940582923.21</v>
      </c>
      <c r="X139" s="43">
        <v>1</v>
      </c>
      <c r="Y139" s="43" t="s">
        <v>26</v>
      </c>
      <c r="Z139" s="43" t="s">
        <v>26</v>
      </c>
      <c r="AA139" s="42">
        <v>151328710250.28</v>
      </c>
      <c r="AB139" s="43">
        <v>1</v>
      </c>
      <c r="AC139" s="43" t="s">
        <v>26</v>
      </c>
      <c r="AD139" s="43" t="s">
        <v>26</v>
      </c>
      <c r="AE139" s="42">
        <v>699639864608.55005</v>
      </c>
      <c r="AF139" s="43">
        <v>1</v>
      </c>
      <c r="AG139" s="43" t="s">
        <v>26</v>
      </c>
      <c r="AH139" s="43" t="s">
        <v>26</v>
      </c>
      <c r="AI139" s="42">
        <v>17941659138.77</v>
      </c>
      <c r="AJ139" s="43">
        <v>1</v>
      </c>
      <c r="AK139" s="43" t="s">
        <v>26</v>
      </c>
      <c r="AL139" s="43" t="s">
        <v>26</v>
      </c>
      <c r="AM139" s="42">
        <v>24669258938.860001</v>
      </c>
      <c r="AN139" s="43">
        <v>1</v>
      </c>
      <c r="AO139" s="43" t="s">
        <v>26</v>
      </c>
      <c r="AP139" s="43" t="s">
        <v>26</v>
      </c>
      <c r="AQ139" s="42">
        <v>42610918077.629997</v>
      </c>
      <c r="AR139" s="43">
        <v>1</v>
      </c>
      <c r="AS139" s="43" t="s">
        <v>26</v>
      </c>
      <c r="AT139" s="43" t="s">
        <v>26</v>
      </c>
      <c r="AU139" s="42">
        <v>49707655136.870003</v>
      </c>
      <c r="AV139" s="43">
        <v>1</v>
      </c>
      <c r="AW139" s="43" t="s">
        <v>26</v>
      </c>
      <c r="AX139" s="43" t="s">
        <v>26</v>
      </c>
      <c r="AY139" s="42">
        <v>791958437823.05005</v>
      </c>
      <c r="AZ139" s="43">
        <v>1</v>
      </c>
      <c r="BA139" s="43" t="s">
        <v>26</v>
      </c>
      <c r="BB139" s="43" t="s">
        <v>26</v>
      </c>
    </row>
    <row r="140" spans="1:54">
      <c r="A140" s="24"/>
    </row>
    <row r="141" spans="1:54">
      <c r="A141" s="17" t="s">
        <v>112</v>
      </c>
      <c r="AY141" s="39"/>
    </row>
    <row r="142" spans="1:54">
      <c r="A142" s="24" t="s">
        <v>113</v>
      </c>
    </row>
    <row r="143" spans="1:54">
      <c r="A143" s="24" t="s">
        <v>114</v>
      </c>
      <c r="AY143" s="37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43"/>
  <sheetViews>
    <sheetView zoomScaleNormal="100" workbookViewId="0">
      <pane xSplit="2" ySplit="7" topLeftCell="AT124" activePane="bottomRight" state="frozen"/>
      <selection pane="topRight" activeCell="C1" sqref="C1"/>
      <selection pane="bottomLeft" activeCell="A8" sqref="A8"/>
      <selection pane="bottomRight" activeCell="A135" sqref="A135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1.7109375" style="13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129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3371845100.9099998</v>
      </c>
      <c r="D8" s="43">
        <v>0.44859261406925999</v>
      </c>
      <c r="E8" s="43" t="s">
        <v>26</v>
      </c>
      <c r="F8" s="43" t="s">
        <v>26</v>
      </c>
      <c r="G8" s="42">
        <f>+G9+G11</f>
        <v>89587715465.460007</v>
      </c>
      <c r="H8" s="43">
        <v>0.53605076616730774</v>
      </c>
      <c r="I8" s="43" t="s">
        <v>26</v>
      </c>
      <c r="J8" s="43" t="s">
        <v>26</v>
      </c>
      <c r="K8" s="42">
        <v>1117180221.72</v>
      </c>
      <c r="L8" s="43">
        <v>0.29484378791492999</v>
      </c>
      <c r="M8" s="43" t="s">
        <v>26</v>
      </c>
      <c r="N8" s="43" t="s">
        <v>26</v>
      </c>
      <c r="O8" s="42">
        <f>+O9+O11</f>
        <v>116719578728.36</v>
      </c>
      <c r="P8" s="43">
        <f>+P9+P11</f>
        <v>0.47156610787096293</v>
      </c>
      <c r="Q8" s="43" t="s">
        <v>26</v>
      </c>
      <c r="R8" s="43" t="s">
        <v>26</v>
      </c>
      <c r="S8" s="42">
        <f>+S9+S11</f>
        <v>65228377566.089996</v>
      </c>
      <c r="T8" s="43">
        <f>+T9+T11</f>
        <v>0.53550049382446196</v>
      </c>
      <c r="U8" s="43" t="s">
        <v>26</v>
      </c>
      <c r="V8" s="43" t="s">
        <v>26</v>
      </c>
      <c r="W8" s="42">
        <v>2527999343.9400001</v>
      </c>
      <c r="X8" s="43">
        <f>+X9</f>
        <v>0.35820613807800999</v>
      </c>
      <c r="Y8" s="43" t="s">
        <v>26</v>
      </c>
      <c r="Z8" s="43" t="s">
        <v>26</v>
      </c>
      <c r="AA8" s="42">
        <f>+AA9+AA11</f>
        <v>72847169967.259995</v>
      </c>
      <c r="AB8" s="43">
        <f>+AB9+AB11</f>
        <v>0.47617910252409118</v>
      </c>
      <c r="AC8" s="43" t="s">
        <v>26</v>
      </c>
      <c r="AD8" s="43" t="s">
        <v>26</v>
      </c>
      <c r="AE8" s="42">
        <f>+AE9+AE11</f>
        <v>351399866393.73999</v>
      </c>
      <c r="AF8" s="43">
        <f>+AF9+AF11</f>
        <v>0.49647157778093998</v>
      </c>
      <c r="AG8" s="43" t="s">
        <v>26</v>
      </c>
      <c r="AH8" s="43" t="s">
        <v>26</v>
      </c>
      <c r="AI8" s="42">
        <v>6991835021.0699997</v>
      </c>
      <c r="AJ8" s="43">
        <f>+AJ9</f>
        <v>0.38567775599171999</v>
      </c>
      <c r="AK8" s="43" t="s">
        <v>26</v>
      </c>
      <c r="AL8" s="43" t="s">
        <v>26</v>
      </c>
      <c r="AM8" s="42">
        <v>8491468226.4200001</v>
      </c>
      <c r="AN8" s="43">
        <f>+AN9</f>
        <v>0.34421253785794997</v>
      </c>
      <c r="AO8" s="43" t="s">
        <v>26</v>
      </c>
      <c r="AP8" s="43" t="s">
        <v>26</v>
      </c>
      <c r="AQ8" s="42">
        <v>15349790922.620001</v>
      </c>
      <c r="AR8" s="43">
        <f>+AR9</f>
        <v>0.35728404552907</v>
      </c>
      <c r="AS8" s="43" t="s">
        <v>26</v>
      </c>
      <c r="AT8" s="43" t="s">
        <v>26</v>
      </c>
      <c r="AU8" s="42">
        <v>24444117237.59</v>
      </c>
      <c r="AV8" s="43">
        <f>+AV9</f>
        <v>0.48337087043855997</v>
      </c>
      <c r="AW8" s="43" t="s">
        <v>26</v>
      </c>
      <c r="AX8" s="43" t="s">
        <v>26</v>
      </c>
      <c r="AY8" s="42">
        <f>+AY9+AY11</f>
        <v>391193774553.95001</v>
      </c>
      <c r="AZ8" s="43">
        <f>+AZ9+AZ11</f>
        <v>0.48818240458290452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3371845100.9099998</v>
      </c>
      <c r="D9" s="10">
        <v>0.44859261406925999</v>
      </c>
      <c r="E9" s="10">
        <v>0.6</v>
      </c>
      <c r="F9" s="10">
        <f>E9-D9</f>
        <v>0.15140738593073999</v>
      </c>
      <c r="G9" s="9">
        <f>+G10</f>
        <v>83619502591.860001</v>
      </c>
      <c r="H9" s="10">
        <f>G9/G139</f>
        <v>0.50033978652103772</v>
      </c>
      <c r="I9" s="10">
        <v>0.6</v>
      </c>
      <c r="J9" s="10">
        <f>I9-H9</f>
        <v>9.9660213478962256E-2</v>
      </c>
      <c r="K9" s="9">
        <v>1117180221.72</v>
      </c>
      <c r="L9" s="10">
        <v>0.29484378791492999</v>
      </c>
      <c r="M9" s="10">
        <v>0.6</v>
      </c>
      <c r="N9" s="10">
        <f>M9-L9</f>
        <v>0.30515621208506999</v>
      </c>
      <c r="O9" s="9">
        <f>+O10</f>
        <v>115133091761.96001</v>
      </c>
      <c r="P9" s="10">
        <f>+O9/O139</f>
        <v>0.46515643708051285</v>
      </c>
      <c r="Q9" s="10">
        <v>0.6</v>
      </c>
      <c r="R9" s="10">
        <f>Q9-P9</f>
        <v>0.13484356291948713</v>
      </c>
      <c r="S9" s="9">
        <f>+S10</f>
        <v>63660030711.089996</v>
      </c>
      <c r="T9" s="10">
        <f>S9/S137</f>
        <v>0.52262495488453364</v>
      </c>
      <c r="U9" s="10">
        <v>0.6</v>
      </c>
      <c r="V9" s="10">
        <f>U9-T9</f>
        <v>7.7375045115466334E-2</v>
      </c>
      <c r="W9" s="9">
        <v>2527999343.9400001</v>
      </c>
      <c r="X9" s="10">
        <v>0.35820613807800999</v>
      </c>
      <c r="Y9" s="10">
        <v>0.6</v>
      </c>
      <c r="Z9" s="10">
        <f>Y9-X9</f>
        <v>0.24179386192198998</v>
      </c>
      <c r="AA9" s="9">
        <f>AA10</f>
        <v>71462141663.259995</v>
      </c>
      <c r="AB9" s="10">
        <f>AA9/AA137</f>
        <v>0.46712560689666194</v>
      </c>
      <c r="AC9" s="10">
        <v>0.6</v>
      </c>
      <c r="AD9" s="10">
        <f>AC9-AB9</f>
        <v>0.13287439310333804</v>
      </c>
      <c r="AE9" s="9">
        <f>+AE10</f>
        <v>340891791394.73999</v>
      </c>
      <c r="AF9" s="10">
        <f>+AE9/AE139</f>
        <v>0.48162535536277767</v>
      </c>
      <c r="AG9" s="10">
        <v>0.6</v>
      </c>
      <c r="AH9" s="10">
        <f>AG9-AF9</f>
        <v>0.1183746446372223</v>
      </c>
      <c r="AI9" s="9">
        <v>6991835021.0699997</v>
      </c>
      <c r="AJ9" s="10">
        <v>0.38567775599171999</v>
      </c>
      <c r="AK9" s="10">
        <v>0.6</v>
      </c>
      <c r="AL9" s="10">
        <f>AK9-AJ9</f>
        <v>0.21432224400827998</v>
      </c>
      <c r="AM9" s="9">
        <v>8491468226.4200001</v>
      </c>
      <c r="AN9" s="10">
        <v>0.34421253785794997</v>
      </c>
      <c r="AO9" s="10">
        <v>0.6</v>
      </c>
      <c r="AP9" s="10">
        <f>AO9-AN9</f>
        <v>0.25578746214205</v>
      </c>
      <c r="AQ9" s="9">
        <v>15349790922.620001</v>
      </c>
      <c r="AR9" s="10">
        <v>0.35728404552907</v>
      </c>
      <c r="AS9" s="10">
        <v>0.6</v>
      </c>
      <c r="AT9" s="10">
        <f>AS9-AR9</f>
        <v>0.24271595447092997</v>
      </c>
      <c r="AU9" s="9">
        <v>24444117237.59</v>
      </c>
      <c r="AV9" s="10">
        <v>0.48337087043855997</v>
      </c>
      <c r="AW9" s="10">
        <v>0.6</v>
      </c>
      <c r="AX9" s="10">
        <f>AW9-AV9</f>
        <v>0.11662912956144</v>
      </c>
      <c r="AY9" s="9">
        <f>+AY10</f>
        <v>380685699554.95001</v>
      </c>
      <c r="AZ9" s="10">
        <f>+AY9/AY139</f>
        <v>0.47506906369091684</v>
      </c>
      <c r="BA9" s="10">
        <v>0.6</v>
      </c>
      <c r="BB9" s="10">
        <f>BA9-AZ9</f>
        <v>0.12493093630908314</v>
      </c>
    </row>
    <row r="10" spans="1:54" ht="17.25">
      <c r="A10" s="3" t="s">
        <v>28</v>
      </c>
      <c r="B10" s="23" t="s">
        <v>29</v>
      </c>
      <c r="C10" s="2">
        <v>3371845100.9099998</v>
      </c>
      <c r="D10" s="1">
        <v>1</v>
      </c>
      <c r="E10" s="1" t="s">
        <v>26</v>
      </c>
      <c r="F10" s="1" t="s">
        <v>26</v>
      </c>
      <c r="G10" s="2">
        <v>83619502591.860001</v>
      </c>
      <c r="H10" s="1">
        <f>+G10/G8</f>
        <v>0.93338134762571312</v>
      </c>
      <c r="I10" s="1" t="s">
        <v>26</v>
      </c>
      <c r="J10" s="1" t="s">
        <v>26</v>
      </c>
      <c r="K10" s="2">
        <v>1117180221.72</v>
      </c>
      <c r="L10" s="1">
        <v>1</v>
      </c>
      <c r="M10" s="1" t="s">
        <v>26</v>
      </c>
      <c r="N10" s="1" t="s">
        <v>26</v>
      </c>
      <c r="O10" s="2">
        <v>115133091761.96001</v>
      </c>
      <c r="P10" s="1">
        <f>+O10/O8</f>
        <v>0.98640770482823448</v>
      </c>
      <c r="Q10" s="1" t="s">
        <v>26</v>
      </c>
      <c r="R10" s="1" t="s">
        <v>26</v>
      </c>
      <c r="S10" s="2">
        <v>63660030711.089996</v>
      </c>
      <c r="T10" s="1">
        <f>+S10/S8</f>
        <v>0.97595606523539646</v>
      </c>
      <c r="U10" s="1" t="s">
        <v>26</v>
      </c>
      <c r="V10" s="1" t="s">
        <v>26</v>
      </c>
      <c r="W10" s="2">
        <v>2527999343.9400001</v>
      </c>
      <c r="X10" s="1">
        <v>1</v>
      </c>
      <c r="Y10" s="1" t="s">
        <v>26</v>
      </c>
      <c r="Z10" s="1" t="s">
        <v>26</v>
      </c>
      <c r="AA10" s="2">
        <v>71462141663.259995</v>
      </c>
      <c r="AB10" s="1">
        <f>+AA10/AA8</f>
        <v>0.9809872050675067</v>
      </c>
      <c r="AC10" s="1" t="s">
        <v>26</v>
      </c>
      <c r="AD10" s="1" t="s">
        <v>26</v>
      </c>
      <c r="AE10" s="2">
        <v>340891791394.73999</v>
      </c>
      <c r="AF10" s="1">
        <f>+AE10/AE8</f>
        <v>0.97009653103502946</v>
      </c>
      <c r="AG10" s="1" t="s">
        <v>26</v>
      </c>
      <c r="AH10" s="1" t="s">
        <v>26</v>
      </c>
      <c r="AI10" s="2">
        <v>6991835021.0699997</v>
      </c>
      <c r="AJ10" s="1">
        <v>1</v>
      </c>
      <c r="AK10" s="1" t="s">
        <v>26</v>
      </c>
      <c r="AL10" s="1" t="s">
        <v>26</v>
      </c>
      <c r="AM10" s="2">
        <v>8491468226.4200001</v>
      </c>
      <c r="AN10" s="1">
        <v>1</v>
      </c>
      <c r="AO10" s="1" t="s">
        <v>26</v>
      </c>
      <c r="AP10" s="1" t="s">
        <v>26</v>
      </c>
      <c r="AQ10" s="2">
        <v>15349790922.620001</v>
      </c>
      <c r="AR10" s="1">
        <v>1</v>
      </c>
      <c r="AS10" s="1" t="s">
        <v>26</v>
      </c>
      <c r="AT10" s="1" t="s">
        <v>26</v>
      </c>
      <c r="AU10" s="2">
        <v>24444117237.59</v>
      </c>
      <c r="AV10" s="1">
        <v>1</v>
      </c>
      <c r="AW10" s="1" t="s">
        <v>26</v>
      </c>
      <c r="AX10" s="1" t="s">
        <v>26</v>
      </c>
      <c r="AY10" s="2">
        <v>380685699554.95001</v>
      </c>
      <c r="AZ10" s="1">
        <f>+AY10/AY8</f>
        <v>0.97313844012220896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G12</f>
        <v>5968212873.6000004</v>
      </c>
      <c r="H11" s="10">
        <f>+G11/G139</f>
        <v>3.5710979646269986E-2</v>
      </c>
      <c r="I11" s="10">
        <v>0.1</v>
      </c>
      <c r="J11" s="10">
        <f>I11-H11</f>
        <v>6.428902035373002E-2</v>
      </c>
      <c r="K11" s="2" t="s">
        <v>26</v>
      </c>
      <c r="L11" s="1" t="s">
        <v>26</v>
      </c>
      <c r="M11" s="1" t="s">
        <v>26</v>
      </c>
      <c r="N11" s="1" t="s">
        <v>26</v>
      </c>
      <c r="O11" s="9">
        <f>O12</f>
        <v>1586486966.4000001</v>
      </c>
      <c r="P11" s="10">
        <f>O11/O137</f>
        <v>6.4096707904500753E-3</v>
      </c>
      <c r="Q11" s="10">
        <v>0.1</v>
      </c>
      <c r="R11" s="10">
        <f>Q11-P11</f>
        <v>9.3590329209549933E-2</v>
      </c>
      <c r="S11" s="9">
        <f>S12</f>
        <v>1568346855</v>
      </c>
      <c r="T11" s="10">
        <f>S11/S137</f>
        <v>1.287553893992837E-2</v>
      </c>
      <c r="U11" s="10">
        <v>0.1</v>
      </c>
      <c r="V11" s="10">
        <f>U11-T11</f>
        <v>8.7124461060071628E-2</v>
      </c>
      <c r="W11" s="2" t="s">
        <v>26</v>
      </c>
      <c r="X11" s="1" t="s">
        <v>26</v>
      </c>
      <c r="Y11" s="1" t="s">
        <v>26</v>
      </c>
      <c r="Z11" s="1" t="s">
        <v>26</v>
      </c>
      <c r="AA11" s="9">
        <f>AA12</f>
        <v>1385028304</v>
      </c>
      <c r="AB11" s="10">
        <f>AA11/AA137</f>
        <v>9.0534956274292543E-3</v>
      </c>
      <c r="AC11" s="10">
        <v>0.1</v>
      </c>
      <c r="AD11" s="10">
        <f>AC11-AB11</f>
        <v>9.0946504372570749E-2</v>
      </c>
      <c r="AE11" s="9">
        <f>+AE12</f>
        <v>10508074999</v>
      </c>
      <c r="AF11" s="10">
        <f>+AE11/AE139</f>
        <v>1.4846222418162297E-2</v>
      </c>
      <c r="AG11" s="10">
        <v>0.1</v>
      </c>
      <c r="AH11" s="10">
        <f>AG11-AF11</f>
        <v>8.5153777581837703E-2</v>
      </c>
      <c r="AI11" s="2" t="s">
        <v>26</v>
      </c>
      <c r="AJ11" s="1" t="s">
        <v>26</v>
      </c>
      <c r="AK11" s="1" t="s">
        <v>26</v>
      </c>
      <c r="AL11" s="1" t="s">
        <v>26</v>
      </c>
      <c r="AM11" s="2" t="s">
        <v>26</v>
      </c>
      <c r="AN11" s="1" t="s">
        <v>26</v>
      </c>
      <c r="AO11" s="1" t="s">
        <v>26</v>
      </c>
      <c r="AP11" s="1" t="s">
        <v>26</v>
      </c>
      <c r="AQ11" s="2" t="s">
        <v>26</v>
      </c>
      <c r="AR11" s="1" t="s">
        <v>26</v>
      </c>
      <c r="AS11" s="1" t="s">
        <v>26</v>
      </c>
      <c r="AT11" s="1" t="s">
        <v>26</v>
      </c>
      <c r="AU11" s="2" t="s">
        <v>26</v>
      </c>
      <c r="AV11" s="1" t="s">
        <v>26</v>
      </c>
      <c r="AW11" s="1" t="s">
        <v>26</v>
      </c>
      <c r="AX11" s="1" t="s">
        <v>26</v>
      </c>
      <c r="AY11" s="9">
        <f>+AY12</f>
        <v>10508074999</v>
      </c>
      <c r="AZ11" s="10">
        <f>+AY11/AY139</f>
        <v>1.3113340891987679E-2</v>
      </c>
      <c r="BA11" s="10">
        <v>0.1</v>
      </c>
      <c r="BB11" s="10">
        <f>+BA11-AZ11</f>
        <v>8.6886659108012326E-2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5968212873.6000004</v>
      </c>
      <c r="H12" s="1">
        <f>+G12/G8</f>
        <v>6.6618652374286838E-2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1586486966.4000001</v>
      </c>
      <c r="P12" s="1">
        <f>+O12/O8</f>
        <v>1.359229517176558E-2</v>
      </c>
      <c r="Q12" s="1" t="s">
        <v>26</v>
      </c>
      <c r="R12" s="1" t="s">
        <v>26</v>
      </c>
      <c r="S12" s="2">
        <v>1568346855</v>
      </c>
      <c r="T12" s="1">
        <f>+S12/S8</f>
        <v>2.4043934764603588E-2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1385028304</v>
      </c>
      <c r="AB12" s="1">
        <f>+AA12/AA8</f>
        <v>1.9012794932493315E-2</v>
      </c>
      <c r="AC12" s="1" t="s">
        <v>26</v>
      </c>
      <c r="AD12" s="1" t="s">
        <v>26</v>
      </c>
      <c r="AE12" s="2">
        <v>10508074999</v>
      </c>
      <c r="AF12" s="1">
        <f>+AE12/AE10</f>
        <v>3.0825250898552852E-2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10508074999</v>
      </c>
      <c r="AZ12" s="1">
        <f>+AY12/AY8</f>
        <v>2.6861559877790996E-2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2482118509.5100002</v>
      </c>
      <c r="D13" s="43">
        <v>0.33022277040849002</v>
      </c>
      <c r="E13" s="43" t="s">
        <v>26</v>
      </c>
      <c r="F13" s="43" t="s">
        <v>26</v>
      </c>
      <c r="G13" s="42">
        <v>52987267662.959999</v>
      </c>
      <c r="H13" s="43">
        <v>0.31705089565312999</v>
      </c>
      <c r="I13" s="43" t="s">
        <v>26</v>
      </c>
      <c r="J13" s="43" t="s">
        <v>26</v>
      </c>
      <c r="K13" s="42">
        <v>1003500025.41</v>
      </c>
      <c r="L13" s="43">
        <v>0.26484155636867002</v>
      </c>
      <c r="M13" s="43" t="s">
        <v>26</v>
      </c>
      <c r="N13" s="43" t="s">
        <v>26</v>
      </c>
      <c r="O13" s="42">
        <v>70556475264.529999</v>
      </c>
      <c r="P13" s="43">
        <v>0.28505964831434999</v>
      </c>
      <c r="Q13" s="43" t="s">
        <v>26</v>
      </c>
      <c r="R13" s="43" t="s">
        <v>26</v>
      </c>
      <c r="S13" s="42">
        <v>36275921005.529999</v>
      </c>
      <c r="T13" s="43" t="s">
        <v>26</v>
      </c>
      <c r="U13" s="43" t="s">
        <v>26</v>
      </c>
      <c r="V13" s="43" t="s">
        <v>26</v>
      </c>
      <c r="W13" s="42">
        <v>3337892320.5300002</v>
      </c>
      <c r="X13" s="43" t="s">
        <v>26</v>
      </c>
      <c r="Y13" s="43" t="s">
        <v>26</v>
      </c>
      <c r="Z13" s="43" t="s">
        <v>26</v>
      </c>
      <c r="AA13" s="42">
        <v>51380379125.169998</v>
      </c>
      <c r="AB13" s="43">
        <v>0.33585699505552002</v>
      </c>
      <c r="AC13" s="43" t="s">
        <v>26</v>
      </c>
      <c r="AD13" s="43" t="s">
        <v>26</v>
      </c>
      <c r="AE13" s="42">
        <v>218023553913.64001</v>
      </c>
      <c r="AF13" s="43">
        <v>0.30803226795660998</v>
      </c>
      <c r="AG13" s="43" t="s">
        <v>26</v>
      </c>
      <c r="AH13" s="43" t="s">
        <v>26</v>
      </c>
      <c r="AI13" s="42">
        <v>8929696112.3500004</v>
      </c>
      <c r="AJ13" s="43">
        <v>0.49257242882885999</v>
      </c>
      <c r="AK13" s="43" t="s">
        <v>26</v>
      </c>
      <c r="AL13" s="43" t="s">
        <v>26</v>
      </c>
      <c r="AM13" s="42">
        <v>12280697833.209999</v>
      </c>
      <c r="AN13" s="43">
        <v>0.49781381206651998</v>
      </c>
      <c r="AO13" s="43" t="s">
        <v>26</v>
      </c>
      <c r="AP13" s="43" t="s">
        <v>26</v>
      </c>
      <c r="AQ13" s="42">
        <v>21181473445.860001</v>
      </c>
      <c r="AR13" s="43">
        <v>0.49302316631891002</v>
      </c>
      <c r="AS13" s="43" t="s">
        <v>25</v>
      </c>
      <c r="AT13" s="43" t="s">
        <v>25</v>
      </c>
      <c r="AU13" s="42">
        <v>18536423423.02</v>
      </c>
      <c r="AV13" s="43">
        <v>0.36654901617900998</v>
      </c>
      <c r="AW13" s="43" t="s">
        <v>26</v>
      </c>
      <c r="AX13" s="43" t="s">
        <v>26</v>
      </c>
      <c r="AY13" s="42">
        <v>257741450782.51999</v>
      </c>
      <c r="AZ13" s="43">
        <v>0.32164326067603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2482118509.5100002</v>
      </c>
      <c r="D14" s="10">
        <v>0.33022277040849002</v>
      </c>
      <c r="E14" s="49">
        <v>0.5</v>
      </c>
      <c r="F14" s="10">
        <v>0.16980000000000001</v>
      </c>
      <c r="G14" s="9">
        <v>52987267662.959999</v>
      </c>
      <c r="H14" s="10">
        <v>0.31705089565312999</v>
      </c>
      <c r="I14" s="10">
        <v>0.5</v>
      </c>
      <c r="J14" s="10">
        <v>0.18290000000000001</v>
      </c>
      <c r="K14" s="9">
        <v>1003500025.41</v>
      </c>
      <c r="L14" s="10">
        <v>0.26484155636867002</v>
      </c>
      <c r="M14" s="10">
        <v>0.5</v>
      </c>
      <c r="N14" s="10">
        <v>0.23519999999999999</v>
      </c>
      <c r="O14" s="9">
        <v>70556475264.529999</v>
      </c>
      <c r="P14" s="10">
        <v>0.28505964831434999</v>
      </c>
      <c r="Q14" s="10">
        <v>0.5</v>
      </c>
      <c r="R14" s="10">
        <v>0.21490000000000001</v>
      </c>
      <c r="S14" s="9">
        <v>36275921005.529999</v>
      </c>
      <c r="T14" s="10">
        <v>0.29781114838264</v>
      </c>
      <c r="U14" s="10">
        <v>0.5</v>
      </c>
      <c r="V14" s="10">
        <v>0.20219999999999999</v>
      </c>
      <c r="W14" s="9">
        <v>3337892320.5300002</v>
      </c>
      <c r="X14" s="10">
        <v>0.47296433059741999</v>
      </c>
      <c r="Y14" s="10">
        <v>0.5</v>
      </c>
      <c r="Z14" s="10">
        <v>2.7E-2</v>
      </c>
      <c r="AA14" s="9">
        <v>51380379125.169998</v>
      </c>
      <c r="AB14" s="10">
        <v>0.33585699505552002</v>
      </c>
      <c r="AC14" s="10">
        <v>0.5</v>
      </c>
      <c r="AD14" s="10">
        <v>0.1641</v>
      </c>
      <c r="AE14" s="9">
        <v>218023553913.64001</v>
      </c>
      <c r="AF14" s="10">
        <v>0.30803226795660998</v>
      </c>
      <c r="AG14" s="10">
        <v>0.5</v>
      </c>
      <c r="AH14" s="10">
        <v>0.192</v>
      </c>
      <c r="AI14" s="9">
        <v>8929696112.3500004</v>
      </c>
      <c r="AJ14" s="10">
        <v>0.49257242882885999</v>
      </c>
      <c r="AK14" s="10">
        <v>0.5</v>
      </c>
      <c r="AL14" s="10">
        <v>7.4000000000000003E-3</v>
      </c>
      <c r="AM14" s="9">
        <v>12280697833.209999</v>
      </c>
      <c r="AN14" s="10">
        <v>0.49781381206651998</v>
      </c>
      <c r="AO14" s="10">
        <v>0.5</v>
      </c>
      <c r="AP14" s="10">
        <v>2.2000000000000001E-3</v>
      </c>
      <c r="AQ14" s="9">
        <v>21181473445.860001</v>
      </c>
      <c r="AR14" s="10">
        <v>0.49302316631891002</v>
      </c>
      <c r="AS14" s="10">
        <v>0.5</v>
      </c>
      <c r="AT14" s="10">
        <v>7.0000000000000001E-3</v>
      </c>
      <c r="AU14" s="9">
        <v>18536423423.02</v>
      </c>
      <c r="AV14" s="10">
        <v>0.36654901617900998</v>
      </c>
      <c r="AW14" s="10">
        <v>0.5</v>
      </c>
      <c r="AX14" s="10">
        <v>0.13350000000000001</v>
      </c>
      <c r="AY14" s="9">
        <v>257741450782.51999</v>
      </c>
      <c r="AZ14" s="10">
        <v>0.32164326067603</v>
      </c>
      <c r="BA14" s="1" t="s">
        <v>26</v>
      </c>
      <c r="BB14" s="1" t="s">
        <v>26</v>
      </c>
    </row>
    <row r="15" spans="1:54" s="7" customFormat="1">
      <c r="A15" s="3" t="s">
        <v>33</v>
      </c>
      <c r="B15" s="23" t="s">
        <v>29</v>
      </c>
      <c r="C15" s="2">
        <v>716180601.04999995</v>
      </c>
      <c r="D15" s="1">
        <v>0.28853602207389001</v>
      </c>
      <c r="E15" s="9" t="s">
        <v>26</v>
      </c>
      <c r="F15" s="10" t="s">
        <v>26</v>
      </c>
      <c r="G15" s="2">
        <v>17148339390.889999</v>
      </c>
      <c r="H15" s="1">
        <v>0.32363132026295</v>
      </c>
      <c r="I15" s="9" t="s">
        <v>25</v>
      </c>
      <c r="J15" s="10" t="s">
        <v>25</v>
      </c>
      <c r="K15" s="2">
        <v>257944466.03</v>
      </c>
      <c r="L15" s="1">
        <v>0.25704480268907998</v>
      </c>
      <c r="M15" s="1" t="s">
        <v>26</v>
      </c>
      <c r="N15" s="1" t="s">
        <v>26</v>
      </c>
      <c r="O15" s="2">
        <v>18778370235.5</v>
      </c>
      <c r="P15" s="1">
        <v>0.26614666003505</v>
      </c>
      <c r="Q15" s="1" t="s">
        <v>26</v>
      </c>
      <c r="R15" s="1" t="s">
        <v>26</v>
      </c>
      <c r="S15" s="2">
        <v>10845450098.280001</v>
      </c>
      <c r="T15" s="1">
        <v>0.29897104739606001</v>
      </c>
      <c r="U15" s="1" t="s">
        <v>26</v>
      </c>
      <c r="V15" s="1" t="s">
        <v>26</v>
      </c>
      <c r="W15" s="2">
        <v>1164693817.47</v>
      </c>
      <c r="X15" s="1">
        <v>0.34893091377048002</v>
      </c>
      <c r="Y15" s="1" t="s">
        <v>26</v>
      </c>
      <c r="Z15" s="1" t="s">
        <v>26</v>
      </c>
      <c r="AA15" s="2">
        <v>18446179476.299999</v>
      </c>
      <c r="AB15" s="1">
        <v>0.35901213245940999</v>
      </c>
      <c r="AC15" s="1" t="s">
        <v>26</v>
      </c>
      <c r="AD15" s="1" t="s">
        <v>26</v>
      </c>
      <c r="AE15" s="2">
        <v>67357158085.519997</v>
      </c>
      <c r="AF15" s="1">
        <v>0.30894440933754003</v>
      </c>
      <c r="AG15" s="1" t="s">
        <v>26</v>
      </c>
      <c r="AH15" s="1" t="s">
        <v>26</v>
      </c>
      <c r="AI15" s="2">
        <v>2037725424.1800001</v>
      </c>
      <c r="AJ15" s="1">
        <v>0.22819650283078999</v>
      </c>
      <c r="AK15" s="1" t="s">
        <v>26</v>
      </c>
      <c r="AL15" s="1" t="s">
        <v>26</v>
      </c>
      <c r="AM15" s="2">
        <v>6339898383.5299997</v>
      </c>
      <c r="AN15" s="1">
        <v>0.51624903320927995</v>
      </c>
      <c r="AO15" s="1" t="s">
        <v>26</v>
      </c>
      <c r="AP15" s="1" t="s">
        <v>26</v>
      </c>
      <c r="AQ15" s="2">
        <v>8428548695.3500004</v>
      </c>
      <c r="AR15" s="1">
        <v>0.39792079228546001</v>
      </c>
      <c r="AS15" s="1" t="s">
        <v>25</v>
      </c>
      <c r="AT15" s="1" t="s">
        <v>25</v>
      </c>
      <c r="AU15" s="2">
        <v>7807738422.9700003</v>
      </c>
      <c r="AV15" s="1">
        <v>0.42121062109931001</v>
      </c>
      <c r="AW15" s="1" t="s">
        <v>26</v>
      </c>
      <c r="AX15" s="1" t="s">
        <v>26</v>
      </c>
      <c r="AY15" s="2">
        <v>83593445203.839996</v>
      </c>
      <c r="AZ15" s="1">
        <v>0.32433062260667</v>
      </c>
      <c r="BA15" s="1" t="s">
        <v>26</v>
      </c>
      <c r="BB15" s="1" t="s">
        <v>26</v>
      </c>
    </row>
    <row r="16" spans="1:54" s="25" customFormat="1">
      <c r="A16" s="3" t="s">
        <v>34</v>
      </c>
      <c r="B16" s="23" t="s">
        <v>35</v>
      </c>
      <c r="C16" s="9" t="s">
        <v>26</v>
      </c>
      <c r="D16" s="10" t="s">
        <v>26</v>
      </c>
      <c r="E16" s="9" t="s">
        <v>26</v>
      </c>
      <c r="F16" s="10" t="s">
        <v>26</v>
      </c>
      <c r="G16" s="2">
        <v>3545900052.02</v>
      </c>
      <c r="H16" s="1">
        <v>6.6919850907859998E-2</v>
      </c>
      <c r="I16" s="9" t="s">
        <v>25</v>
      </c>
      <c r="J16" s="10" t="s">
        <v>25</v>
      </c>
      <c r="K16" s="2">
        <v>58159846.5</v>
      </c>
      <c r="L16" s="1">
        <v>5.7956995542909999E-2</v>
      </c>
      <c r="M16" s="1" t="s">
        <v>26</v>
      </c>
      <c r="N16" s="1" t="s">
        <v>26</v>
      </c>
      <c r="O16" s="2">
        <v>3876216361.4000001</v>
      </c>
      <c r="P16" s="1">
        <v>5.4937783482910001E-2</v>
      </c>
      <c r="Q16" s="1" t="s">
        <v>26</v>
      </c>
      <c r="R16" s="1" t="s">
        <v>26</v>
      </c>
      <c r="S16" s="2">
        <v>149406193.5</v>
      </c>
      <c r="T16" s="1">
        <v>4.1186051065999997E-3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10799758587.459999</v>
      </c>
      <c r="AB16" s="1">
        <v>0.21019227127831</v>
      </c>
      <c r="AC16" s="1" t="s">
        <v>26</v>
      </c>
      <c r="AD16" s="1" t="s">
        <v>26</v>
      </c>
      <c r="AE16" s="2">
        <v>18429441040.880001</v>
      </c>
      <c r="AF16" s="1">
        <v>8.4529587331560005E-2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993752757.25</v>
      </c>
      <c r="AN16" s="1">
        <v>8.091989321345E-2</v>
      </c>
      <c r="AO16" s="1" t="s">
        <v>26</v>
      </c>
      <c r="AP16" s="1" t="s">
        <v>26</v>
      </c>
      <c r="AQ16" s="2">
        <v>967086689.55999994</v>
      </c>
      <c r="AR16" s="1">
        <v>4.565719623009E-2</v>
      </c>
      <c r="AS16" s="1" t="s">
        <v>25</v>
      </c>
      <c r="AT16" s="1" t="s">
        <v>25</v>
      </c>
      <c r="AU16" s="2">
        <v>597624774</v>
      </c>
      <c r="AV16" s="1">
        <v>3.2240565526669998E-2</v>
      </c>
      <c r="AW16" s="1" t="s">
        <v>26</v>
      </c>
      <c r="AX16" s="1" t="s">
        <v>26</v>
      </c>
      <c r="AY16" s="2">
        <v>19994152504.439999</v>
      </c>
      <c r="AZ16" s="1">
        <v>7.7574454724830003E-2</v>
      </c>
      <c r="BA16" s="1" t="s">
        <v>26</v>
      </c>
      <c r="BB16" s="1" t="s">
        <v>26</v>
      </c>
    </row>
    <row r="17" spans="1:55" s="7" customFormat="1">
      <c r="A17" s="3" t="s">
        <v>36</v>
      </c>
      <c r="B17" s="23" t="s">
        <v>29</v>
      </c>
      <c r="C17" s="2">
        <v>1765937908.46</v>
      </c>
      <c r="D17" s="1">
        <v>0.71146397792611005</v>
      </c>
      <c r="E17" s="9" t="s">
        <v>26</v>
      </c>
      <c r="F17" s="10" t="s">
        <v>26</v>
      </c>
      <c r="G17" s="2">
        <v>32293028220.049999</v>
      </c>
      <c r="H17" s="1">
        <v>0.60944882882919005</v>
      </c>
      <c r="I17" s="9" t="s">
        <v>25</v>
      </c>
      <c r="J17" s="10" t="s">
        <v>25</v>
      </c>
      <c r="K17" s="2">
        <v>687395712.88</v>
      </c>
      <c r="L17" s="1">
        <v>0.68499820176800996</v>
      </c>
      <c r="M17" s="1" t="s">
        <v>26</v>
      </c>
      <c r="N17" s="1" t="s">
        <v>26</v>
      </c>
      <c r="O17" s="2">
        <v>47901888667.629997</v>
      </c>
      <c r="P17" s="1">
        <v>0.67891555648204005</v>
      </c>
      <c r="Q17" s="1" t="s">
        <v>26</v>
      </c>
      <c r="R17" s="1" t="s">
        <v>26</v>
      </c>
      <c r="S17" s="2">
        <v>25281064713.75</v>
      </c>
      <c r="T17" s="1">
        <v>0.69691034749734004</v>
      </c>
      <c r="U17" s="1" t="s">
        <v>26</v>
      </c>
      <c r="V17" s="1" t="s">
        <v>26</v>
      </c>
      <c r="W17" s="2">
        <v>2173198503.0599999</v>
      </c>
      <c r="X17" s="1">
        <v>0.65106908622951998</v>
      </c>
      <c r="Y17" s="1" t="s">
        <v>26</v>
      </c>
      <c r="Z17" s="1" t="s">
        <v>26</v>
      </c>
      <c r="AA17" s="2">
        <v>22134441061.41</v>
      </c>
      <c r="AB17" s="1">
        <v>0.43079559626229003</v>
      </c>
      <c r="AC17" s="1" t="s">
        <v>26</v>
      </c>
      <c r="AD17" s="1" t="s">
        <v>26</v>
      </c>
      <c r="AE17" s="2">
        <v>132236954787.24001</v>
      </c>
      <c r="AF17" s="1">
        <v>0.60652600333090001</v>
      </c>
      <c r="AG17" s="1" t="s">
        <v>26</v>
      </c>
      <c r="AH17" s="1" t="s">
        <v>26</v>
      </c>
      <c r="AI17" s="2">
        <v>6891970688.1700001</v>
      </c>
      <c r="AJ17" s="1">
        <v>0.77180349716921004</v>
      </c>
      <c r="AK17" s="1" t="s">
        <v>26</v>
      </c>
      <c r="AL17" s="1" t="s">
        <v>26</v>
      </c>
      <c r="AM17" s="2">
        <v>4947046692.4300003</v>
      </c>
      <c r="AN17" s="1">
        <v>0.40283107357726999</v>
      </c>
      <c r="AO17" s="1" t="s">
        <v>26</v>
      </c>
      <c r="AP17" s="1" t="s">
        <v>26</v>
      </c>
      <c r="AQ17" s="2">
        <v>11785838060.950001</v>
      </c>
      <c r="AR17" s="1">
        <v>0.55642201148446002</v>
      </c>
      <c r="AS17" s="1" t="s">
        <v>25</v>
      </c>
      <c r="AT17" s="1" t="s">
        <v>25</v>
      </c>
      <c r="AU17" s="2">
        <v>10131060226.049999</v>
      </c>
      <c r="AV17" s="1">
        <v>0.54654881337401995</v>
      </c>
      <c r="AW17" s="1" t="s">
        <v>26</v>
      </c>
      <c r="AX17" s="1" t="s">
        <v>26</v>
      </c>
      <c r="AY17" s="2">
        <v>154153853074.23999</v>
      </c>
      <c r="AZ17" s="1">
        <v>0.59809492266851005</v>
      </c>
      <c r="BA17" s="1" t="s">
        <v>26</v>
      </c>
      <c r="BB17" s="1" t="s">
        <v>26</v>
      </c>
    </row>
    <row r="18" spans="1:55" s="28" customFormat="1">
      <c r="A18" s="12" t="s">
        <v>37</v>
      </c>
      <c r="B18" s="40" t="s">
        <v>25</v>
      </c>
      <c r="C18" s="42">
        <v>323009956.88999999</v>
      </c>
      <c r="D18" s="43">
        <v>4.2973469004429998E-2</v>
      </c>
      <c r="E18" s="43" t="s">
        <v>26</v>
      </c>
      <c r="F18" s="43" t="s">
        <v>26</v>
      </c>
      <c r="G18" s="42">
        <v>7041214977.8000002</v>
      </c>
      <c r="H18" s="43">
        <v>4.2131319723780002E-2</v>
      </c>
      <c r="I18" s="43" t="s">
        <v>26</v>
      </c>
      <c r="J18" s="43" t="s">
        <v>26</v>
      </c>
      <c r="K18" s="42">
        <v>565421848.51999998</v>
      </c>
      <c r="L18" s="43">
        <v>0.14922491138523</v>
      </c>
      <c r="M18" s="43" t="s">
        <v>26</v>
      </c>
      <c r="N18" s="43" t="s">
        <v>26</v>
      </c>
      <c r="O18" s="42">
        <v>16777076750.02</v>
      </c>
      <c r="P18" s="43">
        <v>6.7782121770869994E-2</v>
      </c>
      <c r="Q18" s="43" t="s">
        <v>26</v>
      </c>
      <c r="R18" s="43" t="s">
        <v>26</v>
      </c>
      <c r="S18" s="42">
        <v>4893576323.1099997</v>
      </c>
      <c r="T18" s="43">
        <v>4.0174351031950002E-2</v>
      </c>
      <c r="U18" s="43" t="s">
        <v>26</v>
      </c>
      <c r="V18" s="43" t="s">
        <v>26</v>
      </c>
      <c r="W18" s="42">
        <v>1136697007.25</v>
      </c>
      <c r="X18" s="43">
        <v>0.16106485395572001</v>
      </c>
      <c r="Y18" s="43" t="s">
        <v>26</v>
      </c>
      <c r="Z18" s="43" t="s">
        <v>26</v>
      </c>
      <c r="AA18" s="42">
        <v>13897802919.26</v>
      </c>
      <c r="AB18" s="43">
        <v>9.0845462914260003E-2</v>
      </c>
      <c r="AC18" s="43" t="s">
        <v>26</v>
      </c>
      <c r="AD18" s="43" t="s">
        <v>26</v>
      </c>
      <c r="AE18" s="42">
        <v>44634799782.849998</v>
      </c>
      <c r="AF18" s="43">
        <v>6.3061803920260007E-2</v>
      </c>
      <c r="AG18" s="43" t="s">
        <v>26</v>
      </c>
      <c r="AH18" s="43" t="s">
        <v>26</v>
      </c>
      <c r="AI18" s="42">
        <v>1040591491.95</v>
      </c>
      <c r="AJ18" s="43">
        <v>5.7400237607139998E-2</v>
      </c>
      <c r="AK18" s="43" t="s">
        <v>26</v>
      </c>
      <c r="AL18" s="43" t="s">
        <v>26</v>
      </c>
      <c r="AM18" s="42">
        <v>1487703407.9400001</v>
      </c>
      <c r="AN18" s="43">
        <v>6.0305962640670001E-2</v>
      </c>
      <c r="AO18" s="43" t="s">
        <v>26</v>
      </c>
      <c r="AP18" s="43" t="s">
        <v>26</v>
      </c>
      <c r="AQ18" s="42">
        <v>2847818388.5799999</v>
      </c>
      <c r="AR18" s="43">
        <v>6.6286249756310006E-2</v>
      </c>
      <c r="AS18" s="43" t="s">
        <v>25</v>
      </c>
      <c r="AT18" s="43" t="s">
        <v>25</v>
      </c>
      <c r="AU18" s="42">
        <v>3104048969.5</v>
      </c>
      <c r="AV18" s="43">
        <v>6.138110195134E-2</v>
      </c>
      <c r="AW18" s="43" t="s">
        <v>26</v>
      </c>
      <c r="AX18" s="43" t="s">
        <v>26</v>
      </c>
      <c r="AY18" s="42">
        <v>50586667140.93</v>
      </c>
      <c r="AZ18" s="43">
        <v>6.3128614029840005E-2</v>
      </c>
      <c r="BA18" s="43" t="s">
        <v>26</v>
      </c>
      <c r="BB18" s="43" t="s">
        <v>26</v>
      </c>
    </row>
    <row r="19" spans="1:55" s="7" customFormat="1">
      <c r="A19" s="5" t="s">
        <v>38</v>
      </c>
      <c r="B19" s="20" t="s">
        <v>25</v>
      </c>
      <c r="C19" s="9">
        <v>7108453.2199999997</v>
      </c>
      <c r="D19" s="10">
        <v>9.4571355341999998E-4</v>
      </c>
      <c r="E19" s="10">
        <v>0.15</v>
      </c>
      <c r="F19" s="10">
        <v>0.14910000000000001</v>
      </c>
      <c r="G19" s="9">
        <v>2049398955.46</v>
      </c>
      <c r="H19" s="10">
        <v>1.2262639744179999E-2</v>
      </c>
      <c r="I19" s="10">
        <v>0.15</v>
      </c>
      <c r="J19" s="10">
        <v>0.13769999999999999</v>
      </c>
      <c r="K19" s="2" t="s">
        <v>26</v>
      </c>
      <c r="L19" s="1" t="s">
        <v>26</v>
      </c>
      <c r="M19" s="1" t="s">
        <v>26</v>
      </c>
      <c r="N19" s="1" t="s">
        <v>26</v>
      </c>
      <c r="O19" s="9">
        <v>7661463062.5</v>
      </c>
      <c r="P19" s="10">
        <v>3.095355823801E-2</v>
      </c>
      <c r="Q19" s="10">
        <v>0.1421</v>
      </c>
      <c r="R19" s="10">
        <v>0.1111</v>
      </c>
      <c r="S19" s="9">
        <v>1465033846.74</v>
      </c>
      <c r="T19" s="10">
        <v>1.2027355894029999E-2</v>
      </c>
      <c r="U19" s="10">
        <v>0.05</v>
      </c>
      <c r="V19" s="10">
        <v>3.7999999999999999E-2</v>
      </c>
      <c r="W19" s="9">
        <v>105410664.81999999</v>
      </c>
      <c r="X19" s="10">
        <v>1.49362171505E-2</v>
      </c>
      <c r="Y19" s="10">
        <v>0.15</v>
      </c>
      <c r="Z19" s="10">
        <v>0.1351</v>
      </c>
      <c r="AA19" s="9">
        <v>4517223767.8800001</v>
      </c>
      <c r="AB19" s="10">
        <v>2.9527637329759999E-2</v>
      </c>
      <c r="AC19" s="10">
        <v>0.13669999999999999</v>
      </c>
      <c r="AD19" s="10">
        <v>0.1072</v>
      </c>
      <c r="AE19" s="9">
        <v>15805638750.620001</v>
      </c>
      <c r="AF19" s="10">
        <v>2.2330829231339999E-2</v>
      </c>
      <c r="AG19" s="10">
        <v>0.1414</v>
      </c>
      <c r="AH19" s="10">
        <v>0.1191</v>
      </c>
      <c r="AI19" s="9">
        <v>569520281.00999999</v>
      </c>
      <c r="AJ19" s="10">
        <v>3.1415401437499997E-2</v>
      </c>
      <c r="AK19" s="10">
        <v>0.05</v>
      </c>
      <c r="AL19" s="10">
        <v>1.8599999999999998E-2</v>
      </c>
      <c r="AM19" s="2" t="s">
        <v>26</v>
      </c>
      <c r="AN19" s="1" t="s">
        <v>26</v>
      </c>
      <c r="AO19" s="1" t="s">
        <v>26</v>
      </c>
      <c r="AP19" s="1" t="s">
        <v>26</v>
      </c>
      <c r="AQ19" s="2">
        <v>569520281.00999999</v>
      </c>
      <c r="AR19" s="1">
        <v>1.3256239842999999E-2</v>
      </c>
      <c r="AS19" s="1">
        <v>0.14050000000000001</v>
      </c>
      <c r="AT19" s="1">
        <v>0.12720000000000001</v>
      </c>
      <c r="AU19" s="9">
        <v>1008542030.9400001</v>
      </c>
      <c r="AV19" s="10">
        <v>1.994344220456E-2</v>
      </c>
      <c r="AW19" s="10">
        <v>0.05</v>
      </c>
      <c r="AX19" s="10">
        <v>3.0099999999999998E-2</v>
      </c>
      <c r="AY19" s="9">
        <v>17383701062.57</v>
      </c>
      <c r="AZ19" s="10">
        <v>2.1693640178580002E-2</v>
      </c>
      <c r="BA19" s="10">
        <v>0.14130000000000001</v>
      </c>
      <c r="BB19" s="10">
        <v>0.1196</v>
      </c>
    </row>
    <row r="20" spans="1:55" s="7" customFormat="1">
      <c r="A20" s="3" t="s">
        <v>39</v>
      </c>
      <c r="B20" s="23" t="s">
        <v>40</v>
      </c>
      <c r="C20" s="9" t="s">
        <v>26</v>
      </c>
      <c r="D20" s="10" t="s">
        <v>26</v>
      </c>
      <c r="E20" s="9" t="s">
        <v>26</v>
      </c>
      <c r="F20" s="10" t="s">
        <v>26</v>
      </c>
      <c r="G20" s="9" t="s">
        <v>26</v>
      </c>
      <c r="H20" s="10" t="s">
        <v>26</v>
      </c>
      <c r="I20" s="9" t="s">
        <v>26</v>
      </c>
      <c r="J20" s="10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4017876800</v>
      </c>
      <c r="P20" s="1">
        <v>0.52442683169301996</v>
      </c>
      <c r="Q20" s="1" t="s">
        <v>26</v>
      </c>
      <c r="R20" s="1" t="s">
        <v>26</v>
      </c>
      <c r="S20" s="2">
        <v>990406631.20000005</v>
      </c>
      <c r="T20" s="1">
        <v>0.67602986333991999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4017876800</v>
      </c>
      <c r="AB20" s="1">
        <v>0.88945711048661003</v>
      </c>
      <c r="AC20" s="1" t="s">
        <v>26</v>
      </c>
      <c r="AD20" s="1" t="s">
        <v>26</v>
      </c>
      <c r="AE20" s="2">
        <v>9026160231.2000008</v>
      </c>
      <c r="AF20" s="1">
        <v>0.5710721580832</v>
      </c>
      <c r="AG20" s="1" t="s">
        <v>26</v>
      </c>
      <c r="AH20" s="1" t="s">
        <v>26</v>
      </c>
      <c r="AI20" s="2">
        <v>359599973.60000002</v>
      </c>
      <c r="AJ20" s="1">
        <v>0.63140854784359002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359599973.60000002</v>
      </c>
      <c r="AR20" s="1">
        <v>0.63140854784359002</v>
      </c>
      <c r="AS20" s="1" t="s">
        <v>25</v>
      </c>
      <c r="AT20" s="1" t="s">
        <v>25</v>
      </c>
      <c r="AU20" s="2">
        <v>641855818.79999995</v>
      </c>
      <c r="AV20" s="1">
        <v>0.63641950370849998</v>
      </c>
      <c r="AW20" s="1" t="s">
        <v>26</v>
      </c>
      <c r="AX20" s="1" t="s">
        <v>26</v>
      </c>
      <c r="AY20" s="2">
        <v>10027616023.6</v>
      </c>
      <c r="AZ20" s="1">
        <v>0.57684010945121</v>
      </c>
      <c r="BA20" s="1" t="s">
        <v>26</v>
      </c>
      <c r="BB20" s="1" t="s">
        <v>26</v>
      </c>
    </row>
    <row r="21" spans="1:55" s="25" customFormat="1">
      <c r="A21" s="3" t="s">
        <v>41</v>
      </c>
      <c r="B21" s="23" t="s">
        <v>35</v>
      </c>
      <c r="C21" s="2">
        <v>7108453.2199999997</v>
      </c>
      <c r="D21" s="1">
        <v>1</v>
      </c>
      <c r="E21" s="9" t="s">
        <v>26</v>
      </c>
      <c r="F21" s="10" t="s">
        <v>26</v>
      </c>
      <c r="G21" s="2">
        <v>2049398955.46</v>
      </c>
      <c r="H21" s="1">
        <v>1</v>
      </c>
      <c r="I21" s="9" t="s">
        <v>26</v>
      </c>
      <c r="J21" s="10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3643586262.5</v>
      </c>
      <c r="P21" s="1">
        <v>0.47557316830697999</v>
      </c>
      <c r="Q21" s="1" t="s">
        <v>26</v>
      </c>
      <c r="R21" s="1" t="s">
        <v>26</v>
      </c>
      <c r="S21" s="2">
        <v>474627215.54000002</v>
      </c>
      <c r="T21" s="1">
        <v>0.32397013666008001</v>
      </c>
      <c r="U21" s="1" t="s">
        <v>26</v>
      </c>
      <c r="V21" s="1" t="s">
        <v>26</v>
      </c>
      <c r="W21" s="2">
        <v>105410664.81999999</v>
      </c>
      <c r="X21" s="1">
        <v>1</v>
      </c>
      <c r="Y21" s="1" t="s">
        <v>26</v>
      </c>
      <c r="Z21" s="1" t="s">
        <v>26</v>
      </c>
      <c r="AA21" s="2">
        <v>499346967.88</v>
      </c>
      <c r="AB21" s="1">
        <v>0.11054288951339</v>
      </c>
      <c r="AC21" s="1" t="s">
        <v>26</v>
      </c>
      <c r="AD21" s="1" t="s">
        <v>26</v>
      </c>
      <c r="AE21" s="2">
        <v>6779478519.4200001</v>
      </c>
      <c r="AF21" s="1">
        <v>0.4289278419168</v>
      </c>
      <c r="AG21" s="1" t="s">
        <v>26</v>
      </c>
      <c r="AH21" s="1" t="s">
        <v>26</v>
      </c>
      <c r="AI21" s="2">
        <v>209920307.41</v>
      </c>
      <c r="AJ21" s="1">
        <v>0.36859145215640998</v>
      </c>
      <c r="AK21" s="1" t="s">
        <v>26</v>
      </c>
      <c r="AL21" s="1" t="s">
        <v>26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209920307.41</v>
      </c>
      <c r="AR21" s="1">
        <v>0.36859145215640998</v>
      </c>
      <c r="AS21" s="1" t="s">
        <v>25</v>
      </c>
      <c r="AT21" s="1" t="s">
        <v>25</v>
      </c>
      <c r="AU21" s="2">
        <v>366686212.13999999</v>
      </c>
      <c r="AV21" s="1">
        <v>0.36358049629150002</v>
      </c>
      <c r="AW21" s="1" t="s">
        <v>26</v>
      </c>
      <c r="AX21" s="1" t="s">
        <v>26</v>
      </c>
      <c r="AY21" s="2">
        <v>7356085038.9700003</v>
      </c>
      <c r="AZ21" s="1">
        <v>0.42315989054879</v>
      </c>
      <c r="BA21" s="1" t="s">
        <v>26</v>
      </c>
      <c r="BB21" s="1" t="s">
        <v>26</v>
      </c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9" t="s">
        <v>26</v>
      </c>
      <c r="F22" s="10" t="s">
        <v>26</v>
      </c>
      <c r="G22" s="9" t="s">
        <v>26</v>
      </c>
      <c r="H22" s="10" t="s">
        <v>26</v>
      </c>
      <c r="I22" s="9" t="s">
        <v>26</v>
      </c>
      <c r="J22" s="10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2" t="s">
        <v>26</v>
      </c>
      <c r="T22" s="1" t="s">
        <v>26</v>
      </c>
      <c r="U22" s="1" t="s">
        <v>26</v>
      </c>
      <c r="V22" s="1" t="s">
        <v>26</v>
      </c>
      <c r="W22" s="9">
        <v>43372251.32</v>
      </c>
      <c r="X22" s="10">
        <v>6.1456529576800001E-3</v>
      </c>
      <c r="Y22" s="10">
        <v>0.15</v>
      </c>
      <c r="Z22" s="10">
        <v>0.1439</v>
      </c>
      <c r="AA22" s="9">
        <v>154327553.03</v>
      </c>
      <c r="AB22" s="10">
        <v>1.00878952428E-3</v>
      </c>
      <c r="AC22" s="10">
        <v>0.15</v>
      </c>
      <c r="AD22" s="10">
        <v>0.14899999999999999</v>
      </c>
      <c r="AE22" s="9">
        <v>197699804.34999999</v>
      </c>
      <c r="AF22" s="10">
        <v>2.7931807374000003E-4</v>
      </c>
      <c r="AG22" s="10">
        <v>0.15</v>
      </c>
      <c r="AH22" s="10">
        <v>0.1497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2" t="s">
        <v>26</v>
      </c>
      <c r="AV22" s="1" t="s">
        <v>26</v>
      </c>
      <c r="AW22" s="1" t="s">
        <v>26</v>
      </c>
      <c r="AX22" s="1" t="s">
        <v>26</v>
      </c>
      <c r="AY22" s="9">
        <v>197699804.34999999</v>
      </c>
      <c r="AZ22" s="10">
        <v>2.4671549537000001E-4</v>
      </c>
      <c r="BA22" s="10">
        <v>0.15</v>
      </c>
      <c r="BB22" s="10">
        <v>0.14979999999999999</v>
      </c>
    </row>
    <row r="23" spans="1:55" s="28" customFormat="1">
      <c r="A23" s="3" t="s">
        <v>41</v>
      </c>
      <c r="B23" s="23" t="s">
        <v>35</v>
      </c>
      <c r="C23" s="9" t="s">
        <v>26</v>
      </c>
      <c r="D23" s="10" t="s">
        <v>26</v>
      </c>
      <c r="E23" s="9" t="s">
        <v>26</v>
      </c>
      <c r="F23" s="10" t="s">
        <v>26</v>
      </c>
      <c r="G23" s="9" t="s">
        <v>26</v>
      </c>
      <c r="H23" s="10" t="s">
        <v>26</v>
      </c>
      <c r="I23" s="9" t="s">
        <v>26</v>
      </c>
      <c r="J23" s="10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43372251.32</v>
      </c>
      <c r="X23" s="1">
        <v>1</v>
      </c>
      <c r="Y23" s="1" t="s">
        <v>26</v>
      </c>
      <c r="Z23" s="1" t="s">
        <v>26</v>
      </c>
      <c r="AA23" s="2">
        <v>154327553.03</v>
      </c>
      <c r="AB23" s="1">
        <v>1</v>
      </c>
      <c r="AC23" s="1" t="s">
        <v>26</v>
      </c>
      <c r="AD23" s="1" t="s">
        <v>26</v>
      </c>
      <c r="AE23" s="2">
        <v>197699804.34999999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 t="s">
        <v>26</v>
      </c>
      <c r="AV23" s="1" t="s">
        <v>26</v>
      </c>
      <c r="AW23" s="1" t="s">
        <v>26</v>
      </c>
      <c r="AX23" s="1" t="s">
        <v>26</v>
      </c>
      <c r="AY23" s="2">
        <v>197699804.34999999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261048505.36000001</v>
      </c>
      <c r="D24" s="10">
        <v>3.4730074458849999E-2</v>
      </c>
      <c r="E24" s="10">
        <v>0.13500000000000001</v>
      </c>
      <c r="F24" s="10">
        <v>0.1003</v>
      </c>
      <c r="G24" s="9" t="s">
        <v>26</v>
      </c>
      <c r="H24" s="10" t="s">
        <v>26</v>
      </c>
      <c r="I24" s="9" t="s">
        <v>26</v>
      </c>
      <c r="J24" s="10" t="s">
        <v>26</v>
      </c>
      <c r="K24" s="9">
        <v>70665046.319999993</v>
      </c>
      <c r="L24" s="10">
        <v>1.8649766192690001E-2</v>
      </c>
      <c r="M24" s="10">
        <v>0.13500000000000001</v>
      </c>
      <c r="N24" s="10">
        <v>0.1164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9">
        <v>331713551.68000001</v>
      </c>
      <c r="AF24" s="10">
        <v>4.6865797663E-4</v>
      </c>
      <c r="AG24" s="10">
        <v>0.13500000000000001</v>
      </c>
      <c r="AH24" s="10">
        <v>0.13450000000000001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9">
        <v>331713551.68000001</v>
      </c>
      <c r="AZ24" s="10">
        <v>4.1395525651000001E-4</v>
      </c>
      <c r="BA24" s="10">
        <v>0.13500000000000001</v>
      </c>
      <c r="BB24" s="10">
        <v>0.1346</v>
      </c>
    </row>
    <row r="25" spans="1:55" s="7" customFormat="1">
      <c r="A25" s="3" t="s">
        <v>41</v>
      </c>
      <c r="B25" s="23" t="s">
        <v>44</v>
      </c>
      <c r="C25" s="2">
        <v>261048505.36000001</v>
      </c>
      <c r="D25" s="1">
        <v>1</v>
      </c>
      <c r="E25" s="9" t="s">
        <v>26</v>
      </c>
      <c r="F25" s="10" t="s">
        <v>26</v>
      </c>
      <c r="G25" s="9" t="s">
        <v>26</v>
      </c>
      <c r="H25" s="10" t="s">
        <v>26</v>
      </c>
      <c r="I25" s="9" t="s">
        <v>26</v>
      </c>
      <c r="J25" s="10" t="s">
        <v>26</v>
      </c>
      <c r="K25" s="2">
        <v>70665046.319999993</v>
      </c>
      <c r="L25" s="1">
        <v>1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331713551.68000001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331713551.68000001</v>
      </c>
      <c r="AZ25" s="1">
        <v>1</v>
      </c>
      <c r="BA25" s="1" t="s">
        <v>26</v>
      </c>
      <c r="BB25" s="1" t="s">
        <v>26</v>
      </c>
      <c r="BC25" s="31"/>
    </row>
    <row r="26" spans="1:55" s="7" customFormat="1">
      <c r="A26" s="5" t="s">
        <v>45</v>
      </c>
      <c r="B26" s="20" t="s">
        <v>25</v>
      </c>
      <c r="C26" s="9">
        <v>20983018.800000001</v>
      </c>
      <c r="D26" s="10">
        <v>2.7915953944700001E-3</v>
      </c>
      <c r="E26" s="10">
        <v>0.13500000000000001</v>
      </c>
      <c r="F26" s="10">
        <v>0.13220000000000001</v>
      </c>
      <c r="G26" s="9">
        <v>1504566401.0999999</v>
      </c>
      <c r="H26" s="10">
        <v>9.0026179132799995E-3</v>
      </c>
      <c r="I26" s="10">
        <v>0.13500000000000001</v>
      </c>
      <c r="J26" s="10">
        <v>0.126</v>
      </c>
      <c r="K26" s="2" t="s">
        <v>26</v>
      </c>
      <c r="L26" s="1" t="s">
        <v>26</v>
      </c>
      <c r="M26" s="1" t="s">
        <v>26</v>
      </c>
      <c r="N26" s="1" t="s">
        <v>26</v>
      </c>
      <c r="O26" s="9">
        <v>1664149281.5</v>
      </c>
      <c r="P26" s="10">
        <v>6.7234340597100003E-3</v>
      </c>
      <c r="Q26" s="10">
        <v>0.13500000000000001</v>
      </c>
      <c r="R26" s="10">
        <v>0.1283</v>
      </c>
      <c r="S26" s="9">
        <v>835180117</v>
      </c>
      <c r="T26" s="10">
        <v>6.8565026843099997E-3</v>
      </c>
      <c r="U26" s="10">
        <v>0.13500000000000001</v>
      </c>
      <c r="V26" s="10">
        <v>0.12809999999999999</v>
      </c>
      <c r="W26" s="2" t="s">
        <v>26</v>
      </c>
      <c r="X26" s="1" t="s">
        <v>26</v>
      </c>
      <c r="Y26" s="1" t="s">
        <v>26</v>
      </c>
      <c r="Z26" s="1" t="s">
        <v>26</v>
      </c>
      <c r="AA26" s="9">
        <v>3008130580.7600002</v>
      </c>
      <c r="AB26" s="10">
        <v>1.966318105842E-2</v>
      </c>
      <c r="AC26" s="10">
        <v>0.05</v>
      </c>
      <c r="AD26" s="10">
        <v>3.0300000000000001E-2</v>
      </c>
      <c r="AE26" s="9">
        <v>7033009399.1599998</v>
      </c>
      <c r="AF26" s="10">
        <v>9.9365128074299994E-3</v>
      </c>
      <c r="AG26" s="10">
        <v>0.13780000000000001</v>
      </c>
      <c r="AH26" s="10">
        <v>0.12790000000000001</v>
      </c>
      <c r="AI26" s="2" t="s">
        <v>26</v>
      </c>
      <c r="AJ26" s="1" t="s">
        <v>26</v>
      </c>
      <c r="AK26" s="1" t="s">
        <v>26</v>
      </c>
      <c r="AL26" s="1" t="s">
        <v>26</v>
      </c>
      <c r="AM26" s="2" t="s">
        <v>26</v>
      </c>
      <c r="AN26" s="1" t="s">
        <v>26</v>
      </c>
      <c r="AO26" s="1" t="s">
        <v>26</v>
      </c>
      <c r="AP26" s="1" t="s">
        <v>26</v>
      </c>
      <c r="AQ26" s="2" t="s">
        <v>26</v>
      </c>
      <c r="AR26" s="1" t="s">
        <v>26</v>
      </c>
      <c r="AS26" s="1" t="s">
        <v>26</v>
      </c>
      <c r="AT26" s="1" t="s">
        <v>26</v>
      </c>
      <c r="AU26" s="9">
        <v>980130853</v>
      </c>
      <c r="AV26" s="10">
        <v>1.938162458286E-2</v>
      </c>
      <c r="AW26" s="10">
        <v>0.13500000000000001</v>
      </c>
      <c r="AX26" s="10">
        <v>0.11559999999999999</v>
      </c>
      <c r="AY26" s="9">
        <v>8013140252.1599998</v>
      </c>
      <c r="AZ26" s="10">
        <v>9.9998372443900006E-3</v>
      </c>
      <c r="BA26" s="10">
        <v>0.13750000000000001</v>
      </c>
      <c r="BB26" s="10">
        <v>0.1275</v>
      </c>
    </row>
    <row r="27" spans="1:55" s="7" customFormat="1">
      <c r="A27" s="3" t="s">
        <v>39</v>
      </c>
      <c r="B27" s="23" t="s">
        <v>40</v>
      </c>
      <c r="C27" s="2">
        <v>20983018.800000001</v>
      </c>
      <c r="D27" s="1">
        <v>1</v>
      </c>
      <c r="E27" s="9" t="s">
        <v>26</v>
      </c>
      <c r="F27" s="10" t="s">
        <v>26</v>
      </c>
      <c r="G27" s="2">
        <v>1504566401.0999999</v>
      </c>
      <c r="H27" s="1">
        <v>1</v>
      </c>
      <c r="I27" s="9" t="s">
        <v>26</v>
      </c>
      <c r="J27" s="10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1664149281.5</v>
      </c>
      <c r="P27" s="1">
        <v>1</v>
      </c>
      <c r="Q27" s="1" t="s">
        <v>26</v>
      </c>
      <c r="R27" s="1" t="s">
        <v>26</v>
      </c>
      <c r="S27" s="2">
        <v>835180117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1683117951.5599999</v>
      </c>
      <c r="AB27" s="1">
        <v>0.55952290180660003</v>
      </c>
      <c r="AC27" s="1" t="s">
        <v>26</v>
      </c>
      <c r="AD27" s="1" t="s">
        <v>26</v>
      </c>
      <c r="AE27" s="2">
        <v>5707996769.96</v>
      </c>
      <c r="AF27" s="1">
        <v>0.81160090169107002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980130853</v>
      </c>
      <c r="AV27" s="1">
        <v>1</v>
      </c>
      <c r="AW27" s="1" t="s">
        <v>26</v>
      </c>
      <c r="AX27" s="1" t="s">
        <v>26</v>
      </c>
      <c r="AY27" s="2">
        <v>6688127622.96</v>
      </c>
      <c r="AZ27" s="1">
        <v>0.83464502211317004</v>
      </c>
      <c r="BA27" s="1" t="s">
        <v>26</v>
      </c>
      <c r="BB27" s="1" t="s">
        <v>26</v>
      </c>
    </row>
    <row r="28" spans="1:55" s="7" customFormat="1">
      <c r="A28" s="3" t="s">
        <v>41</v>
      </c>
      <c r="B28" s="23" t="s">
        <v>35</v>
      </c>
      <c r="C28" s="9" t="s">
        <v>26</v>
      </c>
      <c r="D28" s="10" t="s">
        <v>26</v>
      </c>
      <c r="E28" s="9" t="s">
        <v>26</v>
      </c>
      <c r="F28" s="10" t="s">
        <v>26</v>
      </c>
      <c r="G28" s="9" t="s">
        <v>26</v>
      </c>
      <c r="H28" s="10" t="s">
        <v>26</v>
      </c>
      <c r="I28" s="9" t="s">
        <v>26</v>
      </c>
      <c r="J28" s="10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1325012629.2</v>
      </c>
      <c r="AB28" s="1">
        <v>0.44047709819339997</v>
      </c>
      <c r="AC28" s="1" t="s">
        <v>26</v>
      </c>
      <c r="AD28" s="1" t="s">
        <v>26</v>
      </c>
      <c r="AE28" s="2">
        <v>1325012629.2</v>
      </c>
      <c r="AF28" s="1">
        <v>0.18839909830893001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1325012629.2</v>
      </c>
      <c r="AZ28" s="1">
        <v>0.16535497788683001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9" t="s">
        <v>26</v>
      </c>
      <c r="F29" s="10" t="s">
        <v>26</v>
      </c>
      <c r="G29" s="9" t="s">
        <v>26</v>
      </c>
      <c r="H29" s="10" t="s">
        <v>26</v>
      </c>
      <c r="I29" s="9" t="s">
        <v>26</v>
      </c>
      <c r="J29" s="10" t="s">
        <v>26</v>
      </c>
      <c r="K29" s="9">
        <v>48267279.390000001</v>
      </c>
      <c r="L29" s="10">
        <v>1.273859598569E-2</v>
      </c>
      <c r="M29" s="10">
        <v>0.13500000000000001</v>
      </c>
      <c r="N29" s="10">
        <v>0.12230000000000001</v>
      </c>
      <c r="O29" s="2" t="s">
        <v>26</v>
      </c>
      <c r="P29" s="1" t="s">
        <v>26</v>
      </c>
      <c r="Q29" s="1" t="s">
        <v>26</v>
      </c>
      <c r="R29" s="1" t="s">
        <v>26</v>
      </c>
      <c r="S29" s="9">
        <v>20091019.879999999</v>
      </c>
      <c r="T29" s="10">
        <v>1.6493942915E-4</v>
      </c>
      <c r="U29" s="10">
        <v>0.13500000000000001</v>
      </c>
      <c r="V29" s="10">
        <v>0.1348</v>
      </c>
      <c r="W29" s="2" t="s">
        <v>26</v>
      </c>
      <c r="X29" s="1" t="s">
        <v>26</v>
      </c>
      <c r="Y29" s="1" t="s">
        <v>26</v>
      </c>
      <c r="Z29" s="1" t="s">
        <v>26</v>
      </c>
      <c r="AA29" s="2" t="s">
        <v>26</v>
      </c>
      <c r="AB29" s="1" t="s">
        <v>26</v>
      </c>
      <c r="AC29" s="1" t="s">
        <v>26</v>
      </c>
      <c r="AD29" s="1" t="s">
        <v>26</v>
      </c>
      <c r="AE29" s="9">
        <v>68358299.269999996</v>
      </c>
      <c r="AF29" s="10">
        <v>9.6579298799999999E-5</v>
      </c>
      <c r="AG29" s="10">
        <v>0.13500000000000001</v>
      </c>
      <c r="AH29" s="10">
        <v>0.13489999999999999</v>
      </c>
      <c r="AI29" s="2" t="s">
        <v>26</v>
      </c>
      <c r="AJ29" s="1" t="s">
        <v>26</v>
      </c>
      <c r="AK29" s="1" t="s">
        <v>26</v>
      </c>
      <c r="AL29" s="1" t="s">
        <v>26</v>
      </c>
      <c r="AM29" s="9">
        <v>666816649.11000001</v>
      </c>
      <c r="AN29" s="10">
        <v>2.6851244179819999E-2</v>
      </c>
      <c r="AO29" s="10">
        <v>0.13500000000000001</v>
      </c>
      <c r="AP29" s="10">
        <v>0.1081</v>
      </c>
      <c r="AQ29" s="9">
        <v>666816649.11000001</v>
      </c>
      <c r="AR29" s="10">
        <v>1.552092476185E-2</v>
      </c>
      <c r="AS29" s="10">
        <v>0.13500000000000001</v>
      </c>
      <c r="AT29" s="10">
        <v>0.1195</v>
      </c>
      <c r="AU29" s="2" t="s">
        <v>26</v>
      </c>
      <c r="AV29" s="1" t="s">
        <v>26</v>
      </c>
      <c r="AW29" s="1" t="s">
        <v>26</v>
      </c>
      <c r="AX29" s="1" t="s">
        <v>26</v>
      </c>
      <c r="AY29" s="9">
        <v>735174948.38</v>
      </c>
      <c r="AZ29" s="10">
        <v>9.1744679347000003E-4</v>
      </c>
      <c r="BA29" s="10">
        <v>0.13500000000000001</v>
      </c>
      <c r="BB29" s="10">
        <v>0.1341</v>
      </c>
    </row>
    <row r="30" spans="1:55" s="7" customFormat="1">
      <c r="A30" s="3" t="s">
        <v>41</v>
      </c>
      <c r="B30" s="23" t="s">
        <v>44</v>
      </c>
      <c r="C30" s="9" t="s">
        <v>26</v>
      </c>
      <c r="D30" s="10" t="s">
        <v>26</v>
      </c>
      <c r="E30" s="9" t="s">
        <v>26</v>
      </c>
      <c r="F30" s="10" t="s">
        <v>26</v>
      </c>
      <c r="G30" s="9" t="s">
        <v>26</v>
      </c>
      <c r="H30" s="10" t="s">
        <v>26</v>
      </c>
      <c r="I30" s="9" t="s">
        <v>26</v>
      </c>
      <c r="J30" s="10" t="s">
        <v>26</v>
      </c>
      <c r="K30" s="2">
        <v>48267279.390000001</v>
      </c>
      <c r="L30" s="1">
        <v>1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20091019.879999999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68358299.269999996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666816649.11000001</v>
      </c>
      <c r="AN30" s="1">
        <v>1</v>
      </c>
      <c r="AO30" s="1" t="s">
        <v>26</v>
      </c>
      <c r="AP30" s="1" t="s">
        <v>26</v>
      </c>
      <c r="AQ30" s="2">
        <v>666816649.11000001</v>
      </c>
      <c r="AR30" s="1">
        <v>1</v>
      </c>
      <c r="AS30" s="1" t="s">
        <v>26</v>
      </c>
      <c r="AT30" s="1" t="s">
        <v>26</v>
      </c>
      <c r="AU30" s="2" t="s">
        <v>26</v>
      </c>
      <c r="AV30" s="1" t="s">
        <v>26</v>
      </c>
      <c r="AW30" s="1" t="s">
        <v>26</v>
      </c>
      <c r="AX30" s="1" t="s">
        <v>26</v>
      </c>
      <c r="AY30" s="2">
        <v>735174948.38</v>
      </c>
      <c r="AZ30" s="1">
        <v>1</v>
      </c>
      <c r="BA30" s="1" t="s">
        <v>26</v>
      </c>
      <c r="BB30" s="1" t="s">
        <v>26</v>
      </c>
    </row>
    <row r="31" spans="1:55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9" t="s">
        <v>26</v>
      </c>
      <c r="F31" s="10" t="s">
        <v>26</v>
      </c>
      <c r="G31" s="9">
        <v>10012081.43</v>
      </c>
      <c r="H31" s="10">
        <v>5.9907587700000001E-5</v>
      </c>
      <c r="I31" s="10">
        <v>0.13500000000000001</v>
      </c>
      <c r="J31" s="10">
        <v>0.13489999999999999</v>
      </c>
      <c r="K31" s="9">
        <v>88850466.689999998</v>
      </c>
      <c r="L31" s="10">
        <v>2.3449223005900001E-2</v>
      </c>
      <c r="M31" s="10">
        <v>0.13500000000000001</v>
      </c>
      <c r="N31" s="10">
        <v>0.1116</v>
      </c>
      <c r="O31" s="2" t="s">
        <v>26</v>
      </c>
      <c r="P31" s="1" t="s">
        <v>26</v>
      </c>
      <c r="Q31" s="1" t="s">
        <v>26</v>
      </c>
      <c r="R31" s="1" t="s">
        <v>26</v>
      </c>
      <c r="S31" s="2" t="s">
        <v>26</v>
      </c>
      <c r="T31" s="1" t="s">
        <v>26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9">
        <v>98862548.120000005</v>
      </c>
      <c r="AF31" s="10">
        <v>1.3967690356E-4</v>
      </c>
      <c r="AG31" s="10">
        <v>0.13500000000000001</v>
      </c>
      <c r="AH31" s="10">
        <v>0.13489999999999999</v>
      </c>
      <c r="AI31" s="9">
        <v>6066258.5999999996</v>
      </c>
      <c r="AJ31" s="10">
        <v>3.3462188352999998E-4</v>
      </c>
      <c r="AK31" s="10">
        <v>0.13500000000000001</v>
      </c>
      <c r="AL31" s="10">
        <v>0.13469999999999999</v>
      </c>
      <c r="AM31" s="2" t="s">
        <v>26</v>
      </c>
      <c r="AN31" s="1" t="s">
        <v>26</v>
      </c>
      <c r="AO31" s="1" t="s">
        <v>26</v>
      </c>
      <c r="AP31" s="1" t="s">
        <v>26</v>
      </c>
      <c r="AQ31" s="9">
        <v>6066258.5999999996</v>
      </c>
      <c r="AR31" s="10">
        <v>1.4119914887999999E-4</v>
      </c>
      <c r="AS31" s="10">
        <v>0.13500000000000001</v>
      </c>
      <c r="AT31" s="10">
        <v>0.13489999999999999</v>
      </c>
      <c r="AU31" s="2" t="s">
        <v>26</v>
      </c>
      <c r="AV31" s="1" t="s">
        <v>26</v>
      </c>
      <c r="AW31" s="1" t="s">
        <v>26</v>
      </c>
      <c r="AX31" s="1" t="s">
        <v>26</v>
      </c>
      <c r="AY31" s="9">
        <v>104928806.72</v>
      </c>
      <c r="AZ31" s="10">
        <v>1.3094379436999999E-4</v>
      </c>
      <c r="BA31" s="10">
        <v>0.13500000000000001</v>
      </c>
      <c r="BB31" s="10">
        <v>0.13489999999999999</v>
      </c>
    </row>
    <row r="32" spans="1:55" s="7" customFormat="1">
      <c r="A32" s="3" t="s">
        <v>41</v>
      </c>
      <c r="B32" s="23" t="s">
        <v>44</v>
      </c>
      <c r="C32" s="9" t="s">
        <v>26</v>
      </c>
      <c r="D32" s="10" t="s">
        <v>26</v>
      </c>
      <c r="E32" s="9" t="s">
        <v>26</v>
      </c>
      <c r="F32" s="10" t="s">
        <v>26</v>
      </c>
      <c r="G32" s="2">
        <v>10012081.43</v>
      </c>
      <c r="H32" s="1">
        <v>1</v>
      </c>
      <c r="I32" s="9" t="s">
        <v>26</v>
      </c>
      <c r="J32" s="10" t="s">
        <v>26</v>
      </c>
      <c r="K32" s="2">
        <v>88850466.689999998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98862548.120000005</v>
      </c>
      <c r="AF32" s="1">
        <v>1</v>
      </c>
      <c r="AG32" s="1" t="s">
        <v>26</v>
      </c>
      <c r="AH32" s="1" t="s">
        <v>26</v>
      </c>
      <c r="AI32" s="2">
        <v>6066258.5999999996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6066258.5999999996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104928806.72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9" t="s">
        <v>26</v>
      </c>
      <c r="F33" s="10" t="s">
        <v>26</v>
      </c>
      <c r="G33" s="9">
        <v>200514400.28</v>
      </c>
      <c r="H33" s="10">
        <v>1.19978389157E-3</v>
      </c>
      <c r="I33" s="49">
        <v>0.13500000000000001</v>
      </c>
      <c r="J33" s="10">
        <v>0.1338</v>
      </c>
      <c r="K33" s="9">
        <v>228990976.15000001</v>
      </c>
      <c r="L33" s="10">
        <v>6.0434803171200001E-2</v>
      </c>
      <c r="M33" s="10">
        <v>0.13500000000000001</v>
      </c>
      <c r="N33" s="10">
        <v>7.46E-2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9">
        <v>50293545.340000004</v>
      </c>
      <c r="AB33" s="10">
        <v>3.2875271254000001E-4</v>
      </c>
      <c r="AC33" s="10">
        <v>0.13500000000000001</v>
      </c>
      <c r="AD33" s="10">
        <v>0.13469999999999999</v>
      </c>
      <c r="AE33" s="9">
        <v>479798921.76999998</v>
      </c>
      <c r="AF33" s="10">
        <v>6.7787882265000002E-4</v>
      </c>
      <c r="AG33" s="10">
        <v>0.13500000000000001</v>
      </c>
      <c r="AH33" s="10">
        <v>0.1343</v>
      </c>
      <c r="AI33" s="9">
        <v>20300000.100000001</v>
      </c>
      <c r="AJ33" s="10">
        <v>1.11977162814E-3</v>
      </c>
      <c r="AK33" s="10">
        <v>0.13500000000000001</v>
      </c>
      <c r="AL33" s="10">
        <v>0.13389999999999999</v>
      </c>
      <c r="AM33" s="2" t="s">
        <v>26</v>
      </c>
      <c r="AN33" s="1" t="s">
        <v>26</v>
      </c>
      <c r="AO33" s="1" t="s">
        <v>26</v>
      </c>
      <c r="AP33" s="1" t="s">
        <v>26</v>
      </c>
      <c r="AQ33" s="9">
        <v>20300000.100000001</v>
      </c>
      <c r="AR33" s="10">
        <v>4.7250585995000001E-4</v>
      </c>
      <c r="AS33" s="10">
        <v>0.13500000000000001</v>
      </c>
      <c r="AT33" s="10">
        <v>0.13450000000000001</v>
      </c>
      <c r="AU33" s="2" t="s">
        <v>26</v>
      </c>
      <c r="AV33" s="1" t="s">
        <v>26</v>
      </c>
      <c r="AW33" s="1" t="s">
        <v>26</v>
      </c>
      <c r="AX33" s="1" t="s">
        <v>26</v>
      </c>
      <c r="AY33" s="9">
        <v>500098921.87</v>
      </c>
      <c r="AZ33" s="10">
        <v>6.2408839323999999E-4</v>
      </c>
      <c r="BA33" s="10">
        <v>0.13500000000000001</v>
      </c>
      <c r="BB33" s="10">
        <v>0.13439999999999999</v>
      </c>
    </row>
    <row r="34" spans="1:54" s="7" customFormat="1">
      <c r="A34" s="3" t="s">
        <v>41</v>
      </c>
      <c r="B34" s="23" t="s">
        <v>44</v>
      </c>
      <c r="C34" s="9" t="s">
        <v>26</v>
      </c>
      <c r="D34" s="10" t="s">
        <v>26</v>
      </c>
      <c r="E34" s="9" t="s">
        <v>26</v>
      </c>
      <c r="F34" s="10" t="s">
        <v>26</v>
      </c>
      <c r="G34" s="9">
        <v>200514400.28</v>
      </c>
      <c r="H34" s="10">
        <v>1</v>
      </c>
      <c r="I34" s="9" t="s">
        <v>26</v>
      </c>
      <c r="J34" s="10" t="s">
        <v>26</v>
      </c>
      <c r="K34" s="2">
        <v>228990976.15000001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50293545.340000004</v>
      </c>
      <c r="AB34" s="1">
        <v>1</v>
      </c>
      <c r="AC34" s="1" t="s">
        <v>26</v>
      </c>
      <c r="AD34" s="1" t="s">
        <v>26</v>
      </c>
      <c r="AE34" s="2">
        <v>479798921.76999998</v>
      </c>
      <c r="AF34" s="1">
        <v>1</v>
      </c>
      <c r="AG34" s="1" t="s">
        <v>26</v>
      </c>
      <c r="AH34" s="1" t="s">
        <v>26</v>
      </c>
      <c r="AI34" s="2">
        <v>20300000.100000001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20300000.100000001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500098921.87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9227143.5299999993</v>
      </c>
      <c r="D35" s="10">
        <v>1.2275855837499999E-3</v>
      </c>
      <c r="E35" s="10">
        <v>0.13500000000000001</v>
      </c>
      <c r="F35" s="10">
        <v>0.1338</v>
      </c>
      <c r="G35" s="9">
        <v>572366765.52999997</v>
      </c>
      <c r="H35" s="10">
        <v>3.4247736042500002E-3</v>
      </c>
      <c r="I35" s="10">
        <v>0.09</v>
      </c>
      <c r="J35" s="10">
        <v>8.6599999999999996E-2</v>
      </c>
      <c r="K35" s="9">
        <v>3093220.86</v>
      </c>
      <c r="L35" s="10">
        <v>8.1635615945000004E-4</v>
      </c>
      <c r="M35" s="10">
        <v>0.13500000000000001</v>
      </c>
      <c r="N35" s="10">
        <v>0.13420000000000001</v>
      </c>
      <c r="O35" s="9">
        <v>1968356566.9300001</v>
      </c>
      <c r="P35" s="10">
        <v>7.9524810249199992E-3</v>
      </c>
      <c r="Q35" s="10">
        <v>0.1221</v>
      </c>
      <c r="R35" s="10">
        <v>0.11409999999999999</v>
      </c>
      <c r="S35" s="9">
        <v>408210810.42000002</v>
      </c>
      <c r="T35" s="10">
        <v>3.3512513773199999E-3</v>
      </c>
      <c r="U35" s="10">
        <v>0.1013</v>
      </c>
      <c r="V35" s="10">
        <v>9.7900000000000001E-2</v>
      </c>
      <c r="W35" s="2" t="s">
        <v>26</v>
      </c>
      <c r="X35" s="1" t="s">
        <v>26</v>
      </c>
      <c r="Y35" s="1" t="s">
        <v>26</v>
      </c>
      <c r="Z35" s="1" t="s">
        <v>26</v>
      </c>
      <c r="AA35" s="9">
        <v>563143554.67999995</v>
      </c>
      <c r="AB35" s="10">
        <v>3.6810880978300001E-3</v>
      </c>
      <c r="AC35" s="10">
        <v>0.09</v>
      </c>
      <c r="AD35" s="10">
        <v>8.6300000000000002E-2</v>
      </c>
      <c r="AE35" s="9">
        <v>3524398061.9499998</v>
      </c>
      <c r="AF35" s="10">
        <v>4.9794084570999996E-3</v>
      </c>
      <c r="AG35" s="10">
        <v>0.1094</v>
      </c>
      <c r="AH35" s="10">
        <v>0.10440000000000001</v>
      </c>
      <c r="AI35" s="9">
        <v>199519737.68000001</v>
      </c>
      <c r="AJ35" s="10">
        <v>1.100574090673E-2</v>
      </c>
      <c r="AK35" s="10">
        <v>0.12330000000000001</v>
      </c>
      <c r="AL35" s="10">
        <v>0.1123</v>
      </c>
      <c r="AM35" s="9">
        <v>112621171.29000001</v>
      </c>
      <c r="AN35" s="10">
        <v>4.5350075979099999E-3</v>
      </c>
      <c r="AO35" s="10">
        <v>0.13500000000000001</v>
      </c>
      <c r="AP35" s="10">
        <v>0.1305</v>
      </c>
      <c r="AQ35" s="9">
        <v>312140908.97000003</v>
      </c>
      <c r="AR35" s="10">
        <v>7.2654388124299999E-3</v>
      </c>
      <c r="AS35" s="10">
        <v>0.1275</v>
      </c>
      <c r="AT35" s="10">
        <v>0.1202</v>
      </c>
      <c r="AU35" s="9">
        <v>4499999.9800000004</v>
      </c>
      <c r="AV35" s="10">
        <v>8.8985373710000001E-5</v>
      </c>
      <c r="AW35" s="10">
        <v>0.13500000000000001</v>
      </c>
      <c r="AX35" s="10">
        <v>0.13489999999999999</v>
      </c>
      <c r="AY35" s="9">
        <v>3841038970.9000001</v>
      </c>
      <c r="AZ35" s="10">
        <v>4.7933473456999998E-3</v>
      </c>
      <c r="BA35" s="10">
        <v>0.1109</v>
      </c>
      <c r="BB35" s="10">
        <v>0.1061</v>
      </c>
    </row>
    <row r="36" spans="1:54" s="7" customFormat="1">
      <c r="A36" s="3" t="s">
        <v>39</v>
      </c>
      <c r="B36" s="23" t="s">
        <v>47</v>
      </c>
      <c r="C36" s="9" t="s">
        <v>26</v>
      </c>
      <c r="D36" s="10" t="s">
        <v>26</v>
      </c>
      <c r="E36" s="9" t="s">
        <v>26</v>
      </c>
      <c r="F36" s="10" t="s">
        <v>26</v>
      </c>
      <c r="G36" s="2">
        <v>572366765.52999997</v>
      </c>
      <c r="H36" s="1">
        <v>1</v>
      </c>
      <c r="I36" s="9" t="s">
        <v>26</v>
      </c>
      <c r="J36" s="10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563143554.67999995</v>
      </c>
      <c r="P36" s="1">
        <v>0.28609834424376002</v>
      </c>
      <c r="Q36" s="1" t="s">
        <v>26</v>
      </c>
      <c r="R36" s="1" t="s">
        <v>26</v>
      </c>
      <c r="S36" s="2">
        <v>305768310</v>
      </c>
      <c r="T36" s="1">
        <v>0.74904510658450996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563143554.67999995</v>
      </c>
      <c r="AB36" s="1">
        <v>1</v>
      </c>
      <c r="AC36" s="1" t="s">
        <v>26</v>
      </c>
      <c r="AD36" s="1" t="s">
        <v>26</v>
      </c>
      <c r="AE36" s="2">
        <v>2004422184.8900001</v>
      </c>
      <c r="AF36" s="1">
        <v>0.56872752443319996</v>
      </c>
      <c r="AG36" s="1" t="s">
        <v>26</v>
      </c>
      <c r="AH36" s="1" t="s">
        <v>26</v>
      </c>
      <c r="AI36" s="2">
        <v>51919737</v>
      </c>
      <c r="AJ36" s="1">
        <v>0.26022356286009002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51919737</v>
      </c>
      <c r="AR36" s="1">
        <v>0.1663342916868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2056341921.8900001</v>
      </c>
      <c r="AZ36" s="1">
        <v>0.53536085873354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9227143.5299999993</v>
      </c>
      <c r="D37" s="1">
        <v>1</v>
      </c>
      <c r="E37" s="9" t="s">
        <v>26</v>
      </c>
      <c r="F37" s="10" t="s">
        <v>26</v>
      </c>
      <c r="G37" s="9" t="s">
        <v>26</v>
      </c>
      <c r="H37" s="10" t="s">
        <v>26</v>
      </c>
      <c r="I37" s="9" t="s">
        <v>26</v>
      </c>
      <c r="J37" s="10" t="s">
        <v>26</v>
      </c>
      <c r="K37" s="2">
        <v>3093220.86</v>
      </c>
      <c r="L37" s="1">
        <v>1</v>
      </c>
      <c r="M37" s="1" t="s">
        <v>26</v>
      </c>
      <c r="N37" s="1" t="s">
        <v>26</v>
      </c>
      <c r="O37" s="2">
        <v>1405213012.25</v>
      </c>
      <c r="P37" s="1">
        <v>0.71390165575623998</v>
      </c>
      <c r="Q37" s="1" t="s">
        <v>26</v>
      </c>
      <c r="R37" s="1" t="s">
        <v>26</v>
      </c>
      <c r="S37" s="2">
        <v>102442500.42</v>
      </c>
      <c r="T37" s="1">
        <v>0.25095489341548999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 t="s">
        <v>26</v>
      </c>
      <c r="AB37" s="1" t="s">
        <v>26</v>
      </c>
      <c r="AC37" s="1" t="s">
        <v>26</v>
      </c>
      <c r="AD37" s="1" t="s">
        <v>26</v>
      </c>
      <c r="AE37" s="2">
        <v>1519975877.0599999</v>
      </c>
      <c r="AF37" s="1">
        <v>0.43127247556679998</v>
      </c>
      <c r="AG37" s="1" t="s">
        <v>26</v>
      </c>
      <c r="AH37" s="1" t="s">
        <v>26</v>
      </c>
      <c r="AI37" s="2">
        <v>147600000.68000001</v>
      </c>
      <c r="AJ37" s="1">
        <v>0.73977643713991004</v>
      </c>
      <c r="AK37" s="1" t="s">
        <v>26</v>
      </c>
      <c r="AL37" s="1" t="s">
        <v>26</v>
      </c>
      <c r="AM37" s="2">
        <v>112621171.29000001</v>
      </c>
      <c r="AN37" s="1">
        <v>1</v>
      </c>
      <c r="AO37" s="1" t="s">
        <v>26</v>
      </c>
      <c r="AP37" s="1" t="s">
        <v>26</v>
      </c>
      <c r="AQ37" s="2">
        <v>260221171.97</v>
      </c>
      <c r="AR37" s="1">
        <v>0.83366570831319997</v>
      </c>
      <c r="AS37" s="1" t="s">
        <v>26</v>
      </c>
      <c r="AT37" s="1" t="s">
        <v>26</v>
      </c>
      <c r="AU37" s="2">
        <v>4499999.9800000004</v>
      </c>
      <c r="AV37" s="1">
        <v>1</v>
      </c>
      <c r="AW37" s="1" t="s">
        <v>26</v>
      </c>
      <c r="AX37" s="1" t="s">
        <v>26</v>
      </c>
      <c r="AY37" s="2">
        <v>1784697049.01</v>
      </c>
      <c r="AZ37" s="1">
        <v>0.46463914126646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9" t="s">
        <v>26</v>
      </c>
      <c r="F38" s="10" t="s">
        <v>26</v>
      </c>
      <c r="G38" s="9" t="s">
        <v>26</v>
      </c>
      <c r="H38" s="10" t="s">
        <v>26</v>
      </c>
      <c r="I38" s="9" t="s">
        <v>26</v>
      </c>
      <c r="J38" s="10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9">
        <v>100742053.84</v>
      </c>
      <c r="P38" s="10">
        <v>4.0701430068000003E-4</v>
      </c>
      <c r="Q38" s="10">
        <v>0.13500000000000001</v>
      </c>
      <c r="R38" s="10">
        <v>0.1346</v>
      </c>
      <c r="S38" s="9">
        <v>1100950.6499999999</v>
      </c>
      <c r="T38" s="10">
        <v>9.0383749999999997E-6</v>
      </c>
      <c r="U38" s="10">
        <v>0.13500000000000001</v>
      </c>
      <c r="V38" s="10">
        <v>0.13500000000000001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9">
        <v>101843004.48999999</v>
      </c>
      <c r="AF38" s="10">
        <v>1.4388780976000001E-4</v>
      </c>
      <c r="AG38" s="10">
        <v>0.13500000000000001</v>
      </c>
      <c r="AH38" s="10">
        <v>0.13489999999999999</v>
      </c>
      <c r="AI38" s="9">
        <v>5129429.16</v>
      </c>
      <c r="AJ38" s="10">
        <v>2.8294528146E-4</v>
      </c>
      <c r="AK38" s="10">
        <v>0.13500000000000001</v>
      </c>
      <c r="AL38" s="10">
        <v>0.13469999999999999</v>
      </c>
      <c r="AM38" s="2" t="s">
        <v>26</v>
      </c>
      <c r="AN38" s="1" t="s">
        <v>26</v>
      </c>
      <c r="AO38" s="1" t="s">
        <v>26</v>
      </c>
      <c r="AP38" s="1" t="s">
        <v>26</v>
      </c>
      <c r="AQ38" s="9">
        <v>5129429.16</v>
      </c>
      <c r="AR38" s="10">
        <v>1.1939336573E-4</v>
      </c>
      <c r="AS38" s="10">
        <v>0.13500000000000001</v>
      </c>
      <c r="AT38" s="10">
        <v>0.13489999999999999</v>
      </c>
      <c r="AU38" s="9">
        <v>900777.8</v>
      </c>
      <c r="AV38" s="10">
        <v>1.7812455449999998E-5</v>
      </c>
      <c r="AW38" s="10">
        <v>0.13500000000000001</v>
      </c>
      <c r="AX38" s="10">
        <v>0.13500000000000001</v>
      </c>
      <c r="AY38" s="9">
        <v>107873211.45</v>
      </c>
      <c r="AZ38" s="10">
        <v>1.3461820504999999E-4</v>
      </c>
      <c r="BA38" s="10">
        <v>0.13500000000000001</v>
      </c>
      <c r="BB38" s="10">
        <v>0.13489999999999999</v>
      </c>
    </row>
    <row r="39" spans="1:54" s="7" customFormat="1">
      <c r="A39" s="3" t="s">
        <v>41</v>
      </c>
      <c r="B39" s="23" t="s">
        <v>44</v>
      </c>
      <c r="C39" s="9" t="s">
        <v>26</v>
      </c>
      <c r="D39" s="10" t="s">
        <v>26</v>
      </c>
      <c r="E39" s="9" t="s">
        <v>26</v>
      </c>
      <c r="F39" s="10" t="s">
        <v>26</v>
      </c>
      <c r="G39" s="9" t="s">
        <v>26</v>
      </c>
      <c r="H39" s="10" t="s">
        <v>26</v>
      </c>
      <c r="I39" s="9" t="s">
        <v>26</v>
      </c>
      <c r="J39" s="10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100742053.84</v>
      </c>
      <c r="P39" s="1">
        <v>1</v>
      </c>
      <c r="Q39" s="1" t="s">
        <v>26</v>
      </c>
      <c r="R39" s="1" t="s">
        <v>26</v>
      </c>
      <c r="S39" s="2">
        <v>1100950.6499999999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101843004.48999999</v>
      </c>
      <c r="AF39" s="1">
        <v>1</v>
      </c>
      <c r="AG39" s="1" t="s">
        <v>26</v>
      </c>
      <c r="AH39" s="1" t="s">
        <v>26</v>
      </c>
      <c r="AI39" s="2">
        <v>5129429.16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5129429.16</v>
      </c>
      <c r="AR39" s="1">
        <v>1</v>
      </c>
      <c r="AS39" s="1" t="s">
        <v>26</v>
      </c>
      <c r="AT39" s="1" t="s">
        <v>26</v>
      </c>
      <c r="AU39" s="2">
        <v>900777.8</v>
      </c>
      <c r="AV39" s="1">
        <v>1</v>
      </c>
      <c r="AW39" s="1" t="s">
        <v>26</v>
      </c>
      <c r="AX39" s="1" t="s">
        <v>26</v>
      </c>
      <c r="AY39" s="2">
        <v>107873211.45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24642835.98</v>
      </c>
      <c r="D40" s="10">
        <v>3.2785000139399999E-3</v>
      </c>
      <c r="E40" s="10">
        <v>0.13500000000000001</v>
      </c>
      <c r="F40" s="10">
        <v>0.13170000000000001</v>
      </c>
      <c r="G40" s="9">
        <v>2704356374</v>
      </c>
      <c r="H40" s="10">
        <v>1.6181596982800001E-2</v>
      </c>
      <c r="I40" s="10">
        <v>0.13500000000000001</v>
      </c>
      <c r="J40" s="10">
        <v>0.1188</v>
      </c>
      <c r="K40" s="2" t="s">
        <v>26</v>
      </c>
      <c r="L40" s="1" t="s">
        <v>26</v>
      </c>
      <c r="M40" s="1" t="s">
        <v>26</v>
      </c>
      <c r="N40" s="1" t="s">
        <v>26</v>
      </c>
      <c r="O40" s="9">
        <v>4762236764.0299997</v>
      </c>
      <c r="P40" s="10">
        <v>1.9240211930290001E-2</v>
      </c>
      <c r="Q40" s="10">
        <v>0.05</v>
      </c>
      <c r="R40" s="10">
        <v>3.0800000000000001E-2</v>
      </c>
      <c r="S40" s="9">
        <v>2163959578.4200001</v>
      </c>
      <c r="T40" s="10">
        <v>1.776526327215E-2</v>
      </c>
      <c r="U40" s="10">
        <v>0.13500000000000001</v>
      </c>
      <c r="V40" s="10">
        <v>0.1172</v>
      </c>
      <c r="W40" s="9">
        <v>987914091.11000001</v>
      </c>
      <c r="X40" s="10">
        <v>0.13998298384755001</v>
      </c>
      <c r="Y40" s="10">
        <v>0.15</v>
      </c>
      <c r="Z40" s="10">
        <v>0.01</v>
      </c>
      <c r="AA40" s="9">
        <v>5462232446.4099998</v>
      </c>
      <c r="AB40" s="10">
        <v>3.5704854790519998E-2</v>
      </c>
      <c r="AC40" s="10">
        <v>0.1391</v>
      </c>
      <c r="AD40" s="10">
        <v>0.10340000000000001</v>
      </c>
      <c r="AE40" s="9">
        <v>16105342089.950001</v>
      </c>
      <c r="AF40" s="10">
        <v>2.2754261918639999E-2</v>
      </c>
      <c r="AG40" s="10">
        <v>0.13739999999999999</v>
      </c>
      <c r="AH40" s="10">
        <v>0.11459999999999999</v>
      </c>
      <c r="AI40" s="9">
        <v>240055785.40000001</v>
      </c>
      <c r="AJ40" s="10">
        <v>1.324175646978E-2</v>
      </c>
      <c r="AK40" s="10">
        <v>0.13500000000000001</v>
      </c>
      <c r="AL40" s="10">
        <v>0.12180000000000001</v>
      </c>
      <c r="AM40" s="2" t="s">
        <v>26</v>
      </c>
      <c r="AN40" s="1" t="s">
        <v>26</v>
      </c>
      <c r="AO40" s="1" t="s">
        <v>26</v>
      </c>
      <c r="AP40" s="1" t="s">
        <v>26</v>
      </c>
      <c r="AQ40" s="9">
        <v>240055785.40000001</v>
      </c>
      <c r="AR40" s="10">
        <v>5.5875746186200004E-3</v>
      </c>
      <c r="AS40" s="10">
        <v>0.13500000000000001</v>
      </c>
      <c r="AT40" s="10">
        <v>0.12939999999999999</v>
      </c>
      <c r="AU40" s="9">
        <v>1109975307.78</v>
      </c>
      <c r="AV40" s="10">
        <v>2.1949237334779999E-2</v>
      </c>
      <c r="AW40" s="10">
        <v>0.13500000000000001</v>
      </c>
      <c r="AX40" s="10">
        <v>0.11310000000000001</v>
      </c>
      <c r="AY40" s="9">
        <v>17455373183.130001</v>
      </c>
      <c r="AZ40" s="10">
        <v>2.1783081960210001E-2</v>
      </c>
      <c r="BA40" s="10">
        <v>0.13719999999999999</v>
      </c>
      <c r="BB40" s="10">
        <v>0.1154</v>
      </c>
    </row>
    <row r="41" spans="1:54" s="7" customFormat="1">
      <c r="A41" s="3" t="s">
        <v>39</v>
      </c>
      <c r="B41" s="23" t="s">
        <v>40</v>
      </c>
      <c r="C41" s="2">
        <v>24642835.98</v>
      </c>
      <c r="D41" s="1">
        <v>1</v>
      </c>
      <c r="E41" s="9" t="s">
        <v>26</v>
      </c>
      <c r="F41" s="10" t="s">
        <v>26</v>
      </c>
      <c r="G41" s="2">
        <v>2704356374</v>
      </c>
      <c r="H41" s="1">
        <v>1</v>
      </c>
      <c r="I41" s="9" t="s">
        <v>26</v>
      </c>
      <c r="J41" s="10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4698305500.1199999</v>
      </c>
      <c r="P41" s="1">
        <v>0.98657537055005995</v>
      </c>
      <c r="Q41" s="1" t="s">
        <v>26</v>
      </c>
      <c r="R41" s="1" t="s">
        <v>26</v>
      </c>
      <c r="S41" s="2">
        <v>2163959578.4200001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3954852924</v>
      </c>
      <c r="AB41" s="1">
        <v>0.72403599861432</v>
      </c>
      <c r="AC41" s="1" t="s">
        <v>26</v>
      </c>
      <c r="AD41" s="1" t="s">
        <v>26</v>
      </c>
      <c r="AE41" s="2">
        <v>13546117212.52</v>
      </c>
      <c r="AF41" s="1">
        <v>0.84109465895624003</v>
      </c>
      <c r="AG41" s="1" t="s">
        <v>26</v>
      </c>
      <c r="AH41" s="1" t="s">
        <v>26</v>
      </c>
      <c r="AI41" s="2">
        <v>240055785.40000001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240055785.40000001</v>
      </c>
      <c r="AR41" s="1">
        <v>1</v>
      </c>
      <c r="AS41" s="1" t="s">
        <v>26</v>
      </c>
      <c r="AT41" s="1" t="s">
        <v>26</v>
      </c>
      <c r="AU41" s="2">
        <v>1109975307.78</v>
      </c>
      <c r="AV41" s="1">
        <v>1</v>
      </c>
      <c r="AW41" s="1" t="s">
        <v>26</v>
      </c>
      <c r="AX41" s="1" t="s">
        <v>26</v>
      </c>
      <c r="AY41" s="2">
        <v>14896148305.700001</v>
      </c>
      <c r="AZ41" s="1">
        <v>0.85338469418095997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9" t="s">
        <v>26</v>
      </c>
      <c r="D42" s="10" t="s">
        <v>26</v>
      </c>
      <c r="E42" s="9" t="s">
        <v>26</v>
      </c>
      <c r="F42" s="10" t="s">
        <v>26</v>
      </c>
      <c r="G42" s="9" t="s">
        <v>26</v>
      </c>
      <c r="H42" s="10" t="s">
        <v>26</v>
      </c>
      <c r="I42" s="9" t="s">
        <v>26</v>
      </c>
      <c r="J42" s="10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63931263.909999996</v>
      </c>
      <c r="P42" s="1">
        <v>1.3424629449940001E-2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987914091.11000001</v>
      </c>
      <c r="X42" s="1">
        <v>1</v>
      </c>
      <c r="Y42" s="1" t="s">
        <v>26</v>
      </c>
      <c r="Z42" s="1" t="s">
        <v>26</v>
      </c>
      <c r="AA42" s="2">
        <v>1507379522.4100001</v>
      </c>
      <c r="AB42" s="1">
        <v>0.27596400138568</v>
      </c>
      <c r="AC42" s="1" t="s">
        <v>26</v>
      </c>
      <c r="AD42" s="1" t="s">
        <v>26</v>
      </c>
      <c r="AE42" s="2">
        <v>2559224877.4299998</v>
      </c>
      <c r="AF42" s="1">
        <v>0.15890534104376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1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2559224877.4299998</v>
      </c>
      <c r="AZ42" s="1">
        <v>0.14661530581904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9" t="s">
        <v>26</v>
      </c>
      <c r="F43" s="10" t="s">
        <v>26</v>
      </c>
      <c r="G43" s="9" t="s">
        <v>26</v>
      </c>
      <c r="H43" s="10" t="s">
        <v>26</v>
      </c>
      <c r="I43" s="9" t="s">
        <v>26</v>
      </c>
      <c r="J43" s="10" t="s">
        <v>26</v>
      </c>
      <c r="K43" s="9">
        <v>125554859.11</v>
      </c>
      <c r="L43" s="10">
        <v>3.3136166870309999E-2</v>
      </c>
      <c r="M43" s="10">
        <v>0.15</v>
      </c>
      <c r="N43" s="10">
        <v>0.1169</v>
      </c>
      <c r="O43" s="1" t="s">
        <v>26</v>
      </c>
      <c r="P43" s="1" t="s">
        <v>26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 t="s">
        <v>26</v>
      </c>
      <c r="X43" s="1" t="s">
        <v>26</v>
      </c>
      <c r="Y43" s="1" t="s">
        <v>26</v>
      </c>
      <c r="Z43" s="1" t="s">
        <v>26</v>
      </c>
      <c r="AA43" s="9">
        <v>142451471.16</v>
      </c>
      <c r="AB43" s="10">
        <v>9.3115940091999998E-4</v>
      </c>
      <c r="AC43" s="10">
        <v>0.15</v>
      </c>
      <c r="AD43" s="10">
        <v>0.14910000000000001</v>
      </c>
      <c r="AE43" s="9">
        <v>268006330.27000001</v>
      </c>
      <c r="AF43" s="10">
        <v>3.7864990391000002E-4</v>
      </c>
      <c r="AG43" s="10">
        <v>0.15</v>
      </c>
      <c r="AH43" s="10">
        <v>0.14960000000000001</v>
      </c>
      <c r="AI43" s="2" t="s">
        <v>26</v>
      </c>
      <c r="AJ43" s="1" t="s">
        <v>26</v>
      </c>
      <c r="AK43" s="1" t="s">
        <v>26</v>
      </c>
      <c r="AL43" s="1" t="s">
        <v>26</v>
      </c>
      <c r="AM43" s="9">
        <v>1027789076.23</v>
      </c>
      <c r="AN43" s="10">
        <v>4.1386812233969998E-2</v>
      </c>
      <c r="AO43" s="10">
        <v>0.15</v>
      </c>
      <c r="AP43" s="10">
        <v>0.1086</v>
      </c>
      <c r="AQ43" s="9">
        <v>1027789076.23</v>
      </c>
      <c r="AR43" s="10">
        <v>2.3922973345839999E-2</v>
      </c>
      <c r="AS43" s="10">
        <v>0.15</v>
      </c>
      <c r="AT43" s="10">
        <v>0.12609999999999999</v>
      </c>
      <c r="AU43" s="2" t="s">
        <v>26</v>
      </c>
      <c r="AV43" s="1" t="s">
        <v>26</v>
      </c>
      <c r="AW43" s="1" t="s">
        <v>26</v>
      </c>
      <c r="AX43" s="1" t="s">
        <v>26</v>
      </c>
      <c r="AY43" s="9">
        <v>1295795406.5</v>
      </c>
      <c r="AZ43" s="10">
        <v>1.6170618208699999E-3</v>
      </c>
      <c r="BA43" s="10">
        <v>0.15</v>
      </c>
      <c r="BB43" s="10">
        <v>0.1484</v>
      </c>
    </row>
    <row r="44" spans="1:54" s="7" customFormat="1">
      <c r="A44" s="3" t="s">
        <v>41</v>
      </c>
      <c r="B44" s="23" t="s">
        <v>35</v>
      </c>
      <c r="C44" s="9" t="s">
        <v>26</v>
      </c>
      <c r="D44" s="10" t="s">
        <v>26</v>
      </c>
      <c r="E44" s="9" t="s">
        <v>26</v>
      </c>
      <c r="F44" s="10" t="s">
        <v>26</v>
      </c>
      <c r="G44" s="9" t="s">
        <v>26</v>
      </c>
      <c r="H44" s="10" t="s">
        <v>26</v>
      </c>
      <c r="I44" s="9" t="s">
        <v>26</v>
      </c>
      <c r="J44" s="10" t="s">
        <v>26</v>
      </c>
      <c r="K44" s="2">
        <v>125554859.11</v>
      </c>
      <c r="L44" s="1">
        <v>1</v>
      </c>
      <c r="M44" s="1" t="s">
        <v>26</v>
      </c>
      <c r="N44" s="1" t="s">
        <v>26</v>
      </c>
      <c r="O44" s="1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142451471.16</v>
      </c>
      <c r="AB44" s="1">
        <v>1</v>
      </c>
      <c r="AC44" s="1" t="s">
        <v>26</v>
      </c>
      <c r="AD44" s="1" t="s">
        <v>26</v>
      </c>
      <c r="AE44" s="2">
        <v>268006330.27000001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1027789076.23</v>
      </c>
      <c r="AN44" s="1">
        <v>1</v>
      </c>
      <c r="AO44" s="1" t="s">
        <v>26</v>
      </c>
      <c r="AP44" s="1" t="s">
        <v>26</v>
      </c>
      <c r="AQ44" s="2">
        <v>1027789076.23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1295795406.5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9" t="s">
        <v>26</v>
      </c>
      <c r="F45" s="10" t="s">
        <v>26</v>
      </c>
      <c r="G45" s="9" t="s">
        <v>26</v>
      </c>
      <c r="H45" s="10" t="s">
        <v>26</v>
      </c>
      <c r="I45" s="9" t="s">
        <v>26</v>
      </c>
      <c r="J45" s="10" t="s">
        <v>26</v>
      </c>
      <c r="K45" s="2" t="s">
        <v>26</v>
      </c>
      <c r="L45" s="1" t="s">
        <v>26</v>
      </c>
      <c r="M45" s="1" t="s">
        <v>26</v>
      </c>
      <c r="N45" s="1" t="s">
        <v>26</v>
      </c>
      <c r="O45" s="9">
        <v>620129021.22000003</v>
      </c>
      <c r="P45" s="10">
        <v>2.5054222172499999E-3</v>
      </c>
      <c r="Q45" s="10">
        <v>0.15</v>
      </c>
      <c r="R45" s="10">
        <v>0.14749999999999999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 t="s">
        <v>26</v>
      </c>
      <c r="AB45" s="1" t="s">
        <v>26</v>
      </c>
      <c r="AC45" s="1" t="s">
        <v>26</v>
      </c>
      <c r="AD45" s="1" t="s">
        <v>26</v>
      </c>
      <c r="AE45" s="9">
        <v>620129021.22000003</v>
      </c>
      <c r="AF45" s="10">
        <v>8.7614271671000005E-4</v>
      </c>
      <c r="AG45" s="10">
        <v>0.15</v>
      </c>
      <c r="AH45" s="10">
        <v>0.14910000000000001</v>
      </c>
      <c r="AI45" s="2" t="s">
        <v>26</v>
      </c>
      <c r="AJ45" s="1" t="s">
        <v>26</v>
      </c>
      <c r="AK45" s="1" t="s">
        <v>26</v>
      </c>
      <c r="AL45" s="1" t="s">
        <v>26</v>
      </c>
      <c r="AM45" s="2" t="s">
        <v>26</v>
      </c>
      <c r="AN45" s="1" t="s">
        <v>26</v>
      </c>
      <c r="AO45" s="1" t="s">
        <v>26</v>
      </c>
      <c r="AP45" s="1" t="s">
        <v>26</v>
      </c>
      <c r="AQ45" s="2" t="s">
        <v>26</v>
      </c>
      <c r="AR45" s="1" t="s">
        <v>26</v>
      </c>
      <c r="AS45" s="2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9">
        <v>620129021.22000003</v>
      </c>
      <c r="AZ45" s="10">
        <v>7.7387754209000002E-4</v>
      </c>
      <c r="BA45" s="10">
        <v>0.15</v>
      </c>
      <c r="BB45" s="10">
        <v>0.1492</v>
      </c>
    </row>
    <row r="46" spans="1:54" s="7" customFormat="1">
      <c r="A46" s="3" t="s">
        <v>41</v>
      </c>
      <c r="B46" s="23" t="s">
        <v>35</v>
      </c>
      <c r="C46" s="9" t="s">
        <v>26</v>
      </c>
      <c r="D46" s="10" t="s">
        <v>26</v>
      </c>
      <c r="E46" s="9" t="s">
        <v>26</v>
      </c>
      <c r="F46" s="10" t="s">
        <v>26</v>
      </c>
      <c r="G46" s="9" t="s">
        <v>26</v>
      </c>
      <c r="H46" s="10" t="s">
        <v>26</v>
      </c>
      <c r="I46" s="9" t="s">
        <v>26</v>
      </c>
      <c r="J46" s="10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620129021.22000003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620129021.22000003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2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620129021.22000003</v>
      </c>
      <c r="AZ46" s="1">
        <v>1</v>
      </c>
      <c r="BA46" s="1" t="s">
        <v>26</v>
      </c>
      <c r="BB46" s="1" t="s">
        <v>26</v>
      </c>
    </row>
    <row r="47" spans="1:54" s="7" customFormat="1" hidden="1">
      <c r="A47" s="5" t="s">
        <v>128</v>
      </c>
      <c r="B47" s="20" t="s">
        <v>25</v>
      </c>
      <c r="C47" s="9" t="s">
        <v>26</v>
      </c>
      <c r="D47" s="10" t="s">
        <v>26</v>
      </c>
      <c r="E47" s="9" t="s">
        <v>26</v>
      </c>
      <c r="F47" s="10" t="s">
        <v>26</v>
      </c>
      <c r="G47" s="9"/>
      <c r="H47" s="10"/>
      <c r="I47" s="10"/>
      <c r="J47" s="10"/>
      <c r="K47" s="2" t="s">
        <v>26</v>
      </c>
      <c r="L47" s="1" t="s">
        <v>26</v>
      </c>
      <c r="M47" s="1" t="s">
        <v>26</v>
      </c>
      <c r="N47" s="1" t="s">
        <v>26</v>
      </c>
      <c r="O47" s="2" t="s">
        <v>26</v>
      </c>
      <c r="P47" s="1" t="s">
        <v>26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9"/>
      <c r="AF47" s="10"/>
      <c r="AG47" s="10"/>
      <c r="AH47" s="10"/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2" t="s">
        <v>26</v>
      </c>
      <c r="AT47" s="1" t="s">
        <v>26</v>
      </c>
      <c r="AU47" s="2" t="s">
        <v>26</v>
      </c>
      <c r="AV47" s="1" t="s">
        <v>26</v>
      </c>
      <c r="AW47" s="1" t="s">
        <v>26</v>
      </c>
      <c r="AX47" s="1" t="s">
        <v>26</v>
      </c>
      <c r="AY47" s="9"/>
      <c r="AZ47" s="10"/>
      <c r="BA47" s="10"/>
      <c r="BB47" s="10"/>
    </row>
    <row r="48" spans="1:54" s="7" customFormat="1" hidden="1">
      <c r="A48" s="3" t="s">
        <v>41</v>
      </c>
      <c r="B48" s="23" t="s">
        <v>35</v>
      </c>
      <c r="C48" s="9" t="s">
        <v>26</v>
      </c>
      <c r="D48" s="10" t="s">
        <v>26</v>
      </c>
      <c r="E48" s="9" t="s">
        <v>26</v>
      </c>
      <c r="F48" s="10" t="s">
        <v>26</v>
      </c>
      <c r="G48" s="2"/>
      <c r="H48" s="1"/>
      <c r="I48" s="9" t="s">
        <v>26</v>
      </c>
      <c r="J48" s="10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 t="s">
        <v>26</v>
      </c>
      <c r="P48" s="1" t="s">
        <v>26</v>
      </c>
      <c r="Q48" s="1" t="s">
        <v>26</v>
      </c>
      <c r="R48" s="1" t="s">
        <v>26</v>
      </c>
      <c r="S48" s="2" t="s">
        <v>26</v>
      </c>
      <c r="T48" s="1" t="s">
        <v>26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/>
      <c r="AF48" s="1"/>
      <c r="AG48" s="1" t="s">
        <v>26</v>
      </c>
      <c r="AH48" s="1" t="s">
        <v>26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2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/>
      <c r="AZ48" s="1"/>
      <c r="BA48" s="1" t="s">
        <v>26</v>
      </c>
      <c r="BB48" s="1" t="s">
        <v>26</v>
      </c>
    </row>
    <row r="49" spans="1:54" s="7" customFormat="1">
      <c r="A49" s="12" t="s">
        <v>55</v>
      </c>
      <c r="B49" s="40" t="s">
        <v>25</v>
      </c>
      <c r="C49" s="42">
        <v>69153616.200000003</v>
      </c>
      <c r="D49" s="43">
        <v>9.2002451284399992E-3</v>
      </c>
      <c r="E49" s="43" t="s">
        <v>26</v>
      </c>
      <c r="F49" s="43" t="s">
        <v>26</v>
      </c>
      <c r="G49" s="42">
        <v>310855845</v>
      </c>
      <c r="H49" s="43">
        <v>1.86001521541E-3</v>
      </c>
      <c r="I49" s="43" t="s">
        <v>26</v>
      </c>
      <c r="J49" s="43" t="s">
        <v>26</v>
      </c>
      <c r="K49" s="42">
        <v>98372212.090000004</v>
      </c>
      <c r="L49" s="43">
        <v>2.5962181458539998E-2</v>
      </c>
      <c r="M49" s="43" t="s">
        <v>26</v>
      </c>
      <c r="N49" s="43" t="s">
        <v>26</v>
      </c>
      <c r="O49" s="42">
        <v>3471332262.4899998</v>
      </c>
      <c r="P49" s="43">
        <v>1.40247475546E-2</v>
      </c>
      <c r="Q49" s="43" t="s">
        <v>26</v>
      </c>
      <c r="R49" s="43" t="s">
        <v>26</v>
      </c>
      <c r="S49" s="42">
        <v>1151582088.29</v>
      </c>
      <c r="T49" s="43">
        <v>9.45403933695E-3</v>
      </c>
      <c r="U49" s="43" t="s">
        <v>26</v>
      </c>
      <c r="V49" s="43" t="s">
        <v>26</v>
      </c>
      <c r="W49" s="42">
        <v>47690835.490000002</v>
      </c>
      <c r="X49" s="43">
        <v>6.7575769129599996E-3</v>
      </c>
      <c r="Y49" s="43" t="s">
        <v>26</v>
      </c>
      <c r="Z49" s="43" t="s">
        <v>26</v>
      </c>
      <c r="AA49" s="42">
        <v>2771903794.4200001</v>
      </c>
      <c r="AB49" s="43">
        <v>1.8119042615639999E-2</v>
      </c>
      <c r="AC49" s="43" t="s">
        <v>26</v>
      </c>
      <c r="AD49" s="43" t="s">
        <v>26</v>
      </c>
      <c r="AE49" s="42">
        <v>7920890653.9799995</v>
      </c>
      <c r="AF49" s="43">
        <v>1.119094643026E-2</v>
      </c>
      <c r="AG49" s="43" t="s">
        <v>26</v>
      </c>
      <c r="AH49" s="43" t="s">
        <v>26</v>
      </c>
      <c r="AI49" s="42">
        <v>204650284</v>
      </c>
      <c r="AJ49" s="43">
        <v>1.1288747812030001E-2</v>
      </c>
      <c r="AK49" s="43" t="s">
        <v>26</v>
      </c>
      <c r="AL49" s="43" t="s">
        <v>26</v>
      </c>
      <c r="AM49" s="42"/>
      <c r="AN49" s="43"/>
      <c r="AO49" s="43" t="s">
        <v>26</v>
      </c>
      <c r="AP49" s="43" t="s">
        <v>26</v>
      </c>
      <c r="AQ49" s="42">
        <v>426388866.70999998</v>
      </c>
      <c r="AR49" s="43">
        <v>9.9246914850299999E-3</v>
      </c>
      <c r="AS49" s="43" t="s">
        <v>26</v>
      </c>
      <c r="AT49" s="43" t="s">
        <v>26</v>
      </c>
      <c r="AU49" s="42">
        <v>511203494</v>
      </c>
      <c r="AV49" s="43">
        <v>1.010880759016E-2</v>
      </c>
      <c r="AW49" s="43" t="s">
        <v>26</v>
      </c>
      <c r="AX49" s="43" t="s">
        <v>26</v>
      </c>
      <c r="AY49" s="42">
        <v>8858483014.6900005</v>
      </c>
      <c r="AZ49" s="43">
        <v>1.1054765746209999E-2</v>
      </c>
      <c r="BA49" s="43" t="s">
        <v>26</v>
      </c>
      <c r="BB49" s="43" t="s">
        <v>26</v>
      </c>
    </row>
    <row r="50" spans="1:54" s="7" customFormat="1">
      <c r="A50" s="5" t="s">
        <v>56</v>
      </c>
      <c r="B50" s="20" t="s">
        <v>25</v>
      </c>
      <c r="C50" s="9">
        <v>35739911.899999999</v>
      </c>
      <c r="D50" s="10">
        <v>4.7548627015800001E-3</v>
      </c>
      <c r="E50" s="10">
        <v>0.12</v>
      </c>
      <c r="F50" s="10">
        <v>0.1152</v>
      </c>
      <c r="G50" s="9" t="s">
        <v>26</v>
      </c>
      <c r="H50" s="10" t="s">
        <v>26</v>
      </c>
      <c r="I50" s="9" t="s">
        <v>26</v>
      </c>
      <c r="J50" s="10" t="s">
        <v>26</v>
      </c>
      <c r="K50" s="9">
        <v>30634210.199999999</v>
      </c>
      <c r="L50" s="10">
        <v>8.0849145013000001E-3</v>
      </c>
      <c r="M50" s="10">
        <v>0.12</v>
      </c>
      <c r="N50" s="10">
        <v>0.1119</v>
      </c>
      <c r="O50" s="9">
        <v>819975693.01999998</v>
      </c>
      <c r="P50" s="10">
        <v>3.3128353110399998E-3</v>
      </c>
      <c r="Q50" s="10">
        <v>0.12</v>
      </c>
      <c r="R50" s="10">
        <v>0.1167</v>
      </c>
      <c r="S50" s="9">
        <v>306342102</v>
      </c>
      <c r="T50" s="10">
        <v>2.5149490534100002E-3</v>
      </c>
      <c r="U50" s="10">
        <v>0.12</v>
      </c>
      <c r="V50" s="10">
        <v>0.11749999999999999</v>
      </c>
      <c r="W50" s="2" t="s">
        <v>26</v>
      </c>
      <c r="X50" s="1" t="s">
        <v>26</v>
      </c>
      <c r="Y50" s="1" t="s">
        <v>26</v>
      </c>
      <c r="Z50" s="1" t="s">
        <v>26</v>
      </c>
      <c r="AA50" s="9">
        <v>898603499.20000005</v>
      </c>
      <c r="AB50" s="10">
        <v>5.8738817448699999E-3</v>
      </c>
      <c r="AC50" s="10">
        <v>0.12</v>
      </c>
      <c r="AD50" s="10">
        <v>0.11409999999999999</v>
      </c>
      <c r="AE50" s="9">
        <v>2091295416.3199999</v>
      </c>
      <c r="AF50" s="10">
        <v>2.9546645694600001E-3</v>
      </c>
      <c r="AG50" s="10">
        <v>0.12</v>
      </c>
      <c r="AH50" s="10">
        <v>0.11700000000000001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9">
        <v>204228068</v>
      </c>
      <c r="AV50" s="10">
        <v>4.0385135628999997E-3</v>
      </c>
      <c r="AW50" s="10">
        <v>0.12</v>
      </c>
      <c r="AX50" s="10">
        <v>0.11600000000000001</v>
      </c>
      <c r="AY50" s="9">
        <v>2295523484.3200002</v>
      </c>
      <c r="AZ50" s="10">
        <v>2.8646523724199999E-3</v>
      </c>
      <c r="BA50" s="10">
        <v>0.12</v>
      </c>
      <c r="BB50" s="10">
        <v>0.1171</v>
      </c>
    </row>
    <row r="51" spans="1:54" s="7" customFormat="1">
      <c r="A51" s="3" t="s">
        <v>39</v>
      </c>
      <c r="B51" s="23" t="s">
        <v>57</v>
      </c>
      <c r="C51" s="2">
        <v>35739911.899999999</v>
      </c>
      <c r="D51" s="1">
        <v>1</v>
      </c>
      <c r="E51" s="9" t="s">
        <v>25</v>
      </c>
      <c r="F51" s="10" t="s">
        <v>25</v>
      </c>
      <c r="G51" s="9" t="s">
        <v>26</v>
      </c>
      <c r="H51" s="10" t="s">
        <v>26</v>
      </c>
      <c r="I51" s="9" t="s">
        <v>26</v>
      </c>
      <c r="J51" s="10" t="s">
        <v>26</v>
      </c>
      <c r="K51" s="2">
        <v>30634210.199999999</v>
      </c>
      <c r="L51" s="1">
        <v>1</v>
      </c>
      <c r="M51" s="1" t="s">
        <v>26</v>
      </c>
      <c r="N51" s="1" t="s">
        <v>26</v>
      </c>
      <c r="O51" s="2">
        <v>819975693.01999998</v>
      </c>
      <c r="P51" s="1">
        <v>1</v>
      </c>
      <c r="Q51" s="1" t="s">
        <v>26</v>
      </c>
      <c r="R51" s="1" t="s">
        <v>26</v>
      </c>
      <c r="S51" s="2">
        <v>306342102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898603499.20000005</v>
      </c>
      <c r="AB51" s="1">
        <v>1</v>
      </c>
      <c r="AC51" s="1" t="s">
        <v>26</v>
      </c>
      <c r="AD51" s="1" t="s">
        <v>26</v>
      </c>
      <c r="AE51" s="2">
        <v>2091295416.3199999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>
        <v>204228068</v>
      </c>
      <c r="AV51" s="1">
        <v>1</v>
      </c>
      <c r="AW51" s="1" t="s">
        <v>26</v>
      </c>
      <c r="AX51" s="1" t="s">
        <v>26</v>
      </c>
      <c r="AY51" s="2">
        <v>2295523484.3200002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0" t="s">
        <v>25</v>
      </c>
      <c r="C52" s="9">
        <v>33413704.300000001</v>
      </c>
      <c r="D52" s="10">
        <v>4.4453824268599999E-3</v>
      </c>
      <c r="E52" s="10">
        <v>0.09</v>
      </c>
      <c r="F52" s="10">
        <v>8.5599999999999996E-2</v>
      </c>
      <c r="G52" s="9" t="s">
        <v>26</v>
      </c>
      <c r="H52" s="10" t="s">
        <v>26</v>
      </c>
      <c r="I52" s="9" t="s">
        <v>26</v>
      </c>
      <c r="J52" s="10" t="s">
        <v>26</v>
      </c>
      <c r="K52" s="9">
        <v>16575430.890000001</v>
      </c>
      <c r="L52" s="10">
        <v>4.3745518716799998E-3</v>
      </c>
      <c r="M52" s="10">
        <v>0.09</v>
      </c>
      <c r="N52" s="10">
        <v>8.5599999999999996E-2</v>
      </c>
      <c r="O52" s="9">
        <v>386656675.47000003</v>
      </c>
      <c r="P52" s="10">
        <v>1.56215592566E-3</v>
      </c>
      <c r="Q52" s="10">
        <v>0.09</v>
      </c>
      <c r="R52" s="10">
        <v>8.8400000000000006E-2</v>
      </c>
      <c r="S52" s="9">
        <v>292684219.49000001</v>
      </c>
      <c r="T52" s="10">
        <v>2.4028231704000002E-3</v>
      </c>
      <c r="U52" s="10">
        <v>0.09</v>
      </c>
      <c r="V52" s="10">
        <v>8.7599999999999997E-2</v>
      </c>
      <c r="W52" s="2" t="s">
        <v>26</v>
      </c>
      <c r="X52" s="1" t="s">
        <v>26</v>
      </c>
      <c r="Y52" s="1" t="s">
        <v>26</v>
      </c>
      <c r="Z52" s="1" t="s">
        <v>26</v>
      </c>
      <c r="AA52" s="9">
        <v>105749512.3</v>
      </c>
      <c r="AB52" s="10">
        <v>6.9125051301999999E-4</v>
      </c>
      <c r="AC52" s="10">
        <v>0.09</v>
      </c>
      <c r="AD52" s="10">
        <v>8.9300000000000004E-2</v>
      </c>
      <c r="AE52" s="9">
        <v>835079542.45000005</v>
      </c>
      <c r="AF52" s="10">
        <v>1.1798332830000001E-3</v>
      </c>
      <c r="AG52" s="10">
        <v>0.09</v>
      </c>
      <c r="AH52" s="10">
        <v>8.8800000000000004E-2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9">
        <v>835079542.45000005</v>
      </c>
      <c r="AZ52" s="10">
        <v>1.04212072269E-3</v>
      </c>
      <c r="BA52" s="10">
        <v>0.09</v>
      </c>
      <c r="BB52" s="10">
        <v>8.8999999999999996E-2</v>
      </c>
    </row>
    <row r="53" spans="1:54" s="28" customFormat="1">
      <c r="A53" s="3" t="s">
        <v>39</v>
      </c>
      <c r="B53" s="23" t="s">
        <v>47</v>
      </c>
      <c r="C53" s="2">
        <v>33413704.300000001</v>
      </c>
      <c r="D53" s="1">
        <v>1</v>
      </c>
      <c r="E53" s="9" t="s">
        <v>25</v>
      </c>
      <c r="F53" s="10" t="s">
        <v>25</v>
      </c>
      <c r="G53" s="9" t="s">
        <v>26</v>
      </c>
      <c r="H53" s="10" t="s">
        <v>26</v>
      </c>
      <c r="I53" s="9" t="s">
        <v>26</v>
      </c>
      <c r="J53" s="10" t="s">
        <v>26</v>
      </c>
      <c r="K53" s="2">
        <v>16575430.890000001</v>
      </c>
      <c r="L53" s="1">
        <v>1</v>
      </c>
      <c r="M53" s="1" t="s">
        <v>26</v>
      </c>
      <c r="N53" s="1" t="s">
        <v>26</v>
      </c>
      <c r="O53" s="2">
        <v>386656675.47000003</v>
      </c>
      <c r="P53" s="1">
        <v>1</v>
      </c>
      <c r="Q53" s="1" t="s">
        <v>26</v>
      </c>
      <c r="R53" s="1" t="s">
        <v>26</v>
      </c>
      <c r="S53" s="2">
        <v>292684219.49000001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105749512.3</v>
      </c>
      <c r="AB53" s="1">
        <v>1</v>
      </c>
      <c r="AC53" s="1" t="s">
        <v>26</v>
      </c>
      <c r="AD53" s="1" t="s">
        <v>26</v>
      </c>
      <c r="AE53" s="2">
        <v>835079542.45000005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835079542.45000005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60</v>
      </c>
      <c r="B54" s="20" t="s">
        <v>25</v>
      </c>
      <c r="C54" s="9" t="s">
        <v>26</v>
      </c>
      <c r="D54" s="10" t="s">
        <v>26</v>
      </c>
      <c r="E54" s="9" t="s">
        <v>26</v>
      </c>
      <c r="F54" s="10" t="s">
        <v>26</v>
      </c>
      <c r="G54" s="9">
        <v>310855845</v>
      </c>
      <c r="H54" s="10">
        <v>1.86001521541E-3</v>
      </c>
      <c r="I54" s="10">
        <v>0.12</v>
      </c>
      <c r="J54" s="10">
        <v>0.1181</v>
      </c>
      <c r="K54" s="9">
        <v>51162571</v>
      </c>
      <c r="L54" s="10">
        <v>1.350271508556E-2</v>
      </c>
      <c r="M54" s="10">
        <v>0.12</v>
      </c>
      <c r="N54" s="10">
        <v>0.1065</v>
      </c>
      <c r="O54" s="9">
        <v>2264699894</v>
      </c>
      <c r="P54" s="10">
        <v>9.1497563179100006E-3</v>
      </c>
      <c r="Q54" s="10">
        <v>0.12</v>
      </c>
      <c r="R54" s="10">
        <v>0.1109</v>
      </c>
      <c r="S54" s="9">
        <v>552555766.79999995</v>
      </c>
      <c r="T54" s="10">
        <v>4.53626711314E-3</v>
      </c>
      <c r="U54" s="10">
        <v>0.12</v>
      </c>
      <c r="V54" s="10">
        <v>0.11550000000000001</v>
      </c>
      <c r="W54" s="9">
        <v>47690835.490000002</v>
      </c>
      <c r="X54" s="10">
        <v>6.7575769129599996E-3</v>
      </c>
      <c r="Y54" s="10">
        <v>0.12</v>
      </c>
      <c r="Z54" s="10">
        <v>0.1132</v>
      </c>
      <c r="AA54" s="9">
        <v>1767550782.9200001</v>
      </c>
      <c r="AB54" s="10">
        <v>1.155391035775E-2</v>
      </c>
      <c r="AC54" s="10">
        <v>0.12509999999999999</v>
      </c>
      <c r="AD54" s="10">
        <v>0.1135</v>
      </c>
      <c r="AE54" s="9">
        <v>4994515695.21</v>
      </c>
      <c r="AF54" s="10">
        <v>7.0564485777999996E-3</v>
      </c>
      <c r="AG54" s="10">
        <v>0.12180000000000001</v>
      </c>
      <c r="AH54" s="10">
        <v>0.1147</v>
      </c>
      <c r="AI54" s="9">
        <v>204650284</v>
      </c>
      <c r="AJ54" s="10">
        <v>1.1288747812030001E-2</v>
      </c>
      <c r="AK54" s="10">
        <v>0.12</v>
      </c>
      <c r="AL54" s="10">
        <v>0.1087</v>
      </c>
      <c r="AM54" s="9">
        <v>221738582.71000001</v>
      </c>
      <c r="AN54" s="10">
        <v>8.9289264693399994E-3</v>
      </c>
      <c r="AO54" s="10">
        <v>0.12</v>
      </c>
      <c r="AP54" s="10">
        <v>0.1111</v>
      </c>
      <c r="AQ54" s="9">
        <v>426388866.70999998</v>
      </c>
      <c r="AR54" s="10">
        <v>9.9246914850299999E-3</v>
      </c>
      <c r="AS54" s="10">
        <v>0.12</v>
      </c>
      <c r="AT54" s="10">
        <v>0.1101</v>
      </c>
      <c r="AU54" s="9">
        <v>306975426</v>
      </c>
      <c r="AV54" s="10">
        <v>6.0702940272600002E-3</v>
      </c>
      <c r="AW54" s="10">
        <v>0.12</v>
      </c>
      <c r="AX54" s="10">
        <v>0.1139</v>
      </c>
      <c r="AY54" s="9">
        <v>5727879987.9200001</v>
      </c>
      <c r="AZ54" s="10">
        <v>7.1479926510900002E-3</v>
      </c>
      <c r="BA54" s="10">
        <v>0.1216</v>
      </c>
      <c r="BB54" s="10">
        <v>0.1145</v>
      </c>
    </row>
    <row r="55" spans="1:54" s="28" customFormat="1">
      <c r="A55" s="3" t="s">
        <v>39</v>
      </c>
      <c r="B55" s="23" t="s">
        <v>57</v>
      </c>
      <c r="C55" s="9" t="s">
        <v>26</v>
      </c>
      <c r="D55" s="10" t="s">
        <v>26</v>
      </c>
      <c r="E55" s="9" t="s">
        <v>26</v>
      </c>
      <c r="F55" s="10" t="s">
        <v>26</v>
      </c>
      <c r="G55" s="2">
        <v>310855845</v>
      </c>
      <c r="H55" s="1">
        <v>1</v>
      </c>
      <c r="I55" s="9" t="s">
        <v>26</v>
      </c>
      <c r="J55" s="10" t="s">
        <v>26</v>
      </c>
      <c r="K55" s="2">
        <v>51162571</v>
      </c>
      <c r="L55" s="1">
        <v>1</v>
      </c>
      <c r="M55" s="1" t="s">
        <v>26</v>
      </c>
      <c r="N55" s="1" t="s">
        <v>26</v>
      </c>
      <c r="O55" s="2">
        <v>2264699894</v>
      </c>
      <c r="P55" s="1">
        <v>1</v>
      </c>
      <c r="Q55" s="1" t="s">
        <v>26</v>
      </c>
      <c r="R55" s="1" t="s">
        <v>26</v>
      </c>
      <c r="S55" s="2">
        <v>552555766.79999995</v>
      </c>
      <c r="T55" s="1">
        <v>1</v>
      </c>
      <c r="U55" s="1" t="s">
        <v>26</v>
      </c>
      <c r="V55" s="1" t="s">
        <v>26</v>
      </c>
      <c r="W55" s="2">
        <v>47690835.490000002</v>
      </c>
      <c r="X55" s="1">
        <v>1</v>
      </c>
      <c r="Y55" s="1" t="s">
        <v>26</v>
      </c>
      <c r="Z55" s="1" t="s">
        <v>26</v>
      </c>
      <c r="AA55" s="2">
        <v>1466403720.2</v>
      </c>
      <c r="AB55" s="1">
        <v>0.82962466163348003</v>
      </c>
      <c r="AC55" s="1" t="s">
        <v>26</v>
      </c>
      <c r="AD55" s="1" t="s">
        <v>26</v>
      </c>
      <c r="AE55" s="2">
        <v>4693368632.4899998</v>
      </c>
      <c r="AF55" s="1">
        <v>0.93970445162303995</v>
      </c>
      <c r="AG55" s="1" t="s">
        <v>26</v>
      </c>
      <c r="AH55" s="1" t="s">
        <v>26</v>
      </c>
      <c r="AI55" s="2">
        <v>204650284</v>
      </c>
      <c r="AJ55" s="1">
        <v>1</v>
      </c>
      <c r="AK55" s="1" t="s">
        <v>26</v>
      </c>
      <c r="AL55" s="1" t="s">
        <v>26</v>
      </c>
      <c r="AM55" s="2">
        <v>221738582.71000001</v>
      </c>
      <c r="AN55" s="1">
        <v>1</v>
      </c>
      <c r="AO55" s="1" t="s">
        <v>25</v>
      </c>
      <c r="AP55" s="1" t="s">
        <v>25</v>
      </c>
      <c r="AQ55" s="2">
        <v>426388866.70999998</v>
      </c>
      <c r="AR55" s="1">
        <v>1</v>
      </c>
      <c r="AS55" s="1" t="s">
        <v>26</v>
      </c>
      <c r="AT55" s="1" t="s">
        <v>26</v>
      </c>
      <c r="AU55" s="2">
        <v>306975426</v>
      </c>
      <c r="AV55" s="1">
        <v>1</v>
      </c>
      <c r="AW55" s="1" t="s">
        <v>26</v>
      </c>
      <c r="AX55" s="1" t="s">
        <v>26</v>
      </c>
      <c r="AY55" s="2">
        <v>5426732925.1999998</v>
      </c>
      <c r="AZ55" s="1">
        <v>0.94742434140465004</v>
      </c>
      <c r="BA55" s="1" t="s">
        <v>26</v>
      </c>
      <c r="BB55" s="1" t="s">
        <v>26</v>
      </c>
    </row>
    <row r="56" spans="1:54" s="7" customFormat="1">
      <c r="A56" s="3" t="s">
        <v>41</v>
      </c>
      <c r="B56" s="23" t="s">
        <v>35</v>
      </c>
      <c r="C56" s="9" t="s">
        <v>26</v>
      </c>
      <c r="D56" s="10" t="s">
        <v>26</v>
      </c>
      <c r="E56" s="9" t="s">
        <v>26</v>
      </c>
      <c r="F56" s="10" t="s">
        <v>26</v>
      </c>
      <c r="G56" s="9" t="s">
        <v>26</v>
      </c>
      <c r="H56" s="10" t="s">
        <v>26</v>
      </c>
      <c r="I56" s="9" t="s">
        <v>26</v>
      </c>
      <c r="J56" s="10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1" t="s">
        <v>26</v>
      </c>
      <c r="P56" s="1" t="s">
        <v>26</v>
      </c>
      <c r="Q56" s="1" t="s">
        <v>26</v>
      </c>
      <c r="R56" s="1" t="s">
        <v>26</v>
      </c>
      <c r="S56" s="2" t="s">
        <v>26</v>
      </c>
      <c r="T56" s="1" t="s">
        <v>26</v>
      </c>
      <c r="U56" s="1" t="s">
        <v>26</v>
      </c>
      <c r="V56" s="1" t="s">
        <v>26</v>
      </c>
      <c r="W56" s="2" t="s">
        <v>26</v>
      </c>
      <c r="X56" s="1" t="s">
        <v>26</v>
      </c>
      <c r="Y56" s="1" t="s">
        <v>26</v>
      </c>
      <c r="Z56" s="1" t="s">
        <v>26</v>
      </c>
      <c r="AA56" s="2">
        <v>301147062.72000003</v>
      </c>
      <c r="AB56" s="1">
        <v>0.17037533836652</v>
      </c>
      <c r="AC56" s="1" t="s">
        <v>26</v>
      </c>
      <c r="AD56" s="1" t="s">
        <v>26</v>
      </c>
      <c r="AE56" s="2">
        <v>301147062.72000003</v>
      </c>
      <c r="AF56" s="1">
        <v>6.0295548376960002E-2</v>
      </c>
      <c r="AG56" s="1" t="s">
        <v>26</v>
      </c>
      <c r="AH56" s="1" t="s">
        <v>26</v>
      </c>
      <c r="AI56" s="2" t="s">
        <v>26</v>
      </c>
      <c r="AJ56" s="1" t="s">
        <v>26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 t="s">
        <v>26</v>
      </c>
      <c r="AR56" s="1" t="s">
        <v>26</v>
      </c>
      <c r="AS56" s="1" t="s">
        <v>26</v>
      </c>
      <c r="AT56" s="1" t="s">
        <v>26</v>
      </c>
      <c r="AU56" s="2" t="s">
        <v>26</v>
      </c>
      <c r="AV56" s="1" t="s">
        <v>26</v>
      </c>
      <c r="AW56" s="1" t="s">
        <v>26</v>
      </c>
      <c r="AX56" s="1" t="s">
        <v>26</v>
      </c>
      <c r="AY56" s="2">
        <v>301147062.72000003</v>
      </c>
      <c r="AZ56" s="1">
        <v>5.2575658595350003E-2</v>
      </c>
      <c r="BA56" s="1" t="s">
        <v>26</v>
      </c>
      <c r="BB56" s="1" t="s">
        <v>26</v>
      </c>
    </row>
    <row r="57" spans="1:54" s="7" customFormat="1">
      <c r="A57" s="12" t="s">
        <v>61</v>
      </c>
      <c r="B57" s="40" t="s">
        <v>25</v>
      </c>
      <c r="C57" s="42">
        <v>10025544.199999999</v>
      </c>
      <c r="D57" s="43">
        <v>1.3338053634E-3</v>
      </c>
      <c r="E57" s="43" t="s">
        <v>26</v>
      </c>
      <c r="F57" s="43" t="s">
        <v>26</v>
      </c>
      <c r="G57" s="43" t="s">
        <v>26</v>
      </c>
      <c r="H57" s="43" t="s">
        <v>26</v>
      </c>
      <c r="I57" s="43" t="s">
        <v>26</v>
      </c>
      <c r="J57" s="43" t="s">
        <v>26</v>
      </c>
      <c r="K57" s="42">
        <v>66636997.539999999</v>
      </c>
      <c r="L57" s="43">
        <v>1.7586692270399999E-2</v>
      </c>
      <c r="M57" s="43" t="s">
        <v>26</v>
      </c>
      <c r="N57" s="43" t="s">
        <v>26</v>
      </c>
      <c r="O57" s="42">
        <v>100529498.13</v>
      </c>
      <c r="P57" s="43">
        <v>4.0615554100000001E-4</v>
      </c>
      <c r="Q57" s="43" t="s">
        <v>26</v>
      </c>
      <c r="R57" s="43" t="s">
        <v>26</v>
      </c>
      <c r="S57" s="43" t="s">
        <v>26</v>
      </c>
      <c r="T57" s="43" t="s">
        <v>26</v>
      </c>
      <c r="U57" s="43" t="s">
        <v>26</v>
      </c>
      <c r="V57" s="43" t="s">
        <v>26</v>
      </c>
      <c r="W57" s="43" t="s">
        <v>26</v>
      </c>
      <c r="X57" s="43" t="s">
        <v>26</v>
      </c>
      <c r="Y57" s="43" t="s">
        <v>26</v>
      </c>
      <c r="Z57" s="43" t="s">
        <v>26</v>
      </c>
      <c r="AA57" s="42">
        <v>141421428.11000001</v>
      </c>
      <c r="AB57" s="43">
        <v>9.2442634114999996E-4</v>
      </c>
      <c r="AC57" s="43" t="s">
        <v>26</v>
      </c>
      <c r="AD57" s="43" t="s">
        <v>26</v>
      </c>
      <c r="AE57" s="42">
        <v>318613467.98000002</v>
      </c>
      <c r="AF57" s="43">
        <v>4.5014966218999999E-4</v>
      </c>
      <c r="AG57" s="43" t="s">
        <v>26</v>
      </c>
      <c r="AH57" s="43" t="s">
        <v>26</v>
      </c>
      <c r="AI57" s="42">
        <v>48206014.329999998</v>
      </c>
      <c r="AJ57" s="43">
        <v>2.6590998466200001E-3</v>
      </c>
      <c r="AK57" s="43" t="s">
        <v>26</v>
      </c>
      <c r="AL57" s="43" t="s">
        <v>26</v>
      </c>
      <c r="AM57" s="43" t="s">
        <v>26</v>
      </c>
      <c r="AN57" s="43" t="s">
        <v>26</v>
      </c>
      <c r="AO57" s="43" t="s">
        <v>26</v>
      </c>
      <c r="AP57" s="43" t="s">
        <v>26</v>
      </c>
      <c r="AQ57" s="42">
        <v>48206014.329999998</v>
      </c>
      <c r="AR57" s="43">
        <v>1.12205045042E-3</v>
      </c>
      <c r="AS57" s="43" t="s">
        <v>26</v>
      </c>
      <c r="AT57" s="43" t="s">
        <v>26</v>
      </c>
      <c r="AU57" s="48">
        <v>4000499.12</v>
      </c>
      <c r="AV57" s="43">
        <v>7.9107980170000001E-5</v>
      </c>
      <c r="AW57" s="43" t="s">
        <v>26</v>
      </c>
      <c r="AX57" s="43" t="s">
        <v>26</v>
      </c>
      <c r="AY57" s="42">
        <v>370819981.43000001</v>
      </c>
      <c r="AZ57" s="43">
        <v>4.6275733913999999E-4</v>
      </c>
      <c r="BA57" s="43" t="s">
        <v>26</v>
      </c>
      <c r="BB57" s="43" t="s">
        <v>26</v>
      </c>
    </row>
    <row r="58" spans="1:54" s="7" customFormat="1">
      <c r="A58" s="5" t="s">
        <v>62</v>
      </c>
      <c r="B58" s="20" t="s">
        <v>25</v>
      </c>
      <c r="C58" s="9">
        <v>10025544.199999999</v>
      </c>
      <c r="D58" s="10">
        <v>1.3338053634E-3</v>
      </c>
      <c r="E58" s="10">
        <v>0.09</v>
      </c>
      <c r="F58" s="10">
        <v>8.8700000000000001E-2</v>
      </c>
      <c r="G58" s="9" t="s">
        <v>26</v>
      </c>
      <c r="H58" s="10" t="s">
        <v>26</v>
      </c>
      <c r="I58" s="9" t="s">
        <v>26</v>
      </c>
      <c r="J58" s="10" t="s">
        <v>26</v>
      </c>
      <c r="K58" s="2" t="s">
        <v>26</v>
      </c>
      <c r="L58" s="1" t="s">
        <v>26</v>
      </c>
      <c r="M58" s="1" t="s">
        <v>26</v>
      </c>
      <c r="N58" s="1" t="s">
        <v>26</v>
      </c>
      <c r="O58" s="1" t="s">
        <v>26</v>
      </c>
      <c r="P58" s="1" t="s">
        <v>26</v>
      </c>
      <c r="Q58" s="1" t="s">
        <v>26</v>
      </c>
      <c r="R58" s="1" t="s">
        <v>26</v>
      </c>
      <c r="S58" s="2" t="s">
        <v>26</v>
      </c>
      <c r="T58" s="1" t="s">
        <v>26</v>
      </c>
      <c r="U58" s="1" t="s">
        <v>26</v>
      </c>
      <c r="V58" s="1" t="s">
        <v>26</v>
      </c>
      <c r="W58" s="2" t="s">
        <v>26</v>
      </c>
      <c r="X58" s="1" t="s">
        <v>26</v>
      </c>
      <c r="Y58" s="1" t="s">
        <v>26</v>
      </c>
      <c r="Z58" s="1" t="s">
        <v>26</v>
      </c>
      <c r="AA58" s="2" t="s">
        <v>26</v>
      </c>
      <c r="AB58" s="1" t="s">
        <v>26</v>
      </c>
      <c r="AC58" s="1" t="s">
        <v>26</v>
      </c>
      <c r="AD58" s="1" t="s">
        <v>26</v>
      </c>
      <c r="AE58" s="9">
        <v>10025544.199999999</v>
      </c>
      <c r="AF58" s="10">
        <v>1.4164483889999999E-5</v>
      </c>
      <c r="AG58" s="10">
        <v>0.09</v>
      </c>
      <c r="AH58" s="10">
        <v>0.09</v>
      </c>
      <c r="AI58" s="2" t="s">
        <v>26</v>
      </c>
      <c r="AJ58" s="1" t="s">
        <v>26</v>
      </c>
      <c r="AK58" s="1" t="s">
        <v>26</v>
      </c>
      <c r="AL58" s="1" t="s">
        <v>26</v>
      </c>
      <c r="AM58" s="2" t="s">
        <v>26</v>
      </c>
      <c r="AN58" s="1" t="s">
        <v>26</v>
      </c>
      <c r="AO58" s="1" t="s">
        <v>26</v>
      </c>
      <c r="AP58" s="1" t="s">
        <v>26</v>
      </c>
      <c r="AQ58" s="2" t="s">
        <v>26</v>
      </c>
      <c r="AR58" s="1" t="s">
        <v>26</v>
      </c>
      <c r="AS58" s="1" t="s">
        <v>26</v>
      </c>
      <c r="AT58" s="1" t="s">
        <v>26</v>
      </c>
      <c r="AU58" s="2" t="s">
        <v>26</v>
      </c>
      <c r="AV58" s="1" t="s">
        <v>26</v>
      </c>
      <c r="AW58" s="1" t="s">
        <v>26</v>
      </c>
      <c r="AX58" s="1" t="s">
        <v>26</v>
      </c>
      <c r="AY58" s="9">
        <v>10025544.199999999</v>
      </c>
      <c r="AZ58" s="10">
        <v>1.2511176279999999E-5</v>
      </c>
      <c r="BA58" s="10">
        <v>0.09</v>
      </c>
      <c r="BB58" s="10">
        <v>0.09</v>
      </c>
    </row>
    <row r="59" spans="1:54" s="7" customFormat="1">
      <c r="A59" s="3" t="s">
        <v>39</v>
      </c>
      <c r="B59" s="23" t="s">
        <v>47</v>
      </c>
      <c r="C59" s="2">
        <v>10025544.199999999</v>
      </c>
      <c r="D59" s="1">
        <v>1</v>
      </c>
      <c r="E59" s="9" t="s">
        <v>25</v>
      </c>
      <c r="F59" s="10" t="s">
        <v>25</v>
      </c>
      <c r="G59" s="9" t="s">
        <v>26</v>
      </c>
      <c r="H59" s="10" t="s">
        <v>26</v>
      </c>
      <c r="I59" s="9" t="s">
        <v>26</v>
      </c>
      <c r="J59" s="10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1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 t="s">
        <v>26</v>
      </c>
      <c r="AB59" s="1" t="s">
        <v>26</v>
      </c>
      <c r="AC59" s="1" t="s">
        <v>26</v>
      </c>
      <c r="AD59" s="1" t="s">
        <v>26</v>
      </c>
      <c r="AE59" s="2">
        <v>10025544.199999999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10025544.199999999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63</v>
      </c>
      <c r="B60" s="20" t="s">
        <v>25</v>
      </c>
      <c r="C60" s="9" t="s">
        <v>26</v>
      </c>
      <c r="D60" s="10" t="s">
        <v>26</v>
      </c>
      <c r="E60" s="9" t="s">
        <v>26</v>
      </c>
      <c r="F60" s="10" t="s">
        <v>26</v>
      </c>
      <c r="G60" s="9" t="s">
        <v>26</v>
      </c>
      <c r="H60" s="10" t="s">
        <v>26</v>
      </c>
      <c r="I60" s="9" t="s">
        <v>26</v>
      </c>
      <c r="J60" s="10" t="s">
        <v>26</v>
      </c>
      <c r="K60" s="2" t="s">
        <v>26</v>
      </c>
      <c r="L60" s="1" t="s">
        <v>26</v>
      </c>
      <c r="M60" s="1" t="s">
        <v>26</v>
      </c>
      <c r="N60" s="1" t="s">
        <v>26</v>
      </c>
      <c r="O60" s="1" t="s">
        <v>26</v>
      </c>
      <c r="P60" s="1" t="s">
        <v>26</v>
      </c>
      <c r="Q60" s="1" t="s">
        <v>26</v>
      </c>
      <c r="R60" s="1" t="s">
        <v>26</v>
      </c>
      <c r="S60" s="2" t="s">
        <v>26</v>
      </c>
      <c r="T60" s="1" t="s">
        <v>26</v>
      </c>
      <c r="U60" s="1" t="s">
        <v>26</v>
      </c>
      <c r="V60" s="1" t="s">
        <v>26</v>
      </c>
      <c r="W60" s="2" t="s">
        <v>26</v>
      </c>
      <c r="X60" s="1" t="s">
        <v>26</v>
      </c>
      <c r="Y60" s="1" t="s">
        <v>26</v>
      </c>
      <c r="Z60" s="1" t="s">
        <v>26</v>
      </c>
      <c r="AA60" s="9">
        <v>95194530.579999998</v>
      </c>
      <c r="AB60" s="10">
        <v>6.2225599598000002E-4</v>
      </c>
      <c r="AC60" s="10">
        <v>0.13500000000000001</v>
      </c>
      <c r="AD60" s="10">
        <v>0.13439999999999999</v>
      </c>
      <c r="AE60" s="9">
        <v>95194530.579999998</v>
      </c>
      <c r="AF60" s="10">
        <v>1.3449458384E-4</v>
      </c>
      <c r="AG60" s="10">
        <v>0.13500000000000001</v>
      </c>
      <c r="AH60" s="10">
        <v>0.13489999999999999</v>
      </c>
      <c r="AI60" s="2" t="s">
        <v>26</v>
      </c>
      <c r="AJ60" s="1" t="s">
        <v>26</v>
      </c>
      <c r="AK60" s="1" t="s">
        <v>26</v>
      </c>
      <c r="AL60" s="1" t="s">
        <v>26</v>
      </c>
      <c r="AM60" s="2" t="s">
        <v>26</v>
      </c>
      <c r="AN60" s="1" t="s">
        <v>26</v>
      </c>
      <c r="AO60" s="1" t="s">
        <v>26</v>
      </c>
      <c r="AP60" s="1" t="s">
        <v>26</v>
      </c>
      <c r="AQ60" s="2" t="s">
        <v>26</v>
      </c>
      <c r="AR60" s="1" t="s">
        <v>26</v>
      </c>
      <c r="AS60" s="1" t="s">
        <v>26</v>
      </c>
      <c r="AT60" s="1" t="s">
        <v>26</v>
      </c>
      <c r="AU60" s="2" t="s">
        <v>26</v>
      </c>
      <c r="AV60" s="1" t="s">
        <v>26</v>
      </c>
      <c r="AW60" s="1" t="s">
        <v>26</v>
      </c>
      <c r="AX60" s="1" t="s">
        <v>26</v>
      </c>
      <c r="AY60" s="9">
        <v>95194530.579999998</v>
      </c>
      <c r="AZ60" s="10">
        <v>1.1879610021E-4</v>
      </c>
      <c r="BA60" s="10">
        <v>0.13500000000000001</v>
      </c>
      <c r="BB60" s="10">
        <v>0.13489999999999999</v>
      </c>
    </row>
    <row r="61" spans="1:54" s="7" customFormat="1">
      <c r="A61" s="3" t="s">
        <v>41</v>
      </c>
      <c r="B61" s="23" t="s">
        <v>44</v>
      </c>
      <c r="C61" s="9" t="s">
        <v>26</v>
      </c>
      <c r="D61" s="10" t="s">
        <v>26</v>
      </c>
      <c r="E61" s="9" t="s">
        <v>26</v>
      </c>
      <c r="F61" s="10" t="s">
        <v>26</v>
      </c>
      <c r="G61" s="9" t="s">
        <v>26</v>
      </c>
      <c r="H61" s="10" t="s">
        <v>26</v>
      </c>
      <c r="I61" s="9" t="s">
        <v>26</v>
      </c>
      <c r="J61" s="10" t="s">
        <v>26</v>
      </c>
      <c r="K61" s="2" t="s">
        <v>26</v>
      </c>
      <c r="L61" s="1" t="s">
        <v>26</v>
      </c>
      <c r="M61" s="1" t="s">
        <v>26</v>
      </c>
      <c r="N61" s="1" t="s">
        <v>26</v>
      </c>
      <c r="O61" s="1" t="s">
        <v>26</v>
      </c>
      <c r="P61" s="1" t="s">
        <v>26</v>
      </c>
      <c r="Q61" s="1" t="s">
        <v>26</v>
      </c>
      <c r="R61" s="1" t="s">
        <v>26</v>
      </c>
      <c r="S61" s="1" t="s">
        <v>26</v>
      </c>
      <c r="T61" s="1" t="s">
        <v>26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>
        <v>95194530.579999998</v>
      </c>
      <c r="AB61" s="1">
        <v>1</v>
      </c>
      <c r="AC61" s="1" t="s">
        <v>26</v>
      </c>
      <c r="AD61" s="1" t="s">
        <v>26</v>
      </c>
      <c r="AE61" s="2">
        <v>95194530.579999998</v>
      </c>
      <c r="AF61" s="1">
        <v>1</v>
      </c>
      <c r="AG61" s="1" t="s">
        <v>26</v>
      </c>
      <c r="AH61" s="1" t="s">
        <v>26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2">
        <v>95194530.579999998</v>
      </c>
      <c r="AZ61" s="1">
        <v>1</v>
      </c>
      <c r="BA61" s="1" t="s">
        <v>26</v>
      </c>
      <c r="BB61" s="1" t="s">
        <v>26</v>
      </c>
    </row>
    <row r="62" spans="1:54" s="7" customFormat="1">
      <c r="A62" s="5" t="s">
        <v>65</v>
      </c>
      <c r="B62" s="20" t="s">
        <v>25</v>
      </c>
      <c r="C62" s="9" t="s">
        <v>26</v>
      </c>
      <c r="D62" s="10" t="s">
        <v>26</v>
      </c>
      <c r="E62" s="9" t="s">
        <v>26</v>
      </c>
      <c r="F62" s="10" t="s">
        <v>26</v>
      </c>
      <c r="G62" s="9" t="s">
        <v>26</v>
      </c>
      <c r="H62" s="10" t="s">
        <v>26</v>
      </c>
      <c r="I62" s="9" t="s">
        <v>26</v>
      </c>
      <c r="J62" s="10" t="s">
        <v>26</v>
      </c>
      <c r="K62" s="9">
        <v>66636997.539999999</v>
      </c>
      <c r="L62" s="10">
        <v>1.7586692270399999E-2</v>
      </c>
      <c r="M62" s="10">
        <v>0.13500000000000001</v>
      </c>
      <c r="N62" s="10">
        <v>0.1174</v>
      </c>
      <c r="O62" s="9">
        <v>100529498.13</v>
      </c>
      <c r="P62" s="10">
        <v>4.0615554100000001E-4</v>
      </c>
      <c r="Q62" s="10">
        <v>0.13500000000000001</v>
      </c>
      <c r="R62" s="10">
        <v>0.1346</v>
      </c>
      <c r="S62" s="2" t="s">
        <v>26</v>
      </c>
      <c r="T62" s="1" t="s">
        <v>26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9">
        <v>46226897.530000001</v>
      </c>
      <c r="AB62" s="10">
        <v>3.0217034516999999E-4</v>
      </c>
      <c r="AC62" s="10">
        <v>0.13500000000000001</v>
      </c>
      <c r="AD62" s="10">
        <v>0.13469999999999999</v>
      </c>
      <c r="AE62" s="9">
        <v>213393393.19999999</v>
      </c>
      <c r="AF62" s="10">
        <v>3.0149059444999998E-4</v>
      </c>
      <c r="AG62" s="10">
        <v>0.13500000000000001</v>
      </c>
      <c r="AH62" s="10">
        <v>0.13469999999999999</v>
      </c>
      <c r="AI62" s="9">
        <v>48206014.329999998</v>
      </c>
      <c r="AJ62" s="10">
        <v>2.6590998466200001E-3</v>
      </c>
      <c r="AK62" s="10">
        <v>0.13500000000000001</v>
      </c>
      <c r="AL62" s="10">
        <v>0.1323</v>
      </c>
      <c r="AM62" s="2" t="s">
        <v>26</v>
      </c>
      <c r="AN62" s="1" t="s">
        <v>26</v>
      </c>
      <c r="AO62" s="1" t="s">
        <v>26</v>
      </c>
      <c r="AP62" s="1" t="s">
        <v>26</v>
      </c>
      <c r="AQ62" s="9">
        <v>48206014.329999998</v>
      </c>
      <c r="AR62" s="10">
        <v>1.12205045042E-3</v>
      </c>
      <c r="AS62" s="10">
        <v>0.13500000000000001</v>
      </c>
      <c r="AT62" s="10">
        <v>0.13389999999999999</v>
      </c>
      <c r="AU62" s="9">
        <v>4000499.12</v>
      </c>
      <c r="AV62" s="10">
        <v>7.9107980170000001E-5</v>
      </c>
      <c r="AW62" s="10">
        <v>0.13500000000000001</v>
      </c>
      <c r="AX62" s="10">
        <v>0.13489999999999999</v>
      </c>
      <c r="AY62" s="9">
        <v>265599906.65000001</v>
      </c>
      <c r="AZ62" s="10">
        <v>3.3145006264999999E-4</v>
      </c>
      <c r="BA62" s="10">
        <v>0.13500000000000001</v>
      </c>
      <c r="BB62" s="10">
        <v>0.13469999999999999</v>
      </c>
    </row>
    <row r="63" spans="1:54" s="28" customFormat="1">
      <c r="A63" s="3" t="s">
        <v>41</v>
      </c>
      <c r="B63" s="23" t="s">
        <v>44</v>
      </c>
      <c r="C63" s="9" t="s">
        <v>26</v>
      </c>
      <c r="D63" s="10" t="s">
        <v>26</v>
      </c>
      <c r="E63" s="9" t="s">
        <v>26</v>
      </c>
      <c r="F63" s="10" t="s">
        <v>26</v>
      </c>
      <c r="G63" s="9" t="s">
        <v>26</v>
      </c>
      <c r="H63" s="10" t="s">
        <v>26</v>
      </c>
      <c r="I63" s="9" t="s">
        <v>26</v>
      </c>
      <c r="J63" s="10" t="s">
        <v>26</v>
      </c>
      <c r="K63" s="2">
        <v>66636997.539999999</v>
      </c>
      <c r="L63" s="1">
        <v>1</v>
      </c>
      <c r="M63" s="1" t="s">
        <v>26</v>
      </c>
      <c r="N63" s="1" t="s">
        <v>26</v>
      </c>
      <c r="O63" s="2">
        <v>100529498.13</v>
      </c>
      <c r="P63" s="1">
        <v>1</v>
      </c>
      <c r="Q63" s="1" t="s">
        <v>26</v>
      </c>
      <c r="R63" s="1" t="s">
        <v>26</v>
      </c>
      <c r="S63" s="2" t="s">
        <v>26</v>
      </c>
      <c r="T63" s="1" t="s">
        <v>26</v>
      </c>
      <c r="U63" s="1" t="s">
        <v>26</v>
      </c>
      <c r="V63" s="1" t="s">
        <v>26</v>
      </c>
      <c r="W63" s="2" t="s">
        <v>26</v>
      </c>
      <c r="X63" s="1" t="s">
        <v>26</v>
      </c>
      <c r="Y63" s="1" t="s">
        <v>26</v>
      </c>
      <c r="Z63" s="1" t="s">
        <v>26</v>
      </c>
      <c r="AA63" s="2">
        <v>46226897.530000001</v>
      </c>
      <c r="AB63" s="1">
        <v>1</v>
      </c>
      <c r="AC63" s="1" t="s">
        <v>26</v>
      </c>
      <c r="AD63" s="1" t="s">
        <v>26</v>
      </c>
      <c r="AE63" s="2">
        <v>213393393.19999999</v>
      </c>
      <c r="AF63" s="1">
        <v>1</v>
      </c>
      <c r="AG63" s="1" t="s">
        <v>26</v>
      </c>
      <c r="AH63" s="1" t="s">
        <v>26</v>
      </c>
      <c r="AI63" s="2">
        <v>48206014.329999998</v>
      </c>
      <c r="AJ63" s="1">
        <v>1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>
        <v>48206014.329999998</v>
      </c>
      <c r="AR63" s="1">
        <v>1</v>
      </c>
      <c r="AS63" s="1" t="s">
        <v>26</v>
      </c>
      <c r="AT63" s="1" t="s">
        <v>26</v>
      </c>
      <c r="AU63" s="2">
        <v>4000499.12</v>
      </c>
      <c r="AV63" s="1">
        <v>1</v>
      </c>
      <c r="AW63" s="1" t="s">
        <v>26</v>
      </c>
      <c r="AX63" s="1" t="s">
        <v>26</v>
      </c>
      <c r="AY63" s="2">
        <v>265599906.65000001</v>
      </c>
      <c r="AZ63" s="1">
        <v>1</v>
      </c>
      <c r="BA63" s="1" t="s">
        <v>26</v>
      </c>
      <c r="BB63" s="1" t="s">
        <v>26</v>
      </c>
    </row>
    <row r="64" spans="1:54" s="7" customFormat="1">
      <c r="A64" s="12" t="s">
        <v>66</v>
      </c>
      <c r="B64" s="40" t="s">
        <v>25</v>
      </c>
      <c r="C64" s="42">
        <v>1140860936.8499999</v>
      </c>
      <c r="D64" s="43">
        <v>0.15178093139953</v>
      </c>
      <c r="E64" s="43" t="s">
        <v>26</v>
      </c>
      <c r="F64" s="43" t="s">
        <v>26</v>
      </c>
      <c r="G64" s="42">
        <v>6694887677.3800001</v>
      </c>
      <c r="H64" s="43">
        <v>4.0059059997430001E-2</v>
      </c>
      <c r="I64" s="43" t="s">
        <v>26</v>
      </c>
      <c r="J64" s="43" t="s">
        <v>26</v>
      </c>
      <c r="K64" s="42">
        <v>656393615.65999997</v>
      </c>
      <c r="L64" s="43">
        <v>0.17323398341801</v>
      </c>
      <c r="M64" s="43" t="s">
        <v>26</v>
      </c>
      <c r="N64" s="43" t="s">
        <v>26</v>
      </c>
      <c r="O64" s="42">
        <v>10551484294.370001</v>
      </c>
      <c r="P64" s="43">
        <v>4.2629714577870001E-2</v>
      </c>
      <c r="Q64" s="43" t="s">
        <v>26</v>
      </c>
      <c r="R64" s="43" t="s">
        <v>26</v>
      </c>
      <c r="S64" s="42">
        <v>6197354280.1800003</v>
      </c>
      <c r="T64" s="43">
        <v>5.0877859030320001E-2</v>
      </c>
      <c r="U64" s="43" t="s">
        <v>26</v>
      </c>
      <c r="V64" s="43" t="s">
        <v>26</v>
      </c>
      <c r="W64" s="43" t="s">
        <v>26</v>
      </c>
      <c r="X64" s="43" t="s">
        <v>26</v>
      </c>
      <c r="Y64" s="43" t="s">
        <v>26</v>
      </c>
      <c r="Z64" s="43" t="s">
        <v>26</v>
      </c>
      <c r="AA64" s="42">
        <v>5121557432.1099997</v>
      </c>
      <c r="AB64" s="43">
        <v>3.347797191146E-2</v>
      </c>
      <c r="AC64" s="43" t="s">
        <v>26</v>
      </c>
      <c r="AD64" s="43" t="s">
        <v>26</v>
      </c>
      <c r="AE64" s="42">
        <v>30362538236.549999</v>
      </c>
      <c r="AF64" s="43">
        <v>4.2897390424289999E-2</v>
      </c>
      <c r="AG64" s="43" t="s">
        <v>26</v>
      </c>
      <c r="AH64" s="43" t="s">
        <v>26</v>
      </c>
      <c r="AI64" s="42">
        <v>907087461.45000005</v>
      </c>
      <c r="AJ64" s="43">
        <v>5.0035999929349997E-2</v>
      </c>
      <c r="AK64" s="43" t="s">
        <v>26</v>
      </c>
      <c r="AL64" s="43" t="s">
        <v>26</v>
      </c>
      <c r="AM64" s="42">
        <v>2192588543.4699998</v>
      </c>
      <c r="AN64" s="43">
        <v>8.8290732460210006E-2</v>
      </c>
      <c r="AO64" s="43" t="s">
        <v>26</v>
      </c>
      <c r="AP64" s="43" t="s">
        <v>26</v>
      </c>
      <c r="AQ64" s="42">
        <v>3099676004.9200001</v>
      </c>
      <c r="AR64" s="43">
        <v>7.2148525569499994E-2</v>
      </c>
      <c r="AS64" s="43" t="s">
        <v>26</v>
      </c>
      <c r="AT64" s="43" t="s">
        <v>26</v>
      </c>
      <c r="AU64" s="42">
        <v>1469166742.79</v>
      </c>
      <c r="AV64" s="43">
        <v>2.9052078272219999E-2</v>
      </c>
      <c r="AW64" s="43" t="s">
        <v>26</v>
      </c>
      <c r="AX64" s="43" t="s">
        <v>26</v>
      </c>
      <c r="AY64" s="42">
        <v>34931380984.260002</v>
      </c>
      <c r="AZ64" s="43">
        <v>4.3591914477020002E-2</v>
      </c>
      <c r="BA64" s="43" t="s">
        <v>26</v>
      </c>
      <c r="BB64" s="43" t="s">
        <v>26</v>
      </c>
    </row>
    <row r="65" spans="1:54" s="28" customFormat="1">
      <c r="A65" s="5" t="s">
        <v>67</v>
      </c>
      <c r="B65" s="20" t="s">
        <v>25</v>
      </c>
      <c r="C65" s="9">
        <v>293768765.70999998</v>
      </c>
      <c r="D65" s="10">
        <v>3.9083200620980002E-2</v>
      </c>
      <c r="E65" s="10">
        <v>0.08</v>
      </c>
      <c r="F65" s="10">
        <v>4.0899999999999999E-2</v>
      </c>
      <c r="G65" s="9" t="s">
        <v>26</v>
      </c>
      <c r="H65" s="10" t="s">
        <v>26</v>
      </c>
      <c r="I65" s="9" t="s">
        <v>26</v>
      </c>
      <c r="J65" s="10" t="s">
        <v>26</v>
      </c>
      <c r="K65" s="9">
        <v>192915915.25999999</v>
      </c>
      <c r="L65" s="10">
        <v>5.0913951123090002E-2</v>
      </c>
      <c r="M65" s="10">
        <v>0.08</v>
      </c>
      <c r="N65" s="10">
        <v>2.9100000000000001E-2</v>
      </c>
      <c r="O65" s="1" t="s">
        <v>26</v>
      </c>
      <c r="P65" s="1" t="s">
        <v>26</v>
      </c>
      <c r="Q65" s="1" t="s">
        <v>26</v>
      </c>
      <c r="R65" s="1" t="s">
        <v>26</v>
      </c>
      <c r="S65" s="9">
        <v>495360378.83999997</v>
      </c>
      <c r="T65" s="10">
        <v>4.0667153085699997E-3</v>
      </c>
      <c r="U65" s="10">
        <v>0.08</v>
      </c>
      <c r="V65" s="10">
        <v>7.5899999999999995E-2</v>
      </c>
      <c r="W65" s="2" t="s">
        <v>26</v>
      </c>
      <c r="X65" s="1" t="s">
        <v>26</v>
      </c>
      <c r="Y65" s="1" t="s">
        <v>26</v>
      </c>
      <c r="Z65" s="1" t="s">
        <v>26</v>
      </c>
      <c r="AA65" s="2" t="s">
        <v>26</v>
      </c>
      <c r="AB65" s="1" t="s">
        <v>26</v>
      </c>
      <c r="AC65" s="1" t="s">
        <v>26</v>
      </c>
      <c r="AD65" s="1" t="s">
        <v>26</v>
      </c>
      <c r="AE65" s="9">
        <v>982045059.80999994</v>
      </c>
      <c r="AF65" s="10">
        <v>1.3874719569500001E-3</v>
      </c>
      <c r="AG65" s="10">
        <v>0.08</v>
      </c>
      <c r="AH65" s="10">
        <v>7.8600000000000003E-2</v>
      </c>
      <c r="AI65" s="2" t="s">
        <v>26</v>
      </c>
      <c r="AJ65" s="1" t="s">
        <v>26</v>
      </c>
      <c r="AK65" s="1" t="s">
        <v>26</v>
      </c>
      <c r="AL65" s="1" t="s">
        <v>26</v>
      </c>
      <c r="AM65" s="2" t="s">
        <v>26</v>
      </c>
      <c r="AN65" s="1" t="s">
        <v>26</v>
      </c>
      <c r="AO65" s="1" t="s">
        <v>26</v>
      </c>
      <c r="AP65" s="1" t="s">
        <v>26</v>
      </c>
      <c r="AQ65" s="2" t="s">
        <v>26</v>
      </c>
      <c r="AR65" s="1" t="s">
        <v>26</v>
      </c>
      <c r="AS65" s="1" t="s">
        <v>26</v>
      </c>
      <c r="AT65" s="1" t="s">
        <v>26</v>
      </c>
      <c r="AU65" s="2" t="s">
        <v>26</v>
      </c>
      <c r="AV65" s="1" t="s">
        <v>26</v>
      </c>
      <c r="AW65" s="1" t="s">
        <v>26</v>
      </c>
      <c r="AX65" s="1" t="s">
        <v>26</v>
      </c>
      <c r="AY65" s="9">
        <v>982045059.80999994</v>
      </c>
      <c r="AZ65" s="10">
        <v>1.2255233848099999E-3</v>
      </c>
      <c r="BA65" s="10">
        <v>0.08</v>
      </c>
      <c r="BB65" s="10">
        <v>7.8799999999999995E-2</v>
      </c>
    </row>
    <row r="66" spans="1:54" s="7" customFormat="1">
      <c r="A66" s="3" t="s">
        <v>68</v>
      </c>
      <c r="B66" s="23" t="s">
        <v>57</v>
      </c>
      <c r="C66" s="2">
        <v>293768765.70999998</v>
      </c>
      <c r="D66" s="1">
        <v>1</v>
      </c>
      <c r="E66" s="9" t="s">
        <v>26</v>
      </c>
      <c r="F66" s="10" t="s">
        <v>26</v>
      </c>
      <c r="G66" s="9" t="s">
        <v>26</v>
      </c>
      <c r="H66" s="10" t="s">
        <v>26</v>
      </c>
      <c r="I66" s="9" t="s">
        <v>26</v>
      </c>
      <c r="J66" s="10" t="s">
        <v>26</v>
      </c>
      <c r="K66" s="2">
        <v>192915915.25999999</v>
      </c>
      <c r="L66" s="1">
        <v>1</v>
      </c>
      <c r="M66" s="1" t="s">
        <v>26</v>
      </c>
      <c r="N66" s="1" t="s">
        <v>26</v>
      </c>
      <c r="O66" s="1" t="s">
        <v>26</v>
      </c>
      <c r="P66" s="1" t="s">
        <v>26</v>
      </c>
      <c r="Q66" s="1" t="s">
        <v>26</v>
      </c>
      <c r="R66" s="1" t="s">
        <v>26</v>
      </c>
      <c r="S66" s="2">
        <v>495360378.83999997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982045059.80999994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982045059.80999994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69</v>
      </c>
      <c r="B67" s="20" t="s">
        <v>25</v>
      </c>
      <c r="C67" s="9" t="s">
        <v>26</v>
      </c>
      <c r="D67" s="10" t="s">
        <v>26</v>
      </c>
      <c r="E67" s="9" t="s">
        <v>26</v>
      </c>
      <c r="F67" s="10" t="s">
        <v>26</v>
      </c>
      <c r="G67" s="9">
        <v>522905409.48000002</v>
      </c>
      <c r="H67" s="10">
        <v>3.12882010584E-3</v>
      </c>
      <c r="I67" s="10">
        <v>0.08</v>
      </c>
      <c r="J67" s="10">
        <v>7.6899999999999996E-2</v>
      </c>
      <c r="K67" s="2" t="s">
        <v>26</v>
      </c>
      <c r="L67" s="1" t="s">
        <v>26</v>
      </c>
      <c r="M67" s="1" t="s">
        <v>26</v>
      </c>
      <c r="N67" s="1" t="s">
        <v>26</v>
      </c>
      <c r="O67" s="9">
        <v>458911818.75999999</v>
      </c>
      <c r="P67" s="10">
        <v>1.85407846938E-3</v>
      </c>
      <c r="Q67" s="10">
        <v>0.08</v>
      </c>
      <c r="R67" s="10">
        <v>7.8100000000000003E-2</v>
      </c>
      <c r="S67" s="9">
        <v>100611222</v>
      </c>
      <c r="T67" s="10">
        <v>8.2597885135999997E-4</v>
      </c>
      <c r="U67" s="10">
        <v>0.08</v>
      </c>
      <c r="V67" s="10">
        <v>7.9200000000000007E-2</v>
      </c>
      <c r="W67" s="2" t="s">
        <v>26</v>
      </c>
      <c r="X67" s="1" t="s">
        <v>26</v>
      </c>
      <c r="Y67" s="1" t="s">
        <v>26</v>
      </c>
      <c r="Z67" s="1" t="s">
        <v>26</v>
      </c>
      <c r="AA67" s="9">
        <v>43567734.920000002</v>
      </c>
      <c r="AB67" s="10">
        <v>2.8478825537999998E-4</v>
      </c>
      <c r="AC67" s="10">
        <v>0.08</v>
      </c>
      <c r="AD67" s="10">
        <v>7.9699999999999993E-2</v>
      </c>
      <c r="AE67" s="9">
        <v>1125996185.1600001</v>
      </c>
      <c r="AF67" s="10">
        <v>1.5908517790800001E-3</v>
      </c>
      <c r="AG67" s="10">
        <v>0.08</v>
      </c>
      <c r="AH67" s="10">
        <v>7.8399999999999997E-2</v>
      </c>
      <c r="AI67" s="2" t="s">
        <v>26</v>
      </c>
      <c r="AJ67" s="1" t="s">
        <v>26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 t="s">
        <v>26</v>
      </c>
      <c r="AR67" s="1" t="s">
        <v>26</v>
      </c>
      <c r="AS67" s="1" t="s">
        <v>26</v>
      </c>
      <c r="AT67" s="1" t="s">
        <v>26</v>
      </c>
      <c r="AU67" s="9">
        <v>100611222</v>
      </c>
      <c r="AV67" s="10">
        <v>1.9895393841100001E-3</v>
      </c>
      <c r="AW67" s="10">
        <v>0.08</v>
      </c>
      <c r="AX67" s="10">
        <v>7.8E-2</v>
      </c>
      <c r="AY67" s="9">
        <v>1226607407.1600001</v>
      </c>
      <c r="AZ67" s="10">
        <v>1.53072004837E-3</v>
      </c>
      <c r="BA67" s="10">
        <v>0.08</v>
      </c>
      <c r="BB67" s="10">
        <v>7.85E-2</v>
      </c>
    </row>
    <row r="68" spans="1:54" s="7" customFormat="1">
      <c r="A68" s="3" t="s">
        <v>68</v>
      </c>
      <c r="B68" s="23" t="s">
        <v>57</v>
      </c>
      <c r="C68" s="9" t="s">
        <v>26</v>
      </c>
      <c r="D68" s="10" t="s">
        <v>26</v>
      </c>
      <c r="E68" s="9" t="s">
        <v>26</v>
      </c>
      <c r="F68" s="10" t="s">
        <v>26</v>
      </c>
      <c r="G68" s="2">
        <v>522905409.48000002</v>
      </c>
      <c r="H68" s="1">
        <v>1</v>
      </c>
      <c r="I68" s="9" t="s">
        <v>26</v>
      </c>
      <c r="J68" s="10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458911818.75999999</v>
      </c>
      <c r="P68" s="1">
        <v>1</v>
      </c>
      <c r="Q68" s="1" t="s">
        <v>26</v>
      </c>
      <c r="R68" s="1" t="s">
        <v>26</v>
      </c>
      <c r="S68" s="2">
        <v>100611222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43567734.920000002</v>
      </c>
      <c r="AB68" s="1">
        <v>1</v>
      </c>
      <c r="AC68" s="1" t="s">
        <v>26</v>
      </c>
      <c r="AD68" s="1" t="s">
        <v>26</v>
      </c>
      <c r="AE68" s="2">
        <v>1125996185.1600001</v>
      </c>
      <c r="AF68" s="1">
        <v>1</v>
      </c>
      <c r="AG68" s="1" t="s">
        <v>26</v>
      </c>
      <c r="AH68" s="1" t="s">
        <v>26</v>
      </c>
      <c r="AI68" s="2" t="s">
        <v>26</v>
      </c>
      <c r="AJ68" s="1" t="s">
        <v>26</v>
      </c>
      <c r="AK68" s="1" t="s">
        <v>26</v>
      </c>
      <c r="AL68" s="1" t="s">
        <v>26</v>
      </c>
      <c r="AM68" s="2" t="s">
        <v>26</v>
      </c>
      <c r="AN68" s="1" t="s">
        <v>26</v>
      </c>
      <c r="AO68" s="1" t="s">
        <v>26</v>
      </c>
      <c r="AP68" s="1" t="s">
        <v>26</v>
      </c>
      <c r="AQ68" s="2" t="s">
        <v>26</v>
      </c>
      <c r="AR68" s="1" t="s">
        <v>26</v>
      </c>
      <c r="AS68" s="1" t="s">
        <v>26</v>
      </c>
      <c r="AT68" s="1" t="s">
        <v>26</v>
      </c>
      <c r="AU68" s="2">
        <v>100611222</v>
      </c>
      <c r="AV68" s="1">
        <v>1</v>
      </c>
      <c r="AW68" s="1" t="s">
        <v>26</v>
      </c>
      <c r="AX68" s="1" t="s">
        <v>26</v>
      </c>
      <c r="AY68" s="2">
        <v>1226607407.1600001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70</v>
      </c>
      <c r="B69" s="20" t="s">
        <v>25</v>
      </c>
      <c r="C69" s="9" t="s">
        <v>26</v>
      </c>
      <c r="D69" s="10" t="s">
        <v>26</v>
      </c>
      <c r="E69" s="9" t="s">
        <v>26</v>
      </c>
      <c r="F69" s="10" t="s">
        <v>26</v>
      </c>
      <c r="G69" s="9">
        <v>514206918.44999999</v>
      </c>
      <c r="H69" s="10">
        <v>3.0767724254599999E-3</v>
      </c>
      <c r="I69" s="10">
        <v>0.09</v>
      </c>
      <c r="J69" s="10">
        <v>8.6900000000000005E-2</v>
      </c>
      <c r="K69" s="2" t="s">
        <v>26</v>
      </c>
      <c r="L69" s="1" t="s">
        <v>26</v>
      </c>
      <c r="M69" s="1" t="s">
        <v>26</v>
      </c>
      <c r="N69" s="1" t="s">
        <v>26</v>
      </c>
      <c r="O69" s="9">
        <v>1132373602.99</v>
      </c>
      <c r="P69" s="10">
        <v>4.5749737330100003E-3</v>
      </c>
      <c r="Q69" s="10">
        <v>0.09</v>
      </c>
      <c r="R69" s="10">
        <v>8.5400000000000004E-2</v>
      </c>
      <c r="S69" s="9">
        <v>517390226</v>
      </c>
      <c r="T69" s="10">
        <v>4.2475717527200004E-3</v>
      </c>
      <c r="U69" s="10">
        <v>0.09</v>
      </c>
      <c r="V69" s="10">
        <v>8.5800000000000001E-2</v>
      </c>
      <c r="W69" s="2" t="s">
        <v>26</v>
      </c>
      <c r="X69" s="1" t="s">
        <v>26</v>
      </c>
      <c r="Y69" s="1" t="s">
        <v>26</v>
      </c>
      <c r="Z69" s="1" t="s">
        <v>26</v>
      </c>
      <c r="AA69" s="9">
        <v>1376684631.45</v>
      </c>
      <c r="AB69" s="10">
        <v>8.9989441753899994E-3</v>
      </c>
      <c r="AC69" s="10">
        <v>0.09</v>
      </c>
      <c r="AD69" s="10">
        <v>8.1000000000000003E-2</v>
      </c>
      <c r="AE69" s="9">
        <v>3540655378.8899999</v>
      </c>
      <c r="AF69" s="10">
        <v>5.0023774350699997E-3</v>
      </c>
      <c r="AG69" s="10">
        <v>0.09</v>
      </c>
      <c r="AH69" s="10">
        <v>8.5000000000000006E-2</v>
      </c>
      <c r="AI69" s="9">
        <v>96495037.629999995</v>
      </c>
      <c r="AJ69" s="10">
        <v>5.3227785646099996E-3</v>
      </c>
      <c r="AK69" s="10">
        <v>0.09</v>
      </c>
      <c r="AL69" s="10">
        <v>8.4699999999999998E-2</v>
      </c>
      <c r="AM69" s="9">
        <v>13575197.42</v>
      </c>
      <c r="AN69" s="10">
        <v>5.4664343069000003E-4</v>
      </c>
      <c r="AO69" s="10">
        <v>0.09</v>
      </c>
      <c r="AP69" s="10">
        <v>8.9499999999999996E-2</v>
      </c>
      <c r="AQ69" s="9">
        <v>110070235.05</v>
      </c>
      <c r="AR69" s="10">
        <v>2.56201137001E-3</v>
      </c>
      <c r="AS69" s="10">
        <v>0.09</v>
      </c>
      <c r="AT69" s="10">
        <v>8.7400000000000005E-2</v>
      </c>
      <c r="AU69" s="9">
        <v>186622250.63</v>
      </c>
      <c r="AV69" s="10">
        <v>3.6903668417799999E-3</v>
      </c>
      <c r="AW69" s="10">
        <v>0.09</v>
      </c>
      <c r="AX69" s="10">
        <v>8.6300000000000002E-2</v>
      </c>
      <c r="AY69" s="9">
        <v>3837347864.5700002</v>
      </c>
      <c r="AZ69" s="10">
        <v>4.7887411037700004E-3</v>
      </c>
      <c r="BA69" s="10">
        <v>0.09</v>
      </c>
      <c r="BB69" s="10">
        <v>8.5199999999999998E-2</v>
      </c>
    </row>
    <row r="70" spans="1:54" s="7" customFormat="1">
      <c r="A70" s="3" t="s">
        <v>68</v>
      </c>
      <c r="B70" s="23" t="s">
        <v>40</v>
      </c>
      <c r="C70" s="9" t="s">
        <v>26</v>
      </c>
      <c r="D70" s="10" t="s">
        <v>26</v>
      </c>
      <c r="E70" s="9" t="s">
        <v>26</v>
      </c>
      <c r="F70" s="10" t="s">
        <v>26</v>
      </c>
      <c r="G70" s="2">
        <v>514206918.44999999</v>
      </c>
      <c r="H70" s="1">
        <v>1</v>
      </c>
      <c r="I70" s="9" t="s">
        <v>26</v>
      </c>
      <c r="J70" s="10" t="s">
        <v>26</v>
      </c>
      <c r="K70" s="2" t="s">
        <v>26</v>
      </c>
      <c r="L70" s="1" t="s">
        <v>26</v>
      </c>
      <c r="M70" s="1" t="s">
        <v>26</v>
      </c>
      <c r="N70" s="1" t="s">
        <v>26</v>
      </c>
      <c r="O70" s="2">
        <v>1132373602.99</v>
      </c>
      <c r="P70" s="1">
        <v>1</v>
      </c>
      <c r="Q70" s="1" t="s">
        <v>26</v>
      </c>
      <c r="R70" s="1" t="s">
        <v>26</v>
      </c>
      <c r="S70" s="2">
        <v>517390226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>
        <v>1376684631.45</v>
      </c>
      <c r="AB70" s="1">
        <v>1</v>
      </c>
      <c r="AC70" s="1" t="s">
        <v>26</v>
      </c>
      <c r="AD70" s="1" t="s">
        <v>26</v>
      </c>
      <c r="AE70" s="2">
        <v>3540655378.8899999</v>
      </c>
      <c r="AF70" s="1">
        <v>1</v>
      </c>
      <c r="AG70" s="1" t="s">
        <v>26</v>
      </c>
      <c r="AH70" s="1" t="s">
        <v>26</v>
      </c>
      <c r="AI70" s="2">
        <v>96495037.629999995</v>
      </c>
      <c r="AJ70" s="1">
        <v>1</v>
      </c>
      <c r="AK70" s="1" t="s">
        <v>26</v>
      </c>
      <c r="AL70" s="1" t="s">
        <v>26</v>
      </c>
      <c r="AM70" s="2">
        <v>13575197.42</v>
      </c>
      <c r="AN70" s="1">
        <v>1</v>
      </c>
      <c r="AO70" s="1" t="s">
        <v>26</v>
      </c>
      <c r="AP70" s="1" t="s">
        <v>26</v>
      </c>
      <c r="AQ70" s="2">
        <v>110070235.05</v>
      </c>
      <c r="AR70" s="1">
        <v>1</v>
      </c>
      <c r="AS70" s="1" t="s">
        <v>26</v>
      </c>
      <c r="AT70" s="1" t="s">
        <v>26</v>
      </c>
      <c r="AU70" s="2">
        <v>186622250.63</v>
      </c>
      <c r="AV70" s="1">
        <v>1</v>
      </c>
      <c r="AW70" s="1" t="s">
        <v>26</v>
      </c>
      <c r="AX70" s="1" t="s">
        <v>26</v>
      </c>
      <c r="AY70" s="2">
        <v>3837347864.5700002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71</v>
      </c>
      <c r="B71" s="20" t="s">
        <v>25</v>
      </c>
      <c r="C71" s="9">
        <v>354734098.98000002</v>
      </c>
      <c r="D71" s="10">
        <v>4.7194070901419999E-2</v>
      </c>
      <c r="E71" s="10">
        <v>0.08</v>
      </c>
      <c r="F71" s="10">
        <v>3.2800000000000003E-2</v>
      </c>
      <c r="G71" s="9">
        <v>473215455.22000003</v>
      </c>
      <c r="H71" s="10">
        <v>2.83149878323E-3</v>
      </c>
      <c r="I71" s="10">
        <v>0.08</v>
      </c>
      <c r="J71" s="10">
        <v>7.7200000000000005E-2</v>
      </c>
      <c r="K71" s="9">
        <v>166237897.21000001</v>
      </c>
      <c r="L71" s="10">
        <v>4.3873146297689999E-2</v>
      </c>
      <c r="M71" s="10">
        <v>0.08</v>
      </c>
      <c r="N71" s="10">
        <v>3.61E-2</v>
      </c>
      <c r="O71" s="9">
        <v>1457835399.45</v>
      </c>
      <c r="P71" s="10">
        <v>5.8898923834999999E-3</v>
      </c>
      <c r="Q71" s="10">
        <v>0.08</v>
      </c>
      <c r="R71" s="10">
        <v>7.4099999999999999E-2</v>
      </c>
      <c r="S71" s="9">
        <v>314235204.27999997</v>
      </c>
      <c r="T71" s="10">
        <v>2.5797483414599998E-3</v>
      </c>
      <c r="U71" s="10">
        <v>0.08</v>
      </c>
      <c r="V71" s="10">
        <v>7.7399999999999997E-2</v>
      </c>
      <c r="W71" s="2" t="s">
        <v>26</v>
      </c>
      <c r="X71" s="1" t="s">
        <v>26</v>
      </c>
      <c r="Y71" s="1" t="s">
        <v>26</v>
      </c>
      <c r="Z71" s="1" t="s">
        <v>26</v>
      </c>
      <c r="AA71" s="2" t="s">
        <v>26</v>
      </c>
      <c r="AB71" s="1" t="s">
        <v>26</v>
      </c>
      <c r="AC71" s="1" t="s">
        <v>26</v>
      </c>
      <c r="AD71" s="1" t="s">
        <v>26</v>
      </c>
      <c r="AE71" s="9">
        <v>2766258055.1399999</v>
      </c>
      <c r="AF71" s="10">
        <v>3.9082783817699996E-3</v>
      </c>
      <c r="AG71" s="10">
        <v>0.08</v>
      </c>
      <c r="AH71" s="10">
        <v>7.6100000000000001E-2</v>
      </c>
      <c r="AI71" s="2" t="s">
        <v>26</v>
      </c>
      <c r="AJ71" s="1" t="s">
        <v>26</v>
      </c>
      <c r="AK71" s="1" t="s">
        <v>26</v>
      </c>
      <c r="AL71" s="1" t="s">
        <v>26</v>
      </c>
      <c r="AM71" s="2" t="s">
        <v>26</v>
      </c>
      <c r="AN71" s="1" t="s">
        <v>26</v>
      </c>
      <c r="AO71" s="1" t="s">
        <v>26</v>
      </c>
      <c r="AP71" s="1" t="s">
        <v>26</v>
      </c>
      <c r="AQ71" s="2" t="s">
        <v>26</v>
      </c>
      <c r="AR71" s="1" t="s">
        <v>26</v>
      </c>
      <c r="AS71" s="1" t="s">
        <v>26</v>
      </c>
      <c r="AT71" s="1" t="s">
        <v>26</v>
      </c>
      <c r="AU71" s="2" t="s">
        <v>26</v>
      </c>
      <c r="AV71" s="1" t="s">
        <v>26</v>
      </c>
      <c r="AW71" s="1" t="s">
        <v>26</v>
      </c>
      <c r="AX71" s="1" t="s">
        <v>26</v>
      </c>
      <c r="AY71" s="9">
        <v>2766258055.1399999</v>
      </c>
      <c r="AZ71" s="10">
        <v>3.4520961142500001E-3</v>
      </c>
      <c r="BA71" s="10">
        <v>0.08</v>
      </c>
      <c r="BB71" s="10">
        <v>7.6499999999999999E-2</v>
      </c>
    </row>
    <row r="72" spans="1:54" s="28" customFormat="1">
      <c r="A72" s="3" t="s">
        <v>68</v>
      </c>
      <c r="B72" s="23" t="s">
        <v>57</v>
      </c>
      <c r="C72" s="2">
        <v>354734098.98000002</v>
      </c>
      <c r="D72" s="1">
        <v>1</v>
      </c>
      <c r="E72" s="9" t="s">
        <v>26</v>
      </c>
      <c r="F72" s="10" t="s">
        <v>26</v>
      </c>
      <c r="G72" s="2">
        <v>473215455.22000003</v>
      </c>
      <c r="H72" s="1">
        <v>1</v>
      </c>
      <c r="I72" s="9" t="s">
        <v>26</v>
      </c>
      <c r="J72" s="10" t="s">
        <v>26</v>
      </c>
      <c r="K72" s="2">
        <v>166237897.21000001</v>
      </c>
      <c r="L72" s="1">
        <v>1</v>
      </c>
      <c r="M72" s="1" t="s">
        <v>26</v>
      </c>
      <c r="N72" s="1" t="s">
        <v>26</v>
      </c>
      <c r="O72" s="2">
        <v>1457835399.45</v>
      </c>
      <c r="P72" s="1">
        <v>1</v>
      </c>
      <c r="Q72" s="1" t="s">
        <v>26</v>
      </c>
      <c r="R72" s="1" t="s">
        <v>26</v>
      </c>
      <c r="S72" s="2">
        <v>314235204.27999997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2766258055.1399999</v>
      </c>
      <c r="AF72" s="1">
        <v>1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 t="s">
        <v>26</v>
      </c>
      <c r="AN72" s="1" t="s">
        <v>26</v>
      </c>
      <c r="AO72" s="1" t="s">
        <v>26</v>
      </c>
      <c r="AP72" s="1" t="s">
        <v>26</v>
      </c>
      <c r="AQ72" s="2" t="s">
        <v>26</v>
      </c>
      <c r="AR72" s="1" t="s">
        <v>26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2766258055.1399999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72</v>
      </c>
      <c r="B73" s="20" t="s">
        <v>25</v>
      </c>
      <c r="C73" s="9" t="s">
        <v>26</v>
      </c>
      <c r="D73" s="10" t="s">
        <v>26</v>
      </c>
      <c r="E73" s="9" t="s">
        <v>26</v>
      </c>
      <c r="F73" s="10" t="s">
        <v>26</v>
      </c>
      <c r="G73" s="9">
        <v>2596475660.1900001</v>
      </c>
      <c r="H73" s="10">
        <v>1.553608951571E-2</v>
      </c>
      <c r="I73" s="10">
        <v>0.09</v>
      </c>
      <c r="J73" s="10">
        <v>7.4499999999999997E-2</v>
      </c>
      <c r="K73" s="2" t="s">
        <v>26</v>
      </c>
      <c r="L73" s="1" t="s">
        <v>26</v>
      </c>
      <c r="M73" s="1" t="s">
        <v>26</v>
      </c>
      <c r="N73" s="1" t="s">
        <v>26</v>
      </c>
      <c r="O73" s="9">
        <v>2185697521.5</v>
      </c>
      <c r="P73" s="10">
        <v>8.8305738695799996E-3</v>
      </c>
      <c r="Q73" s="10">
        <v>0.09</v>
      </c>
      <c r="R73" s="10">
        <v>8.1199999999999994E-2</v>
      </c>
      <c r="S73" s="9">
        <v>1368292265.96</v>
      </c>
      <c r="T73" s="10">
        <v>1.123314528628E-2</v>
      </c>
      <c r="U73" s="10">
        <v>0.09</v>
      </c>
      <c r="V73" s="10">
        <v>7.8799999999999995E-2</v>
      </c>
      <c r="W73" s="2" t="s">
        <v>26</v>
      </c>
      <c r="X73" s="1" t="s">
        <v>26</v>
      </c>
      <c r="Y73" s="1" t="s">
        <v>26</v>
      </c>
      <c r="Z73" s="1" t="s">
        <v>26</v>
      </c>
      <c r="AA73" s="9">
        <v>1821868449.04</v>
      </c>
      <c r="AB73" s="10">
        <v>1.190896745216E-2</v>
      </c>
      <c r="AC73" s="10">
        <v>0.09</v>
      </c>
      <c r="AD73" s="10">
        <v>7.8100000000000003E-2</v>
      </c>
      <c r="AE73" s="9">
        <v>7972333896.6899996</v>
      </c>
      <c r="AF73" s="10">
        <v>1.126362747062E-2</v>
      </c>
      <c r="AG73" s="10">
        <v>0.09</v>
      </c>
      <c r="AH73" s="10">
        <v>7.8700000000000006E-2</v>
      </c>
      <c r="AI73" s="9">
        <v>16249397.390000001</v>
      </c>
      <c r="AJ73" s="10">
        <v>8.9633566905999995E-4</v>
      </c>
      <c r="AK73" s="10">
        <v>0.09</v>
      </c>
      <c r="AL73" s="10">
        <v>8.9099999999999999E-2</v>
      </c>
      <c r="AM73" s="9">
        <v>116072145.59999999</v>
      </c>
      <c r="AN73" s="10">
        <v>4.6739707656399997E-3</v>
      </c>
      <c r="AO73" s="10">
        <v>0.09</v>
      </c>
      <c r="AP73" s="10">
        <v>8.5300000000000001E-2</v>
      </c>
      <c r="AQ73" s="9">
        <v>132321542.98999999</v>
      </c>
      <c r="AR73" s="10">
        <v>3.0799361651500001E-3</v>
      </c>
      <c r="AS73" s="10">
        <v>0.09</v>
      </c>
      <c r="AT73" s="10">
        <v>8.6900000000000005E-2</v>
      </c>
      <c r="AU73" s="9">
        <v>480215898.12</v>
      </c>
      <c r="AV73" s="10">
        <v>9.49604252085E-3</v>
      </c>
      <c r="AW73" s="10">
        <v>0.09</v>
      </c>
      <c r="AX73" s="10">
        <v>8.0500000000000002E-2</v>
      </c>
      <c r="AY73" s="9">
        <v>8584871337.8000002</v>
      </c>
      <c r="AZ73" s="10">
        <v>1.0713317555990001E-2</v>
      </c>
      <c r="BA73" s="10">
        <v>0.09</v>
      </c>
      <c r="BB73" s="10">
        <v>7.9299999999999995E-2</v>
      </c>
    </row>
    <row r="74" spans="1:54" s="28" customFormat="1">
      <c r="A74" s="3" t="s">
        <v>68</v>
      </c>
      <c r="B74" s="23" t="s">
        <v>40</v>
      </c>
      <c r="C74" s="9" t="s">
        <v>26</v>
      </c>
      <c r="D74" s="10" t="s">
        <v>26</v>
      </c>
      <c r="E74" s="9" t="s">
        <v>26</v>
      </c>
      <c r="F74" s="10" t="s">
        <v>26</v>
      </c>
      <c r="G74" s="2">
        <v>2596475660.1900001</v>
      </c>
      <c r="H74" s="1">
        <v>1</v>
      </c>
      <c r="I74" s="9" t="s">
        <v>26</v>
      </c>
      <c r="J74" s="10" t="s">
        <v>26</v>
      </c>
      <c r="K74" s="2" t="s">
        <v>26</v>
      </c>
      <c r="L74" s="1" t="s">
        <v>26</v>
      </c>
      <c r="M74" s="1" t="s">
        <v>26</v>
      </c>
      <c r="N74" s="1" t="s">
        <v>26</v>
      </c>
      <c r="O74" s="2">
        <v>2185697521.5</v>
      </c>
      <c r="P74" s="1">
        <v>1</v>
      </c>
      <c r="Q74" s="1" t="s">
        <v>26</v>
      </c>
      <c r="R74" s="1" t="s">
        <v>26</v>
      </c>
      <c r="S74" s="2">
        <v>1368292265.96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1821868449.04</v>
      </c>
      <c r="AB74" s="1">
        <v>1</v>
      </c>
      <c r="AC74" s="1" t="s">
        <v>26</v>
      </c>
      <c r="AD74" s="1" t="s">
        <v>26</v>
      </c>
      <c r="AE74" s="2">
        <v>7972333896.6899996</v>
      </c>
      <c r="AF74" s="1">
        <v>1</v>
      </c>
      <c r="AG74" s="1" t="s">
        <v>26</v>
      </c>
      <c r="AH74" s="1" t="s">
        <v>26</v>
      </c>
      <c r="AI74" s="2">
        <v>16249397.390000001</v>
      </c>
      <c r="AJ74" s="1">
        <v>1</v>
      </c>
      <c r="AK74" s="1" t="s">
        <v>26</v>
      </c>
      <c r="AL74" s="1" t="s">
        <v>26</v>
      </c>
      <c r="AM74" s="2">
        <v>116072145.59999999</v>
      </c>
      <c r="AN74" s="1">
        <v>1</v>
      </c>
      <c r="AO74" s="1" t="s">
        <v>26</v>
      </c>
      <c r="AP74" s="1" t="s">
        <v>26</v>
      </c>
      <c r="AQ74" s="2">
        <v>132321542.98999999</v>
      </c>
      <c r="AR74" s="1">
        <v>1</v>
      </c>
      <c r="AS74" s="1" t="s">
        <v>26</v>
      </c>
      <c r="AT74" s="1" t="s">
        <v>26</v>
      </c>
      <c r="AU74" s="2">
        <v>480215898.12</v>
      </c>
      <c r="AV74" s="1">
        <v>1</v>
      </c>
      <c r="AW74" s="1" t="s">
        <v>26</v>
      </c>
      <c r="AX74" s="1" t="s">
        <v>26</v>
      </c>
      <c r="AY74" s="2">
        <v>8584871337.8000002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73</v>
      </c>
      <c r="B75" s="20" t="s">
        <v>25</v>
      </c>
      <c r="C75" s="9">
        <v>87479632.079999998</v>
      </c>
      <c r="D75" s="10">
        <v>1.1638351009059999E-2</v>
      </c>
      <c r="E75" s="10">
        <v>0.08</v>
      </c>
      <c r="F75" s="10">
        <v>6.8400000000000002E-2</v>
      </c>
      <c r="G75" s="9">
        <v>220513928.94</v>
      </c>
      <c r="H75" s="10">
        <v>1.3194516675000001E-3</v>
      </c>
      <c r="I75" s="10">
        <v>0.08</v>
      </c>
      <c r="J75" s="10">
        <v>7.8700000000000006E-2</v>
      </c>
      <c r="K75" s="9">
        <v>105260104.86</v>
      </c>
      <c r="L75" s="10">
        <v>2.7780019221489999E-2</v>
      </c>
      <c r="M75" s="10">
        <v>0.08</v>
      </c>
      <c r="N75" s="10">
        <v>5.2200000000000003E-2</v>
      </c>
      <c r="O75" s="9">
        <v>2718842686.9899998</v>
      </c>
      <c r="P75" s="10">
        <v>1.098456714667E-2</v>
      </c>
      <c r="Q75" s="10">
        <v>0.08</v>
      </c>
      <c r="R75" s="10">
        <v>6.9000000000000006E-2</v>
      </c>
      <c r="S75" s="9">
        <v>2865683711.2800002</v>
      </c>
      <c r="T75" s="10">
        <v>2.3526144431389999E-2</v>
      </c>
      <c r="U75" s="10">
        <v>0.08</v>
      </c>
      <c r="V75" s="10">
        <v>5.6500000000000002E-2</v>
      </c>
      <c r="W75" s="2" t="s">
        <v>26</v>
      </c>
      <c r="X75" s="1" t="s">
        <v>26</v>
      </c>
      <c r="Y75" s="1" t="s">
        <v>26</v>
      </c>
      <c r="Z75" s="1" t="s">
        <v>26</v>
      </c>
      <c r="AA75" s="9">
        <v>1879436616.7</v>
      </c>
      <c r="AB75" s="10">
        <v>1.228527202854E-2</v>
      </c>
      <c r="AC75" s="10">
        <v>0.08</v>
      </c>
      <c r="AD75" s="10">
        <v>6.7699999999999996E-2</v>
      </c>
      <c r="AE75" s="9">
        <v>7877216680.8500004</v>
      </c>
      <c r="AF75" s="10">
        <v>1.112924212009E-2</v>
      </c>
      <c r="AG75" s="10">
        <v>0.08</v>
      </c>
      <c r="AH75" s="10">
        <v>6.8900000000000003E-2</v>
      </c>
      <c r="AI75" s="9">
        <v>606581321.42999995</v>
      </c>
      <c r="AJ75" s="10">
        <v>3.345973155411E-2</v>
      </c>
      <c r="AK75" s="10">
        <v>0.08</v>
      </c>
      <c r="AL75" s="10">
        <v>4.65E-2</v>
      </c>
      <c r="AM75" s="9">
        <v>1686360068.21</v>
      </c>
      <c r="AN75" s="10">
        <v>6.7906021883289994E-2</v>
      </c>
      <c r="AO75" s="10">
        <v>0.08</v>
      </c>
      <c r="AP75" s="10">
        <v>1.21E-2</v>
      </c>
      <c r="AQ75" s="9">
        <v>2292941389.6399999</v>
      </c>
      <c r="AR75" s="10">
        <v>5.3370849152369997E-2</v>
      </c>
      <c r="AS75" s="10">
        <v>0.08</v>
      </c>
      <c r="AT75" s="10">
        <v>2.6599999999999999E-2</v>
      </c>
      <c r="AU75" s="9">
        <v>701717372.03999996</v>
      </c>
      <c r="AV75" s="10">
        <v>1.3876129525480001E-2</v>
      </c>
      <c r="AW75" s="10">
        <v>0.08</v>
      </c>
      <c r="AX75" s="10">
        <v>6.6100000000000006E-2</v>
      </c>
      <c r="AY75" s="9">
        <v>10871875442.530001</v>
      </c>
      <c r="AZ75" s="10">
        <v>1.3567338339959999E-2</v>
      </c>
      <c r="BA75" s="10">
        <v>0.08</v>
      </c>
      <c r="BB75" s="10">
        <v>6.6400000000000001E-2</v>
      </c>
    </row>
    <row r="76" spans="1:54" s="7" customFormat="1">
      <c r="A76" s="3" t="s">
        <v>68</v>
      </c>
      <c r="B76" s="23" t="s">
        <v>57</v>
      </c>
      <c r="C76" s="2">
        <v>87479632.079999998</v>
      </c>
      <c r="D76" s="1">
        <v>1</v>
      </c>
      <c r="E76" s="9" t="s">
        <v>26</v>
      </c>
      <c r="F76" s="10" t="s">
        <v>26</v>
      </c>
      <c r="G76" s="2">
        <v>220513928.94</v>
      </c>
      <c r="H76" s="1">
        <v>1</v>
      </c>
      <c r="I76" s="9" t="s">
        <v>26</v>
      </c>
      <c r="J76" s="10" t="s">
        <v>26</v>
      </c>
      <c r="K76" s="2">
        <v>105260104.86</v>
      </c>
      <c r="L76" s="1">
        <v>1</v>
      </c>
      <c r="M76" s="1" t="s">
        <v>26</v>
      </c>
      <c r="N76" s="1" t="s">
        <v>26</v>
      </c>
      <c r="O76" s="2">
        <v>2718842686.9899998</v>
      </c>
      <c r="P76" s="1">
        <v>1</v>
      </c>
      <c r="Q76" s="1" t="s">
        <v>26</v>
      </c>
      <c r="R76" s="1" t="s">
        <v>26</v>
      </c>
      <c r="S76" s="2">
        <v>2865683711.2800002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>
        <v>1879436616.7</v>
      </c>
      <c r="AB76" s="1">
        <v>1</v>
      </c>
      <c r="AC76" s="1" t="s">
        <v>26</v>
      </c>
      <c r="AD76" s="1" t="s">
        <v>26</v>
      </c>
      <c r="AE76" s="2">
        <v>7877216680.8500004</v>
      </c>
      <c r="AF76" s="1">
        <v>1</v>
      </c>
      <c r="AG76" s="1" t="s">
        <v>26</v>
      </c>
      <c r="AH76" s="1" t="s">
        <v>26</v>
      </c>
      <c r="AI76" s="2">
        <v>606581321.42999995</v>
      </c>
      <c r="AJ76" s="1">
        <v>1</v>
      </c>
      <c r="AK76" s="1" t="s">
        <v>26</v>
      </c>
      <c r="AL76" s="1" t="s">
        <v>26</v>
      </c>
      <c r="AM76" s="2">
        <v>1686360068.21</v>
      </c>
      <c r="AN76" s="1">
        <v>1</v>
      </c>
      <c r="AO76" s="1" t="s">
        <v>26</v>
      </c>
      <c r="AP76" s="1" t="s">
        <v>26</v>
      </c>
      <c r="AQ76" s="2">
        <v>2292941389.6399999</v>
      </c>
      <c r="AR76" s="1">
        <v>1</v>
      </c>
      <c r="AS76" s="1" t="s">
        <v>26</v>
      </c>
      <c r="AT76" s="1" t="s">
        <v>26</v>
      </c>
      <c r="AU76" s="2">
        <v>701717372.03999996</v>
      </c>
      <c r="AV76" s="1">
        <v>1</v>
      </c>
      <c r="AW76" s="1" t="s">
        <v>26</v>
      </c>
      <c r="AX76" s="1" t="s">
        <v>26</v>
      </c>
      <c r="AY76" s="2">
        <v>10871875442.530001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74</v>
      </c>
      <c r="B77" s="20" t="s">
        <v>25</v>
      </c>
      <c r="C77" s="9">
        <v>256365612.47</v>
      </c>
      <c r="D77" s="10">
        <v>3.4107059136360002E-2</v>
      </c>
      <c r="E77" s="10">
        <v>0.08</v>
      </c>
      <c r="F77" s="10">
        <v>4.5900000000000003E-2</v>
      </c>
      <c r="G77" s="9">
        <v>870200234.41999996</v>
      </c>
      <c r="H77" s="10">
        <v>5.2068690440000001E-3</v>
      </c>
      <c r="I77" s="10">
        <v>0.08</v>
      </c>
      <c r="J77" s="10">
        <v>7.4800000000000005E-2</v>
      </c>
      <c r="K77" s="9">
        <v>107517060.45</v>
      </c>
      <c r="L77" s="10">
        <v>2.8375670059530001E-2</v>
      </c>
      <c r="M77" s="10">
        <v>0.08</v>
      </c>
      <c r="N77" s="10">
        <v>5.16E-2</v>
      </c>
      <c r="O77" s="9">
        <v>1857884225.9200001</v>
      </c>
      <c r="P77" s="10">
        <v>7.5061547797599997E-3</v>
      </c>
      <c r="Q77" s="10">
        <v>0.08</v>
      </c>
      <c r="R77" s="10">
        <v>7.2499999999999995E-2</v>
      </c>
      <c r="S77" s="2" t="s">
        <v>26</v>
      </c>
      <c r="T77" s="1" t="s">
        <v>26</v>
      </c>
      <c r="U77" s="1" t="s">
        <v>26</v>
      </c>
      <c r="V77" s="1" t="s">
        <v>26</v>
      </c>
      <c r="W77" s="2" t="s">
        <v>26</v>
      </c>
      <c r="X77" s="1" t="s">
        <v>26</v>
      </c>
      <c r="Y77" s="1" t="s">
        <v>26</v>
      </c>
      <c r="Z77" s="1" t="s">
        <v>26</v>
      </c>
      <c r="AA77" s="2" t="s">
        <v>26</v>
      </c>
      <c r="AB77" s="1" t="s">
        <v>26</v>
      </c>
      <c r="AC77" s="1" t="s">
        <v>26</v>
      </c>
      <c r="AD77" s="1" t="s">
        <v>26</v>
      </c>
      <c r="AE77" s="9">
        <v>3091967133.2600002</v>
      </c>
      <c r="AF77" s="10">
        <v>4.36845300156E-3</v>
      </c>
      <c r="AG77" s="10">
        <v>0.08</v>
      </c>
      <c r="AH77" s="10">
        <v>7.5600000000000001E-2</v>
      </c>
      <c r="AI77" s="2" t="s">
        <v>26</v>
      </c>
      <c r="AJ77" s="1" t="s">
        <v>26</v>
      </c>
      <c r="AK77" s="1" t="s">
        <v>26</v>
      </c>
      <c r="AL77" s="1" t="s">
        <v>26</v>
      </c>
      <c r="AM77" s="9">
        <v>376581132.24000001</v>
      </c>
      <c r="AN77" s="10">
        <v>1.5164096380590001E-2</v>
      </c>
      <c r="AO77" s="10">
        <v>0.08</v>
      </c>
      <c r="AP77" s="10">
        <v>6.4799999999999996E-2</v>
      </c>
      <c r="AQ77" s="9">
        <v>376581132.24000001</v>
      </c>
      <c r="AR77" s="10">
        <v>8.7653591553700002E-3</v>
      </c>
      <c r="AS77" s="10">
        <v>0.08</v>
      </c>
      <c r="AT77" s="10">
        <v>7.1199999999999999E-2</v>
      </c>
      <c r="AU77" s="2" t="s">
        <v>26</v>
      </c>
      <c r="AV77" s="1" t="s">
        <v>26</v>
      </c>
      <c r="AW77" s="1" t="s">
        <v>26</v>
      </c>
      <c r="AX77" s="1" t="s">
        <v>26</v>
      </c>
      <c r="AY77" s="9">
        <v>3468548265.5</v>
      </c>
      <c r="AZ77" s="10">
        <v>4.3285050601699999E-3</v>
      </c>
      <c r="BA77" s="10">
        <v>0.08</v>
      </c>
      <c r="BB77" s="10">
        <v>7.5700000000000003E-2</v>
      </c>
    </row>
    <row r="78" spans="1:54" s="7" customFormat="1">
      <c r="A78" s="3" t="s">
        <v>68</v>
      </c>
      <c r="B78" s="23" t="s">
        <v>57</v>
      </c>
      <c r="C78" s="2">
        <v>256365612.47</v>
      </c>
      <c r="D78" s="1">
        <v>1</v>
      </c>
      <c r="E78" s="9" t="s">
        <v>26</v>
      </c>
      <c r="F78" s="10" t="s">
        <v>26</v>
      </c>
      <c r="G78" s="2">
        <v>870200234.41999996</v>
      </c>
      <c r="H78" s="1">
        <v>1</v>
      </c>
      <c r="I78" s="9" t="s">
        <v>26</v>
      </c>
      <c r="J78" s="10" t="s">
        <v>26</v>
      </c>
      <c r="K78" s="2">
        <v>107517060.45</v>
      </c>
      <c r="L78" s="1">
        <v>1</v>
      </c>
      <c r="M78" s="1" t="s">
        <v>26</v>
      </c>
      <c r="N78" s="1" t="s">
        <v>26</v>
      </c>
      <c r="O78" s="2">
        <v>1857884225.9200001</v>
      </c>
      <c r="P78" s="1">
        <v>1</v>
      </c>
      <c r="Q78" s="1" t="s">
        <v>26</v>
      </c>
      <c r="R78" s="1" t="s">
        <v>26</v>
      </c>
      <c r="S78" s="2" t="s">
        <v>26</v>
      </c>
      <c r="T78" s="1" t="s">
        <v>26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3091967133.2600002</v>
      </c>
      <c r="AF78" s="1">
        <v>1</v>
      </c>
      <c r="AG78" s="1" t="s">
        <v>26</v>
      </c>
      <c r="AH78" s="1" t="s">
        <v>26</v>
      </c>
      <c r="AI78" s="2" t="s">
        <v>26</v>
      </c>
      <c r="AJ78" s="1" t="s">
        <v>26</v>
      </c>
      <c r="AK78" s="1" t="s">
        <v>26</v>
      </c>
      <c r="AL78" s="1" t="s">
        <v>26</v>
      </c>
      <c r="AM78" s="2">
        <v>376581132.24000001</v>
      </c>
      <c r="AN78" s="1">
        <v>1</v>
      </c>
      <c r="AO78" s="1" t="s">
        <v>26</v>
      </c>
      <c r="AP78" s="1" t="s">
        <v>26</v>
      </c>
      <c r="AQ78" s="2">
        <v>376581132.24000001</v>
      </c>
      <c r="AR78" s="1">
        <v>1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3468548265.5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75</v>
      </c>
      <c r="B79" s="20" t="s">
        <v>25</v>
      </c>
      <c r="C79" s="9">
        <v>110968023.36</v>
      </c>
      <c r="D79" s="10">
        <v>1.4763262898319999E-2</v>
      </c>
      <c r="E79" s="10">
        <v>0.06</v>
      </c>
      <c r="F79" s="10">
        <v>4.5199999999999997E-2</v>
      </c>
      <c r="G79" s="9">
        <v>658467612.72000003</v>
      </c>
      <c r="H79" s="10">
        <v>3.9399605901400004E-3</v>
      </c>
      <c r="I79" s="10">
        <v>0.06</v>
      </c>
      <c r="J79" s="10">
        <v>5.6099999999999997E-2</v>
      </c>
      <c r="K79" s="9">
        <v>33710706.630000003</v>
      </c>
      <c r="L79" s="10">
        <v>8.8968567853600009E-3</v>
      </c>
      <c r="M79" s="10">
        <v>0.06</v>
      </c>
      <c r="N79" s="10">
        <v>5.11E-2</v>
      </c>
      <c r="O79" s="9">
        <v>299757669.97000003</v>
      </c>
      <c r="P79" s="10">
        <v>1.2110697942400001E-3</v>
      </c>
      <c r="Q79" s="10">
        <v>0.06</v>
      </c>
      <c r="R79" s="10">
        <v>5.8799999999999998E-2</v>
      </c>
      <c r="S79" s="9">
        <v>330553315.81999999</v>
      </c>
      <c r="T79" s="10">
        <v>2.71371366618E-3</v>
      </c>
      <c r="U79" s="10">
        <v>0.06</v>
      </c>
      <c r="V79" s="10">
        <v>5.7299999999999997E-2</v>
      </c>
      <c r="W79" s="2" t="s">
        <v>26</v>
      </c>
      <c r="X79" s="1" t="s">
        <v>26</v>
      </c>
      <c r="Y79" s="1" t="s">
        <v>26</v>
      </c>
      <c r="Z79" s="1" t="s">
        <v>26</v>
      </c>
      <c r="AA79" s="2" t="s">
        <v>26</v>
      </c>
      <c r="AB79" s="1" t="s">
        <v>26</v>
      </c>
      <c r="AC79" s="1" t="s">
        <v>26</v>
      </c>
      <c r="AD79" s="1" t="s">
        <v>26</v>
      </c>
      <c r="AE79" s="9">
        <v>1433457328.5</v>
      </c>
      <c r="AF79" s="10">
        <v>2.02524499757E-3</v>
      </c>
      <c r="AG79" s="10">
        <v>0.06</v>
      </c>
      <c r="AH79" s="10">
        <v>5.8000000000000003E-2</v>
      </c>
      <c r="AI79" s="9">
        <v>50329257</v>
      </c>
      <c r="AJ79" s="10">
        <v>2.7762203830600002E-3</v>
      </c>
      <c r="AK79" s="10">
        <v>0.06</v>
      </c>
      <c r="AL79" s="10">
        <v>5.7200000000000001E-2</v>
      </c>
      <c r="AM79" s="2" t="s">
        <v>26</v>
      </c>
      <c r="AN79" s="1" t="s">
        <v>26</v>
      </c>
      <c r="AO79" s="1" t="s">
        <v>26</v>
      </c>
      <c r="AP79" s="1" t="s">
        <v>26</v>
      </c>
      <c r="AQ79" s="9">
        <v>50329257</v>
      </c>
      <c r="AR79" s="10">
        <v>1.1714713666200001E-3</v>
      </c>
      <c r="AS79" s="10">
        <v>0.06</v>
      </c>
      <c r="AT79" s="10">
        <v>5.8799999999999998E-2</v>
      </c>
      <c r="AU79" s="2" t="s">
        <v>26</v>
      </c>
      <c r="AV79" s="1" t="s">
        <v>26</v>
      </c>
      <c r="AW79" s="1" t="s">
        <v>26</v>
      </c>
      <c r="AX79" s="1" t="s">
        <v>26</v>
      </c>
      <c r="AY79" s="9">
        <v>1483786585.5</v>
      </c>
      <c r="AZ79" s="10">
        <v>1.8516616324600001E-3</v>
      </c>
      <c r="BA79" s="10">
        <v>0.06</v>
      </c>
      <c r="BB79" s="10">
        <v>5.8099999999999999E-2</v>
      </c>
    </row>
    <row r="80" spans="1:54" s="7" customFormat="1">
      <c r="A80" s="3" t="s">
        <v>68</v>
      </c>
      <c r="B80" s="23" t="s">
        <v>47</v>
      </c>
      <c r="C80" s="2">
        <v>110968023.36</v>
      </c>
      <c r="D80" s="1">
        <v>1</v>
      </c>
      <c r="E80" s="9" t="s">
        <v>26</v>
      </c>
      <c r="F80" s="10" t="s">
        <v>26</v>
      </c>
      <c r="G80" s="2">
        <v>658467612.72000003</v>
      </c>
      <c r="H80" s="1">
        <v>1</v>
      </c>
      <c r="I80" s="9" t="s">
        <v>26</v>
      </c>
      <c r="J80" s="10" t="s">
        <v>26</v>
      </c>
      <c r="K80" s="2">
        <v>33710706.630000003</v>
      </c>
      <c r="L80" s="1">
        <v>1</v>
      </c>
      <c r="M80" s="1" t="s">
        <v>26</v>
      </c>
      <c r="N80" s="1" t="s">
        <v>26</v>
      </c>
      <c r="O80" s="2">
        <v>299757669.97000003</v>
      </c>
      <c r="P80" s="1">
        <v>1</v>
      </c>
      <c r="Q80" s="1" t="s">
        <v>26</v>
      </c>
      <c r="R80" s="1" t="s">
        <v>26</v>
      </c>
      <c r="S80" s="2">
        <v>330553315.81999999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1433457328.5</v>
      </c>
      <c r="AF80" s="1">
        <v>1</v>
      </c>
      <c r="AG80" s="1" t="s">
        <v>26</v>
      </c>
      <c r="AH80" s="1" t="s">
        <v>26</v>
      </c>
      <c r="AI80" s="2">
        <v>50329257</v>
      </c>
      <c r="AJ80" s="1">
        <v>1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>
        <v>50329257</v>
      </c>
      <c r="AR80" s="1">
        <v>1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1483786585.5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76</v>
      </c>
      <c r="B81" s="20" t="s">
        <v>25</v>
      </c>
      <c r="C81" s="9">
        <v>37544804.25</v>
      </c>
      <c r="D81" s="10">
        <v>4.9949868333800003E-3</v>
      </c>
      <c r="E81" s="10">
        <v>0.06</v>
      </c>
      <c r="F81" s="10">
        <v>5.5E-2</v>
      </c>
      <c r="G81" s="9">
        <v>838902457.96000004</v>
      </c>
      <c r="H81" s="10">
        <v>5.0195978655399997E-3</v>
      </c>
      <c r="I81" s="10">
        <v>0.06</v>
      </c>
      <c r="J81" s="10">
        <v>5.5E-2</v>
      </c>
      <c r="K81" s="9">
        <v>50751931.25</v>
      </c>
      <c r="L81" s="10">
        <v>1.339433993086E-2</v>
      </c>
      <c r="M81" s="10">
        <v>0.06</v>
      </c>
      <c r="N81" s="10">
        <v>4.6600000000000003E-2</v>
      </c>
      <c r="O81" s="9">
        <v>440181368.79000002</v>
      </c>
      <c r="P81" s="10">
        <v>1.7784044017399999E-3</v>
      </c>
      <c r="Q81" s="10">
        <v>0.06</v>
      </c>
      <c r="R81" s="10">
        <v>5.8200000000000002E-2</v>
      </c>
      <c r="S81" s="9">
        <v>205227956</v>
      </c>
      <c r="T81" s="10">
        <v>1.6848413923700001E-3</v>
      </c>
      <c r="U81" s="10">
        <v>0.06</v>
      </c>
      <c r="V81" s="10">
        <v>5.8299999999999998E-2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9">
        <v>1572608518.25</v>
      </c>
      <c r="AF81" s="10">
        <v>2.22184328156E-3</v>
      </c>
      <c r="AG81" s="10">
        <v>0.06</v>
      </c>
      <c r="AH81" s="10">
        <v>5.7799999999999997E-2</v>
      </c>
      <c r="AI81" s="9">
        <v>137432448</v>
      </c>
      <c r="AJ81" s="10">
        <v>7.5809337585000004E-3</v>
      </c>
      <c r="AK81" s="10">
        <v>0.06</v>
      </c>
      <c r="AL81" s="10">
        <v>5.2400000000000002E-2</v>
      </c>
      <c r="AM81" s="2" t="s">
        <v>26</v>
      </c>
      <c r="AN81" s="1" t="s">
        <v>26</v>
      </c>
      <c r="AO81" s="1" t="s">
        <v>26</v>
      </c>
      <c r="AP81" s="1" t="s">
        <v>26</v>
      </c>
      <c r="AQ81" s="9">
        <v>137432448</v>
      </c>
      <c r="AR81" s="10">
        <v>3.1988983599800002E-3</v>
      </c>
      <c r="AS81" s="10">
        <v>0.06</v>
      </c>
      <c r="AT81" s="10">
        <v>5.6800000000000003E-2</v>
      </c>
      <c r="AU81" s="2" t="s">
        <v>26</v>
      </c>
      <c r="AV81" s="1" t="s">
        <v>26</v>
      </c>
      <c r="AW81" s="1" t="s">
        <v>26</v>
      </c>
      <c r="AX81" s="1" t="s">
        <v>26</v>
      </c>
      <c r="AY81" s="9">
        <v>1710040966.25</v>
      </c>
      <c r="AZ81" s="10">
        <v>2.1340112372499999E-3</v>
      </c>
      <c r="BA81" s="10">
        <v>0.06</v>
      </c>
      <c r="BB81" s="10">
        <v>5.79E-2</v>
      </c>
    </row>
    <row r="82" spans="1:54" s="7" customFormat="1">
      <c r="A82" s="3" t="s">
        <v>68</v>
      </c>
      <c r="B82" s="23" t="s">
        <v>47</v>
      </c>
      <c r="C82" s="2">
        <v>37544804.25</v>
      </c>
      <c r="D82" s="1">
        <v>1</v>
      </c>
      <c r="E82" s="9" t="s">
        <v>26</v>
      </c>
      <c r="F82" s="10" t="s">
        <v>26</v>
      </c>
      <c r="G82" s="2">
        <v>838902457.96000004</v>
      </c>
      <c r="H82" s="1">
        <v>1</v>
      </c>
      <c r="I82" s="9" t="s">
        <v>26</v>
      </c>
      <c r="J82" s="10" t="s">
        <v>26</v>
      </c>
      <c r="K82" s="2">
        <v>50751931.25</v>
      </c>
      <c r="L82" s="1">
        <v>1</v>
      </c>
      <c r="M82" s="1" t="s">
        <v>26</v>
      </c>
      <c r="N82" s="1" t="s">
        <v>26</v>
      </c>
      <c r="O82" s="2">
        <v>440181368.79000002</v>
      </c>
      <c r="P82" s="1">
        <v>1</v>
      </c>
      <c r="Q82" s="1" t="s">
        <v>26</v>
      </c>
      <c r="R82" s="1" t="s">
        <v>26</v>
      </c>
      <c r="S82" s="2">
        <v>205227956</v>
      </c>
      <c r="T82" s="1">
        <v>1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1572608518.25</v>
      </c>
      <c r="AF82" s="1">
        <v>1</v>
      </c>
      <c r="AG82" s="1" t="s">
        <v>26</v>
      </c>
      <c r="AH82" s="1" t="s">
        <v>26</v>
      </c>
      <c r="AI82" s="2">
        <v>137432448</v>
      </c>
      <c r="AJ82" s="1">
        <v>1</v>
      </c>
      <c r="AK82" s="1" t="s">
        <v>26</v>
      </c>
      <c r="AL82" s="1" t="s">
        <v>26</v>
      </c>
      <c r="AM82" s="2" t="s">
        <v>26</v>
      </c>
      <c r="AN82" s="1" t="s">
        <v>26</v>
      </c>
      <c r="AO82" s="1" t="s">
        <v>26</v>
      </c>
      <c r="AP82" s="1" t="s">
        <v>26</v>
      </c>
      <c r="AQ82" s="2">
        <v>137432448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1710040966.25</v>
      </c>
      <c r="AZ82" s="1">
        <v>1</v>
      </c>
      <c r="BA82" s="1" t="s">
        <v>26</v>
      </c>
      <c r="BB82" s="1" t="s">
        <v>26</v>
      </c>
    </row>
    <row r="83" spans="1:54" s="7" customFormat="1">
      <c r="A83" s="12" t="s">
        <v>77</v>
      </c>
      <c r="B83" s="40" t="s">
        <v>25</v>
      </c>
      <c r="C83" s="42" t="s">
        <v>26</v>
      </c>
      <c r="D83" s="43" t="s">
        <v>26</v>
      </c>
      <c r="E83" s="43" t="s">
        <v>26</v>
      </c>
      <c r="F83" s="43" t="s">
        <v>26</v>
      </c>
      <c r="G83" s="42" t="s">
        <v>26</v>
      </c>
      <c r="H83" s="43" t="s">
        <v>26</v>
      </c>
      <c r="I83" s="43" t="s">
        <v>26</v>
      </c>
      <c r="J83" s="43" t="s">
        <v>26</v>
      </c>
      <c r="K83" s="42" t="s">
        <v>26</v>
      </c>
      <c r="L83" s="43" t="s">
        <v>26</v>
      </c>
      <c r="M83" s="43" t="s">
        <v>26</v>
      </c>
      <c r="N83" s="43" t="s">
        <v>26</v>
      </c>
      <c r="O83" s="42">
        <v>128646397.5</v>
      </c>
      <c r="P83" s="43">
        <v>5.1975239254000002E-4</v>
      </c>
      <c r="Q83" s="43" t="s">
        <v>26</v>
      </c>
      <c r="R83" s="43" t="s">
        <v>26</v>
      </c>
      <c r="S83" s="42">
        <v>205914267.86000001</v>
      </c>
      <c r="T83" s="43">
        <v>1.6904757447899999E-3</v>
      </c>
      <c r="U83" s="43" t="s">
        <v>26</v>
      </c>
      <c r="V83" s="43" t="s">
        <v>26</v>
      </c>
      <c r="W83" s="43" t="s">
        <v>26</v>
      </c>
      <c r="X83" s="43" t="s">
        <v>26</v>
      </c>
      <c r="Y83" s="43" t="s">
        <v>26</v>
      </c>
      <c r="Z83" s="43" t="s">
        <v>26</v>
      </c>
      <c r="AA83" s="42">
        <v>143054794.02000001</v>
      </c>
      <c r="AB83" s="43">
        <v>9.3510312820000005E-4</v>
      </c>
      <c r="AC83" s="43" t="s">
        <v>26</v>
      </c>
      <c r="AD83" s="43" t="s">
        <v>26</v>
      </c>
      <c r="AE83" s="42">
        <v>477615459.38</v>
      </c>
      <c r="AF83" s="43">
        <v>6.7479394093999999E-4</v>
      </c>
      <c r="AG83" s="43" t="s">
        <v>26</v>
      </c>
      <c r="AH83" s="43" t="s">
        <v>26</v>
      </c>
      <c r="AI83" s="42">
        <v>6442323.8600000003</v>
      </c>
      <c r="AJ83" s="43">
        <v>3.5536608089000002E-4</v>
      </c>
      <c r="AK83" s="43" t="s">
        <v>26</v>
      </c>
      <c r="AL83" s="43" t="s">
        <v>26</v>
      </c>
      <c r="AM83" s="43" t="s">
        <v>26</v>
      </c>
      <c r="AN83" s="43" t="s">
        <v>26</v>
      </c>
      <c r="AO83" s="43" t="s">
        <v>26</v>
      </c>
      <c r="AP83" s="43" t="s">
        <v>26</v>
      </c>
      <c r="AQ83" s="42">
        <v>6442323.8600000003</v>
      </c>
      <c r="AR83" s="43">
        <v>1.4995250052E-4</v>
      </c>
      <c r="AS83" s="43" t="s">
        <v>26</v>
      </c>
      <c r="AT83" s="43" t="s">
        <v>26</v>
      </c>
      <c r="AU83" s="42">
        <v>19326971.57</v>
      </c>
      <c r="AV83" s="43">
        <v>3.8218173231000001E-4</v>
      </c>
      <c r="AW83" s="43" t="s">
        <v>26</v>
      </c>
      <c r="AX83" s="43" t="s">
        <v>26</v>
      </c>
      <c r="AY83" s="42">
        <v>503384754.81</v>
      </c>
      <c r="AZ83" s="43">
        <v>6.2818888239000005E-4</v>
      </c>
      <c r="BA83" s="43" t="s">
        <v>26</v>
      </c>
      <c r="BB83" s="43" t="s">
        <v>26</v>
      </c>
    </row>
    <row r="84" spans="1:54" s="7" customFormat="1">
      <c r="A84" s="5" t="s">
        <v>78</v>
      </c>
      <c r="B84" s="20" t="s">
        <v>25</v>
      </c>
      <c r="C84" s="9" t="s">
        <v>26</v>
      </c>
      <c r="D84" s="10" t="s">
        <v>26</v>
      </c>
      <c r="E84" s="9" t="s">
        <v>26</v>
      </c>
      <c r="F84" s="10" t="s">
        <v>26</v>
      </c>
      <c r="G84" s="9" t="s">
        <v>26</v>
      </c>
      <c r="H84" s="10" t="s">
        <v>26</v>
      </c>
      <c r="I84" s="9" t="s">
        <v>26</v>
      </c>
      <c r="J84" s="10" t="s">
        <v>26</v>
      </c>
      <c r="K84" s="2" t="s">
        <v>26</v>
      </c>
      <c r="L84" s="1" t="s">
        <v>26</v>
      </c>
      <c r="M84" s="1" t="s">
        <v>26</v>
      </c>
      <c r="N84" s="1" t="s">
        <v>26</v>
      </c>
      <c r="O84" s="2" t="s">
        <v>26</v>
      </c>
      <c r="P84" s="1" t="s">
        <v>26</v>
      </c>
      <c r="Q84" s="1" t="s">
        <v>26</v>
      </c>
      <c r="R84" s="1" t="s">
        <v>26</v>
      </c>
      <c r="S84" s="9">
        <v>51538590.859999999</v>
      </c>
      <c r="T84" s="10">
        <v>4.2311170894000002E-4</v>
      </c>
      <c r="U84" s="10">
        <v>0.1</v>
      </c>
      <c r="V84" s="10">
        <v>9.9599999999999994E-2</v>
      </c>
      <c r="W84" s="2" t="s">
        <v>26</v>
      </c>
      <c r="X84" s="1" t="s">
        <v>26</v>
      </c>
      <c r="Y84" s="1" t="s">
        <v>26</v>
      </c>
      <c r="Z84" s="1" t="s">
        <v>26</v>
      </c>
      <c r="AA84" s="2" t="s">
        <v>26</v>
      </c>
      <c r="AB84" s="1" t="s">
        <v>26</v>
      </c>
      <c r="AC84" s="1" t="s">
        <v>26</v>
      </c>
      <c r="AD84" s="1" t="s">
        <v>26</v>
      </c>
      <c r="AE84" s="9">
        <v>51538590.859999999</v>
      </c>
      <c r="AF84" s="10">
        <v>7.2815751990000001E-5</v>
      </c>
      <c r="AG84" s="10">
        <v>0.1</v>
      </c>
      <c r="AH84" s="10">
        <v>9.9900000000000003E-2</v>
      </c>
      <c r="AI84" s="9">
        <v>6442323.8600000003</v>
      </c>
      <c r="AJ84" s="10">
        <v>3.5536608089000002E-4</v>
      </c>
      <c r="AK84" s="10">
        <v>0.1</v>
      </c>
      <c r="AL84" s="10">
        <v>9.9599999999999994E-2</v>
      </c>
      <c r="AM84" s="2" t="s">
        <v>26</v>
      </c>
      <c r="AN84" s="1" t="s">
        <v>26</v>
      </c>
      <c r="AO84" s="1" t="s">
        <v>26</v>
      </c>
      <c r="AP84" s="1" t="s">
        <v>26</v>
      </c>
      <c r="AQ84" s="9">
        <v>6442323.8600000003</v>
      </c>
      <c r="AR84" s="10">
        <v>1.4995250052E-4</v>
      </c>
      <c r="AS84" s="10">
        <v>0.1</v>
      </c>
      <c r="AT84" s="10">
        <v>9.9900000000000003E-2</v>
      </c>
      <c r="AU84" s="9">
        <v>19326971.57</v>
      </c>
      <c r="AV84" s="10">
        <v>3.8218173231000001E-4</v>
      </c>
      <c r="AW84" s="10">
        <v>0.1</v>
      </c>
      <c r="AX84" s="10">
        <v>9.9599999999999994E-2</v>
      </c>
      <c r="AY84" s="9">
        <v>77307886.290000007</v>
      </c>
      <c r="AZ84" s="10">
        <v>9.6474822139999998E-5</v>
      </c>
      <c r="BA84" s="10">
        <v>0.1</v>
      </c>
      <c r="BB84" s="10">
        <v>9.9900000000000003E-2</v>
      </c>
    </row>
    <row r="85" spans="1:54" s="7" customFormat="1">
      <c r="A85" s="3" t="s">
        <v>79</v>
      </c>
      <c r="B85" s="23" t="s">
        <v>29</v>
      </c>
      <c r="C85" s="9" t="s">
        <v>26</v>
      </c>
      <c r="D85" s="10" t="s">
        <v>26</v>
      </c>
      <c r="E85" s="9" t="s">
        <v>26</v>
      </c>
      <c r="F85" s="10" t="s">
        <v>26</v>
      </c>
      <c r="G85" s="9" t="s">
        <v>26</v>
      </c>
      <c r="H85" s="10" t="s">
        <v>26</v>
      </c>
      <c r="I85" s="9" t="s">
        <v>26</v>
      </c>
      <c r="J85" s="10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 t="s">
        <v>26</v>
      </c>
      <c r="P85" s="1" t="s">
        <v>26</v>
      </c>
      <c r="Q85" s="1" t="s">
        <v>26</v>
      </c>
      <c r="R85" s="1" t="s">
        <v>26</v>
      </c>
      <c r="S85" s="2">
        <v>51538590.859999999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 t="s">
        <v>26</v>
      </c>
      <c r="AB85" s="1" t="s">
        <v>26</v>
      </c>
      <c r="AC85" s="1" t="s">
        <v>26</v>
      </c>
      <c r="AD85" s="1" t="s">
        <v>26</v>
      </c>
      <c r="AE85" s="2">
        <v>51538590.859999999</v>
      </c>
      <c r="AF85" s="1">
        <v>1</v>
      </c>
      <c r="AG85" s="1" t="s">
        <v>26</v>
      </c>
      <c r="AH85" s="1" t="s">
        <v>26</v>
      </c>
      <c r="AI85" s="2">
        <v>6442323.8600000003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6442323.8600000003</v>
      </c>
      <c r="AR85" s="1">
        <v>1</v>
      </c>
      <c r="AS85" s="1" t="s">
        <v>26</v>
      </c>
      <c r="AT85" s="1" t="s">
        <v>26</v>
      </c>
      <c r="AU85" s="2">
        <v>19326971.57</v>
      </c>
      <c r="AV85" s="1">
        <v>1</v>
      </c>
      <c r="AW85" s="1" t="s">
        <v>25</v>
      </c>
      <c r="AX85" s="1" t="s">
        <v>25</v>
      </c>
      <c r="AY85" s="2">
        <v>77307886.290000007</v>
      </c>
      <c r="AZ85" s="1">
        <v>1</v>
      </c>
      <c r="BA85" s="1" t="s">
        <v>26</v>
      </c>
      <c r="BB85" s="1" t="s">
        <v>26</v>
      </c>
    </row>
    <row r="86" spans="1:54" s="7" customFormat="1">
      <c r="A86" s="5" t="s">
        <v>80</v>
      </c>
      <c r="B86" s="20" t="s">
        <v>25</v>
      </c>
      <c r="C86" s="9" t="s">
        <v>26</v>
      </c>
      <c r="D86" s="10" t="s">
        <v>26</v>
      </c>
      <c r="E86" s="9" t="s">
        <v>26</v>
      </c>
      <c r="F86" s="10" t="s">
        <v>26</v>
      </c>
      <c r="G86" s="9" t="s">
        <v>26</v>
      </c>
      <c r="H86" s="10" t="s">
        <v>26</v>
      </c>
      <c r="I86" s="9" t="s">
        <v>26</v>
      </c>
      <c r="J86" s="10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9">
        <v>128646397.5</v>
      </c>
      <c r="P86" s="10">
        <v>5.1975239254000002E-4</v>
      </c>
      <c r="Q86" s="10">
        <v>0.09</v>
      </c>
      <c r="R86" s="10">
        <v>8.9499999999999996E-2</v>
      </c>
      <c r="S86" s="9">
        <v>154375677</v>
      </c>
      <c r="T86" s="10">
        <v>1.26736403585E-3</v>
      </c>
      <c r="U86" s="10">
        <v>0.09</v>
      </c>
      <c r="V86" s="10">
        <v>8.8700000000000001E-2</v>
      </c>
      <c r="W86" s="2" t="s">
        <v>26</v>
      </c>
      <c r="X86" s="1" t="s">
        <v>26</v>
      </c>
      <c r="Y86" s="1" t="s">
        <v>26</v>
      </c>
      <c r="Z86" s="1" t="s">
        <v>26</v>
      </c>
      <c r="AA86" s="9">
        <v>143054794.02000001</v>
      </c>
      <c r="AB86" s="10">
        <v>9.3510312820000005E-4</v>
      </c>
      <c r="AC86" s="10">
        <v>0.09</v>
      </c>
      <c r="AD86" s="10">
        <v>8.9099999999999999E-2</v>
      </c>
      <c r="AE86" s="9">
        <v>426076868.51999998</v>
      </c>
      <c r="AF86" s="10">
        <v>6.0197818895000004E-4</v>
      </c>
      <c r="AG86" s="10">
        <v>0.09</v>
      </c>
      <c r="AH86" s="10">
        <v>8.9399999999999993E-2</v>
      </c>
      <c r="AI86" s="2" t="s">
        <v>26</v>
      </c>
      <c r="AJ86" s="1" t="s">
        <v>26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 t="s">
        <v>26</v>
      </c>
      <c r="AR86" s="1" t="s">
        <v>26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9">
        <v>426076868.51999998</v>
      </c>
      <c r="AZ86" s="10">
        <v>5.3171406024999995E-4</v>
      </c>
      <c r="BA86" s="10">
        <v>0.09</v>
      </c>
      <c r="BB86" s="10">
        <v>8.9499999999999996E-2</v>
      </c>
    </row>
    <row r="87" spans="1:54" s="7" customFormat="1">
      <c r="A87" s="3" t="s">
        <v>79</v>
      </c>
      <c r="B87" s="23" t="s">
        <v>40</v>
      </c>
      <c r="C87" s="9" t="s">
        <v>26</v>
      </c>
      <c r="D87" s="10" t="s">
        <v>26</v>
      </c>
      <c r="E87" s="9" t="s">
        <v>26</v>
      </c>
      <c r="F87" s="10" t="s">
        <v>26</v>
      </c>
      <c r="G87" s="9" t="s">
        <v>26</v>
      </c>
      <c r="H87" s="10" t="s">
        <v>26</v>
      </c>
      <c r="I87" s="9" t="s">
        <v>26</v>
      </c>
      <c r="J87" s="10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>
        <v>128646397.5</v>
      </c>
      <c r="P87" s="1">
        <v>1</v>
      </c>
      <c r="Q87" s="1" t="s">
        <v>26</v>
      </c>
      <c r="R87" s="1" t="s">
        <v>26</v>
      </c>
      <c r="S87" s="2">
        <v>154375677</v>
      </c>
      <c r="T87" s="1">
        <v>1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>
        <v>143054794.02000001</v>
      </c>
      <c r="AB87" s="1">
        <v>1</v>
      </c>
      <c r="AC87" s="1" t="s">
        <v>26</v>
      </c>
      <c r="AD87" s="1" t="s">
        <v>26</v>
      </c>
      <c r="AE87" s="2">
        <v>426076868.51999998</v>
      </c>
      <c r="AF87" s="1">
        <v>1</v>
      </c>
      <c r="AG87" s="1" t="s">
        <v>26</v>
      </c>
      <c r="AH87" s="1" t="s">
        <v>26</v>
      </c>
      <c r="AI87" s="2" t="s">
        <v>26</v>
      </c>
      <c r="AJ87" s="1" t="s">
        <v>26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 t="s">
        <v>26</v>
      </c>
      <c r="AR87" s="1" t="s">
        <v>26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2">
        <v>426076868.51999998</v>
      </c>
      <c r="AZ87" s="1">
        <v>1</v>
      </c>
      <c r="BA87" s="1" t="s">
        <v>26</v>
      </c>
      <c r="BB87" s="1" t="s">
        <v>26</v>
      </c>
    </row>
    <row r="88" spans="1:54" s="7" customFormat="1">
      <c r="A88" s="12" t="s">
        <v>81</v>
      </c>
      <c r="B88" s="40" t="s">
        <v>25</v>
      </c>
      <c r="C88" s="42" t="s">
        <v>26</v>
      </c>
      <c r="D88" s="43" t="s">
        <v>26</v>
      </c>
      <c r="E88" s="43" t="s">
        <v>26</v>
      </c>
      <c r="F88" s="43" t="s">
        <v>26</v>
      </c>
      <c r="G88" s="42">
        <v>727445157.69000006</v>
      </c>
      <c r="H88" s="43">
        <v>4.3526897867500001E-3</v>
      </c>
      <c r="I88" s="43">
        <v>0.05</v>
      </c>
      <c r="J88" s="43">
        <f>+I88-H88</f>
        <v>4.5647310213250004E-2</v>
      </c>
      <c r="K88" s="42">
        <v>24460439.620000001</v>
      </c>
      <c r="L88" s="43">
        <v>6.4555463222600003E-3</v>
      </c>
      <c r="M88" s="43">
        <v>0.05</v>
      </c>
      <c r="N88" s="43">
        <f>+M88-L88</f>
        <v>4.354445367774E-2</v>
      </c>
      <c r="O88" s="42">
        <v>1895235955.1400001</v>
      </c>
      <c r="P88" s="43">
        <v>7.6570618475399997E-3</v>
      </c>
      <c r="Q88" s="43">
        <v>0.05</v>
      </c>
      <c r="R88" s="43">
        <f>+Q88-P88</f>
        <v>4.234293815246E-2</v>
      </c>
      <c r="S88" s="42">
        <v>1624921397.76</v>
      </c>
      <c r="T88" s="43">
        <v>1.3339970263600001E-2</v>
      </c>
      <c r="U88" s="43">
        <v>0.05</v>
      </c>
      <c r="V88" s="43">
        <f>+U88-T88</f>
        <v>3.66600297364E-2</v>
      </c>
      <c r="W88" s="43" t="s">
        <v>26</v>
      </c>
      <c r="X88" s="43" t="s">
        <v>26</v>
      </c>
      <c r="Y88" s="43" t="s">
        <v>26</v>
      </c>
      <c r="Z88" s="43" t="s">
        <v>26</v>
      </c>
      <c r="AA88" s="42">
        <v>385261463.56</v>
      </c>
      <c r="AB88" s="43">
        <v>2.5183301420699999E-3</v>
      </c>
      <c r="AC88" s="43">
        <v>0.05</v>
      </c>
      <c r="AD88" s="43">
        <f>+AC88-AB88</f>
        <v>4.7481669857930002E-2</v>
      </c>
      <c r="AE88" s="42">
        <v>4657324413.7700005</v>
      </c>
      <c r="AF88" s="43">
        <v>6.5800514487099997E-3</v>
      </c>
      <c r="AG88" s="43">
        <v>0.05</v>
      </c>
      <c r="AH88" s="43">
        <f>+AG88-AF88</f>
        <v>4.341994855129E-2</v>
      </c>
      <c r="AI88" s="43" t="s">
        <v>26</v>
      </c>
      <c r="AJ88" s="43" t="s">
        <v>26</v>
      </c>
      <c r="AK88" s="43" t="s">
        <v>26</v>
      </c>
      <c r="AL88" s="43" t="s">
        <v>26</v>
      </c>
      <c r="AM88" s="43" t="s">
        <v>26</v>
      </c>
      <c r="AN88" s="43" t="s">
        <v>26</v>
      </c>
      <c r="AO88" s="43" t="s">
        <v>26</v>
      </c>
      <c r="AP88" s="43" t="s">
        <v>26</v>
      </c>
      <c r="AQ88" s="43" t="s">
        <v>26</v>
      </c>
      <c r="AR88" s="43" t="s">
        <v>26</v>
      </c>
      <c r="AS88" s="43" t="s">
        <v>26</v>
      </c>
      <c r="AT88" s="43" t="s">
        <v>26</v>
      </c>
      <c r="AU88" s="42">
        <v>612994620</v>
      </c>
      <c r="AV88" s="43">
        <v>1.2121679018460001E-2</v>
      </c>
      <c r="AW88" s="43">
        <v>0.05</v>
      </c>
      <c r="AX88" s="43">
        <f>+AW88-AV88</f>
        <v>3.7878320981540002E-2</v>
      </c>
      <c r="AY88" s="42">
        <v>5270319033.7700005</v>
      </c>
      <c r="AZ88" s="43">
        <v>6.57698865929E-3</v>
      </c>
      <c r="BA88" s="43">
        <v>0.05</v>
      </c>
      <c r="BB88" s="43">
        <f>+BA88-AZ88</f>
        <v>4.3423011340709999E-2</v>
      </c>
    </row>
    <row r="89" spans="1:54" s="7" customFormat="1">
      <c r="A89" s="5" t="s">
        <v>82</v>
      </c>
      <c r="B89" s="20" t="s">
        <v>25</v>
      </c>
      <c r="C89" s="9" t="s">
        <v>26</v>
      </c>
      <c r="D89" s="10" t="s">
        <v>26</v>
      </c>
      <c r="E89" s="9" t="s">
        <v>26</v>
      </c>
      <c r="F89" s="10" t="s">
        <v>26</v>
      </c>
      <c r="G89" s="9" t="s">
        <v>26</v>
      </c>
      <c r="H89" s="10" t="s">
        <v>26</v>
      </c>
      <c r="I89" s="9" t="s">
        <v>26</v>
      </c>
      <c r="J89" s="10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9">
        <v>679402370.5</v>
      </c>
      <c r="T89" s="10">
        <v>5.5776282052700001E-3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9">
        <v>679402370.5</v>
      </c>
      <c r="AF89" s="10">
        <v>9.5988644017000002E-4</v>
      </c>
      <c r="AG89" s="1" t="s">
        <v>26</v>
      </c>
      <c r="AH89" s="1" t="s">
        <v>26</v>
      </c>
      <c r="AI89" s="2" t="s">
        <v>26</v>
      </c>
      <c r="AJ89" s="1" t="s">
        <v>26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 t="s">
        <v>26</v>
      </c>
      <c r="AR89" s="1" t="s">
        <v>26</v>
      </c>
      <c r="AS89" s="1" t="s">
        <v>26</v>
      </c>
      <c r="AT89" s="1" t="s">
        <v>26</v>
      </c>
      <c r="AU89" s="9">
        <v>612994620</v>
      </c>
      <c r="AV89" s="10">
        <v>1.2121679018460001E-2</v>
      </c>
      <c r="AW89" s="1" t="s">
        <v>26</v>
      </c>
      <c r="AX89" s="1" t="s">
        <v>26</v>
      </c>
      <c r="AY89" s="9">
        <v>1292396990.5</v>
      </c>
      <c r="AZ89" s="10">
        <v>1.6128208359600001E-3</v>
      </c>
      <c r="BA89" s="1" t="s">
        <v>26</v>
      </c>
      <c r="BB89" s="1" t="s">
        <v>26</v>
      </c>
    </row>
    <row r="90" spans="1:54" s="7" customFormat="1">
      <c r="A90" s="3" t="s">
        <v>83</v>
      </c>
      <c r="B90" s="23" t="s">
        <v>40</v>
      </c>
      <c r="C90" s="9" t="s">
        <v>26</v>
      </c>
      <c r="D90" s="10" t="s">
        <v>26</v>
      </c>
      <c r="E90" s="9" t="s">
        <v>26</v>
      </c>
      <c r="F90" s="10" t="s">
        <v>26</v>
      </c>
      <c r="G90" s="9" t="s">
        <v>26</v>
      </c>
      <c r="H90" s="10" t="s">
        <v>26</v>
      </c>
      <c r="I90" s="9" t="s">
        <v>26</v>
      </c>
      <c r="J90" s="10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2">
        <v>679402370.5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 t="s">
        <v>26</v>
      </c>
      <c r="AB90" s="1" t="s">
        <v>26</v>
      </c>
      <c r="AC90" s="1" t="s">
        <v>26</v>
      </c>
      <c r="AD90" s="1" t="s">
        <v>26</v>
      </c>
      <c r="AE90" s="2">
        <v>679402370.5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>
        <v>612994620</v>
      </c>
      <c r="AV90" s="1">
        <v>1</v>
      </c>
      <c r="AW90" s="1" t="s">
        <v>26</v>
      </c>
      <c r="AX90" s="1" t="s">
        <v>26</v>
      </c>
      <c r="AY90" s="2">
        <v>1292396990.5</v>
      </c>
      <c r="AZ90" s="1">
        <v>1</v>
      </c>
      <c r="BA90" s="1" t="s">
        <v>26</v>
      </c>
      <c r="BB90" s="1" t="s">
        <v>26</v>
      </c>
    </row>
    <row r="91" spans="1:54" s="7" customFormat="1">
      <c r="A91" s="5" t="s">
        <v>84</v>
      </c>
      <c r="B91" s="20" t="s">
        <v>25</v>
      </c>
      <c r="C91" s="9" t="s">
        <v>26</v>
      </c>
      <c r="D91" s="10" t="s">
        <v>26</v>
      </c>
      <c r="E91" s="9" t="s">
        <v>26</v>
      </c>
      <c r="F91" s="10" t="s">
        <v>26</v>
      </c>
      <c r="G91" s="9">
        <v>727445157.69000006</v>
      </c>
      <c r="H91" s="10">
        <v>4.3526897867500001E-3</v>
      </c>
      <c r="I91" s="9" t="s">
        <v>26</v>
      </c>
      <c r="J91" s="10" t="s">
        <v>26</v>
      </c>
      <c r="K91" s="9">
        <v>24460439.620000001</v>
      </c>
      <c r="L91" s="10">
        <v>6.4555463222600003E-3</v>
      </c>
      <c r="M91" s="1" t="s">
        <v>26</v>
      </c>
      <c r="N91" s="1" t="s">
        <v>26</v>
      </c>
      <c r="O91" s="9">
        <v>1895235955.1400001</v>
      </c>
      <c r="P91" s="10">
        <v>7.6570618475399997E-3</v>
      </c>
      <c r="Q91" s="1" t="s">
        <v>26</v>
      </c>
      <c r="R91" s="1" t="s">
        <v>26</v>
      </c>
      <c r="S91" s="9">
        <v>945519027.25999999</v>
      </c>
      <c r="T91" s="10">
        <v>7.7623420583299999E-3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9">
        <v>385261463.56</v>
      </c>
      <c r="AB91" s="10">
        <v>2.5183301420699999E-3</v>
      </c>
      <c r="AC91" s="1" t="s">
        <v>26</v>
      </c>
      <c r="AD91" s="1" t="s">
        <v>26</v>
      </c>
      <c r="AE91" s="9">
        <v>3977922043.27</v>
      </c>
      <c r="AF91" s="10">
        <v>5.6201650085400002E-3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9">
        <v>3977922043.27</v>
      </c>
      <c r="AZ91" s="10">
        <v>4.9641678233299999E-3</v>
      </c>
      <c r="BA91" s="1" t="s">
        <v>26</v>
      </c>
      <c r="BB91" s="1" t="s">
        <v>26</v>
      </c>
    </row>
    <row r="92" spans="1:54" s="28" customFormat="1">
      <c r="A92" s="3" t="s">
        <v>85</v>
      </c>
      <c r="B92" s="23" t="s">
        <v>40</v>
      </c>
      <c r="C92" s="9" t="s">
        <v>26</v>
      </c>
      <c r="D92" s="10" t="s">
        <v>26</v>
      </c>
      <c r="E92" s="9" t="s">
        <v>26</v>
      </c>
      <c r="F92" s="10" t="s">
        <v>26</v>
      </c>
      <c r="G92" s="2">
        <v>727445157.69000006</v>
      </c>
      <c r="H92" s="1">
        <v>1</v>
      </c>
      <c r="I92" s="9" t="s">
        <v>26</v>
      </c>
      <c r="J92" s="10" t="s">
        <v>26</v>
      </c>
      <c r="K92" s="2">
        <v>24460439.620000001</v>
      </c>
      <c r="L92" s="1">
        <v>1</v>
      </c>
      <c r="M92" s="1" t="s">
        <v>26</v>
      </c>
      <c r="N92" s="1" t="s">
        <v>26</v>
      </c>
      <c r="O92" s="2">
        <v>1895235955.1400001</v>
      </c>
      <c r="P92" s="1">
        <v>1</v>
      </c>
      <c r="Q92" s="1" t="s">
        <v>26</v>
      </c>
      <c r="R92" s="1" t="s">
        <v>26</v>
      </c>
      <c r="S92" s="2">
        <v>945519027.25999999</v>
      </c>
      <c r="T92" s="1">
        <v>1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>
        <v>385261463.56</v>
      </c>
      <c r="AB92" s="1">
        <v>1</v>
      </c>
      <c r="AC92" s="1" t="s">
        <v>26</v>
      </c>
      <c r="AD92" s="1" t="s">
        <v>26</v>
      </c>
      <c r="AE92" s="2">
        <v>3977922043.27</v>
      </c>
      <c r="AF92" s="1">
        <v>1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2">
        <v>3977922043.27</v>
      </c>
      <c r="AZ92" s="1">
        <v>1</v>
      </c>
      <c r="BA92" s="1" t="s">
        <v>26</v>
      </c>
      <c r="BB92" s="1" t="s">
        <v>26</v>
      </c>
    </row>
    <row r="93" spans="1:54" s="7" customFormat="1">
      <c r="A93" s="12" t="s">
        <v>86</v>
      </c>
      <c r="B93" s="40" t="s">
        <v>25</v>
      </c>
      <c r="C93" s="42">
        <v>117344939.15000001</v>
      </c>
      <c r="D93" s="43">
        <v>1.561165220398E-2</v>
      </c>
      <c r="E93" s="43">
        <v>0.15</v>
      </c>
      <c r="F93" s="43">
        <f>+E93-D93</f>
        <v>0.13438834779601999</v>
      </c>
      <c r="G93" s="42">
        <v>9632578696.6800003</v>
      </c>
      <c r="H93" s="43">
        <v>5.7636821786269998E-2</v>
      </c>
      <c r="I93" s="43">
        <v>0.15</v>
      </c>
      <c r="J93" s="43">
        <f>+I93-H93</f>
        <v>9.2363178213729996E-2</v>
      </c>
      <c r="K93" s="42">
        <v>253303434.00999999</v>
      </c>
      <c r="L93" s="43">
        <v>6.6851294467410005E-2</v>
      </c>
      <c r="M93" s="43">
        <v>0.15</v>
      </c>
      <c r="N93" s="43">
        <f>+M93-L93</f>
        <v>8.3148705532589989E-2</v>
      </c>
      <c r="O93" s="42">
        <v>27314219720.459999</v>
      </c>
      <c r="P93" s="43">
        <v>0.11035389506496</v>
      </c>
      <c r="Q93" s="43">
        <v>0.15</v>
      </c>
      <c r="R93" s="43">
        <f>+Q93-P93</f>
        <v>3.9646104935039991E-2</v>
      </c>
      <c r="S93" s="42">
        <v>6087970075.6899996</v>
      </c>
      <c r="T93" s="43">
        <v>4.9979857417929999E-2</v>
      </c>
      <c r="U93" s="43">
        <v>0.15</v>
      </c>
      <c r="V93" s="43">
        <f>+U93-T93</f>
        <v>0.10002014258207</v>
      </c>
      <c r="W93" s="43" t="s">
        <v>26</v>
      </c>
      <c r="X93" s="43" t="s">
        <v>26</v>
      </c>
      <c r="Y93" s="43" t="s">
        <v>26</v>
      </c>
      <c r="Z93" s="43" t="s">
        <v>26</v>
      </c>
      <c r="AA93" s="42">
        <v>6151527818.4200001</v>
      </c>
      <c r="AB93" s="43">
        <v>4.0210556700290001E-2</v>
      </c>
      <c r="AC93" s="43">
        <v>0.15</v>
      </c>
      <c r="AD93" s="43">
        <f>+AC93-AB93</f>
        <v>0.10978944329970999</v>
      </c>
      <c r="AE93" s="42">
        <v>49556944684.410004</v>
      </c>
      <c r="AF93" s="43">
        <v>7.0016004189100006E-2</v>
      </c>
      <c r="AG93" s="43">
        <v>0.15</v>
      </c>
      <c r="AH93" s="43">
        <f>+AG93-AF93</f>
        <v>7.9983995810899988E-2</v>
      </c>
      <c r="AI93" s="43" t="s">
        <v>26</v>
      </c>
      <c r="AJ93" s="43" t="s">
        <v>26</v>
      </c>
      <c r="AK93" s="43" t="s">
        <v>26</v>
      </c>
      <c r="AL93" s="43" t="s">
        <v>26</v>
      </c>
      <c r="AM93" s="43" t="s">
        <v>26</v>
      </c>
      <c r="AN93" s="43" t="s">
        <v>26</v>
      </c>
      <c r="AO93" s="43" t="s">
        <v>26</v>
      </c>
      <c r="AP93" s="43" t="s">
        <v>26</v>
      </c>
      <c r="AQ93" s="43" t="s">
        <v>26</v>
      </c>
      <c r="AR93" s="43" t="s">
        <v>26</v>
      </c>
      <c r="AS93" s="43" t="s">
        <v>26</v>
      </c>
      <c r="AT93" s="43" t="s">
        <v>26</v>
      </c>
      <c r="AU93" s="42">
        <v>1868660930.49</v>
      </c>
      <c r="AV93" s="43">
        <v>3.6951887104209998E-2</v>
      </c>
      <c r="AW93" s="43">
        <v>0.15</v>
      </c>
      <c r="AX93" s="43">
        <f>+AW93-AV93</f>
        <v>0.11304811289579</v>
      </c>
      <c r="AY93" s="42">
        <v>51425605614.900002</v>
      </c>
      <c r="AZ93" s="43">
        <v>6.4175550428530001E-2</v>
      </c>
      <c r="BA93" s="43">
        <v>0.15</v>
      </c>
      <c r="BB93" s="43">
        <f>+BA93-AZ93</f>
        <v>8.5824449571469993E-2</v>
      </c>
    </row>
    <row r="94" spans="1:54" s="28" customFormat="1">
      <c r="A94" s="5" t="s">
        <v>124</v>
      </c>
      <c r="B94" s="20" t="s">
        <v>25</v>
      </c>
      <c r="C94" s="9" t="s">
        <v>26</v>
      </c>
      <c r="D94" s="10" t="s">
        <v>26</v>
      </c>
      <c r="E94" s="9" t="s">
        <v>26</v>
      </c>
      <c r="F94" s="10" t="s">
        <v>26</v>
      </c>
      <c r="G94" s="9">
        <v>574402912.04999995</v>
      </c>
      <c r="H94" s="10">
        <v>3.4369569476499998E-3</v>
      </c>
      <c r="I94" s="9" t="s">
        <v>26</v>
      </c>
      <c r="J94" s="10" t="s">
        <v>26</v>
      </c>
      <c r="K94" s="9">
        <v>67576813.180000007</v>
      </c>
      <c r="L94" s="10">
        <v>1.7834726381509999E-2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9">
        <v>723379068.39999998</v>
      </c>
      <c r="T94" s="10">
        <v>5.93865972537E-3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9">
        <v>448464305.67000002</v>
      </c>
      <c r="AB94" s="10">
        <v>2.9314667711E-3</v>
      </c>
      <c r="AC94" s="1" t="s">
        <v>26</v>
      </c>
      <c r="AD94" s="1" t="s">
        <v>26</v>
      </c>
      <c r="AE94" s="9">
        <v>1813823099.3</v>
      </c>
      <c r="AF94" s="10">
        <v>2.5626407464700001E-3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 t="s">
        <v>26</v>
      </c>
      <c r="AV94" s="1" t="s">
        <v>26</v>
      </c>
      <c r="AW94" s="1" t="s">
        <v>26</v>
      </c>
      <c r="AX94" s="1" t="s">
        <v>26</v>
      </c>
      <c r="AY94" s="9">
        <v>1813823099.3</v>
      </c>
      <c r="AZ94" s="10">
        <v>2.2635240632700002E-3</v>
      </c>
      <c r="BA94" s="1" t="s">
        <v>26</v>
      </c>
      <c r="BB94" s="1" t="s">
        <v>26</v>
      </c>
    </row>
    <row r="95" spans="1:54" s="7" customFormat="1">
      <c r="A95" s="3" t="s">
        <v>88</v>
      </c>
      <c r="B95" s="23" t="s">
        <v>47</v>
      </c>
      <c r="C95" s="9" t="s">
        <v>26</v>
      </c>
      <c r="D95" s="10" t="s">
        <v>26</v>
      </c>
      <c r="E95" s="9" t="s">
        <v>26</v>
      </c>
      <c r="F95" s="10" t="s">
        <v>26</v>
      </c>
      <c r="G95" s="2">
        <v>574402912.04999995</v>
      </c>
      <c r="H95" s="1">
        <v>1</v>
      </c>
      <c r="I95" s="9" t="s">
        <v>26</v>
      </c>
      <c r="J95" s="10" t="s">
        <v>26</v>
      </c>
      <c r="K95" s="2">
        <v>67576813.180000007</v>
      </c>
      <c r="L95" s="1">
        <v>1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723379068.39999998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448464305.67000002</v>
      </c>
      <c r="AB95" s="1">
        <v>1</v>
      </c>
      <c r="AC95" s="1" t="s">
        <v>26</v>
      </c>
      <c r="AD95" s="1" t="s">
        <v>26</v>
      </c>
      <c r="AE95" s="2">
        <v>1813823099.3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1813823099.3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125</v>
      </c>
      <c r="B96" s="20" t="s">
        <v>25</v>
      </c>
      <c r="C96" s="9" t="s">
        <v>26</v>
      </c>
      <c r="D96" s="10" t="s">
        <v>26</v>
      </c>
      <c r="E96" s="9" t="s">
        <v>26</v>
      </c>
      <c r="F96" s="10" t="s">
        <v>26</v>
      </c>
      <c r="G96" s="9">
        <v>17099294.129999999</v>
      </c>
      <c r="H96" s="10">
        <v>1.0231413617E-4</v>
      </c>
      <c r="I96" s="9" t="s">
        <v>26</v>
      </c>
      <c r="J96" s="10" t="s">
        <v>26</v>
      </c>
      <c r="K96" s="2" t="s">
        <v>26</v>
      </c>
      <c r="L96" s="1" t="s">
        <v>26</v>
      </c>
      <c r="M96" s="1" t="s">
        <v>26</v>
      </c>
      <c r="N96" s="1" t="s">
        <v>26</v>
      </c>
      <c r="O96" s="2" t="s">
        <v>26</v>
      </c>
      <c r="P96" s="1" t="s">
        <v>26</v>
      </c>
      <c r="Q96" s="1" t="s">
        <v>26</v>
      </c>
      <c r="R96" s="1" t="s">
        <v>26</v>
      </c>
      <c r="S96" s="9">
        <v>17099294.129999999</v>
      </c>
      <c r="T96" s="10">
        <v>1.4037852878999999E-4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 t="s">
        <v>26</v>
      </c>
      <c r="AB96" s="1" t="s">
        <v>26</v>
      </c>
      <c r="AC96" s="1" t="s">
        <v>26</v>
      </c>
      <c r="AD96" s="1" t="s">
        <v>26</v>
      </c>
      <c r="AE96" s="9">
        <v>34198588.259999998</v>
      </c>
      <c r="AF96" s="10">
        <v>4.8317113050000003E-5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9">
        <v>34198588.259999998</v>
      </c>
      <c r="AZ96" s="10">
        <v>4.2677440530000003E-5</v>
      </c>
      <c r="BA96" s="1" t="s">
        <v>26</v>
      </c>
      <c r="BB96" s="1" t="s">
        <v>26</v>
      </c>
    </row>
    <row r="97" spans="1:54" s="28" customFormat="1">
      <c r="A97" s="3" t="s">
        <v>88</v>
      </c>
      <c r="B97" s="23" t="s">
        <v>47</v>
      </c>
      <c r="C97" s="9" t="s">
        <v>26</v>
      </c>
      <c r="D97" s="10" t="s">
        <v>26</v>
      </c>
      <c r="E97" s="9" t="s">
        <v>26</v>
      </c>
      <c r="F97" s="10" t="s">
        <v>26</v>
      </c>
      <c r="G97" s="2">
        <v>17099294.129999999</v>
      </c>
      <c r="H97" s="1">
        <v>1</v>
      </c>
      <c r="I97" s="9" t="s">
        <v>26</v>
      </c>
      <c r="J97" s="10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 t="s">
        <v>26</v>
      </c>
      <c r="P97" s="1" t="s">
        <v>26</v>
      </c>
      <c r="Q97" s="1" t="s">
        <v>26</v>
      </c>
      <c r="R97" s="1" t="s">
        <v>26</v>
      </c>
      <c r="S97" s="2">
        <v>17099294.129999999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 t="s">
        <v>26</v>
      </c>
      <c r="AB97" s="1" t="s">
        <v>26</v>
      </c>
      <c r="AC97" s="1" t="s">
        <v>26</v>
      </c>
      <c r="AD97" s="1" t="s">
        <v>26</v>
      </c>
      <c r="AE97" s="2">
        <v>34198588.259999998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34198588.259999998</v>
      </c>
      <c r="AZ97" s="1">
        <v>1</v>
      </c>
      <c r="BA97" s="1" t="s">
        <v>26</v>
      </c>
      <c r="BB97" s="1" t="s">
        <v>26</v>
      </c>
    </row>
    <row r="98" spans="1:54" s="7" customFormat="1">
      <c r="A98" s="5" t="s">
        <v>89</v>
      </c>
      <c r="B98" s="20" t="s">
        <v>25</v>
      </c>
      <c r="C98" s="9" t="s">
        <v>26</v>
      </c>
      <c r="D98" s="10" t="s">
        <v>26</v>
      </c>
      <c r="E98" s="9" t="s">
        <v>26</v>
      </c>
      <c r="F98" s="10" t="s">
        <v>26</v>
      </c>
      <c r="G98" s="9">
        <v>2748026174.21</v>
      </c>
      <c r="H98" s="10">
        <v>1.644289653419E-2</v>
      </c>
      <c r="I98" s="9" t="s">
        <v>26</v>
      </c>
      <c r="J98" s="10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9">
        <v>3488228197.7600002</v>
      </c>
      <c r="P98" s="10">
        <v>1.409300988415E-2</v>
      </c>
      <c r="Q98" s="1" t="s">
        <v>26</v>
      </c>
      <c r="R98" s="1" t="s">
        <v>26</v>
      </c>
      <c r="S98" s="9">
        <v>1271265387.6199999</v>
      </c>
      <c r="T98" s="10">
        <v>1.043659249695E-2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9">
        <v>1943950816.52</v>
      </c>
      <c r="AB98" s="10">
        <v>1.2706980580689999E-2</v>
      </c>
      <c r="AC98" s="1" t="s">
        <v>26</v>
      </c>
      <c r="AD98" s="1" t="s">
        <v>26</v>
      </c>
      <c r="AE98" s="9">
        <v>9451470576.1100006</v>
      </c>
      <c r="AF98" s="10">
        <v>1.335341005512E-2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9">
        <v>318901573.45999998</v>
      </c>
      <c r="AV98" s="10">
        <v>6.3061279590999999E-3</v>
      </c>
      <c r="AW98" s="1" t="s">
        <v>26</v>
      </c>
      <c r="AX98" s="1" t="s">
        <v>26</v>
      </c>
      <c r="AY98" s="9">
        <v>9770372149.5699997</v>
      </c>
      <c r="AZ98" s="10">
        <v>1.219273945524E-2</v>
      </c>
      <c r="BA98" s="1" t="s">
        <v>26</v>
      </c>
      <c r="BB98" s="1" t="s">
        <v>26</v>
      </c>
    </row>
    <row r="99" spans="1:54" s="28" customFormat="1">
      <c r="A99" s="3" t="s">
        <v>88</v>
      </c>
      <c r="B99" s="23" t="s">
        <v>47</v>
      </c>
      <c r="C99" s="9" t="s">
        <v>26</v>
      </c>
      <c r="D99" s="10" t="s">
        <v>26</v>
      </c>
      <c r="E99" s="9" t="s">
        <v>26</v>
      </c>
      <c r="F99" s="10" t="s">
        <v>26</v>
      </c>
      <c r="G99" s="2">
        <v>2748026174.21</v>
      </c>
      <c r="H99" s="1">
        <v>1</v>
      </c>
      <c r="I99" s="9" t="s">
        <v>26</v>
      </c>
      <c r="J99" s="10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3488228197.7600002</v>
      </c>
      <c r="P99" s="1">
        <v>1</v>
      </c>
      <c r="Q99" s="1" t="s">
        <v>26</v>
      </c>
      <c r="R99" s="1" t="s">
        <v>26</v>
      </c>
      <c r="S99" s="2">
        <v>1271265387.6199999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1943950816.52</v>
      </c>
      <c r="AB99" s="1">
        <v>1</v>
      </c>
      <c r="AC99" s="1" t="s">
        <v>26</v>
      </c>
      <c r="AD99" s="1" t="s">
        <v>26</v>
      </c>
      <c r="AE99" s="2">
        <v>9451470576.1100006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>
        <v>318901573.45999998</v>
      </c>
      <c r="AV99" s="1">
        <v>1</v>
      </c>
      <c r="AW99" s="1" t="s">
        <v>26</v>
      </c>
      <c r="AX99" s="1" t="s">
        <v>26</v>
      </c>
      <c r="AY99" s="2">
        <v>9770372149.5699997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90</v>
      </c>
      <c r="B100" s="20" t="s">
        <v>25</v>
      </c>
      <c r="C100" s="9" t="s">
        <v>26</v>
      </c>
      <c r="D100" s="10" t="s">
        <v>26</v>
      </c>
      <c r="E100" s="9" t="s">
        <v>26</v>
      </c>
      <c r="F100" s="10" t="s">
        <v>26</v>
      </c>
      <c r="G100" s="9">
        <v>2017614851.6400001</v>
      </c>
      <c r="H100" s="10">
        <v>1.207245861146E-2</v>
      </c>
      <c r="I100" s="9" t="s">
        <v>26</v>
      </c>
      <c r="J100" s="10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9">
        <v>1313551335.72</v>
      </c>
      <c r="P100" s="10">
        <v>5.3069612732100004E-3</v>
      </c>
      <c r="Q100" s="1" t="s">
        <v>26</v>
      </c>
      <c r="R100" s="1" t="s">
        <v>26</v>
      </c>
      <c r="S100" s="9">
        <v>1313551335.71</v>
      </c>
      <c r="T100" s="10">
        <v>1.0783743621219999E-2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9">
        <v>1260221151.48</v>
      </c>
      <c r="AB100" s="10">
        <v>8.2376599053600001E-3</v>
      </c>
      <c r="AC100" s="1" t="s">
        <v>26</v>
      </c>
      <c r="AD100" s="1" t="s">
        <v>26</v>
      </c>
      <c r="AE100" s="9">
        <v>5904938674.5500002</v>
      </c>
      <c r="AF100" s="10">
        <v>8.3427300372600002E-3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9">
        <v>5904938674.5500002</v>
      </c>
      <c r="AZ100" s="10">
        <v>7.36894947867E-3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9" t="s">
        <v>26</v>
      </c>
      <c r="D101" s="10" t="s">
        <v>26</v>
      </c>
      <c r="E101" s="9" t="s">
        <v>26</v>
      </c>
      <c r="F101" s="10" t="s">
        <v>26</v>
      </c>
      <c r="G101" s="2">
        <v>2017614851.6400001</v>
      </c>
      <c r="H101" s="1">
        <v>1</v>
      </c>
      <c r="I101" s="9" t="s">
        <v>26</v>
      </c>
      <c r="J101" s="10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1313551335.72</v>
      </c>
      <c r="P101" s="1">
        <v>1</v>
      </c>
      <c r="Q101" s="1" t="s">
        <v>26</v>
      </c>
      <c r="R101" s="1" t="s">
        <v>26</v>
      </c>
      <c r="S101" s="2">
        <v>1313551335.71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1260221151.48</v>
      </c>
      <c r="AB101" s="1">
        <v>1</v>
      </c>
      <c r="AC101" s="1" t="s">
        <v>26</v>
      </c>
      <c r="AD101" s="1" t="s">
        <v>26</v>
      </c>
      <c r="AE101" s="2">
        <v>5904938674.5500002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" t="s">
        <v>26</v>
      </c>
      <c r="AX101" s="1" t="s">
        <v>26</v>
      </c>
      <c r="AY101" s="2">
        <v>5904938674.5500002</v>
      </c>
      <c r="AZ101" s="1">
        <v>1</v>
      </c>
      <c r="BA101" s="1" t="s">
        <v>26</v>
      </c>
      <c r="BB101" s="1" t="s">
        <v>26</v>
      </c>
    </row>
    <row r="102" spans="1:54" s="28" customFormat="1">
      <c r="A102" s="5" t="s">
        <v>91</v>
      </c>
      <c r="B102" s="20" t="s">
        <v>25</v>
      </c>
      <c r="C102" s="9" t="s">
        <v>26</v>
      </c>
      <c r="D102" s="10" t="s">
        <v>26</v>
      </c>
      <c r="E102" s="9" t="s">
        <v>26</v>
      </c>
      <c r="F102" s="10" t="s">
        <v>26</v>
      </c>
      <c r="G102" s="9">
        <v>492586199.55000001</v>
      </c>
      <c r="H102" s="10">
        <v>2.94740420939E-3</v>
      </c>
      <c r="I102" s="9" t="s">
        <v>26</v>
      </c>
      <c r="J102" s="10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9">
        <v>4260015017.2800002</v>
      </c>
      <c r="P102" s="10">
        <v>1.721115429997E-2</v>
      </c>
      <c r="Q102" s="1" t="s">
        <v>26</v>
      </c>
      <c r="R102" s="1" t="s">
        <v>26</v>
      </c>
      <c r="S102" s="9">
        <v>960078615.77999997</v>
      </c>
      <c r="T102" s="10">
        <v>7.8818705956299993E-3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9">
        <v>1319739879.3399999</v>
      </c>
      <c r="AB102" s="10">
        <v>8.6267146657299995E-3</v>
      </c>
      <c r="AC102" s="1" t="s">
        <v>26</v>
      </c>
      <c r="AD102" s="1" t="s">
        <v>26</v>
      </c>
      <c r="AE102" s="9">
        <v>7032419711.9499998</v>
      </c>
      <c r="AF102" s="10">
        <v>9.9356796741000009E-3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9">
        <v>366689478.56999999</v>
      </c>
      <c r="AV102" s="10">
        <v>7.2511112066000003E-3</v>
      </c>
      <c r="AW102" s="1" t="s">
        <v>26</v>
      </c>
      <c r="AX102" s="1" t="s">
        <v>26</v>
      </c>
      <c r="AY102" s="9">
        <v>7399109190.5200005</v>
      </c>
      <c r="AZ102" s="10">
        <v>9.2335695283400007E-3</v>
      </c>
      <c r="BA102" s="1" t="s">
        <v>26</v>
      </c>
      <c r="BB102" s="1" t="s">
        <v>26</v>
      </c>
    </row>
    <row r="103" spans="1:54" s="28" customFormat="1">
      <c r="A103" s="3" t="s">
        <v>88</v>
      </c>
      <c r="B103" s="23" t="s">
        <v>47</v>
      </c>
      <c r="C103" s="9" t="s">
        <v>26</v>
      </c>
      <c r="D103" s="10" t="s">
        <v>26</v>
      </c>
      <c r="E103" s="9" t="s">
        <v>26</v>
      </c>
      <c r="F103" s="10" t="s">
        <v>26</v>
      </c>
      <c r="G103" s="2">
        <v>492586199.55000001</v>
      </c>
      <c r="H103" s="1">
        <v>1</v>
      </c>
      <c r="I103" s="9" t="s">
        <v>26</v>
      </c>
      <c r="J103" s="10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4260015017.2800002</v>
      </c>
      <c r="P103" s="1">
        <v>1</v>
      </c>
      <c r="Q103" s="1" t="s">
        <v>26</v>
      </c>
      <c r="R103" s="1" t="s">
        <v>26</v>
      </c>
      <c r="S103" s="2">
        <v>960078615.77999997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1319739879.3399999</v>
      </c>
      <c r="AB103" s="1">
        <v>1</v>
      </c>
      <c r="AC103" s="1" t="s">
        <v>26</v>
      </c>
      <c r="AD103" s="1" t="s">
        <v>26</v>
      </c>
      <c r="AE103" s="2">
        <v>7032419711.9499998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>
        <v>366689478.56999999</v>
      </c>
      <c r="AV103" s="1">
        <v>1</v>
      </c>
      <c r="AW103" s="1" t="s">
        <v>26</v>
      </c>
      <c r="AX103" s="1" t="s">
        <v>26</v>
      </c>
      <c r="AY103" s="2">
        <v>7399109190.5200005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92</v>
      </c>
      <c r="B104" s="20" t="s">
        <v>25</v>
      </c>
      <c r="C104" s="9" t="s">
        <v>26</v>
      </c>
      <c r="D104" s="10" t="s">
        <v>26</v>
      </c>
      <c r="E104" s="9" t="s">
        <v>26</v>
      </c>
      <c r="F104" s="10" t="s">
        <v>26</v>
      </c>
      <c r="G104" s="9" t="s">
        <v>26</v>
      </c>
      <c r="H104" s="10" t="s">
        <v>26</v>
      </c>
      <c r="I104" s="9" t="s">
        <v>26</v>
      </c>
      <c r="J104" s="10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9">
        <v>2407160022.3200002</v>
      </c>
      <c r="P104" s="10">
        <v>9.7253184321699996E-3</v>
      </c>
      <c r="Q104" s="1" t="s">
        <v>26</v>
      </c>
      <c r="R104" s="1" t="s">
        <v>26</v>
      </c>
      <c r="S104" s="2" t="s">
        <v>26</v>
      </c>
      <c r="T104" s="1" t="s">
        <v>26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 t="s">
        <v>26</v>
      </c>
      <c r="AB104" s="1" t="s">
        <v>26</v>
      </c>
      <c r="AC104" s="1" t="s">
        <v>26</v>
      </c>
      <c r="AD104" s="1" t="s">
        <v>26</v>
      </c>
      <c r="AE104" s="9">
        <v>2407160022.3200002</v>
      </c>
      <c r="AF104" s="10">
        <v>3.4009305311300001E-3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9">
        <v>2407160022.3200002</v>
      </c>
      <c r="AZ104" s="10">
        <v>3.00396694516E-3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9" t="s">
        <v>26</v>
      </c>
      <c r="D105" s="10" t="s">
        <v>26</v>
      </c>
      <c r="E105" s="9" t="s">
        <v>26</v>
      </c>
      <c r="F105" s="10" t="s">
        <v>26</v>
      </c>
      <c r="G105" s="9" t="s">
        <v>26</v>
      </c>
      <c r="H105" s="10" t="s">
        <v>26</v>
      </c>
      <c r="I105" s="9" t="s">
        <v>26</v>
      </c>
      <c r="J105" s="10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2407160022.3200002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 t="s">
        <v>26</v>
      </c>
      <c r="AB105" s="1" t="s">
        <v>26</v>
      </c>
      <c r="AC105" s="1" t="s">
        <v>26</v>
      </c>
      <c r="AD105" s="1" t="s">
        <v>26</v>
      </c>
      <c r="AE105" s="2">
        <v>2407160022.3200002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2407160022.3200002</v>
      </c>
      <c r="AZ105" s="1">
        <v>1</v>
      </c>
      <c r="BA105" s="1" t="s">
        <v>26</v>
      </c>
      <c r="BB105" s="1" t="s">
        <v>26</v>
      </c>
    </row>
    <row r="106" spans="1:54" s="28" customFormat="1">
      <c r="A106" s="5" t="s">
        <v>93</v>
      </c>
      <c r="B106" s="20" t="s">
        <v>25</v>
      </c>
      <c r="C106" s="9" t="s">
        <v>26</v>
      </c>
      <c r="D106" s="10" t="s">
        <v>26</v>
      </c>
      <c r="E106" s="9" t="s">
        <v>26</v>
      </c>
      <c r="F106" s="10" t="s">
        <v>26</v>
      </c>
      <c r="G106" s="9" t="s">
        <v>26</v>
      </c>
      <c r="H106" s="10" t="s">
        <v>26</v>
      </c>
      <c r="I106" s="9" t="s">
        <v>26</v>
      </c>
      <c r="J106" s="10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9">
        <v>326972994.41000003</v>
      </c>
      <c r="P106" s="10">
        <v>1.3210241362699999E-3</v>
      </c>
      <c r="Q106" s="1" t="s">
        <v>26</v>
      </c>
      <c r="R106" s="1" t="s">
        <v>26</v>
      </c>
      <c r="S106" s="2" t="s">
        <v>26</v>
      </c>
      <c r="T106" s="1" t="s">
        <v>26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9">
        <v>326972994.41000003</v>
      </c>
      <c r="AB106" s="10">
        <v>2.1373171867700002E-3</v>
      </c>
      <c r="AC106" s="1" t="s">
        <v>26</v>
      </c>
      <c r="AD106" s="1" t="s">
        <v>26</v>
      </c>
      <c r="AE106" s="9">
        <v>653945988.82000005</v>
      </c>
      <c r="AF106" s="10">
        <v>9.2392066104999995E-4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9">
        <v>653945988.82000005</v>
      </c>
      <c r="AZ106" s="10">
        <v>8.1607874678999999E-4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9" t="s">
        <v>26</v>
      </c>
      <c r="D107" s="10" t="s">
        <v>26</v>
      </c>
      <c r="E107" s="9" t="s">
        <v>26</v>
      </c>
      <c r="F107" s="10" t="s">
        <v>26</v>
      </c>
      <c r="G107" s="9" t="s">
        <v>26</v>
      </c>
      <c r="H107" s="10" t="s">
        <v>26</v>
      </c>
      <c r="I107" s="9" t="s">
        <v>26</v>
      </c>
      <c r="J107" s="10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326972994.41000003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>
        <v>326972994.41000003</v>
      </c>
      <c r="AB107" s="1">
        <v>1</v>
      </c>
      <c r="AC107" s="1" t="s">
        <v>26</v>
      </c>
      <c r="AD107" s="1" t="s">
        <v>26</v>
      </c>
      <c r="AE107" s="2">
        <v>653945988.82000005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653945988.82000005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94</v>
      </c>
      <c r="B108" s="20" t="s">
        <v>25</v>
      </c>
      <c r="C108" s="9" t="s">
        <v>26</v>
      </c>
      <c r="D108" s="10" t="s">
        <v>26</v>
      </c>
      <c r="E108" s="9" t="s">
        <v>26</v>
      </c>
      <c r="F108" s="10" t="s">
        <v>26</v>
      </c>
      <c r="G108" s="9" t="s">
        <v>26</v>
      </c>
      <c r="H108" s="10" t="s">
        <v>26</v>
      </c>
      <c r="I108" s="9" t="s">
        <v>26</v>
      </c>
      <c r="J108" s="10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9">
        <v>6149010188.7700005</v>
      </c>
      <c r="P108" s="10">
        <v>2.4843002365419999E-2</v>
      </c>
      <c r="Q108" s="1" t="s">
        <v>26</v>
      </c>
      <c r="R108" s="1" t="s">
        <v>26</v>
      </c>
      <c r="S108" s="2" t="s">
        <v>26</v>
      </c>
      <c r="T108" s="1" t="s">
        <v>26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9">
        <v>6149010188.7700005</v>
      </c>
      <c r="AF108" s="10">
        <v>8.6875638899300001E-3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9">
        <v>6149010188.7700005</v>
      </c>
      <c r="AZ108" s="10">
        <v>7.6735336168899998E-3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9" t="s">
        <v>26</v>
      </c>
      <c r="D109" s="10" t="s">
        <v>26</v>
      </c>
      <c r="E109" s="9" t="s">
        <v>26</v>
      </c>
      <c r="F109" s="10" t="s">
        <v>26</v>
      </c>
      <c r="G109" s="9" t="s">
        <v>26</v>
      </c>
      <c r="H109" s="10" t="s">
        <v>26</v>
      </c>
      <c r="I109" s="9" t="s">
        <v>26</v>
      </c>
      <c r="J109" s="10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6149010188.7700005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6149010188.7700005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6149010188.7700005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95</v>
      </c>
      <c r="B110" s="20" t="s">
        <v>25</v>
      </c>
      <c r="C110" s="9" t="s">
        <v>26</v>
      </c>
      <c r="D110" s="10" t="s">
        <v>26</v>
      </c>
      <c r="E110" s="9" t="s">
        <v>26</v>
      </c>
      <c r="F110" s="10" t="s">
        <v>26</v>
      </c>
      <c r="G110" s="9" t="s">
        <v>26</v>
      </c>
      <c r="H110" s="10" t="s">
        <v>26</v>
      </c>
      <c r="I110" s="9" t="s">
        <v>26</v>
      </c>
      <c r="J110" s="10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 t="s">
        <v>26</v>
      </c>
      <c r="P110" s="1" t="s">
        <v>26</v>
      </c>
      <c r="Q110" s="1" t="s">
        <v>26</v>
      </c>
      <c r="R110" s="1" t="s">
        <v>26</v>
      </c>
      <c r="S110" s="9">
        <v>137795901.05000001</v>
      </c>
      <c r="T110" s="10">
        <v>1.13125054848E-3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9">
        <v>137795901.05000001</v>
      </c>
      <c r="AF110" s="10">
        <v>1.9468347870999999E-4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9">
        <v>176519566.68000001</v>
      </c>
      <c r="AV110" s="10">
        <v>3.4905910394000001E-3</v>
      </c>
      <c r="AW110" s="1" t="s">
        <v>26</v>
      </c>
      <c r="AX110" s="1" t="s">
        <v>26</v>
      </c>
      <c r="AY110" s="9">
        <v>314315467.73000002</v>
      </c>
      <c r="AZ110" s="10">
        <v>3.9224366750000001E-4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9" t="s">
        <v>26</v>
      </c>
      <c r="D111" s="10" t="s">
        <v>26</v>
      </c>
      <c r="E111" s="9" t="s">
        <v>26</v>
      </c>
      <c r="F111" s="10" t="s">
        <v>26</v>
      </c>
      <c r="G111" s="9" t="s">
        <v>26</v>
      </c>
      <c r="H111" s="10" t="s">
        <v>26</v>
      </c>
      <c r="I111" s="9" t="s">
        <v>26</v>
      </c>
      <c r="J111" s="10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>
        <v>137795901.05000001</v>
      </c>
      <c r="T111" s="1">
        <v>1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137795901.05000001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>
        <v>176519566.68000001</v>
      </c>
      <c r="AV111" s="1">
        <v>1</v>
      </c>
      <c r="AW111" s="1" t="s">
        <v>26</v>
      </c>
      <c r="AX111" s="1" t="s">
        <v>26</v>
      </c>
      <c r="AY111" s="2">
        <v>314315467.73000002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96</v>
      </c>
      <c r="B112" s="20" t="s">
        <v>25</v>
      </c>
      <c r="C112" s="9">
        <v>58337811.390000001</v>
      </c>
      <c r="D112" s="10">
        <v>7.7613029446300004E-3</v>
      </c>
      <c r="E112" s="9" t="s">
        <v>26</v>
      </c>
      <c r="F112" s="10" t="s">
        <v>26</v>
      </c>
      <c r="G112" s="9" t="s">
        <v>26</v>
      </c>
      <c r="H112" s="10" t="s">
        <v>26</v>
      </c>
      <c r="I112" s="9" t="s">
        <v>26</v>
      </c>
      <c r="J112" s="10" t="s">
        <v>26</v>
      </c>
      <c r="K112" s="9">
        <v>88866372.590000004</v>
      </c>
      <c r="L112" s="10">
        <v>2.345342085662E-2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9">
        <v>285107020.99000001</v>
      </c>
      <c r="T112" s="10">
        <v>2.3406173290599999E-3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9">
        <v>432311204.97000003</v>
      </c>
      <c r="AF112" s="10">
        <v>6.1078630514999998E-4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 t="s">
        <v>26</v>
      </c>
      <c r="AV112" s="1" t="s">
        <v>26</v>
      </c>
      <c r="AW112" s="1" t="s">
        <v>26</v>
      </c>
      <c r="AX112" s="1" t="s">
        <v>26</v>
      </c>
      <c r="AY112" s="9">
        <v>432311204.97000003</v>
      </c>
      <c r="AZ112" s="10">
        <v>5.3949407506000005E-4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>
        <v>58337811.390000001</v>
      </c>
      <c r="D113" s="1">
        <v>1</v>
      </c>
      <c r="E113" s="9" t="s">
        <v>26</v>
      </c>
      <c r="F113" s="10" t="s">
        <v>26</v>
      </c>
      <c r="G113" s="9" t="s">
        <v>26</v>
      </c>
      <c r="H113" s="10" t="s">
        <v>26</v>
      </c>
      <c r="I113" s="9" t="s">
        <v>26</v>
      </c>
      <c r="J113" s="10" t="s">
        <v>26</v>
      </c>
      <c r="K113" s="2">
        <v>88866372.590000004</v>
      </c>
      <c r="L113" s="1">
        <v>1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285107020.99000001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432311204.97000003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432311204.97000003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117</v>
      </c>
      <c r="B114" s="20" t="s">
        <v>25</v>
      </c>
      <c r="C114" s="9" t="s">
        <v>26</v>
      </c>
      <c r="D114" s="10" t="s">
        <v>26</v>
      </c>
      <c r="E114" s="9" t="s">
        <v>26</v>
      </c>
      <c r="F114" s="10" t="s">
        <v>26</v>
      </c>
      <c r="G114" s="9">
        <v>979210570.32000005</v>
      </c>
      <c r="H114" s="10">
        <v>5.8591356385400001E-3</v>
      </c>
      <c r="I114" s="9" t="s">
        <v>26</v>
      </c>
      <c r="J114" s="10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 t="s">
        <v>26</v>
      </c>
      <c r="P114" s="1" t="s">
        <v>26</v>
      </c>
      <c r="Q114" s="1" t="s">
        <v>26</v>
      </c>
      <c r="R114" s="1" t="s">
        <v>26</v>
      </c>
      <c r="S114" s="2" t="s">
        <v>26</v>
      </c>
      <c r="T114" s="1" t="s">
        <v>26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9">
        <v>979210570.32000005</v>
      </c>
      <c r="AF114" s="10">
        <v>1.3834672785E-3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9">
        <v>979210570.32000005</v>
      </c>
      <c r="AZ114" s="10">
        <v>1.2219861406500001E-3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9" t="s">
        <v>26</v>
      </c>
      <c r="D115" s="10" t="s">
        <v>26</v>
      </c>
      <c r="E115" s="9" t="s">
        <v>26</v>
      </c>
      <c r="F115" s="10" t="s">
        <v>26</v>
      </c>
      <c r="G115" s="2">
        <v>979210570.32000005</v>
      </c>
      <c r="H115" s="1">
        <v>1</v>
      </c>
      <c r="I115" s="9" t="s">
        <v>26</v>
      </c>
      <c r="J115" s="10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979210570.32000005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979210570.32000005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97</v>
      </c>
      <c r="B116" s="20" t="s">
        <v>25</v>
      </c>
      <c r="C116" s="9" t="s">
        <v>26</v>
      </c>
      <c r="D116" s="10" t="s">
        <v>26</v>
      </c>
      <c r="E116" s="9" t="s">
        <v>26</v>
      </c>
      <c r="F116" s="10" t="s">
        <v>26</v>
      </c>
      <c r="G116" s="9">
        <v>726721205.25999999</v>
      </c>
      <c r="H116" s="10">
        <v>4.3483579958000004E-3</v>
      </c>
      <c r="I116" s="9" t="s">
        <v>26</v>
      </c>
      <c r="J116" s="10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9">
        <v>2094561365.0699999</v>
      </c>
      <c r="P116" s="10">
        <v>8.4623689584999995E-3</v>
      </c>
      <c r="Q116" s="1" t="s">
        <v>26</v>
      </c>
      <c r="R116" s="1" t="s">
        <v>26</v>
      </c>
      <c r="S116" s="9">
        <v>110444861.92</v>
      </c>
      <c r="T116" s="10">
        <v>9.0670919579E-4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9">
        <v>2931727432.25</v>
      </c>
      <c r="AF116" s="10">
        <v>4.1420600379000003E-3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9">
        <v>2931727432.25</v>
      </c>
      <c r="AZ116" s="10">
        <v>3.6585902960499998E-3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9" t="s">
        <v>26</v>
      </c>
      <c r="D117" s="10" t="s">
        <v>26</v>
      </c>
      <c r="E117" s="9" t="s">
        <v>26</v>
      </c>
      <c r="F117" s="10" t="s">
        <v>26</v>
      </c>
      <c r="G117" s="2">
        <v>726721205.25999999</v>
      </c>
      <c r="H117" s="1">
        <v>1</v>
      </c>
      <c r="I117" s="9" t="s">
        <v>26</v>
      </c>
      <c r="J117" s="10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2094561365.0699999</v>
      </c>
      <c r="P117" s="1">
        <v>1</v>
      </c>
      <c r="Q117" s="1" t="s">
        <v>26</v>
      </c>
      <c r="R117" s="1" t="s">
        <v>26</v>
      </c>
      <c r="S117" s="2">
        <v>110444861.92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2931727432.25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2931727432.25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98</v>
      </c>
      <c r="B118" s="20" t="s">
        <v>25</v>
      </c>
      <c r="C118" s="9" t="s">
        <v>26</v>
      </c>
      <c r="D118" s="10" t="s">
        <v>26</v>
      </c>
      <c r="E118" s="9" t="s">
        <v>26</v>
      </c>
      <c r="F118" s="10" t="s">
        <v>26</v>
      </c>
      <c r="G118" s="9">
        <v>1508798375.52</v>
      </c>
      <c r="H118" s="10">
        <v>9.0279400583800004E-3</v>
      </c>
      <c r="I118" s="9" t="s">
        <v>26</v>
      </c>
      <c r="J118" s="10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9">
        <v>3594822542.0799999</v>
      </c>
      <c r="P118" s="10">
        <v>1.452366839126E-2</v>
      </c>
      <c r="Q118" s="1" t="s">
        <v>26</v>
      </c>
      <c r="R118" s="1" t="s">
        <v>26</v>
      </c>
      <c r="S118" s="9">
        <v>1006550311.78</v>
      </c>
      <c r="T118" s="10">
        <v>8.2633850760199992E-3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" t="s">
        <v>26</v>
      </c>
      <c r="AD118" s="1" t="s">
        <v>26</v>
      </c>
      <c r="AE118" s="9">
        <v>6110171229.3800001</v>
      </c>
      <c r="AF118" s="10">
        <v>8.6326906777000004E-3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9">
        <v>1006550311.78</v>
      </c>
      <c r="AV118" s="10">
        <v>1.9904056899099999E-2</v>
      </c>
      <c r="AW118" s="1" t="s">
        <v>26</v>
      </c>
      <c r="AX118" s="1" t="s">
        <v>26</v>
      </c>
      <c r="AY118" s="9">
        <v>7116721541.1599998</v>
      </c>
      <c r="AZ118" s="10">
        <v>8.8811695397600001E-3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40</v>
      </c>
      <c r="C119" s="9" t="s">
        <v>26</v>
      </c>
      <c r="D119" s="10" t="s">
        <v>26</v>
      </c>
      <c r="E119" s="9" t="s">
        <v>26</v>
      </c>
      <c r="F119" s="10" t="s">
        <v>26</v>
      </c>
      <c r="G119" s="2">
        <v>1508798375.52</v>
      </c>
      <c r="H119" s="1">
        <v>1</v>
      </c>
      <c r="I119" s="9" t="s">
        <v>26</v>
      </c>
      <c r="J119" s="10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3594822542.0799999</v>
      </c>
      <c r="P119" s="1">
        <v>1</v>
      </c>
      <c r="Q119" s="1" t="s">
        <v>26</v>
      </c>
      <c r="R119" s="1" t="s">
        <v>26</v>
      </c>
      <c r="S119" s="2">
        <v>1006550311.78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6110171229.3800001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1006550311.78</v>
      </c>
      <c r="AV119" s="1">
        <v>1</v>
      </c>
      <c r="AW119" s="1" t="s">
        <v>26</v>
      </c>
      <c r="AX119" s="1" t="s">
        <v>26</v>
      </c>
      <c r="AY119" s="2">
        <v>7116721541.1599998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99</v>
      </c>
      <c r="B120" s="20" t="s">
        <v>25</v>
      </c>
      <c r="C120" s="9" t="s">
        <v>26</v>
      </c>
      <c r="D120" s="10" t="s">
        <v>26</v>
      </c>
      <c r="E120" s="9" t="s">
        <v>26</v>
      </c>
      <c r="F120" s="10" t="s">
        <v>26</v>
      </c>
      <c r="G120" s="9">
        <v>568119114</v>
      </c>
      <c r="H120" s="10">
        <v>3.3993576546900001E-3</v>
      </c>
      <c r="I120" s="9" t="s">
        <v>26</v>
      </c>
      <c r="J120" s="10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9">
        <v>787742601.09000003</v>
      </c>
      <c r="P120" s="10">
        <v>3.1826083713399999E-3</v>
      </c>
      <c r="Q120" s="1" t="s">
        <v>26</v>
      </c>
      <c r="R120" s="1" t="s">
        <v>26</v>
      </c>
      <c r="S120" s="9">
        <v>262698278.31</v>
      </c>
      <c r="T120" s="10">
        <v>2.15665030061E-3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9">
        <v>852178671</v>
      </c>
      <c r="AB120" s="10">
        <v>5.5704175906399998E-3</v>
      </c>
      <c r="AC120" s="1" t="s">
        <v>26</v>
      </c>
      <c r="AD120" s="1" t="s">
        <v>26</v>
      </c>
      <c r="AE120" s="9">
        <v>2470738664.4000001</v>
      </c>
      <c r="AF120" s="10">
        <v>3.4907569419099999E-3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9">
        <v>2470738664.4000001</v>
      </c>
      <c r="AZ120" s="10">
        <v>3.0833086330600001E-3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47</v>
      </c>
      <c r="C121" s="9" t="s">
        <v>26</v>
      </c>
      <c r="D121" s="10" t="s">
        <v>26</v>
      </c>
      <c r="E121" s="9" t="s">
        <v>26</v>
      </c>
      <c r="F121" s="10" t="s">
        <v>26</v>
      </c>
      <c r="G121" s="2">
        <v>568119114</v>
      </c>
      <c r="H121" s="1">
        <v>1</v>
      </c>
      <c r="I121" s="9" t="s">
        <v>26</v>
      </c>
      <c r="J121" s="10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787742601.09000003</v>
      </c>
      <c r="P121" s="1">
        <v>1</v>
      </c>
      <c r="Q121" s="1" t="s">
        <v>26</v>
      </c>
      <c r="R121" s="1" t="s">
        <v>26</v>
      </c>
      <c r="S121" s="2">
        <v>262698278.31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>
        <v>852178671</v>
      </c>
      <c r="AB121" s="1">
        <v>1</v>
      </c>
      <c r="AC121" s="1" t="s">
        <v>26</v>
      </c>
      <c r="AD121" s="1" t="s">
        <v>26</v>
      </c>
      <c r="AE121" s="2">
        <v>2470738664.4000001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2470738664.4000001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100</v>
      </c>
      <c r="B122" s="20" t="s">
        <v>25</v>
      </c>
      <c r="C122" s="9" t="s">
        <v>26</v>
      </c>
      <c r="D122" s="10" t="s">
        <v>26</v>
      </c>
      <c r="E122" s="9" t="s">
        <v>26</v>
      </c>
      <c r="F122" s="10" t="s">
        <v>26</v>
      </c>
      <c r="G122" s="9" t="s">
        <v>26</v>
      </c>
      <c r="H122" s="10" t="s">
        <v>26</v>
      </c>
      <c r="I122" s="9" t="s">
        <v>26</v>
      </c>
      <c r="J122" s="10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9">
        <v>385822348.24000001</v>
      </c>
      <c r="P122" s="10">
        <v>1.5587851078000001E-3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9">
        <v>385822348.24000001</v>
      </c>
      <c r="AF122" s="10">
        <v>5.4510501651000001E-4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9">
        <v>385822348.24000001</v>
      </c>
      <c r="AZ122" s="10">
        <v>4.8147924113000002E-4</v>
      </c>
      <c r="BA122" s="1" t="s">
        <v>26</v>
      </c>
      <c r="BB122" s="1" t="s">
        <v>26</v>
      </c>
    </row>
    <row r="123" spans="1:54" s="7" customFormat="1">
      <c r="A123" s="3" t="s">
        <v>88</v>
      </c>
      <c r="B123" s="23" t="s">
        <v>57</v>
      </c>
      <c r="C123" s="9" t="s">
        <v>26</v>
      </c>
      <c r="D123" s="10" t="s">
        <v>26</v>
      </c>
      <c r="E123" s="9" t="s">
        <v>26</v>
      </c>
      <c r="F123" s="10" t="s">
        <v>26</v>
      </c>
      <c r="G123" s="9" t="s">
        <v>26</v>
      </c>
      <c r="H123" s="10" t="s">
        <v>26</v>
      </c>
      <c r="I123" s="9" t="s">
        <v>26</v>
      </c>
      <c r="J123" s="10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385822348.24000001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385822348.24000001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385822348.24000001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101</v>
      </c>
      <c r="B124" s="20" t="s">
        <v>25</v>
      </c>
      <c r="C124" s="9" t="s">
        <v>26</v>
      </c>
      <c r="D124" s="10" t="s">
        <v>26</v>
      </c>
      <c r="E124" s="9" t="s">
        <v>26</v>
      </c>
      <c r="F124" s="10" t="s">
        <v>26</v>
      </c>
      <c r="G124" s="9" t="s">
        <v>26</v>
      </c>
      <c r="H124" s="10" t="s">
        <v>26</v>
      </c>
      <c r="I124" s="9" t="s">
        <v>26</v>
      </c>
      <c r="J124" s="10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9">
        <v>33075821.359999999</v>
      </c>
      <c r="P124" s="10">
        <v>1.3363170380999999E-4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9">
        <v>33075821.359999999</v>
      </c>
      <c r="AF124" s="10">
        <v>4.673082374E-5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9">
        <v>33075821.359999999</v>
      </c>
      <c r="AZ124" s="10">
        <v>4.1276306159999997E-5</v>
      </c>
      <c r="BA124" s="1" t="s">
        <v>26</v>
      </c>
      <c r="BB124" s="1" t="s">
        <v>26</v>
      </c>
    </row>
    <row r="125" spans="1:54" s="28" customFormat="1">
      <c r="A125" s="3" t="s">
        <v>88</v>
      </c>
      <c r="B125" s="23" t="s">
        <v>57</v>
      </c>
      <c r="C125" s="9" t="s">
        <v>26</v>
      </c>
      <c r="D125" s="10" t="s">
        <v>26</v>
      </c>
      <c r="E125" s="9" t="s">
        <v>26</v>
      </c>
      <c r="F125" s="10" t="s">
        <v>26</v>
      </c>
      <c r="G125" s="9" t="s">
        <v>26</v>
      </c>
      <c r="H125" s="10" t="s">
        <v>26</v>
      </c>
      <c r="I125" s="9" t="s">
        <v>26</v>
      </c>
      <c r="J125" s="10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33075821.359999999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33075821.359999999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33075821.359999999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102</v>
      </c>
      <c r="B126" s="20" t="s">
        <v>25</v>
      </c>
      <c r="C126" s="9" t="s">
        <v>26</v>
      </c>
      <c r="D126" s="10" t="s">
        <v>26</v>
      </c>
      <c r="E126" s="9" t="s">
        <v>26</v>
      </c>
      <c r="F126" s="10" t="s">
        <v>26</v>
      </c>
      <c r="G126" s="9" t="s">
        <v>26</v>
      </c>
      <c r="H126" s="10" t="s">
        <v>26</v>
      </c>
      <c r="I126" s="9" t="s">
        <v>26</v>
      </c>
      <c r="J126" s="10" t="s">
        <v>26</v>
      </c>
      <c r="K126" s="2" t="s">
        <v>26</v>
      </c>
      <c r="L126" s="1" t="s">
        <v>26</v>
      </c>
      <c r="M126" s="1" t="s">
        <v>26</v>
      </c>
      <c r="N126" s="1" t="s">
        <v>26</v>
      </c>
      <c r="O126" s="9">
        <v>1829810153.8599999</v>
      </c>
      <c r="P126" s="10">
        <v>7.3927309575200001E-3</v>
      </c>
      <c r="Q126" s="1" t="s">
        <v>26</v>
      </c>
      <c r="R126" s="1" t="s">
        <v>26</v>
      </c>
      <c r="S126" s="2" t="s">
        <v>26</v>
      </c>
      <c r="T126" s="1" t="s">
        <v>26</v>
      </c>
      <c r="U126" s="1" t="s">
        <v>26</v>
      </c>
      <c r="V126" s="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9">
        <v>1829810153.8599999</v>
      </c>
      <c r="AF126" s="10">
        <v>2.5852278871099999E-3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9">
        <v>1829810153.8599999</v>
      </c>
      <c r="AZ126" s="10">
        <v>2.2834747865300002E-3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47</v>
      </c>
      <c r="C127" s="9" t="s">
        <v>26</v>
      </c>
      <c r="D127" s="10" t="s">
        <v>26</v>
      </c>
      <c r="E127" s="9" t="s">
        <v>26</v>
      </c>
      <c r="F127" s="10" t="s">
        <v>26</v>
      </c>
      <c r="G127" s="9" t="s">
        <v>26</v>
      </c>
      <c r="H127" s="10" t="s">
        <v>26</v>
      </c>
      <c r="I127" s="9" t="s">
        <v>26</v>
      </c>
      <c r="J127" s="10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1829810153.8599999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1829810153.8599999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1829810153.8599999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103</v>
      </c>
      <c r="B128" s="20" t="s">
        <v>25</v>
      </c>
      <c r="C128" s="9" t="s">
        <v>26</v>
      </c>
      <c r="D128" s="10" t="s">
        <v>26</v>
      </c>
      <c r="E128" s="9" t="s">
        <v>26</v>
      </c>
      <c r="F128" s="10" t="s">
        <v>26</v>
      </c>
      <c r="G128" s="9" t="s">
        <v>26</v>
      </c>
      <c r="H128" s="10" t="s">
        <v>26</v>
      </c>
      <c r="I128" s="9" t="s">
        <v>26</v>
      </c>
      <c r="J128" s="10" t="s">
        <v>26</v>
      </c>
      <c r="K128" s="2" t="s">
        <v>26</v>
      </c>
      <c r="L128" s="1" t="s">
        <v>26</v>
      </c>
      <c r="M128" s="1" t="s">
        <v>26</v>
      </c>
      <c r="N128" s="1" t="s">
        <v>26</v>
      </c>
      <c r="O128" s="9">
        <v>643447132.5</v>
      </c>
      <c r="P128" s="10">
        <v>2.5996311835500001E-3</v>
      </c>
      <c r="Q128" s="1" t="s">
        <v>26</v>
      </c>
      <c r="R128" s="1" t="s">
        <v>26</v>
      </c>
      <c r="S128" s="2" t="s">
        <v>26</v>
      </c>
      <c r="T128" s="1" t="s">
        <v>26</v>
      </c>
      <c r="U128" s="1" t="s">
        <v>26</v>
      </c>
      <c r="V128" s="1" t="s">
        <v>26</v>
      </c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" t="s">
        <v>26</v>
      </c>
      <c r="AD128" s="1" t="s">
        <v>26</v>
      </c>
      <c r="AE128" s="9">
        <v>643447132.5</v>
      </c>
      <c r="AF128" s="10">
        <v>9.0908746314999995E-4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9">
        <v>643447132.5</v>
      </c>
      <c r="AZ128" s="10">
        <v>8.0297691016000005E-4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120</v>
      </c>
      <c r="C129" s="9" t="s">
        <v>26</v>
      </c>
      <c r="D129" s="10" t="s">
        <v>26</v>
      </c>
      <c r="E129" s="9" t="s">
        <v>26</v>
      </c>
      <c r="F129" s="10" t="s">
        <v>26</v>
      </c>
      <c r="G129" s="9" t="s">
        <v>26</v>
      </c>
      <c r="H129" s="10" t="s">
        <v>26</v>
      </c>
      <c r="I129" s="9" t="s">
        <v>26</v>
      </c>
      <c r="J129" s="10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643447132.5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643447132.5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643447132.5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121</v>
      </c>
      <c r="B130" s="20" t="s">
        <v>25</v>
      </c>
      <c r="C130" s="9">
        <v>59007127.759999998</v>
      </c>
      <c r="D130" s="10">
        <v>7.8503492593499993E-3</v>
      </c>
      <c r="E130" s="9" t="s">
        <v>26</v>
      </c>
      <c r="F130" s="10" t="s">
        <v>26</v>
      </c>
      <c r="G130" s="9" t="s">
        <v>26</v>
      </c>
      <c r="H130" s="10" t="s">
        <v>26</v>
      </c>
      <c r="I130" s="9" t="s">
        <v>26</v>
      </c>
      <c r="J130" s="10" t="s">
        <v>26</v>
      </c>
      <c r="K130" s="9">
        <v>37267659.640000001</v>
      </c>
      <c r="L130" s="10">
        <v>9.8356001308900001E-3</v>
      </c>
      <c r="M130" s="1" t="s">
        <v>26</v>
      </c>
      <c r="N130" s="1" t="s">
        <v>26</v>
      </c>
      <c r="O130" s="2" t="s">
        <v>26</v>
      </c>
      <c r="P130" s="1" t="s">
        <v>26</v>
      </c>
      <c r="Q130" s="1" t="s">
        <v>26</v>
      </c>
      <c r="R130" s="1" t="s">
        <v>26</v>
      </c>
      <c r="S130" s="2" t="s">
        <v>26</v>
      </c>
      <c r="T130" s="1" t="s">
        <v>26</v>
      </c>
      <c r="U130" s="1" t="s">
        <v>26</v>
      </c>
      <c r="V130" s="1" t="s">
        <v>26</v>
      </c>
      <c r="W130" s="2" t="s">
        <v>26</v>
      </c>
      <c r="X130" s="1" t="s">
        <v>26</v>
      </c>
      <c r="Y130" s="1" t="s">
        <v>26</v>
      </c>
      <c r="Z130" s="1" t="s">
        <v>26</v>
      </c>
      <c r="AA130" s="2" t="s">
        <v>26</v>
      </c>
      <c r="AB130" s="1" t="s">
        <v>26</v>
      </c>
      <c r="AC130" s="1" t="s">
        <v>26</v>
      </c>
      <c r="AD130" s="1" t="s">
        <v>26</v>
      </c>
      <c r="AE130" s="9">
        <v>96274787.400000006</v>
      </c>
      <c r="AF130" s="10">
        <v>1.3602081323999999E-4</v>
      </c>
      <c r="AG130" s="1" t="s">
        <v>26</v>
      </c>
      <c r="AH130" s="1" t="s">
        <v>26</v>
      </c>
      <c r="AI130" s="2" t="s">
        <v>26</v>
      </c>
      <c r="AJ130" s="1" t="s">
        <v>26</v>
      </c>
      <c r="AK130" s="1" t="s">
        <v>26</v>
      </c>
      <c r="AL130" s="1" t="s">
        <v>26</v>
      </c>
      <c r="AM130" s="2" t="s">
        <v>26</v>
      </c>
      <c r="AN130" s="1" t="s">
        <v>26</v>
      </c>
      <c r="AO130" s="1" t="s">
        <v>26</v>
      </c>
      <c r="AP130" s="1" t="s">
        <v>26</v>
      </c>
      <c r="AQ130" s="2" t="s">
        <v>26</v>
      </c>
      <c r="AR130" s="1" t="s">
        <v>26</v>
      </c>
      <c r="AS130" s="1" t="s">
        <v>26</v>
      </c>
      <c r="AT130" s="1" t="s">
        <v>26</v>
      </c>
      <c r="AU130" s="2" t="s">
        <v>26</v>
      </c>
      <c r="AV130" s="1" t="s">
        <v>26</v>
      </c>
      <c r="AW130" s="1" t="s">
        <v>26</v>
      </c>
      <c r="AX130" s="1" t="s">
        <v>26</v>
      </c>
      <c r="AY130" s="9">
        <v>96274787.400000006</v>
      </c>
      <c r="AZ130" s="10">
        <v>1.2014418497999999E-4</v>
      </c>
      <c r="BA130" s="1" t="s">
        <v>26</v>
      </c>
      <c r="BB130" s="1" t="s">
        <v>26</v>
      </c>
    </row>
    <row r="131" spans="1:54" s="7" customFormat="1">
      <c r="A131" s="3" t="s">
        <v>88</v>
      </c>
      <c r="B131" s="23" t="s">
        <v>47</v>
      </c>
      <c r="C131" s="2">
        <v>59007127.759999998</v>
      </c>
      <c r="D131" s="1">
        <v>1</v>
      </c>
      <c r="E131" s="9" t="s">
        <v>26</v>
      </c>
      <c r="F131" s="10" t="s">
        <v>26</v>
      </c>
      <c r="G131" s="9" t="s">
        <v>26</v>
      </c>
      <c r="H131" s="10" t="s">
        <v>26</v>
      </c>
      <c r="I131" s="9" t="s">
        <v>26</v>
      </c>
      <c r="J131" s="10" t="s">
        <v>26</v>
      </c>
      <c r="K131" s="2">
        <v>37267659.640000001</v>
      </c>
      <c r="L131" s="1">
        <v>1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96274787.400000006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96274787.400000006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126</v>
      </c>
      <c r="B132" s="20" t="s">
        <v>25</v>
      </c>
      <c r="C132" s="9" t="s">
        <v>26</v>
      </c>
      <c r="D132" s="10" t="s">
        <v>26</v>
      </c>
      <c r="E132" s="9" t="s">
        <v>26</v>
      </c>
      <c r="F132" s="10" t="s">
        <v>26</v>
      </c>
      <c r="G132" s="9" t="s">
        <v>26</v>
      </c>
      <c r="H132" s="10" t="s">
        <v>26</v>
      </c>
      <c r="I132" s="9" t="s">
        <v>26</v>
      </c>
      <c r="J132" s="10" t="s">
        <v>26</v>
      </c>
      <c r="K132" s="9">
        <v>59592588.600000001</v>
      </c>
      <c r="L132" s="10">
        <v>1.572754709838E-2</v>
      </c>
      <c r="M132" s="1" t="s">
        <v>26</v>
      </c>
      <c r="N132" s="1" t="s">
        <v>26</v>
      </c>
      <c r="O132" s="2" t="s">
        <v>26</v>
      </c>
      <c r="P132" s="1" t="s">
        <v>26</v>
      </c>
      <c r="Q132" s="1" t="s">
        <v>26</v>
      </c>
      <c r="R132" s="1" t="s">
        <v>26</v>
      </c>
      <c r="S132" s="2" t="s">
        <v>26</v>
      </c>
      <c r="T132" s="1" t="s">
        <v>26</v>
      </c>
      <c r="U132" s="1" t="s">
        <v>26</v>
      </c>
      <c r="V132" s="1" t="s">
        <v>26</v>
      </c>
      <c r="W132" s="2" t="s">
        <v>26</v>
      </c>
      <c r="X132" s="1" t="s">
        <v>26</v>
      </c>
      <c r="Y132" s="1" t="s">
        <v>26</v>
      </c>
      <c r="Z132" s="1" t="s">
        <v>26</v>
      </c>
      <c r="AA132" s="2" t="s">
        <v>26</v>
      </c>
      <c r="AB132" s="1" t="s">
        <v>26</v>
      </c>
      <c r="AC132" s="1" t="s">
        <v>26</v>
      </c>
      <c r="AD132" s="1" t="s">
        <v>26</v>
      </c>
      <c r="AE132" s="9">
        <v>59592588.600000001</v>
      </c>
      <c r="AF132" s="10">
        <v>8.4194757360000005E-5</v>
      </c>
      <c r="AG132" s="1" t="s">
        <v>26</v>
      </c>
      <c r="AH132" s="1" t="s">
        <v>26</v>
      </c>
      <c r="AI132" s="2" t="s">
        <v>26</v>
      </c>
      <c r="AJ132" s="1" t="s">
        <v>26</v>
      </c>
      <c r="AK132" s="1" t="s">
        <v>26</v>
      </c>
      <c r="AL132" s="1" t="s">
        <v>26</v>
      </c>
      <c r="AM132" s="2" t="s">
        <v>26</v>
      </c>
      <c r="AN132" s="1" t="s">
        <v>26</v>
      </c>
      <c r="AO132" s="1" t="s">
        <v>26</v>
      </c>
      <c r="AP132" s="1" t="s">
        <v>26</v>
      </c>
      <c r="AQ132" s="2" t="s">
        <v>26</v>
      </c>
      <c r="AR132" s="1" t="s">
        <v>26</v>
      </c>
      <c r="AS132" s="1" t="s">
        <v>26</v>
      </c>
      <c r="AT132" s="1" t="s">
        <v>26</v>
      </c>
      <c r="AU132" s="2" t="s">
        <v>26</v>
      </c>
      <c r="AV132" s="1" t="s">
        <v>26</v>
      </c>
      <c r="AW132" s="1" t="s">
        <v>26</v>
      </c>
      <c r="AX132" s="1" t="s">
        <v>26</v>
      </c>
      <c r="AY132" s="9">
        <v>59592588.600000001</v>
      </c>
      <c r="AZ132" s="10">
        <v>7.4367372620000002E-5</v>
      </c>
      <c r="BA132" s="1" t="s">
        <v>26</v>
      </c>
      <c r="BB132" s="1" t="s">
        <v>26</v>
      </c>
    </row>
    <row r="133" spans="1:54" s="25" customFormat="1">
      <c r="A133" s="3" t="s">
        <v>88</v>
      </c>
      <c r="B133" s="23" t="s">
        <v>47</v>
      </c>
      <c r="C133" s="9" t="s">
        <v>26</v>
      </c>
      <c r="D133" s="10" t="s">
        <v>26</v>
      </c>
      <c r="E133" s="9" t="s">
        <v>26</v>
      </c>
      <c r="F133" s="10" t="s">
        <v>26</v>
      </c>
      <c r="G133" s="9" t="s">
        <v>26</v>
      </c>
      <c r="H133" s="10" t="s">
        <v>26</v>
      </c>
      <c r="I133" s="9" t="s">
        <v>26</v>
      </c>
      <c r="J133" s="10" t="s">
        <v>26</v>
      </c>
      <c r="K133" s="2">
        <v>59592588.600000001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59592588.600000001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59592588.600000001</v>
      </c>
      <c r="AZ133" s="1">
        <v>1</v>
      </c>
      <c r="BA133" s="1" t="s">
        <v>26</v>
      </c>
      <c r="BB133" s="1" t="s">
        <v>26</v>
      </c>
    </row>
    <row r="134" spans="1:54" s="7" customFormat="1">
      <c r="A134" s="12" t="s">
        <v>106</v>
      </c>
      <c r="B134" s="40" t="s">
        <v>25</v>
      </c>
      <c r="C134" s="42" t="s">
        <v>26</v>
      </c>
      <c r="D134" s="43" t="s">
        <v>26</v>
      </c>
      <c r="E134" s="43" t="s">
        <v>26</v>
      </c>
      <c r="F134" s="43" t="s">
        <v>26</v>
      </c>
      <c r="G134" s="42">
        <v>142632135.99000001</v>
      </c>
      <c r="H134" s="43">
        <v>8.5344363766999998E-4</v>
      </c>
      <c r="I134" s="43">
        <v>0.05</v>
      </c>
      <c r="J134" s="43">
        <f>+I134-H134</f>
        <v>4.914655636233E-2</v>
      </c>
      <c r="K134" s="42" t="s">
        <v>26</v>
      </c>
      <c r="L134" s="43" t="s">
        <v>26</v>
      </c>
      <c r="M134" s="43" t="s">
        <v>26</v>
      </c>
      <c r="N134" s="43" t="s">
        <v>26</v>
      </c>
      <c r="O134" s="42" t="s">
        <v>26</v>
      </c>
      <c r="P134" s="43" t="s">
        <v>26</v>
      </c>
      <c r="Q134" s="43" t="s">
        <v>26</v>
      </c>
      <c r="R134" s="43" t="s">
        <v>26</v>
      </c>
      <c r="S134" s="42">
        <v>142632134.97999999</v>
      </c>
      <c r="T134" s="43">
        <v>1.1709541408499999E-3</v>
      </c>
      <c r="U134" s="43">
        <v>0.05</v>
      </c>
      <c r="V134" s="43">
        <f>+U134-T134</f>
        <v>4.8829045859150003E-2</v>
      </c>
      <c r="W134" s="42" t="s">
        <v>26</v>
      </c>
      <c r="X134" s="43" t="s">
        <v>26</v>
      </c>
      <c r="Y134" s="43" t="s">
        <v>26</v>
      </c>
      <c r="Z134" s="43" t="s">
        <v>26</v>
      </c>
      <c r="AA134" s="42">
        <v>142632134.97999999</v>
      </c>
      <c r="AB134" s="43">
        <v>9.3234034213999996E-4</v>
      </c>
      <c r="AC134" s="43">
        <v>0.05</v>
      </c>
      <c r="AD134" s="47">
        <f>+AC134-AB134</f>
        <v>4.9067659657860002E-2</v>
      </c>
      <c r="AE134" s="42">
        <v>427896405.94999999</v>
      </c>
      <c r="AF134" s="43">
        <v>6.0454890313000004E-4</v>
      </c>
      <c r="AG134" s="43">
        <v>0.05</v>
      </c>
      <c r="AH134" s="43">
        <f>+AG134-AF134</f>
        <v>4.9395451096870005E-2</v>
      </c>
      <c r="AI134" s="42" t="s">
        <v>26</v>
      </c>
      <c r="AJ134" s="43" t="s">
        <v>26</v>
      </c>
      <c r="AK134" s="43" t="s">
        <v>26</v>
      </c>
      <c r="AL134" s="43" t="s">
        <v>26</v>
      </c>
      <c r="AM134" s="42" t="s">
        <v>26</v>
      </c>
      <c r="AN134" s="43" t="s">
        <v>26</v>
      </c>
      <c r="AO134" s="43" t="s">
        <v>26</v>
      </c>
      <c r="AP134" s="43" t="s">
        <v>26</v>
      </c>
      <c r="AQ134" s="42" t="s">
        <v>26</v>
      </c>
      <c r="AR134" s="43" t="s">
        <v>26</v>
      </c>
      <c r="AS134" s="43" t="s">
        <v>26</v>
      </c>
      <c r="AT134" s="43" t="s">
        <v>26</v>
      </c>
      <c r="AU134" s="42" t="s">
        <v>26</v>
      </c>
      <c r="AV134" s="43" t="s">
        <v>26</v>
      </c>
      <c r="AW134" s="43" t="s">
        <v>26</v>
      </c>
      <c r="AX134" s="43" t="s">
        <v>26</v>
      </c>
      <c r="AY134" s="42">
        <v>427896405.94999999</v>
      </c>
      <c r="AZ134" s="43">
        <v>5.3398471538999999E-4</v>
      </c>
      <c r="BA134" s="43">
        <v>0.05</v>
      </c>
      <c r="BB134" s="43">
        <f>+BA134-AZ134</f>
        <v>4.9466015284610004E-2</v>
      </c>
    </row>
    <row r="135" spans="1:54" s="7" customFormat="1">
      <c r="A135" s="5" t="s">
        <v>107</v>
      </c>
      <c r="B135" s="20" t="s">
        <v>25</v>
      </c>
      <c r="C135" s="9" t="s">
        <v>26</v>
      </c>
      <c r="D135" s="10" t="s">
        <v>26</v>
      </c>
      <c r="E135" s="10" t="s">
        <v>26</v>
      </c>
      <c r="F135" s="10" t="s">
        <v>26</v>
      </c>
      <c r="G135" s="9">
        <v>142632135.99000001</v>
      </c>
      <c r="H135" s="10">
        <v>1</v>
      </c>
      <c r="I135" s="9" t="s">
        <v>26</v>
      </c>
      <c r="J135" s="10" t="s">
        <v>26</v>
      </c>
      <c r="K135" s="2" t="s">
        <v>26</v>
      </c>
      <c r="L135" s="1" t="s">
        <v>26</v>
      </c>
      <c r="M135" s="1" t="s">
        <v>26</v>
      </c>
      <c r="N135" s="1" t="s">
        <v>26</v>
      </c>
      <c r="O135" s="2" t="s">
        <v>26</v>
      </c>
      <c r="P135" s="1" t="s">
        <v>26</v>
      </c>
      <c r="Q135" s="1" t="s">
        <v>26</v>
      </c>
      <c r="R135" s="1" t="s">
        <v>26</v>
      </c>
      <c r="S135" s="9">
        <v>142632134.97999999</v>
      </c>
      <c r="T135" s="10">
        <v>1</v>
      </c>
      <c r="U135" s="1" t="s">
        <v>26</v>
      </c>
      <c r="V135" s="1" t="s">
        <v>26</v>
      </c>
      <c r="W135" s="2" t="s">
        <v>26</v>
      </c>
      <c r="X135" s="1" t="s">
        <v>26</v>
      </c>
      <c r="Y135" s="1" t="s">
        <v>26</v>
      </c>
      <c r="Z135" s="1" t="s">
        <v>26</v>
      </c>
      <c r="AA135" s="9">
        <v>142632134.97999999</v>
      </c>
      <c r="AB135" s="10">
        <v>1</v>
      </c>
      <c r="AC135" s="1" t="s">
        <v>26</v>
      </c>
      <c r="AD135" s="1" t="s">
        <v>26</v>
      </c>
      <c r="AE135" s="9">
        <v>427896405.94999999</v>
      </c>
      <c r="AF135" s="10">
        <v>1</v>
      </c>
      <c r="AG135" s="10" t="s">
        <v>26</v>
      </c>
      <c r="AH135" s="10" t="s">
        <v>26</v>
      </c>
      <c r="AI135" s="2" t="s">
        <v>26</v>
      </c>
      <c r="AJ135" s="1" t="s">
        <v>26</v>
      </c>
      <c r="AK135" s="1" t="s">
        <v>26</v>
      </c>
      <c r="AL135" s="1" t="s">
        <v>26</v>
      </c>
      <c r="AM135" s="2" t="s">
        <v>26</v>
      </c>
      <c r="AN135" s="1" t="s">
        <v>26</v>
      </c>
      <c r="AO135" s="1" t="s">
        <v>26</v>
      </c>
      <c r="AP135" s="1" t="s">
        <v>26</v>
      </c>
      <c r="AQ135" s="2" t="s">
        <v>26</v>
      </c>
      <c r="AR135" s="1" t="s">
        <v>26</v>
      </c>
      <c r="AS135" s="1" t="s">
        <v>26</v>
      </c>
      <c r="AT135" s="1" t="s">
        <v>26</v>
      </c>
      <c r="AU135" s="2" t="s">
        <v>26</v>
      </c>
      <c r="AV135" s="1" t="s">
        <v>26</v>
      </c>
      <c r="AW135" s="1" t="s">
        <v>26</v>
      </c>
      <c r="AX135" s="1" t="s">
        <v>26</v>
      </c>
      <c r="AY135" s="9">
        <v>427896405.94999999</v>
      </c>
      <c r="AZ135" s="10">
        <v>1</v>
      </c>
      <c r="BA135" s="1" t="s">
        <v>26</v>
      </c>
      <c r="BB135" s="1" t="s">
        <v>26</v>
      </c>
    </row>
    <row r="136" spans="1:54" s="25" customFormat="1">
      <c r="A136" s="3" t="s">
        <v>108</v>
      </c>
      <c r="B136" s="23" t="s">
        <v>40</v>
      </c>
      <c r="C136" s="2" t="s">
        <v>26</v>
      </c>
      <c r="D136" s="1" t="s">
        <v>26</v>
      </c>
      <c r="E136" s="1" t="s">
        <v>26</v>
      </c>
      <c r="F136" s="1" t="s">
        <v>26</v>
      </c>
      <c r="G136" s="2">
        <v>142632135.99000001</v>
      </c>
      <c r="H136" s="1">
        <v>8.5344363766999998E-4</v>
      </c>
      <c r="I136" s="9" t="s">
        <v>26</v>
      </c>
      <c r="J136" s="10" t="s">
        <v>26</v>
      </c>
      <c r="K136" s="2" t="s">
        <v>26</v>
      </c>
      <c r="L136" s="1" t="s">
        <v>26</v>
      </c>
      <c r="M136" s="1" t="s">
        <v>26</v>
      </c>
      <c r="N136" s="1" t="s">
        <v>26</v>
      </c>
      <c r="O136" s="2" t="s">
        <v>26</v>
      </c>
      <c r="P136" s="1" t="s">
        <v>26</v>
      </c>
      <c r="Q136" s="1" t="s">
        <v>26</v>
      </c>
      <c r="R136" s="1" t="s">
        <v>26</v>
      </c>
      <c r="S136" s="2">
        <v>142632134.97999999</v>
      </c>
      <c r="T136" s="1">
        <v>1.1709541408499999E-3</v>
      </c>
      <c r="U136" s="1" t="s">
        <v>26</v>
      </c>
      <c r="V136" s="1" t="s">
        <v>26</v>
      </c>
      <c r="W136" s="2" t="s">
        <v>26</v>
      </c>
      <c r="X136" s="1" t="s">
        <v>26</v>
      </c>
      <c r="Y136" s="1" t="s">
        <v>26</v>
      </c>
      <c r="Z136" s="1" t="s">
        <v>26</v>
      </c>
      <c r="AA136" s="2">
        <v>142632134.97999999</v>
      </c>
      <c r="AB136" s="1">
        <v>9.3234034213999996E-4</v>
      </c>
      <c r="AC136" s="1" t="s">
        <v>26</v>
      </c>
      <c r="AD136" s="1" t="s">
        <v>26</v>
      </c>
      <c r="AE136" s="2">
        <v>427896405.94999999</v>
      </c>
      <c r="AF136" s="1">
        <v>6.0454890313000004E-4</v>
      </c>
      <c r="AG136" s="1" t="s">
        <v>26</v>
      </c>
      <c r="AH136" s="1" t="s">
        <v>26</v>
      </c>
      <c r="AI136" s="2" t="s">
        <v>26</v>
      </c>
      <c r="AJ136" s="1" t="s">
        <v>26</v>
      </c>
      <c r="AK136" s="1" t="s">
        <v>26</v>
      </c>
      <c r="AL136" s="1" t="s">
        <v>26</v>
      </c>
      <c r="AM136" s="2" t="s">
        <v>26</v>
      </c>
      <c r="AN136" s="1" t="s">
        <v>26</v>
      </c>
      <c r="AO136" s="1" t="s">
        <v>26</v>
      </c>
      <c r="AP136" s="1" t="s">
        <v>26</v>
      </c>
      <c r="AQ136" s="2" t="s">
        <v>26</v>
      </c>
      <c r="AR136" s="1" t="s">
        <v>26</v>
      </c>
      <c r="AS136" s="1" t="s">
        <v>26</v>
      </c>
      <c r="AT136" s="1" t="s">
        <v>26</v>
      </c>
      <c r="AU136" s="2" t="s">
        <v>26</v>
      </c>
      <c r="AV136" s="1" t="s">
        <v>26</v>
      </c>
      <c r="AW136" s="1" t="s">
        <v>26</v>
      </c>
      <c r="AX136" s="1" t="s">
        <v>26</v>
      </c>
      <c r="AY136" s="2">
        <v>427896405.94999999</v>
      </c>
      <c r="AZ136" s="1">
        <v>5.3398471538999999E-4</v>
      </c>
      <c r="BA136" s="1" t="s">
        <v>26</v>
      </c>
      <c r="BB136" s="1" t="s">
        <v>26</v>
      </c>
    </row>
    <row r="137" spans="1:54" s="7" customFormat="1">
      <c r="A137" s="12" t="s">
        <v>109</v>
      </c>
      <c r="B137" s="40" t="s">
        <v>25</v>
      </c>
      <c r="C137" s="42">
        <v>7514358603.71</v>
      </c>
      <c r="D137" s="43">
        <v>0.99970000000000003</v>
      </c>
      <c r="E137" s="43" t="s">
        <v>26</v>
      </c>
      <c r="F137" s="43" t="s">
        <v>26</v>
      </c>
      <c r="G137" s="42">
        <v>167124597618.95999</v>
      </c>
      <c r="H137" s="43">
        <v>1</v>
      </c>
      <c r="I137" s="43" t="s">
        <v>26</v>
      </c>
      <c r="J137" s="43" t="s">
        <v>26</v>
      </c>
      <c r="K137" s="42">
        <v>3785268794.5700002</v>
      </c>
      <c r="L137" s="43">
        <v>0.999</v>
      </c>
      <c r="M137" s="43" t="s">
        <v>26</v>
      </c>
      <c r="N137" s="43" t="s">
        <v>26</v>
      </c>
      <c r="O137" s="42">
        <v>247514578871</v>
      </c>
      <c r="P137" s="43">
        <v>1</v>
      </c>
      <c r="Q137" s="43" t="s">
        <v>26</v>
      </c>
      <c r="R137" s="43" t="s">
        <v>26</v>
      </c>
      <c r="S137" s="42">
        <v>121808249139.49001</v>
      </c>
      <c r="T137" s="43">
        <v>1</v>
      </c>
      <c r="U137" s="43" t="s">
        <v>26</v>
      </c>
      <c r="V137" s="43" t="s">
        <v>26</v>
      </c>
      <c r="W137" s="42">
        <v>7050279507.21</v>
      </c>
      <c r="X137" s="43">
        <v>0.999</v>
      </c>
      <c r="Y137" s="43" t="s">
        <v>26</v>
      </c>
      <c r="Z137" s="43" t="s">
        <v>26</v>
      </c>
      <c r="AA137" s="42">
        <v>152982710877.31</v>
      </c>
      <c r="AB137" s="43">
        <v>1</v>
      </c>
      <c r="AC137" s="43" t="s">
        <v>26</v>
      </c>
      <c r="AD137" s="43" t="s">
        <v>26</v>
      </c>
      <c r="AE137" s="42">
        <v>707780043412.25</v>
      </c>
      <c r="AF137" s="43">
        <v>1</v>
      </c>
      <c r="AG137" s="43" t="s">
        <v>26</v>
      </c>
      <c r="AH137" s="43" t="s">
        <v>26</v>
      </c>
      <c r="AI137" s="42">
        <v>18128508709.009998</v>
      </c>
      <c r="AJ137" s="43">
        <v>1</v>
      </c>
      <c r="AK137" s="43" t="s">
        <v>26</v>
      </c>
      <c r="AL137" s="43" t="s">
        <v>26</v>
      </c>
      <c r="AM137" s="42">
        <v>24831287257.869999</v>
      </c>
      <c r="AN137" s="43">
        <v>0.99990000000000001</v>
      </c>
      <c r="AO137" s="43" t="s">
        <v>26</v>
      </c>
      <c r="AP137" s="43" t="s">
        <v>26</v>
      </c>
      <c r="AQ137" s="42">
        <v>42959795966.879997</v>
      </c>
      <c r="AR137" s="43">
        <v>0.99990000000000001</v>
      </c>
      <c r="AS137" s="43" t="s">
        <v>26</v>
      </c>
      <c r="AT137" s="43" t="s">
        <v>26</v>
      </c>
      <c r="AU137" s="42">
        <v>50569942888.080002</v>
      </c>
      <c r="AV137" s="43">
        <v>1</v>
      </c>
      <c r="AW137" s="43" t="s">
        <v>26</v>
      </c>
      <c r="AX137" s="43" t="s">
        <v>26</v>
      </c>
      <c r="AY137" s="42">
        <v>801309782267.20996</v>
      </c>
      <c r="AZ137" s="43">
        <v>1</v>
      </c>
      <c r="BA137" s="43" t="s">
        <v>26</v>
      </c>
      <c r="BB137" s="43" t="s">
        <v>26</v>
      </c>
    </row>
    <row r="138" spans="1:54" s="41" customFormat="1">
      <c r="A138" s="3" t="s">
        <v>110</v>
      </c>
      <c r="B138" s="23" t="s">
        <v>25</v>
      </c>
      <c r="C138" s="2">
        <v>2138536.81</v>
      </c>
      <c r="D138" s="1">
        <v>2.9999999999999997E-4</v>
      </c>
      <c r="E138" s="1" t="s">
        <v>26</v>
      </c>
      <c r="F138" s="1" t="s">
        <v>26</v>
      </c>
      <c r="G138" s="2">
        <v>833627.04</v>
      </c>
      <c r="H138" s="1">
        <v>0</v>
      </c>
      <c r="I138" s="9" t="s">
        <v>26</v>
      </c>
      <c r="J138" s="10" t="s">
        <v>26</v>
      </c>
      <c r="K138" s="2">
        <v>3789233.82</v>
      </c>
      <c r="L138" s="1">
        <v>1E-3</v>
      </c>
      <c r="M138" s="9" t="s">
        <v>26</v>
      </c>
      <c r="N138" s="10" t="s">
        <v>26</v>
      </c>
      <c r="O138" s="2">
        <v>198059.91</v>
      </c>
      <c r="P138" s="1">
        <v>0</v>
      </c>
      <c r="Q138" s="9" t="s">
        <v>26</v>
      </c>
      <c r="R138" s="10" t="s">
        <v>26</v>
      </c>
      <c r="S138" s="2">
        <v>223117.3</v>
      </c>
      <c r="T138" s="1">
        <v>0</v>
      </c>
      <c r="U138" s="9" t="s">
        <v>26</v>
      </c>
      <c r="V138" s="10" t="s">
        <v>26</v>
      </c>
      <c r="W138" s="2">
        <v>7107497.6699999999</v>
      </c>
      <c r="X138" s="1">
        <v>1E-3</v>
      </c>
      <c r="Y138" s="9" t="s">
        <v>26</v>
      </c>
      <c r="Z138" s="10" t="s">
        <v>26</v>
      </c>
      <c r="AA138" s="2">
        <v>195185.66</v>
      </c>
      <c r="AB138" s="1">
        <v>0</v>
      </c>
      <c r="AC138" s="9" t="s">
        <v>26</v>
      </c>
      <c r="AD138" s="10" t="s">
        <v>26</v>
      </c>
      <c r="AE138" s="2">
        <v>14485258.210000001</v>
      </c>
      <c r="AF138" s="1">
        <v>0</v>
      </c>
      <c r="AG138" s="9" t="s">
        <v>26</v>
      </c>
      <c r="AH138" s="10" t="s">
        <v>26</v>
      </c>
      <c r="AI138" s="2">
        <v>187884.06</v>
      </c>
      <c r="AJ138" s="1">
        <v>0</v>
      </c>
      <c r="AK138" s="9" t="s">
        <v>26</v>
      </c>
      <c r="AL138" s="10" t="s">
        <v>26</v>
      </c>
      <c r="AM138" s="2">
        <v>2446503.0099999998</v>
      </c>
      <c r="AN138" s="1">
        <v>1E-4</v>
      </c>
      <c r="AO138" s="9" t="s">
        <v>26</v>
      </c>
      <c r="AP138" s="10" t="s">
        <v>26</v>
      </c>
      <c r="AQ138" s="2">
        <v>2634387.0699999998</v>
      </c>
      <c r="AR138" s="1">
        <v>1E-4</v>
      </c>
      <c r="AS138" s="9" t="s">
        <v>26</v>
      </c>
      <c r="AT138" s="10" t="s">
        <v>26</v>
      </c>
      <c r="AU138" s="2">
        <v>165350.78</v>
      </c>
      <c r="AV138" s="1">
        <v>0</v>
      </c>
      <c r="AW138" s="9" t="s">
        <v>26</v>
      </c>
      <c r="AX138" s="10" t="s">
        <v>26</v>
      </c>
      <c r="AY138" s="2">
        <v>17284996.059999999</v>
      </c>
      <c r="AZ138" s="1">
        <v>0</v>
      </c>
      <c r="BA138" s="9" t="s">
        <v>26</v>
      </c>
      <c r="BB138" s="10" t="s">
        <v>26</v>
      </c>
    </row>
    <row r="139" spans="1:54">
      <c r="A139" s="12" t="s">
        <v>111</v>
      </c>
      <c r="B139" s="40" t="s">
        <v>25</v>
      </c>
      <c r="C139" s="42">
        <v>7516497140.5200005</v>
      </c>
      <c r="D139" s="43">
        <v>1</v>
      </c>
      <c r="E139" s="43" t="s">
        <v>26</v>
      </c>
      <c r="F139" s="43" t="s">
        <v>26</v>
      </c>
      <c r="G139" s="42">
        <v>167125431246</v>
      </c>
      <c r="H139" s="43">
        <v>1</v>
      </c>
      <c r="I139" s="43" t="s">
        <v>26</v>
      </c>
      <c r="J139" s="43" t="s">
        <v>26</v>
      </c>
      <c r="K139" s="42">
        <v>3789058028.3899999</v>
      </c>
      <c r="L139" s="43">
        <v>1</v>
      </c>
      <c r="M139" s="43" t="s">
        <v>26</v>
      </c>
      <c r="N139" s="43" t="s">
        <v>26</v>
      </c>
      <c r="O139" s="42">
        <v>247514776930.91</v>
      </c>
      <c r="P139" s="43">
        <v>1</v>
      </c>
      <c r="Q139" s="43" t="s">
        <v>26</v>
      </c>
      <c r="R139" s="43" t="s">
        <v>26</v>
      </c>
      <c r="S139" s="42">
        <v>121808472256.78999</v>
      </c>
      <c r="T139" s="43">
        <v>1</v>
      </c>
      <c r="U139" s="43" t="s">
        <v>26</v>
      </c>
      <c r="V139" s="43" t="s">
        <v>26</v>
      </c>
      <c r="W139" s="42">
        <v>7057387004.8800001</v>
      </c>
      <c r="X139" s="43">
        <v>1</v>
      </c>
      <c r="Y139" s="43" t="s">
        <v>26</v>
      </c>
      <c r="Z139" s="43" t="s">
        <v>26</v>
      </c>
      <c r="AA139" s="42">
        <v>152982906062.97</v>
      </c>
      <c r="AB139" s="43">
        <v>1</v>
      </c>
      <c r="AC139" s="43" t="s">
        <v>26</v>
      </c>
      <c r="AD139" s="43" t="s">
        <v>26</v>
      </c>
      <c r="AE139" s="42">
        <v>707794528670.45996</v>
      </c>
      <c r="AF139" s="43">
        <v>1</v>
      </c>
      <c r="AG139" s="43" t="s">
        <v>26</v>
      </c>
      <c r="AH139" s="43" t="s">
        <v>26</v>
      </c>
      <c r="AI139" s="42">
        <v>18128696593.07</v>
      </c>
      <c r="AJ139" s="43">
        <v>1</v>
      </c>
      <c r="AK139" s="43" t="s">
        <v>26</v>
      </c>
      <c r="AL139" s="43" t="s">
        <v>26</v>
      </c>
      <c r="AM139" s="42">
        <v>24833733760.880001</v>
      </c>
      <c r="AN139" s="43">
        <v>1</v>
      </c>
      <c r="AO139" s="43" t="s">
        <v>26</v>
      </c>
      <c r="AP139" s="43" t="s">
        <v>26</v>
      </c>
      <c r="AQ139" s="42">
        <v>42962430353.949997</v>
      </c>
      <c r="AR139" s="43">
        <v>1</v>
      </c>
      <c r="AS139" s="43" t="s">
        <v>26</v>
      </c>
      <c r="AT139" s="43" t="s">
        <v>26</v>
      </c>
      <c r="AU139" s="42">
        <v>50570108238.860001</v>
      </c>
      <c r="AV139" s="43">
        <v>1</v>
      </c>
      <c r="AW139" s="43" t="s">
        <v>26</v>
      </c>
      <c r="AX139" s="43" t="s">
        <v>26</v>
      </c>
      <c r="AY139" s="42">
        <v>801327067263.27002</v>
      </c>
      <c r="AZ139" s="43">
        <v>1</v>
      </c>
      <c r="BA139" s="43" t="s">
        <v>26</v>
      </c>
      <c r="BB139" s="43" t="s">
        <v>26</v>
      </c>
    </row>
    <row r="140" spans="1:54">
      <c r="A140" s="24"/>
    </row>
    <row r="141" spans="1:54">
      <c r="A141" s="17" t="s">
        <v>112</v>
      </c>
      <c r="AY141" s="39"/>
    </row>
    <row r="142" spans="1:54">
      <c r="A142" s="24" t="s">
        <v>113</v>
      </c>
    </row>
    <row r="143" spans="1:54">
      <c r="A143" s="24" t="s">
        <v>114</v>
      </c>
      <c r="AY143" s="37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9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31" sqref="A131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.42578125" style="13" customWidth="1"/>
    <col min="53" max="53" width="9.7109375" style="8" customWidth="1"/>
    <col min="54" max="54" width="10.42578125" style="8" customWidth="1"/>
    <col min="55" max="55" width="15.7109375" style="8" bestFit="1" customWidth="1"/>
    <col min="56" max="56" width="16.42578125" style="8" bestFit="1" customWidth="1"/>
    <col min="57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130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3672303123.79</v>
      </c>
      <c r="D8" s="43">
        <f>+D9</f>
        <v>0.47253083651087002</v>
      </c>
      <c r="E8" s="43" t="s">
        <v>26</v>
      </c>
      <c r="F8" s="43" t="s">
        <v>26</v>
      </c>
      <c r="G8" s="42">
        <f>+G9+G11</f>
        <v>91427073533.069992</v>
      </c>
      <c r="H8" s="43">
        <f>+H9+H11</f>
        <v>0.53277532651365922</v>
      </c>
      <c r="I8" s="43" t="s">
        <v>26</v>
      </c>
      <c r="J8" s="43" t="s">
        <v>26</v>
      </c>
      <c r="K8" s="42">
        <v>1148138144.6199999</v>
      </c>
      <c r="L8" s="43">
        <f>+L9</f>
        <v>0.29371602346676001</v>
      </c>
      <c r="M8" s="43" t="s">
        <v>26</v>
      </c>
      <c r="N8" s="43" t="s">
        <v>26</v>
      </c>
      <c r="O8" s="42">
        <f>+O9+O11</f>
        <v>119007319743.25</v>
      </c>
      <c r="P8" s="43">
        <f>+P9+P11</f>
        <v>0.4716150496994001</v>
      </c>
      <c r="Q8" s="43" t="s">
        <v>26</v>
      </c>
      <c r="R8" s="43" t="s">
        <v>26</v>
      </c>
      <c r="S8" s="42">
        <f>+S9+S11</f>
        <v>66556209722.239998</v>
      </c>
      <c r="T8" s="43">
        <f>+T9+T11</f>
        <v>0.53731527068944684</v>
      </c>
      <c r="U8" s="43" t="s">
        <v>26</v>
      </c>
      <c r="V8" s="43" t="s">
        <v>26</v>
      </c>
      <c r="W8" s="42">
        <v>2662006919.7399998</v>
      </c>
      <c r="X8" s="43">
        <f>+X9</f>
        <v>0.36763874393365997</v>
      </c>
      <c r="Y8" s="43" t="s">
        <v>26</v>
      </c>
      <c r="Z8" s="43" t="s">
        <v>26</v>
      </c>
      <c r="AA8" s="42">
        <f>+AA9+AA11</f>
        <v>74559246102.039993</v>
      </c>
      <c r="AB8" s="43">
        <f>+AB9+AB11</f>
        <v>0.4793693136316407</v>
      </c>
      <c r="AC8" s="43" t="s">
        <v>26</v>
      </c>
      <c r="AD8" s="43" t="s">
        <v>26</v>
      </c>
      <c r="AE8" s="42">
        <f>+AE9+AE11</f>
        <v>359032297288.75</v>
      </c>
      <c r="AF8" s="43">
        <f>+AF9+AF11</f>
        <v>0.497087920665782</v>
      </c>
      <c r="AG8" s="43" t="s">
        <v>26</v>
      </c>
      <c r="AH8" s="43" t="s">
        <v>26</v>
      </c>
      <c r="AI8" s="42">
        <v>9457740657.3899994</v>
      </c>
      <c r="AJ8" s="43">
        <v>0.51645892053711995</v>
      </c>
      <c r="AK8" s="43" t="s">
        <v>26</v>
      </c>
      <c r="AL8" s="43" t="s">
        <v>26</v>
      </c>
      <c r="AM8" s="42">
        <v>8619860882.4099998</v>
      </c>
      <c r="AN8" s="43">
        <v>0.34326559026654002</v>
      </c>
      <c r="AO8" s="43" t="s">
        <v>26</v>
      </c>
      <c r="AP8" s="43" t="s">
        <v>26</v>
      </c>
      <c r="AQ8" s="42">
        <v>18077601539.799999</v>
      </c>
      <c r="AR8" s="43">
        <v>0.41630425422154999</v>
      </c>
      <c r="AS8" s="43" t="s">
        <v>26</v>
      </c>
      <c r="AT8" s="43" t="s">
        <v>26</v>
      </c>
      <c r="AU8" s="42">
        <v>29294806372.990002</v>
      </c>
      <c r="AV8" s="43">
        <v>0.56630867156884002</v>
      </c>
      <c r="AW8" s="43" t="s">
        <v>26</v>
      </c>
      <c r="AX8" s="43" t="s">
        <v>26</v>
      </c>
      <c r="AY8" s="42">
        <f>+AY9+AY11</f>
        <v>406404705201.53998</v>
      </c>
      <c r="AZ8" s="43">
        <f>+AZ9+AZ11</f>
        <v>0.49717697685060347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3672303123.79</v>
      </c>
      <c r="D9" s="10">
        <v>0.47253083651087002</v>
      </c>
      <c r="E9" s="10">
        <v>0.6</v>
      </c>
      <c r="F9" s="10">
        <f>E9-D9</f>
        <v>0.12746916348912996</v>
      </c>
      <c r="G9" s="9">
        <f>+G10</f>
        <v>85670686329.869995</v>
      </c>
      <c r="H9" s="10">
        <f>G9/G135</f>
        <v>0.49923098397693105</v>
      </c>
      <c r="I9" s="10">
        <v>0.6</v>
      </c>
      <c r="J9" s="10">
        <f>I9-H9</f>
        <v>0.10076901602306892</v>
      </c>
      <c r="K9" s="9">
        <v>1148138144.6199999</v>
      </c>
      <c r="L9" s="10">
        <v>0.29371602346676001</v>
      </c>
      <c r="M9" s="10">
        <v>0.6</v>
      </c>
      <c r="N9" s="10">
        <f>M9-L9</f>
        <v>0.30628397653323997</v>
      </c>
      <c r="O9" s="9">
        <f>+O10</f>
        <v>117477140866.45</v>
      </c>
      <c r="P9" s="10">
        <f>+O9/O135</f>
        <v>0.46555108702759768</v>
      </c>
      <c r="Q9" s="10">
        <v>0.6</v>
      </c>
      <c r="R9" s="10">
        <f>Q9-P9</f>
        <v>0.1344489129724023</v>
      </c>
      <c r="S9" s="9">
        <f>+S10</f>
        <v>65054213267.239998</v>
      </c>
      <c r="T9" s="10">
        <f>S9/S133</f>
        <v>0.52518949557152816</v>
      </c>
      <c r="U9" s="10">
        <v>0.6</v>
      </c>
      <c r="V9" s="10">
        <f>U9-T9</f>
        <v>7.4810504428471813E-2</v>
      </c>
      <c r="W9" s="9">
        <v>2662006919.7399998</v>
      </c>
      <c r="X9" s="10">
        <v>0.36763874393365997</v>
      </c>
      <c r="Y9" s="10">
        <v>0.6</v>
      </c>
      <c r="Z9" s="10">
        <f>Y9-X9</f>
        <v>0.23236125606634001</v>
      </c>
      <c r="AA9" s="9">
        <f>AA10</f>
        <v>73223375654.039993</v>
      </c>
      <c r="AB9" s="10">
        <f>AA9/AA133</f>
        <v>0.47078050227372875</v>
      </c>
      <c r="AC9" s="10">
        <v>0.6</v>
      </c>
      <c r="AD9" s="10">
        <f>AC9-AB9</f>
        <v>0.12921949772627123</v>
      </c>
      <c r="AE9" s="9">
        <f>+AE10</f>
        <v>348907864305.75</v>
      </c>
      <c r="AF9" s="10">
        <f>+AE9/AE135</f>
        <v>0.48307042592382016</v>
      </c>
      <c r="AG9" s="10">
        <v>0.6</v>
      </c>
      <c r="AH9" s="10">
        <f>AG9-AF9</f>
        <v>0.11692957407617982</v>
      </c>
      <c r="AI9" s="9">
        <v>9457740657.3899994</v>
      </c>
      <c r="AJ9" s="10">
        <v>0.51645892053711995</v>
      </c>
      <c r="AK9" s="10">
        <v>0.6</v>
      </c>
      <c r="AL9" s="10">
        <f>AK9-AJ9</f>
        <v>8.354107946288003E-2</v>
      </c>
      <c r="AM9" s="9">
        <v>8619860882.4099998</v>
      </c>
      <c r="AN9" s="10">
        <v>0.34326559026654002</v>
      </c>
      <c r="AO9" s="10">
        <v>0.6</v>
      </c>
      <c r="AP9" s="10">
        <f>AO9-AN9</f>
        <v>0.25673440973345996</v>
      </c>
      <c r="AQ9" s="9">
        <v>18077601539.799999</v>
      </c>
      <c r="AR9" s="10">
        <v>0.41630425422154999</v>
      </c>
      <c r="AS9" s="10">
        <v>0.6</v>
      </c>
      <c r="AT9" s="10">
        <f>AS9-AR9</f>
        <v>0.18369574577844999</v>
      </c>
      <c r="AU9" s="9">
        <v>29294806372.990002</v>
      </c>
      <c r="AV9" s="10">
        <v>0.56630867156884002</v>
      </c>
      <c r="AW9" s="10">
        <v>0.6</v>
      </c>
      <c r="AX9" s="10">
        <f>AW9-AV9</f>
        <v>3.3691328431159961E-2</v>
      </c>
      <c r="AY9" s="9">
        <f>+AY10</f>
        <v>396280272218.53998</v>
      </c>
      <c r="AZ9" s="10">
        <f>+AY9/AY135</f>
        <v>0.48479120739865222</v>
      </c>
      <c r="BA9" s="10">
        <v>0.6</v>
      </c>
      <c r="BB9" s="10">
        <f>BA9-AZ9</f>
        <v>0.11520879260134775</v>
      </c>
    </row>
    <row r="10" spans="1:54" ht="17.25">
      <c r="A10" s="3" t="s">
        <v>28</v>
      </c>
      <c r="B10" s="23" t="s">
        <v>29</v>
      </c>
      <c r="C10" s="2">
        <v>3672303123.79</v>
      </c>
      <c r="D10" s="1">
        <v>0.47253083651087002</v>
      </c>
      <c r="E10" s="1" t="s">
        <v>26</v>
      </c>
      <c r="F10" s="1" t="s">
        <v>26</v>
      </c>
      <c r="G10" s="2">
        <v>85670686329.869995</v>
      </c>
      <c r="H10" s="1">
        <f>+G10/G8</f>
        <v>0.93703848345186436</v>
      </c>
      <c r="I10" s="1" t="s">
        <v>26</v>
      </c>
      <c r="J10" s="1" t="s">
        <v>26</v>
      </c>
      <c r="K10" s="2">
        <v>1148138144.6199999</v>
      </c>
      <c r="L10" s="1">
        <v>1</v>
      </c>
      <c r="M10" s="1" t="s">
        <v>26</v>
      </c>
      <c r="N10" s="1" t="s">
        <v>26</v>
      </c>
      <c r="O10" s="2">
        <v>117477140866.45</v>
      </c>
      <c r="P10" s="1">
        <f>+O10/O8</f>
        <v>0.98714214486889329</v>
      </c>
      <c r="Q10" s="1" t="s">
        <v>26</v>
      </c>
      <c r="R10" s="1" t="s">
        <v>26</v>
      </c>
      <c r="S10" s="2">
        <v>65054213267.239998</v>
      </c>
      <c r="T10" s="1">
        <f>+S10/S8</f>
        <v>0.97743266238765247</v>
      </c>
      <c r="U10" s="1" t="s">
        <v>26</v>
      </c>
      <c r="V10" s="1" t="s">
        <v>26</v>
      </c>
      <c r="W10" s="2">
        <v>2662006919.7399998</v>
      </c>
      <c r="X10" s="1">
        <v>1</v>
      </c>
      <c r="Y10" s="1" t="s">
        <v>26</v>
      </c>
      <c r="Z10" s="1" t="s">
        <v>26</v>
      </c>
      <c r="AA10" s="2">
        <v>73223375654.039993</v>
      </c>
      <c r="AB10" s="1">
        <f>+AA10/AA8</f>
        <v>0.98208310145502598</v>
      </c>
      <c r="AC10" s="1" t="s">
        <v>26</v>
      </c>
      <c r="AD10" s="1" t="s">
        <v>26</v>
      </c>
      <c r="AE10" s="2">
        <v>348907864305.75</v>
      </c>
      <c r="AF10" s="1">
        <f>+AE10/AE8</f>
        <v>0.97180077374805784</v>
      </c>
      <c r="AG10" s="1" t="s">
        <v>26</v>
      </c>
      <c r="AH10" s="1" t="s">
        <v>26</v>
      </c>
      <c r="AI10" s="2">
        <v>9457740657.3899994</v>
      </c>
      <c r="AJ10" s="1">
        <v>1</v>
      </c>
      <c r="AK10" s="1" t="s">
        <v>26</v>
      </c>
      <c r="AL10" s="1" t="s">
        <v>26</v>
      </c>
      <c r="AM10" s="2">
        <v>8619860882.4099998</v>
      </c>
      <c r="AN10" s="1">
        <v>1</v>
      </c>
      <c r="AO10" s="1" t="s">
        <v>26</v>
      </c>
      <c r="AP10" s="1" t="s">
        <v>26</v>
      </c>
      <c r="AQ10" s="2">
        <v>18077601539.799999</v>
      </c>
      <c r="AR10" s="1">
        <v>1</v>
      </c>
      <c r="AS10" s="1" t="s">
        <v>26</v>
      </c>
      <c r="AT10" s="1" t="s">
        <v>26</v>
      </c>
      <c r="AU10" s="2">
        <v>29294806372.990002</v>
      </c>
      <c r="AV10" s="1">
        <v>1</v>
      </c>
      <c r="AW10" s="1" t="s">
        <v>26</v>
      </c>
      <c r="AX10" s="1" t="s">
        <v>26</v>
      </c>
      <c r="AY10" s="2">
        <v>396280272218.53998</v>
      </c>
      <c r="AZ10" s="1">
        <f>+AY10/AY8</f>
        <v>0.97508780569363929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2" t="s">
        <v>26</v>
      </c>
      <c r="D11" s="1" t="s">
        <v>26</v>
      </c>
      <c r="E11" s="10" t="s">
        <v>26</v>
      </c>
      <c r="F11" s="10" t="s">
        <v>26</v>
      </c>
      <c r="G11" s="9">
        <f>G12</f>
        <v>5756387203.1999998</v>
      </c>
      <c r="H11" s="10">
        <f>+G11/G135</f>
        <v>3.3544342536728118E-2</v>
      </c>
      <c r="I11" s="10">
        <v>0.1</v>
      </c>
      <c r="J11" s="10">
        <f>I11-H11</f>
        <v>6.6455657463271894E-2</v>
      </c>
      <c r="K11" s="2" t="s">
        <v>26</v>
      </c>
      <c r="L11" s="1" t="s">
        <v>26</v>
      </c>
      <c r="M11" s="1" t="s">
        <v>26</v>
      </c>
      <c r="N11" s="1" t="s">
        <v>26</v>
      </c>
      <c r="O11" s="9">
        <f>O12</f>
        <v>1530178876.8</v>
      </c>
      <c r="P11" s="10">
        <f>O11/O133</f>
        <v>6.0639626718024427E-3</v>
      </c>
      <c r="Q11" s="10">
        <v>0.1</v>
      </c>
      <c r="R11" s="10">
        <f>Q11-P11</f>
        <v>9.3936037328197566E-2</v>
      </c>
      <c r="S11" s="9">
        <f>S12</f>
        <v>1501996455</v>
      </c>
      <c r="T11" s="10">
        <f>S11/S133</f>
        <v>1.2125775117918671E-2</v>
      </c>
      <c r="U11" s="10">
        <v>0.1</v>
      </c>
      <c r="V11" s="10">
        <f>U11-T11</f>
        <v>8.7874224882081339E-2</v>
      </c>
      <c r="W11" s="2" t="s">
        <v>26</v>
      </c>
      <c r="X11" s="1" t="s">
        <v>26</v>
      </c>
      <c r="Y11" s="1" t="s">
        <v>26</v>
      </c>
      <c r="Z11" s="1" t="s">
        <v>26</v>
      </c>
      <c r="AA11" s="9">
        <f>AA12</f>
        <v>1335870448</v>
      </c>
      <c r="AB11" s="10">
        <f>AA11/AA133</f>
        <v>8.5888113579119362E-3</v>
      </c>
      <c r="AC11" s="10">
        <v>0.1</v>
      </c>
      <c r="AD11" s="10">
        <f>AC11-AB11</f>
        <v>9.1411188642088068E-2</v>
      </c>
      <c r="AE11" s="9">
        <f>+AE12</f>
        <v>10124432983</v>
      </c>
      <c r="AF11" s="10">
        <f>+AE11/AE135</f>
        <v>1.4017494741961832E-2</v>
      </c>
      <c r="AG11" s="10">
        <v>0.1</v>
      </c>
      <c r="AH11" s="10">
        <f>AG11-AF11</f>
        <v>8.5982505258038175E-2</v>
      </c>
      <c r="AI11" s="2" t="s">
        <v>26</v>
      </c>
      <c r="AJ11" s="1" t="s">
        <v>26</v>
      </c>
      <c r="AK11" s="1" t="s">
        <v>26</v>
      </c>
      <c r="AL11" s="1" t="s">
        <v>26</v>
      </c>
      <c r="AM11" s="2" t="s">
        <v>26</v>
      </c>
      <c r="AN11" s="1" t="s">
        <v>26</v>
      </c>
      <c r="AO11" s="1" t="s">
        <v>26</v>
      </c>
      <c r="AP11" s="1" t="s">
        <v>26</v>
      </c>
      <c r="AQ11" s="2" t="s">
        <v>26</v>
      </c>
      <c r="AR11" s="1" t="s">
        <v>26</v>
      </c>
      <c r="AS11" s="1" t="s">
        <v>26</v>
      </c>
      <c r="AT11" s="1" t="s">
        <v>26</v>
      </c>
      <c r="AU11" s="2" t="s">
        <v>26</v>
      </c>
      <c r="AV11" s="1" t="s">
        <v>26</v>
      </c>
      <c r="AW11" s="1" t="s">
        <v>26</v>
      </c>
      <c r="AX11" s="1" t="s">
        <v>26</v>
      </c>
      <c r="AY11" s="9">
        <f>+AY12</f>
        <v>10124432983</v>
      </c>
      <c r="AZ11" s="10">
        <f>+AY11/AY135</f>
        <v>1.2385769451951226E-2</v>
      </c>
      <c r="BA11" s="10">
        <v>0.1</v>
      </c>
      <c r="BB11" s="10">
        <f>+BA11-AZ11</f>
        <v>8.7614230548048774E-2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5756387203.1999998</v>
      </c>
      <c r="H12" s="1">
        <f>+G12/G8</f>
        <v>6.2961516548135629E-2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1530178876.8</v>
      </c>
      <c r="P12" s="1">
        <f>+O12/O8</f>
        <v>1.2857855131106677E-2</v>
      </c>
      <c r="Q12" s="1" t="s">
        <v>26</v>
      </c>
      <c r="R12" s="1" t="s">
        <v>26</v>
      </c>
      <c r="S12" s="2">
        <v>1501996455</v>
      </c>
      <c r="T12" s="1">
        <f>+S12/S8</f>
        <v>2.2567337612347575E-2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1335870448</v>
      </c>
      <c r="AB12" s="1">
        <f>+AA12/AA8</f>
        <v>1.7916898544974018E-2</v>
      </c>
      <c r="AC12" s="1" t="s">
        <v>26</v>
      </c>
      <c r="AD12" s="1" t="s">
        <v>26</v>
      </c>
      <c r="AE12" s="2">
        <v>10124432983</v>
      </c>
      <c r="AF12" s="1">
        <f>+AE12/AE8</f>
        <v>2.81992262519421E-2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10124432983</v>
      </c>
      <c r="AZ12" s="1">
        <f>+AY12/AY8</f>
        <v>2.4912194306360692E-2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2531891730.0700002</v>
      </c>
      <c r="D13" s="43">
        <v>0.32578925999175001</v>
      </c>
      <c r="E13" s="43" t="s">
        <v>26</v>
      </c>
      <c r="F13" s="43" t="s">
        <v>26</v>
      </c>
      <c r="G13" s="42">
        <v>49952007006.889999</v>
      </c>
      <c r="H13" s="43">
        <v>0.29108660941096998</v>
      </c>
      <c r="I13" s="43" t="s">
        <v>26</v>
      </c>
      <c r="J13" s="43" t="s">
        <v>26</v>
      </c>
      <c r="K13" s="42">
        <v>1005315497.65</v>
      </c>
      <c r="L13" s="43">
        <v>0.25717921809574001</v>
      </c>
      <c r="M13" s="43" t="s">
        <v>26</v>
      </c>
      <c r="N13" s="43" t="s">
        <v>26</v>
      </c>
      <c r="O13" s="42">
        <v>70749894995.240005</v>
      </c>
      <c r="P13" s="43">
        <v>0.28037531624612999</v>
      </c>
      <c r="Q13" s="43" t="s">
        <v>26</v>
      </c>
      <c r="R13" s="43" t="s">
        <v>26</v>
      </c>
      <c r="S13" s="42">
        <v>36173725785.019997</v>
      </c>
      <c r="T13" s="43">
        <v>0.29203390371755</v>
      </c>
      <c r="U13" s="43" t="s">
        <v>26</v>
      </c>
      <c r="V13" s="43" t="s">
        <v>26</v>
      </c>
      <c r="W13" s="42">
        <v>3312987385.6500001</v>
      </c>
      <c r="X13" s="43">
        <v>0.45754295832085001</v>
      </c>
      <c r="Y13" s="43" t="s">
        <v>26</v>
      </c>
      <c r="Z13" s="43" t="s">
        <v>26</v>
      </c>
      <c r="AA13" s="42">
        <v>50436200019</v>
      </c>
      <c r="AB13" s="43">
        <v>0.32427281280856002</v>
      </c>
      <c r="AC13" s="43" t="s">
        <v>26</v>
      </c>
      <c r="AD13" s="43" t="s">
        <v>26</v>
      </c>
      <c r="AE13" s="42">
        <v>214162022419.51999</v>
      </c>
      <c r="AF13" s="43">
        <v>0.29651191609784</v>
      </c>
      <c r="AG13" s="43" t="s">
        <v>26</v>
      </c>
      <c r="AH13" s="43" t="s">
        <v>26</v>
      </c>
      <c r="AI13" s="42">
        <v>6682705470.2399998</v>
      </c>
      <c r="AJ13" s="43">
        <v>0.36492255163825998</v>
      </c>
      <c r="AK13" s="43" t="s">
        <v>26</v>
      </c>
      <c r="AL13" s="43" t="s">
        <v>26</v>
      </c>
      <c r="AM13" s="42">
        <v>12339027707.4</v>
      </c>
      <c r="AN13" s="43">
        <v>0.49137262040260998</v>
      </c>
      <c r="AO13" s="43" t="s">
        <v>26</v>
      </c>
      <c r="AP13" s="43" t="s">
        <v>26</v>
      </c>
      <c r="AQ13" s="42">
        <v>19021733177.639999</v>
      </c>
      <c r="AR13" s="43">
        <v>0.43804640936931999</v>
      </c>
      <c r="AS13" s="43" t="s">
        <v>26</v>
      </c>
      <c r="AT13" s="43" t="s">
        <v>26</v>
      </c>
      <c r="AU13" s="42">
        <v>14774020729.57</v>
      </c>
      <c r="AV13" s="43">
        <v>0.28560202605767998</v>
      </c>
      <c r="AW13" s="43" t="s">
        <v>26</v>
      </c>
      <c r="AX13" s="43" t="s">
        <v>26</v>
      </c>
      <c r="AY13" s="42">
        <v>247957776326.73001</v>
      </c>
      <c r="AZ13" s="43">
        <v>0.30334023214515998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2531891730.0700002</v>
      </c>
      <c r="D14" s="10">
        <v>0.32578925999175001</v>
      </c>
      <c r="E14" s="49">
        <v>0.5</v>
      </c>
      <c r="F14" s="10">
        <v>0.17419999999999999</v>
      </c>
      <c r="G14" s="9">
        <v>49952007006.889999</v>
      </c>
      <c r="H14" s="10">
        <v>0.29108660941096998</v>
      </c>
      <c r="I14" s="10">
        <v>0.5</v>
      </c>
      <c r="J14" s="10">
        <v>0.2089</v>
      </c>
      <c r="K14" s="9">
        <v>1005315497.65</v>
      </c>
      <c r="L14" s="10">
        <v>0.25717921809574001</v>
      </c>
      <c r="M14" s="10">
        <v>0.5</v>
      </c>
      <c r="N14" s="10">
        <f>+M14-L14</f>
        <v>0.24282078190425999</v>
      </c>
      <c r="O14" s="9">
        <v>70749894995.240005</v>
      </c>
      <c r="P14" s="10">
        <v>0.28037531624612999</v>
      </c>
      <c r="Q14" s="10">
        <v>0.5</v>
      </c>
      <c r="R14" s="10">
        <v>0.21959999999999999</v>
      </c>
      <c r="S14" s="9">
        <v>36173725785.019997</v>
      </c>
      <c r="T14" s="10">
        <v>0.29203390371755</v>
      </c>
      <c r="U14" s="10">
        <v>0.5</v>
      </c>
      <c r="V14" s="10">
        <v>0.20799999999999999</v>
      </c>
      <c r="W14" s="9">
        <v>3312987385.6500001</v>
      </c>
      <c r="X14" s="10">
        <v>0.45754295832085001</v>
      </c>
      <c r="Y14" s="10">
        <v>0.5</v>
      </c>
      <c r="Z14" s="10">
        <v>4.2500000000000003E-2</v>
      </c>
      <c r="AA14" s="9">
        <v>50436200019</v>
      </c>
      <c r="AB14" s="10">
        <v>0.32427281280856002</v>
      </c>
      <c r="AC14" s="10">
        <v>0.5</v>
      </c>
      <c r="AD14" s="10">
        <v>0.1757</v>
      </c>
      <c r="AE14" s="9">
        <v>214162022419.51999</v>
      </c>
      <c r="AF14" s="10">
        <v>0.29651191609784</v>
      </c>
      <c r="AG14" s="10">
        <v>0.5</v>
      </c>
      <c r="AH14" s="10">
        <v>0.20349999999999999</v>
      </c>
      <c r="AI14" s="9">
        <v>6682705470.2399998</v>
      </c>
      <c r="AJ14" s="10">
        <v>0.36492255163825998</v>
      </c>
      <c r="AK14" s="10">
        <v>0.5</v>
      </c>
      <c r="AL14" s="10">
        <v>0.1351</v>
      </c>
      <c r="AM14" s="9">
        <v>12339027707.4</v>
      </c>
      <c r="AN14" s="10">
        <f>+AM14/AM135</f>
        <v>0.49137262040261437</v>
      </c>
      <c r="AO14" s="10">
        <v>0.5</v>
      </c>
      <c r="AP14" s="10">
        <f>+AO14-AN14</f>
        <v>8.6273795973856315E-3</v>
      </c>
      <c r="AQ14" s="9">
        <v>19021733177.639999</v>
      </c>
      <c r="AR14" s="10">
        <v>0.43804640936931999</v>
      </c>
      <c r="AS14" s="10">
        <v>0.5</v>
      </c>
      <c r="AT14" s="10">
        <v>6.2E-2</v>
      </c>
      <c r="AU14" s="9">
        <v>14774020729.57</v>
      </c>
      <c r="AV14" s="10">
        <f>+AU14/AU135</f>
        <v>0.28560202605767909</v>
      </c>
      <c r="AW14" s="10">
        <v>0.5</v>
      </c>
      <c r="AX14" s="10">
        <f>+AW14-AV14</f>
        <v>0.21439797394232091</v>
      </c>
      <c r="AY14" s="9">
        <v>247957776326.73001</v>
      </c>
      <c r="AZ14" s="10">
        <v>0.30334023214515998</v>
      </c>
      <c r="BA14" s="10">
        <v>0.5</v>
      </c>
      <c r="BB14" s="10">
        <v>0.19670000000000001</v>
      </c>
    </row>
    <row r="15" spans="1:54" s="7" customFormat="1">
      <c r="A15" s="3" t="s">
        <v>33</v>
      </c>
      <c r="B15" s="23" t="s">
        <v>29</v>
      </c>
      <c r="C15" s="2">
        <v>716806479.78999996</v>
      </c>
      <c r="D15" s="1">
        <v>0.28311103167518997</v>
      </c>
      <c r="E15" s="10" t="s">
        <v>26</v>
      </c>
      <c r="F15" s="10" t="s">
        <v>26</v>
      </c>
      <c r="G15" s="2">
        <v>14527638121.690001</v>
      </c>
      <c r="H15" s="1">
        <v>0.29083192032076</v>
      </c>
      <c r="I15" s="9" t="s">
        <v>26</v>
      </c>
      <c r="J15" s="10" t="s">
        <v>26</v>
      </c>
      <c r="K15" s="2">
        <v>256709835.25999999</v>
      </c>
      <c r="L15" s="1">
        <v>0.25535250959532002</v>
      </c>
      <c r="M15" s="1" t="s">
        <v>26</v>
      </c>
      <c r="N15" s="1" t="s">
        <v>26</v>
      </c>
      <c r="O15" s="2">
        <v>18509855903.639999</v>
      </c>
      <c r="P15" s="1">
        <v>0.26162379329163998</v>
      </c>
      <c r="Q15" s="1" t="s">
        <v>26</v>
      </c>
      <c r="R15" s="1" t="s">
        <v>26</v>
      </c>
      <c r="S15" s="2">
        <v>10633788893.92</v>
      </c>
      <c r="T15" s="1">
        <v>0.29396443587582</v>
      </c>
      <c r="U15" s="1" t="s">
        <v>26</v>
      </c>
      <c r="V15" s="1" t="s">
        <v>26</v>
      </c>
      <c r="W15" s="2">
        <v>1127035505.6700001</v>
      </c>
      <c r="X15" s="1">
        <v>0.34018708026227001</v>
      </c>
      <c r="Y15" s="1" t="s">
        <v>26</v>
      </c>
      <c r="Z15" s="1" t="s">
        <v>26</v>
      </c>
      <c r="AA15" s="2">
        <v>18071601196.130001</v>
      </c>
      <c r="AB15" s="1">
        <v>0.35830616083928002</v>
      </c>
      <c r="AC15" s="1" t="s">
        <v>26</v>
      </c>
      <c r="AD15" s="1" t="s">
        <v>26</v>
      </c>
      <c r="AE15" s="2">
        <v>63843435936.099998</v>
      </c>
      <c r="AF15" s="1">
        <v>0.29810811092845002</v>
      </c>
      <c r="AG15" s="1" t="s">
        <v>26</v>
      </c>
      <c r="AH15" s="1" t="s">
        <v>26</v>
      </c>
      <c r="AI15" s="2">
        <v>1590284852.0899999</v>
      </c>
      <c r="AJ15" s="1">
        <v>0.23797021418525999</v>
      </c>
      <c r="AK15" s="1" t="s">
        <v>26</v>
      </c>
      <c r="AL15" s="1" t="s">
        <v>26</v>
      </c>
      <c r="AM15" s="2">
        <v>6307282972.5299997</v>
      </c>
      <c r="AN15" s="1">
        <v>0.51116531400179999</v>
      </c>
      <c r="AO15" s="1" t="s">
        <v>26</v>
      </c>
      <c r="AP15" s="1" t="s">
        <v>26</v>
      </c>
      <c r="AQ15" s="2">
        <v>7897567824.6199999</v>
      </c>
      <c r="AR15" s="1">
        <v>0.41518655271138</v>
      </c>
      <c r="AS15" s="1" t="s">
        <v>26</v>
      </c>
      <c r="AT15" s="1" t="s">
        <v>26</v>
      </c>
      <c r="AU15" s="2">
        <v>6095572325.9200001</v>
      </c>
      <c r="AV15" s="1">
        <v>0.41258723251415003</v>
      </c>
      <c r="AW15" s="1" t="s">
        <v>26</v>
      </c>
      <c r="AX15" s="1" t="s">
        <v>26</v>
      </c>
      <c r="AY15" s="2">
        <v>77836576086.639999</v>
      </c>
      <c r="AZ15" s="1">
        <v>0.31391060703849999</v>
      </c>
      <c r="BA15" s="1" t="s">
        <v>26</v>
      </c>
      <c r="BB15" s="1" t="s">
        <v>26</v>
      </c>
    </row>
    <row r="16" spans="1:54" s="25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2890897491.9200001</v>
      </c>
      <c r="H16" s="1">
        <v>5.7873500288409999E-2</v>
      </c>
      <c r="I16" s="9" t="s">
        <v>26</v>
      </c>
      <c r="J16" s="10" t="s">
        <v>26</v>
      </c>
      <c r="K16" s="2">
        <v>58488393.100000001</v>
      </c>
      <c r="L16" s="1">
        <v>5.8179142007380003E-2</v>
      </c>
      <c r="M16" s="1" t="s">
        <v>26</v>
      </c>
      <c r="N16" s="1" t="s">
        <v>26</v>
      </c>
      <c r="O16" s="2">
        <v>3900837603.4000001</v>
      </c>
      <c r="P16" s="1">
        <v>5.513559565936E-2</v>
      </c>
      <c r="Q16" s="1" t="s">
        <v>26</v>
      </c>
      <c r="R16" s="1" t="s">
        <v>26</v>
      </c>
      <c r="S16" s="2">
        <v>149805646.5</v>
      </c>
      <c r="T16" s="1">
        <v>4.14128330021E-3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10004257714.74</v>
      </c>
      <c r="AB16" s="1">
        <v>0.19835470774902</v>
      </c>
      <c r="AC16" s="1" t="s">
        <v>26</v>
      </c>
      <c r="AD16" s="1" t="s">
        <v>26</v>
      </c>
      <c r="AE16" s="2">
        <v>17004286849.66</v>
      </c>
      <c r="AF16" s="1">
        <v>7.9399170112200004E-2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1091538483.53</v>
      </c>
      <c r="AN16" s="1">
        <v>8.8462276721800001E-2</v>
      </c>
      <c r="AO16" s="1" t="s">
        <v>26</v>
      </c>
      <c r="AP16" s="1" t="s">
        <v>26</v>
      </c>
      <c r="AQ16" s="2">
        <v>1091538483.53</v>
      </c>
      <c r="AR16" s="1">
        <v>5.7383755377930001E-2</v>
      </c>
      <c r="AS16" s="1" t="s">
        <v>26</v>
      </c>
      <c r="AT16" s="1" t="s">
        <v>26</v>
      </c>
      <c r="AU16" s="2">
        <v>599222586</v>
      </c>
      <c r="AV16" s="1">
        <v>4.0559208421890001E-2</v>
      </c>
      <c r="AW16" s="1" t="s">
        <v>26</v>
      </c>
      <c r="AX16" s="1" t="s">
        <v>26</v>
      </c>
      <c r="AY16" s="2">
        <v>18695047919.189999</v>
      </c>
      <c r="AZ16" s="1">
        <v>7.5396094432450003E-2</v>
      </c>
      <c r="BA16" s="1" t="s">
        <v>26</v>
      </c>
      <c r="BB16" s="1" t="s">
        <v>26</v>
      </c>
    </row>
    <row r="17" spans="1:55" s="7" customFormat="1">
      <c r="A17" s="3" t="s">
        <v>36</v>
      </c>
      <c r="B17" s="23" t="s">
        <v>29</v>
      </c>
      <c r="C17" s="2">
        <v>1815085250.28</v>
      </c>
      <c r="D17" s="1">
        <v>0.71688896832480997</v>
      </c>
      <c r="E17" s="10" t="s">
        <v>26</v>
      </c>
      <c r="F17" s="10" t="s">
        <v>26</v>
      </c>
      <c r="G17" s="2">
        <v>32533471393.279999</v>
      </c>
      <c r="H17" s="1">
        <v>0.65129457939083002</v>
      </c>
      <c r="I17" s="9" t="s">
        <v>26</v>
      </c>
      <c r="J17" s="10" t="s">
        <v>26</v>
      </c>
      <c r="K17" s="2">
        <v>690117269.28999996</v>
      </c>
      <c r="L17" s="1">
        <v>0.68646834839728998</v>
      </c>
      <c r="M17" s="1" t="s">
        <v>26</v>
      </c>
      <c r="N17" s="1" t="s">
        <v>26</v>
      </c>
      <c r="O17" s="2">
        <v>48339201488.199997</v>
      </c>
      <c r="P17" s="1">
        <v>0.68324061104899003</v>
      </c>
      <c r="Q17" s="1" t="s">
        <v>26</v>
      </c>
      <c r="R17" s="1" t="s">
        <v>26</v>
      </c>
      <c r="S17" s="2">
        <v>25390131244.599998</v>
      </c>
      <c r="T17" s="1">
        <v>0.70189428082396998</v>
      </c>
      <c r="U17" s="1" t="s">
        <v>26</v>
      </c>
      <c r="V17" s="1" t="s">
        <v>26</v>
      </c>
      <c r="W17" s="2">
        <v>2185951879.98</v>
      </c>
      <c r="X17" s="1">
        <v>0.65981291973773004</v>
      </c>
      <c r="Y17" s="1" t="s">
        <v>25</v>
      </c>
      <c r="Z17" s="1" t="s">
        <v>25</v>
      </c>
      <c r="AA17" s="2">
        <v>22360341108.130001</v>
      </c>
      <c r="AB17" s="1">
        <v>0.4433391314117</v>
      </c>
      <c r="AC17" s="1" t="s">
        <v>26</v>
      </c>
      <c r="AD17" s="1" t="s">
        <v>26</v>
      </c>
      <c r="AE17" s="2">
        <v>133314299633.75999</v>
      </c>
      <c r="AF17" s="1">
        <v>0.62249271895934999</v>
      </c>
      <c r="AG17" s="1" t="s">
        <v>26</v>
      </c>
      <c r="AH17" s="1" t="s">
        <v>26</v>
      </c>
      <c r="AI17" s="2">
        <v>5092420618.1499996</v>
      </c>
      <c r="AJ17" s="1">
        <v>0.76202978581474001</v>
      </c>
      <c r="AK17" s="1" t="s">
        <v>26</v>
      </c>
      <c r="AL17" s="1" t="s">
        <v>26</v>
      </c>
      <c r="AM17" s="2">
        <v>4940206251.3400002</v>
      </c>
      <c r="AN17" s="1">
        <v>0.4003724092764</v>
      </c>
      <c r="AO17" s="1" t="s">
        <v>26</v>
      </c>
      <c r="AP17" s="1" t="s">
        <v>26</v>
      </c>
      <c r="AQ17" s="2">
        <v>10032626869.49</v>
      </c>
      <c r="AR17" s="1">
        <v>0.52742969191069</v>
      </c>
      <c r="AS17" s="1" t="s">
        <v>26</v>
      </c>
      <c r="AT17" s="1" t="s">
        <v>26</v>
      </c>
      <c r="AU17" s="2">
        <v>8079225817.6499996</v>
      </c>
      <c r="AV17" s="1">
        <v>0.54685355906394995</v>
      </c>
      <c r="AW17" s="1" t="s">
        <v>26</v>
      </c>
      <c r="AX17" s="1" t="s">
        <v>26</v>
      </c>
      <c r="AY17" s="2">
        <v>151426152320.89999</v>
      </c>
      <c r="AZ17" s="1">
        <v>0.61069329852904997</v>
      </c>
      <c r="BA17" s="1" t="s">
        <v>26</v>
      </c>
      <c r="BB17" s="1" t="s">
        <v>26</v>
      </c>
    </row>
    <row r="18" spans="1:55" s="28" customFormat="1">
      <c r="A18" s="12" t="s">
        <v>37</v>
      </c>
      <c r="B18" s="40" t="s">
        <v>25</v>
      </c>
      <c r="C18" s="42">
        <v>230629276.53</v>
      </c>
      <c r="D18" s="43">
        <v>2.9676048324179999E-2</v>
      </c>
      <c r="E18" s="43" t="s">
        <v>26</v>
      </c>
      <c r="F18" s="43" t="s">
        <v>26</v>
      </c>
      <c r="G18" s="42">
        <v>9902487814.9099998</v>
      </c>
      <c r="H18" s="43">
        <v>5.7705020788809999E-2</v>
      </c>
      <c r="I18" s="43" t="s">
        <v>26</v>
      </c>
      <c r="J18" s="43" t="s">
        <v>26</v>
      </c>
      <c r="K18" s="42">
        <v>626349459.39999998</v>
      </c>
      <c r="L18" s="43">
        <v>0.16023234954571999</v>
      </c>
      <c r="M18" s="43" t="s">
        <v>26</v>
      </c>
      <c r="N18" s="43" t="s">
        <v>26</v>
      </c>
      <c r="O18" s="42">
        <v>19096556060.220001</v>
      </c>
      <c r="P18" s="43">
        <v>7.567789245421E-2</v>
      </c>
      <c r="Q18" s="43" t="s">
        <v>26</v>
      </c>
      <c r="R18" s="43" t="s">
        <v>26</v>
      </c>
      <c r="S18" s="42">
        <v>5447991391.0600004</v>
      </c>
      <c r="T18" s="43">
        <v>4.3982148889119999E-2</v>
      </c>
      <c r="U18" s="43" t="s">
        <v>26</v>
      </c>
      <c r="V18" s="43" t="s">
        <v>26</v>
      </c>
      <c r="W18" s="42">
        <v>1180575119.28</v>
      </c>
      <c r="X18" s="43">
        <v>0.16304433724531001</v>
      </c>
      <c r="Y18" s="43" t="s">
        <v>26</v>
      </c>
      <c r="Z18" s="43" t="s">
        <v>26</v>
      </c>
      <c r="AA18" s="42">
        <v>15221944057.200001</v>
      </c>
      <c r="AB18" s="43">
        <v>9.7867456588389995E-2</v>
      </c>
      <c r="AC18" s="43" t="s">
        <v>26</v>
      </c>
      <c r="AD18" s="43" t="s">
        <v>26</v>
      </c>
      <c r="AE18" s="42">
        <v>51706533178.599998</v>
      </c>
      <c r="AF18" s="43">
        <v>7.1588804842020001E-2</v>
      </c>
      <c r="AG18" s="43" t="s">
        <v>26</v>
      </c>
      <c r="AH18" s="43" t="s">
        <v>26</v>
      </c>
      <c r="AI18" s="42">
        <v>967065121.45000005</v>
      </c>
      <c r="AJ18" s="43">
        <v>5.2808532905049999E-2</v>
      </c>
      <c r="AK18" s="43" t="s">
        <v>26</v>
      </c>
      <c r="AL18" s="43" t="s">
        <v>26</v>
      </c>
      <c r="AM18" s="42">
        <v>1743520035.3199999</v>
      </c>
      <c r="AN18" s="43">
        <v>6.9431565338479995E-2</v>
      </c>
      <c r="AO18" s="43" t="s">
        <v>26</v>
      </c>
      <c r="AP18" s="43" t="s">
        <v>26</v>
      </c>
      <c r="AQ18" s="42">
        <v>2710585156.77</v>
      </c>
      <c r="AR18" s="43">
        <v>6.2421341111469998E-2</v>
      </c>
      <c r="AS18" s="43" t="s">
        <v>26</v>
      </c>
      <c r="AT18" s="43" t="s">
        <v>26</v>
      </c>
      <c r="AU18" s="42">
        <v>3008667869.0100002</v>
      </c>
      <c r="AV18" s="43">
        <v>5.8161664644479999E-2</v>
      </c>
      <c r="AW18" s="43" t="s">
        <v>26</v>
      </c>
      <c r="AX18" s="43" t="s">
        <v>26</v>
      </c>
      <c r="AY18" s="42">
        <v>57425786204.379997</v>
      </c>
      <c r="AZ18" s="43">
        <v>7.0252087175529998E-2</v>
      </c>
      <c r="BA18" s="43" t="s">
        <v>26</v>
      </c>
      <c r="BB18" s="43" t="s">
        <v>26</v>
      </c>
    </row>
    <row r="19" spans="1:55" s="7" customFormat="1">
      <c r="A19" s="5" t="s">
        <v>38</v>
      </c>
      <c r="B19" s="20" t="s">
        <v>25</v>
      </c>
      <c r="C19" s="9">
        <v>11634697.85</v>
      </c>
      <c r="D19" s="10">
        <v>1.49708597637E-3</v>
      </c>
      <c r="E19" s="10">
        <v>0.15</v>
      </c>
      <c r="F19" s="10">
        <v>0.14849999999999999</v>
      </c>
      <c r="G19" s="9">
        <v>4959046920.0500002</v>
      </c>
      <c r="H19" s="10">
        <v>2.8897981089489998E-2</v>
      </c>
      <c r="I19" s="10">
        <v>0.15</v>
      </c>
      <c r="J19" s="10">
        <v>0.1211</v>
      </c>
      <c r="K19" s="2" t="s">
        <v>26</v>
      </c>
      <c r="L19" s="1" t="s">
        <v>26</v>
      </c>
      <c r="M19" s="1" t="s">
        <v>26</v>
      </c>
      <c r="N19" s="1" t="s">
        <v>26</v>
      </c>
      <c r="O19" s="9">
        <v>7728601539.8000002</v>
      </c>
      <c r="P19" s="10">
        <v>3.0627735928199999E-2</v>
      </c>
      <c r="Q19" s="10">
        <v>0.14219999999999999</v>
      </c>
      <c r="R19" s="10">
        <v>0.1116</v>
      </c>
      <c r="S19" s="9">
        <v>1653987805.99</v>
      </c>
      <c r="T19" s="10">
        <v>1.335279972417E-2</v>
      </c>
      <c r="U19" s="10">
        <v>0.05</v>
      </c>
      <c r="V19" s="10">
        <v>3.6600000000000001E-2</v>
      </c>
      <c r="W19" s="9">
        <v>56507725.350000001</v>
      </c>
      <c r="X19" s="10">
        <v>7.8040477716899998E-3</v>
      </c>
      <c r="Y19" s="10">
        <v>0.15</v>
      </c>
      <c r="Z19" s="10">
        <v>0.14219999999999999</v>
      </c>
      <c r="AA19" s="9">
        <v>5435964930.5100002</v>
      </c>
      <c r="AB19" s="10">
        <v>3.4949810605900002E-2</v>
      </c>
      <c r="AC19" s="10">
        <v>0.1389</v>
      </c>
      <c r="AD19" s="10">
        <v>0.104</v>
      </c>
      <c r="AE19" s="9">
        <v>19845743619.549999</v>
      </c>
      <c r="AF19" s="10">
        <v>2.7476857943990001E-2</v>
      </c>
      <c r="AG19" s="10">
        <v>0.1431</v>
      </c>
      <c r="AH19" s="10">
        <v>0.11559999999999999</v>
      </c>
      <c r="AI19" s="9">
        <v>421062027.24000001</v>
      </c>
      <c r="AJ19" s="10">
        <v>2.2992937525480001E-2</v>
      </c>
      <c r="AK19" s="10">
        <v>0.05</v>
      </c>
      <c r="AL19" s="10">
        <v>2.7E-2</v>
      </c>
      <c r="AM19" s="9">
        <v>123949999.79000001</v>
      </c>
      <c r="AN19" s="10">
        <v>4.9360158385200002E-3</v>
      </c>
      <c r="AO19" s="10">
        <v>0.15</v>
      </c>
      <c r="AP19" s="10">
        <v>0.14510000000000001</v>
      </c>
      <c r="AQ19" s="9">
        <v>545012027.02999997</v>
      </c>
      <c r="AR19" s="10">
        <v>1.2550936303970001E-2</v>
      </c>
      <c r="AS19" s="10">
        <v>0.1401</v>
      </c>
      <c r="AT19" s="10">
        <v>0.1275</v>
      </c>
      <c r="AU19" s="9">
        <v>706768513.71000004</v>
      </c>
      <c r="AV19" s="10">
        <v>1.366280196598E-2</v>
      </c>
      <c r="AW19" s="10">
        <v>0.05</v>
      </c>
      <c r="AX19" s="10">
        <v>3.6299999999999999E-2</v>
      </c>
      <c r="AY19" s="9">
        <v>21097524160.290001</v>
      </c>
      <c r="AZ19" s="10">
        <v>2.5809748624449999E-2</v>
      </c>
      <c r="BA19" s="10">
        <v>0.14280000000000001</v>
      </c>
      <c r="BB19" s="10">
        <v>0.11700000000000001</v>
      </c>
    </row>
    <row r="20" spans="1:55" s="7" customFormat="1">
      <c r="A20" s="3" t="s">
        <v>39</v>
      </c>
      <c r="B20" s="23" t="s">
        <v>40</v>
      </c>
      <c r="C20" s="9" t="s">
        <v>26</v>
      </c>
      <c r="D20" s="10" t="s">
        <v>26</v>
      </c>
      <c r="E20" s="9" t="s">
        <v>26</v>
      </c>
      <c r="F20" s="10" t="s">
        <v>26</v>
      </c>
      <c r="G20" s="9" t="s">
        <v>26</v>
      </c>
      <c r="H20" s="10" t="s">
        <v>26</v>
      </c>
      <c r="I20" s="9" t="s">
        <v>26</v>
      </c>
      <c r="J20" s="10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4036414080</v>
      </c>
      <c r="P20" s="1">
        <v>0.52226965761058997</v>
      </c>
      <c r="Q20" s="1" t="s">
        <v>26</v>
      </c>
      <c r="R20" s="1" t="s">
        <v>26</v>
      </c>
      <c r="S20" s="2">
        <v>994976070.72000003</v>
      </c>
      <c r="T20" s="1">
        <v>0.60156191425150995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4036414080</v>
      </c>
      <c r="AB20" s="1">
        <v>0.74253865350476</v>
      </c>
      <c r="AC20" s="1" t="s">
        <v>26</v>
      </c>
      <c r="AD20" s="1" t="s">
        <v>26</v>
      </c>
      <c r="AE20" s="2">
        <v>9067804230.7199993</v>
      </c>
      <c r="AF20" s="1">
        <v>0.45691430890940998</v>
      </c>
      <c r="AG20" s="1" t="s">
        <v>26</v>
      </c>
      <c r="AH20" s="1" t="s">
        <v>26</v>
      </c>
      <c r="AI20" s="2">
        <v>361259060.16000003</v>
      </c>
      <c r="AJ20" s="1">
        <v>0.85797112251607999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361259060.16000003</v>
      </c>
      <c r="AR20" s="1">
        <v>0.66284603319426005</v>
      </c>
      <c r="AS20" s="1" t="s">
        <v>26</v>
      </c>
      <c r="AT20" s="1" t="s">
        <v>26</v>
      </c>
      <c r="AU20" s="2">
        <v>644817149.27999997</v>
      </c>
      <c r="AV20" s="1">
        <v>0.91234560789246</v>
      </c>
      <c r="AW20" s="1" t="s">
        <v>26</v>
      </c>
      <c r="AX20" s="1" t="s">
        <v>26</v>
      </c>
      <c r="AY20" s="2">
        <v>10073880440.16</v>
      </c>
      <c r="AZ20" s="1">
        <v>0.47749111998275001</v>
      </c>
      <c r="BA20" s="1" t="s">
        <v>26</v>
      </c>
      <c r="BB20" s="1" t="s">
        <v>26</v>
      </c>
    </row>
    <row r="21" spans="1:55" s="25" customFormat="1">
      <c r="A21" s="3" t="s">
        <v>41</v>
      </c>
      <c r="B21" s="23" t="s">
        <v>35</v>
      </c>
      <c r="C21" s="2">
        <v>11634697.85</v>
      </c>
      <c r="D21" s="1">
        <v>1</v>
      </c>
      <c r="E21" s="9" t="s">
        <v>26</v>
      </c>
      <c r="F21" s="10" t="s">
        <v>26</v>
      </c>
      <c r="G21" s="2">
        <v>4959046920.0500002</v>
      </c>
      <c r="H21" s="1">
        <v>1</v>
      </c>
      <c r="I21" s="9" t="s">
        <v>26</v>
      </c>
      <c r="J21" s="10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3692187459.8000002</v>
      </c>
      <c r="P21" s="1">
        <v>0.47773034238940998</v>
      </c>
      <c r="Q21" s="1" t="s">
        <v>26</v>
      </c>
      <c r="R21" s="1" t="s">
        <v>26</v>
      </c>
      <c r="S21" s="2">
        <v>659011735.26999998</v>
      </c>
      <c r="T21" s="1">
        <v>0.39843808574848999</v>
      </c>
      <c r="U21" s="1" t="s">
        <v>26</v>
      </c>
      <c r="V21" s="1" t="s">
        <v>26</v>
      </c>
      <c r="W21" s="2">
        <v>56507725.350000001</v>
      </c>
      <c r="X21" s="1">
        <v>1</v>
      </c>
      <c r="Y21" s="1" t="s">
        <v>26</v>
      </c>
      <c r="Z21" s="1" t="s">
        <v>26</v>
      </c>
      <c r="AA21" s="2">
        <v>1399550850.51</v>
      </c>
      <c r="AB21" s="1">
        <v>0.25746134649524</v>
      </c>
      <c r="AC21" s="1" t="s">
        <v>26</v>
      </c>
      <c r="AD21" s="1" t="s">
        <v>26</v>
      </c>
      <c r="AE21" s="2">
        <v>10777939388.83</v>
      </c>
      <c r="AF21" s="1">
        <v>0.54308569109059002</v>
      </c>
      <c r="AG21" s="1" t="s">
        <v>26</v>
      </c>
      <c r="AH21" s="1" t="s">
        <v>26</v>
      </c>
      <c r="AI21" s="2">
        <v>59802967.079999998</v>
      </c>
      <c r="AJ21" s="1">
        <v>0.14202887748392001</v>
      </c>
      <c r="AK21" s="1" t="s">
        <v>26</v>
      </c>
      <c r="AL21" s="1" t="s">
        <v>26</v>
      </c>
      <c r="AM21" s="2">
        <v>123949999.79000001</v>
      </c>
      <c r="AN21" s="1">
        <v>1</v>
      </c>
      <c r="AO21" s="1" t="s">
        <v>26</v>
      </c>
      <c r="AP21" s="1" t="s">
        <v>26</v>
      </c>
      <c r="AQ21" s="2">
        <v>183752966.87</v>
      </c>
      <c r="AR21" s="1">
        <v>0.33715396680574</v>
      </c>
      <c r="AS21" s="1" t="s">
        <v>26</v>
      </c>
      <c r="AT21" s="1" t="s">
        <v>26</v>
      </c>
      <c r="AU21" s="2">
        <v>61951364.43</v>
      </c>
      <c r="AV21" s="1">
        <v>8.7654392107540002E-2</v>
      </c>
      <c r="AW21" s="1" t="s">
        <v>26</v>
      </c>
      <c r="AX21" s="1" t="s">
        <v>26</v>
      </c>
      <c r="AY21" s="2">
        <v>11023643720.129999</v>
      </c>
      <c r="AZ21" s="1">
        <v>0.52250888001725004</v>
      </c>
      <c r="BA21" s="1" t="s">
        <v>26</v>
      </c>
      <c r="BB21" s="1" t="s">
        <v>26</v>
      </c>
    </row>
    <row r="22" spans="1:55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9" t="s">
        <v>26</v>
      </c>
      <c r="F22" s="10" t="s">
        <v>26</v>
      </c>
      <c r="G22" s="9" t="s">
        <v>26</v>
      </c>
      <c r="H22" s="10" t="s">
        <v>26</v>
      </c>
      <c r="I22" s="9" t="s">
        <v>26</v>
      </c>
      <c r="J22" s="10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9">
        <v>3899999.98</v>
      </c>
      <c r="T22" s="10">
        <v>3.1485068070000002E-5</v>
      </c>
      <c r="U22" s="10">
        <v>0.15</v>
      </c>
      <c r="V22" s="10">
        <v>0.15</v>
      </c>
      <c r="W22" s="9">
        <v>59024874.759999998</v>
      </c>
      <c r="X22" s="10">
        <v>8.1516808452699995E-3</v>
      </c>
      <c r="Y22" s="10">
        <v>0.15</v>
      </c>
      <c r="Z22" s="10">
        <v>0.14180000000000001</v>
      </c>
      <c r="AA22" s="9">
        <v>154931321.53999999</v>
      </c>
      <c r="AB22" s="10">
        <v>9.9611024243000004E-4</v>
      </c>
      <c r="AC22" s="10">
        <v>0.15</v>
      </c>
      <c r="AD22" s="10">
        <v>0.14899999999999999</v>
      </c>
      <c r="AE22" s="9">
        <v>217856196.28</v>
      </c>
      <c r="AF22" s="10">
        <v>3.0162657909000001E-4</v>
      </c>
      <c r="AG22" s="10">
        <v>0.15</v>
      </c>
      <c r="AH22" s="10">
        <v>0.1497</v>
      </c>
      <c r="AI22" s="1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9">
        <v>73986424.829999998</v>
      </c>
      <c r="AV22" s="10">
        <v>1.43025877782E-3</v>
      </c>
      <c r="AW22" s="10">
        <v>0.15</v>
      </c>
      <c r="AX22" s="10">
        <v>0.14860000000000001</v>
      </c>
      <c r="AY22" s="9">
        <v>291842621.11000001</v>
      </c>
      <c r="AZ22" s="10">
        <v>3.5702694930000002E-4</v>
      </c>
      <c r="BA22" s="10">
        <v>0.15</v>
      </c>
      <c r="BB22" s="10">
        <v>0.14960000000000001</v>
      </c>
    </row>
    <row r="23" spans="1:55" s="28" customFormat="1">
      <c r="A23" s="3" t="s">
        <v>41</v>
      </c>
      <c r="B23" s="23" t="s">
        <v>35</v>
      </c>
      <c r="C23" s="9" t="s">
        <v>26</v>
      </c>
      <c r="D23" s="10" t="s">
        <v>26</v>
      </c>
      <c r="E23" s="9" t="s">
        <v>26</v>
      </c>
      <c r="F23" s="10" t="s">
        <v>26</v>
      </c>
      <c r="G23" s="9" t="s">
        <v>26</v>
      </c>
      <c r="H23" s="10" t="s">
        <v>26</v>
      </c>
      <c r="I23" s="9" t="s">
        <v>26</v>
      </c>
      <c r="J23" s="10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>
        <v>3899999.98</v>
      </c>
      <c r="T23" s="1">
        <v>1</v>
      </c>
      <c r="U23" s="1" t="s">
        <v>26</v>
      </c>
      <c r="V23" s="1" t="s">
        <v>26</v>
      </c>
      <c r="W23" s="2">
        <v>59024874.759999998</v>
      </c>
      <c r="X23" s="1">
        <v>1</v>
      </c>
      <c r="Y23" s="1" t="s">
        <v>26</v>
      </c>
      <c r="Z23" s="1" t="s">
        <v>26</v>
      </c>
      <c r="AA23" s="2">
        <v>154931321.53999999</v>
      </c>
      <c r="AB23" s="1">
        <v>1</v>
      </c>
      <c r="AC23" s="1" t="s">
        <v>26</v>
      </c>
      <c r="AD23" s="1" t="s">
        <v>26</v>
      </c>
      <c r="AE23" s="2">
        <v>217856196.28</v>
      </c>
      <c r="AF23" s="1">
        <v>1</v>
      </c>
      <c r="AG23" s="1" t="s">
        <v>26</v>
      </c>
      <c r="AH23" s="1" t="s">
        <v>26</v>
      </c>
      <c r="AI23" s="1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>
        <v>73986424.829999998</v>
      </c>
      <c r="AV23" s="1">
        <v>1</v>
      </c>
      <c r="AW23" s="1" t="s">
        <v>26</v>
      </c>
      <c r="AX23" s="1" t="s">
        <v>26</v>
      </c>
      <c r="AY23" s="2">
        <v>291842621.11000001</v>
      </c>
      <c r="AZ23" s="1">
        <v>1</v>
      </c>
      <c r="BA23" s="1" t="s">
        <v>26</v>
      </c>
      <c r="BB23" s="1" t="s">
        <v>26</v>
      </c>
    </row>
    <row r="24" spans="1:55" s="7" customFormat="1">
      <c r="A24" s="5" t="s">
        <v>43</v>
      </c>
      <c r="B24" s="20" t="s">
        <v>25</v>
      </c>
      <c r="C24" s="9">
        <v>169541724.13999999</v>
      </c>
      <c r="D24" s="10">
        <v>2.1815653564209999E-2</v>
      </c>
      <c r="E24" s="10">
        <v>0.13500000000000001</v>
      </c>
      <c r="F24" s="10">
        <v>0.1132</v>
      </c>
      <c r="G24" s="9" t="s">
        <v>26</v>
      </c>
      <c r="H24" s="10" t="s">
        <v>26</v>
      </c>
      <c r="I24" s="9" t="s">
        <v>26</v>
      </c>
      <c r="J24" s="10" t="s">
        <v>26</v>
      </c>
      <c r="K24" s="9">
        <v>70925510.489999995</v>
      </c>
      <c r="L24" s="10">
        <v>1.8144122291460001E-2</v>
      </c>
      <c r="M24" s="10">
        <v>0.13500000000000001</v>
      </c>
      <c r="N24" s="10">
        <v>0.1169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9">
        <v>240467234.63</v>
      </c>
      <c r="AF24" s="10">
        <v>3.3293204693000001E-4</v>
      </c>
      <c r="AG24" s="10">
        <v>0.13500000000000001</v>
      </c>
      <c r="AH24" s="10">
        <v>0.13469999999999999</v>
      </c>
      <c r="AI24" s="1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9">
        <v>240467234.63</v>
      </c>
      <c r="AZ24" s="10">
        <v>2.9417664514000001E-4</v>
      </c>
      <c r="BA24" s="10">
        <v>0.13500000000000001</v>
      </c>
      <c r="BB24" s="10">
        <v>0.13469999999999999</v>
      </c>
    </row>
    <row r="25" spans="1:55" s="7" customFormat="1">
      <c r="A25" s="3" t="s">
        <v>41</v>
      </c>
      <c r="B25" s="23" t="s">
        <v>44</v>
      </c>
      <c r="C25" s="2">
        <v>169541724.13999999</v>
      </c>
      <c r="D25" s="1">
        <v>1</v>
      </c>
      <c r="E25" s="9" t="s">
        <v>26</v>
      </c>
      <c r="F25" s="10" t="s">
        <v>26</v>
      </c>
      <c r="G25" s="9" t="s">
        <v>26</v>
      </c>
      <c r="H25" s="10" t="s">
        <v>26</v>
      </c>
      <c r="I25" s="9" t="s">
        <v>26</v>
      </c>
      <c r="J25" s="10" t="s">
        <v>26</v>
      </c>
      <c r="K25" s="2">
        <v>70925510.489999995</v>
      </c>
      <c r="L25" s="1">
        <v>1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240467234.63</v>
      </c>
      <c r="AF25" s="1">
        <v>1</v>
      </c>
      <c r="AG25" s="1" t="s">
        <v>26</v>
      </c>
      <c r="AH25" s="1" t="s">
        <v>26</v>
      </c>
      <c r="AI25" s="1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240467234.63</v>
      </c>
      <c r="AZ25" s="1">
        <v>1</v>
      </c>
      <c r="BA25" s="1" t="s">
        <v>26</v>
      </c>
      <c r="BB25" s="1" t="s">
        <v>26</v>
      </c>
      <c r="BC25" s="31"/>
    </row>
    <row r="26" spans="1:55" s="7" customFormat="1">
      <c r="A26" s="5" t="s">
        <v>45</v>
      </c>
      <c r="B26" s="20" t="s">
        <v>25</v>
      </c>
      <c r="C26" s="9">
        <v>20124488.800000001</v>
      </c>
      <c r="D26" s="10">
        <v>2.58950342781E-3</v>
      </c>
      <c r="E26" s="10">
        <v>0.13500000000000001</v>
      </c>
      <c r="F26" s="10">
        <v>0.13239999999999999</v>
      </c>
      <c r="G26" s="9">
        <v>1450362387.5999999</v>
      </c>
      <c r="H26" s="10">
        <v>8.4517338765899997E-3</v>
      </c>
      <c r="I26" s="10">
        <v>0.13500000000000001</v>
      </c>
      <c r="J26" s="10">
        <v>0.1265</v>
      </c>
      <c r="K26" s="2" t="s">
        <v>26</v>
      </c>
      <c r="L26" s="1" t="s">
        <v>26</v>
      </c>
      <c r="M26" s="1" t="s">
        <v>26</v>
      </c>
      <c r="N26" s="1" t="s">
        <v>26</v>
      </c>
      <c r="O26" s="9">
        <v>2391172745.79</v>
      </c>
      <c r="P26" s="10">
        <v>9.4759973120099993E-3</v>
      </c>
      <c r="Q26" s="10">
        <v>0.1399</v>
      </c>
      <c r="R26" s="10">
        <v>0.13039999999999999</v>
      </c>
      <c r="S26" s="9">
        <v>915627021.20000005</v>
      </c>
      <c r="T26" s="10">
        <v>7.3919433939300004E-3</v>
      </c>
      <c r="U26" s="10">
        <v>0.1368</v>
      </c>
      <c r="V26" s="10">
        <v>0.12939999999999999</v>
      </c>
      <c r="W26" s="2" t="s">
        <v>26</v>
      </c>
      <c r="X26" s="1" t="s">
        <v>26</v>
      </c>
      <c r="Y26" s="1" t="s">
        <v>26</v>
      </c>
      <c r="Z26" s="1" t="s">
        <v>26</v>
      </c>
      <c r="AA26" s="9">
        <v>3259831658.0799999</v>
      </c>
      <c r="AB26" s="10">
        <v>2.095865233007E-2</v>
      </c>
      <c r="AC26" s="10">
        <v>0.05</v>
      </c>
      <c r="AD26" s="10">
        <v>2.9000000000000001E-2</v>
      </c>
      <c r="AE26" s="9">
        <v>8037118301.4700003</v>
      </c>
      <c r="AF26" s="10">
        <v>1.1127562770240001E-2</v>
      </c>
      <c r="AG26" s="10">
        <v>0.13969999999999999</v>
      </c>
      <c r="AH26" s="10">
        <v>0.12859999999999999</v>
      </c>
      <c r="AI26" s="9">
        <v>69710516.109999999</v>
      </c>
      <c r="AJ26" s="10">
        <v>3.80668271678E-3</v>
      </c>
      <c r="AK26" s="10">
        <v>0.15</v>
      </c>
      <c r="AL26" s="10">
        <v>0.1462</v>
      </c>
      <c r="AM26" s="2" t="s">
        <v>26</v>
      </c>
      <c r="AN26" s="1" t="s">
        <v>26</v>
      </c>
      <c r="AO26" s="1" t="s">
        <v>26</v>
      </c>
      <c r="AP26" s="1" t="s">
        <v>26</v>
      </c>
      <c r="AQ26" s="9">
        <v>69710516.109999999</v>
      </c>
      <c r="AR26" s="10">
        <v>1.6053448438200001E-3</v>
      </c>
      <c r="AS26" s="10">
        <v>0.15</v>
      </c>
      <c r="AT26" s="10">
        <v>0.1484</v>
      </c>
      <c r="AU26" s="9">
        <v>1002349553.55</v>
      </c>
      <c r="AV26" s="10">
        <v>1.9376787710800002E-2</v>
      </c>
      <c r="AW26" s="10">
        <v>0.1356</v>
      </c>
      <c r="AX26" s="10">
        <v>0.1162</v>
      </c>
      <c r="AY26" s="9">
        <v>9109178371.1299992</v>
      </c>
      <c r="AZ26" s="10">
        <v>1.1143753273979999E-2</v>
      </c>
      <c r="BA26" s="10">
        <v>0.13930000000000001</v>
      </c>
      <c r="BB26" s="10">
        <v>0.12820000000000001</v>
      </c>
    </row>
    <row r="27" spans="1:55" s="7" customFormat="1">
      <c r="A27" s="3" t="s">
        <v>39</v>
      </c>
      <c r="B27" s="23" t="s">
        <v>40</v>
      </c>
      <c r="C27" s="2">
        <v>20124488.800000001</v>
      </c>
      <c r="D27" s="1">
        <v>1</v>
      </c>
      <c r="E27" s="9" t="s">
        <v>26</v>
      </c>
      <c r="F27" s="10" t="s">
        <v>26</v>
      </c>
      <c r="G27" s="2">
        <v>1450362387.5999999</v>
      </c>
      <c r="H27" s="1">
        <v>1</v>
      </c>
      <c r="I27" s="9" t="s">
        <v>26</v>
      </c>
      <c r="J27" s="10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1613223890</v>
      </c>
      <c r="P27" s="1">
        <v>0.67465802830026</v>
      </c>
      <c r="Q27" s="1" t="s">
        <v>26</v>
      </c>
      <c r="R27" s="1" t="s">
        <v>26</v>
      </c>
      <c r="S27" s="2">
        <v>805912348</v>
      </c>
      <c r="T27" s="1">
        <v>0.88017536544934005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1638772470.5599999</v>
      </c>
      <c r="AB27" s="1">
        <v>0.50271690149950998</v>
      </c>
      <c r="AC27" s="1" t="s">
        <v>26</v>
      </c>
      <c r="AD27" s="1" t="s">
        <v>26</v>
      </c>
      <c r="AE27" s="2">
        <v>5528395584.96</v>
      </c>
      <c r="AF27" s="1">
        <v>0.68785793335265999</v>
      </c>
      <c r="AG27" s="1" t="s">
        <v>26</v>
      </c>
      <c r="AH27" s="1" t="s">
        <v>26</v>
      </c>
      <c r="AI27" s="1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959644402</v>
      </c>
      <c r="AV27" s="1">
        <v>0.95739495129343999</v>
      </c>
      <c r="AW27" s="1" t="s">
        <v>26</v>
      </c>
      <c r="AX27" s="1" t="s">
        <v>26</v>
      </c>
      <c r="AY27" s="2">
        <v>6488039986.96</v>
      </c>
      <c r="AZ27" s="1">
        <v>0.71225304002419998</v>
      </c>
      <c r="BA27" s="1" t="s">
        <v>26</v>
      </c>
      <c r="BB27" s="1" t="s">
        <v>26</v>
      </c>
    </row>
    <row r="28" spans="1:55" s="7" customFormat="1">
      <c r="A28" s="3" t="s">
        <v>41</v>
      </c>
      <c r="B28" s="23" t="s">
        <v>35</v>
      </c>
      <c r="C28" s="9" t="s">
        <v>26</v>
      </c>
      <c r="D28" s="10" t="s">
        <v>26</v>
      </c>
      <c r="E28" s="9" t="s">
        <v>26</v>
      </c>
      <c r="F28" s="10" t="s">
        <v>26</v>
      </c>
      <c r="G28" s="9" t="s">
        <v>26</v>
      </c>
      <c r="H28" s="10" t="s">
        <v>26</v>
      </c>
      <c r="I28" s="9" t="s">
        <v>26</v>
      </c>
      <c r="J28" s="10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>
        <v>777948855.78999996</v>
      </c>
      <c r="P28" s="1">
        <v>0.32534197169974</v>
      </c>
      <c r="Q28" s="1" t="s">
        <v>26</v>
      </c>
      <c r="R28" s="1" t="s">
        <v>26</v>
      </c>
      <c r="S28" s="2">
        <v>109714673.2</v>
      </c>
      <c r="T28" s="1">
        <v>0.11982463455066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1621059187.52</v>
      </c>
      <c r="AB28" s="1">
        <v>0.49728309850049002</v>
      </c>
      <c r="AC28" s="1" t="s">
        <v>26</v>
      </c>
      <c r="AD28" s="1" t="s">
        <v>26</v>
      </c>
      <c r="AE28" s="2">
        <v>2508722716.5100002</v>
      </c>
      <c r="AF28" s="1">
        <v>0.31214206664734001</v>
      </c>
      <c r="AG28" s="1" t="s">
        <v>26</v>
      </c>
      <c r="AH28" s="1" t="s">
        <v>26</v>
      </c>
      <c r="AI28" s="2">
        <v>69710516.109999999</v>
      </c>
      <c r="AJ28" s="1">
        <v>1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>
        <v>69710516.109999999</v>
      </c>
      <c r="AR28" s="1">
        <v>1</v>
      </c>
      <c r="AS28" s="1" t="s">
        <v>26</v>
      </c>
      <c r="AT28" s="1" t="s">
        <v>26</v>
      </c>
      <c r="AU28" s="2">
        <v>42705151.549999997</v>
      </c>
      <c r="AV28" s="1">
        <v>4.2605048706559998E-2</v>
      </c>
      <c r="AW28" s="1" t="s">
        <v>26</v>
      </c>
      <c r="AX28" s="1" t="s">
        <v>26</v>
      </c>
      <c r="AY28" s="2">
        <v>2621138384.1700001</v>
      </c>
      <c r="AZ28" s="1">
        <v>0.28774695997580002</v>
      </c>
      <c r="BA28" s="1" t="s">
        <v>26</v>
      </c>
      <c r="BB28" s="1" t="s">
        <v>26</v>
      </c>
    </row>
    <row r="29" spans="1:55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9" t="s">
        <v>26</v>
      </c>
      <c r="F29" s="10" t="s">
        <v>26</v>
      </c>
      <c r="G29" s="9" t="s">
        <v>26</v>
      </c>
      <c r="H29" s="10" t="s">
        <v>26</v>
      </c>
      <c r="I29" s="9" t="s">
        <v>26</v>
      </c>
      <c r="J29" s="10" t="s">
        <v>26</v>
      </c>
      <c r="K29" s="9">
        <v>119519595.81</v>
      </c>
      <c r="L29" s="10">
        <v>3.0575432557630001E-2</v>
      </c>
      <c r="M29" s="10">
        <v>0.13500000000000001</v>
      </c>
      <c r="N29" s="10">
        <v>0.10440000000000001</v>
      </c>
      <c r="O29" s="2" t="s">
        <v>26</v>
      </c>
      <c r="P29" s="1" t="s">
        <v>26</v>
      </c>
      <c r="Q29" s="1" t="s">
        <v>26</v>
      </c>
      <c r="R29" s="1" t="s">
        <v>26</v>
      </c>
      <c r="S29" s="9">
        <v>16416287.699999999</v>
      </c>
      <c r="T29" s="10">
        <v>1.325302406E-4</v>
      </c>
      <c r="U29" s="10">
        <v>0.13500000000000001</v>
      </c>
      <c r="V29" s="10">
        <v>0.13489999999999999</v>
      </c>
      <c r="W29" s="2" t="s">
        <v>26</v>
      </c>
      <c r="X29" s="1" t="s">
        <v>26</v>
      </c>
      <c r="Y29" s="1" t="s">
        <v>26</v>
      </c>
      <c r="Z29" s="1" t="s">
        <v>26</v>
      </c>
      <c r="AA29" s="2" t="s">
        <v>26</v>
      </c>
      <c r="AB29" s="1" t="s">
        <v>26</v>
      </c>
      <c r="AC29" s="1" t="s">
        <v>26</v>
      </c>
      <c r="AD29" s="1" t="s">
        <v>26</v>
      </c>
      <c r="AE29" s="9">
        <v>135935883.50999999</v>
      </c>
      <c r="AF29" s="10">
        <v>1.8820614799000001E-4</v>
      </c>
      <c r="AG29" s="10">
        <v>0.13500000000000001</v>
      </c>
      <c r="AH29" s="10">
        <v>0.1348</v>
      </c>
      <c r="AI29" s="1" t="s">
        <v>26</v>
      </c>
      <c r="AJ29" s="1" t="s">
        <v>26</v>
      </c>
      <c r="AK29" s="1" t="s">
        <v>26</v>
      </c>
      <c r="AL29" s="1" t="s">
        <v>26</v>
      </c>
      <c r="AM29" s="9">
        <v>670454088.24000001</v>
      </c>
      <c r="AN29" s="10">
        <v>2.6699249731040001E-2</v>
      </c>
      <c r="AO29" s="10">
        <v>0.13500000000000001</v>
      </c>
      <c r="AP29" s="10">
        <v>0.10829999999999999</v>
      </c>
      <c r="AQ29" s="9">
        <v>670454088.24000001</v>
      </c>
      <c r="AR29" s="10">
        <v>1.543970800441E-2</v>
      </c>
      <c r="AS29" s="10">
        <v>0.13500000000000001</v>
      </c>
      <c r="AT29" s="10">
        <v>0.1196</v>
      </c>
      <c r="AU29" s="9">
        <v>5605561.5999999996</v>
      </c>
      <c r="AV29" s="10">
        <v>1.0836317205E-4</v>
      </c>
      <c r="AW29" s="10">
        <v>0.13500000000000001</v>
      </c>
      <c r="AX29" s="10">
        <v>0.13489999999999999</v>
      </c>
      <c r="AY29" s="9">
        <v>811995533.35000002</v>
      </c>
      <c r="AZ29" s="10">
        <v>9.9335829364000008E-4</v>
      </c>
      <c r="BA29" s="10">
        <v>0.13500000000000001</v>
      </c>
      <c r="BB29" s="10">
        <v>0.13400000000000001</v>
      </c>
    </row>
    <row r="30" spans="1:55" s="7" customFormat="1">
      <c r="A30" s="3" t="s">
        <v>41</v>
      </c>
      <c r="B30" s="23" t="s">
        <v>44</v>
      </c>
      <c r="C30" s="9" t="s">
        <v>26</v>
      </c>
      <c r="D30" s="10" t="s">
        <v>26</v>
      </c>
      <c r="E30" s="9" t="s">
        <v>26</v>
      </c>
      <c r="F30" s="10" t="s">
        <v>26</v>
      </c>
      <c r="G30" s="9" t="s">
        <v>26</v>
      </c>
      <c r="H30" s="10" t="s">
        <v>26</v>
      </c>
      <c r="I30" s="9" t="s">
        <v>26</v>
      </c>
      <c r="J30" s="10" t="s">
        <v>26</v>
      </c>
      <c r="K30" s="2">
        <v>119519595.81</v>
      </c>
      <c r="L30" s="1">
        <v>1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16416287.699999999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135935883.50999999</v>
      </c>
      <c r="AF30" s="1">
        <v>1</v>
      </c>
      <c r="AG30" s="1" t="s">
        <v>26</v>
      </c>
      <c r="AH30" s="1" t="s">
        <v>26</v>
      </c>
      <c r="AI30" s="1" t="s">
        <v>26</v>
      </c>
      <c r="AJ30" s="1" t="s">
        <v>26</v>
      </c>
      <c r="AK30" s="1" t="s">
        <v>26</v>
      </c>
      <c r="AL30" s="1" t="s">
        <v>26</v>
      </c>
      <c r="AM30" s="2">
        <v>670454088.24000001</v>
      </c>
      <c r="AN30" s="1">
        <v>1</v>
      </c>
      <c r="AO30" s="1" t="s">
        <v>26</v>
      </c>
      <c r="AP30" s="1" t="s">
        <v>26</v>
      </c>
      <c r="AQ30" s="2">
        <v>670454088.24000001</v>
      </c>
      <c r="AR30" s="1">
        <v>1</v>
      </c>
      <c r="AS30" s="1" t="s">
        <v>26</v>
      </c>
      <c r="AT30" s="1" t="s">
        <v>26</v>
      </c>
      <c r="AU30" s="2">
        <v>5605561.5999999996</v>
      </c>
      <c r="AV30" s="1">
        <v>1</v>
      </c>
      <c r="AW30" s="1" t="s">
        <v>26</v>
      </c>
      <c r="AX30" s="1" t="s">
        <v>26</v>
      </c>
      <c r="AY30" s="2">
        <v>811995533.35000002</v>
      </c>
      <c r="AZ30" s="1">
        <v>1</v>
      </c>
      <c r="BA30" s="1" t="s">
        <v>26</v>
      </c>
      <c r="BB30" s="1" t="s">
        <v>26</v>
      </c>
    </row>
    <row r="31" spans="1:55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9" t="s">
        <v>26</v>
      </c>
      <c r="F31" s="10" t="s">
        <v>26</v>
      </c>
      <c r="G31" s="9">
        <v>10050840.199999999</v>
      </c>
      <c r="H31" s="10">
        <v>5.8569518439999997E-5</v>
      </c>
      <c r="I31" s="10">
        <v>0.13500000000000001</v>
      </c>
      <c r="J31" s="10">
        <v>0.13489999999999999</v>
      </c>
      <c r="K31" s="9">
        <v>127768633.02</v>
      </c>
      <c r="L31" s="10">
        <v>3.2685696394869998E-2</v>
      </c>
      <c r="M31" s="10">
        <v>0.13500000000000001</v>
      </c>
      <c r="N31" s="10">
        <v>0.1023</v>
      </c>
      <c r="O31" s="2" t="s">
        <v>26</v>
      </c>
      <c r="P31" s="1" t="s">
        <v>26</v>
      </c>
      <c r="Q31" s="1" t="s">
        <v>26</v>
      </c>
      <c r="R31" s="1" t="s">
        <v>26</v>
      </c>
      <c r="S31" s="2" t="s">
        <v>26</v>
      </c>
      <c r="T31" s="1" t="s">
        <v>26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9">
        <v>137819473.22</v>
      </c>
      <c r="AF31" s="10">
        <v>1.9081401837E-4</v>
      </c>
      <c r="AG31" s="10">
        <v>0.13500000000000001</v>
      </c>
      <c r="AH31" s="10">
        <v>0.1348</v>
      </c>
      <c r="AI31" s="9">
        <v>6091165.1600000001</v>
      </c>
      <c r="AJ31" s="10">
        <v>3.3262030512999999E-4</v>
      </c>
      <c r="AK31" s="10">
        <v>0.13500000000000001</v>
      </c>
      <c r="AL31" s="10">
        <v>0.13469999999999999</v>
      </c>
      <c r="AM31" s="2" t="s">
        <v>26</v>
      </c>
      <c r="AN31" s="1" t="s">
        <v>26</v>
      </c>
      <c r="AO31" s="1" t="s">
        <v>26</v>
      </c>
      <c r="AP31" s="1" t="s">
        <v>26</v>
      </c>
      <c r="AQ31" s="9">
        <v>6091165.1600000001</v>
      </c>
      <c r="AR31" s="10">
        <v>1.4027181446999999E-4</v>
      </c>
      <c r="AS31" s="10">
        <v>0.13500000000000001</v>
      </c>
      <c r="AT31" s="10">
        <v>0.13489999999999999</v>
      </c>
      <c r="AU31" s="2" t="s">
        <v>26</v>
      </c>
      <c r="AV31" s="1" t="s">
        <v>26</v>
      </c>
      <c r="AW31" s="1" t="s">
        <v>26</v>
      </c>
      <c r="AX31" s="1" t="s">
        <v>26</v>
      </c>
      <c r="AY31" s="9">
        <v>143910638.38</v>
      </c>
      <c r="AZ31" s="10">
        <v>1.7605371003000001E-4</v>
      </c>
      <c r="BA31" s="10">
        <v>0.13500000000000001</v>
      </c>
      <c r="BB31" s="10">
        <v>0.1348</v>
      </c>
    </row>
    <row r="32" spans="1:55" s="7" customFormat="1">
      <c r="A32" s="3" t="s">
        <v>41</v>
      </c>
      <c r="B32" s="23" t="s">
        <v>44</v>
      </c>
      <c r="C32" s="9" t="s">
        <v>26</v>
      </c>
      <c r="D32" s="10" t="s">
        <v>26</v>
      </c>
      <c r="E32" s="9" t="s">
        <v>26</v>
      </c>
      <c r="F32" s="10" t="s">
        <v>26</v>
      </c>
      <c r="G32" s="2">
        <v>10050840.199999999</v>
      </c>
      <c r="H32" s="1">
        <v>1</v>
      </c>
      <c r="I32" s="9" t="s">
        <v>26</v>
      </c>
      <c r="J32" s="10" t="s">
        <v>26</v>
      </c>
      <c r="K32" s="2">
        <v>127768633.02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137819473.22</v>
      </c>
      <c r="AF32" s="1">
        <v>1</v>
      </c>
      <c r="AG32" s="1" t="s">
        <v>26</v>
      </c>
      <c r="AH32" s="1" t="s">
        <v>26</v>
      </c>
      <c r="AI32" s="2">
        <v>6091165.1600000001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6091165.1600000001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143910638.38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9" t="s">
        <v>26</v>
      </c>
      <c r="F33" s="10" t="s">
        <v>26</v>
      </c>
      <c r="G33" s="9">
        <v>200883947.22</v>
      </c>
      <c r="H33" s="10">
        <v>1.1706161691E-3</v>
      </c>
      <c r="I33" s="49">
        <v>0.13500000000000001</v>
      </c>
      <c r="J33" s="10">
        <v>0.1338</v>
      </c>
      <c r="K33" s="9">
        <v>212225224.80000001</v>
      </c>
      <c r="L33" s="10">
        <v>5.4291331926979998E-2</v>
      </c>
      <c r="M33" s="10">
        <v>0.13500000000000001</v>
      </c>
      <c r="N33" s="10">
        <v>8.0699999999999994E-2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9">
        <v>50548811.899999999</v>
      </c>
      <c r="AB33" s="10">
        <v>3.2499683586000001E-4</v>
      </c>
      <c r="AC33" s="10">
        <v>0.13500000000000001</v>
      </c>
      <c r="AD33" s="10">
        <v>0.13469999999999999</v>
      </c>
      <c r="AE33" s="9">
        <v>463657983.92000002</v>
      </c>
      <c r="AF33" s="10">
        <v>6.4194442913999999E-4</v>
      </c>
      <c r="AG33" s="10">
        <v>0.13500000000000001</v>
      </c>
      <c r="AH33" s="10">
        <v>0.13439999999999999</v>
      </c>
      <c r="AI33" s="9">
        <v>20397096.600000001</v>
      </c>
      <c r="AJ33" s="10">
        <v>1.1138244189300001E-3</v>
      </c>
      <c r="AK33" s="10">
        <v>0.13500000000000001</v>
      </c>
      <c r="AL33" s="10">
        <v>0.13389999999999999</v>
      </c>
      <c r="AM33" s="2" t="s">
        <v>26</v>
      </c>
      <c r="AN33" s="1" t="s">
        <v>26</v>
      </c>
      <c r="AO33" s="1" t="s">
        <v>26</v>
      </c>
      <c r="AP33" s="1" t="s">
        <v>26</v>
      </c>
      <c r="AQ33" s="9">
        <v>20397096.600000001</v>
      </c>
      <c r="AR33" s="10">
        <v>4.6971928602999998E-4</v>
      </c>
      <c r="AS33" s="10">
        <v>0.13500000000000001</v>
      </c>
      <c r="AT33" s="10">
        <v>0.13450000000000001</v>
      </c>
      <c r="AU33" s="2" t="s">
        <v>26</v>
      </c>
      <c r="AV33" s="1" t="s">
        <v>26</v>
      </c>
      <c r="AW33" s="1" t="s">
        <v>26</v>
      </c>
      <c r="AX33" s="1" t="s">
        <v>26</v>
      </c>
      <c r="AY33" s="9">
        <v>484055080.51999998</v>
      </c>
      <c r="AZ33" s="10">
        <v>5.9217090373999998E-4</v>
      </c>
      <c r="BA33" s="10">
        <v>0.13500000000000001</v>
      </c>
      <c r="BB33" s="10">
        <v>0.13439999999999999</v>
      </c>
    </row>
    <row r="34" spans="1:54" s="7" customFormat="1">
      <c r="A34" s="3" t="s">
        <v>41</v>
      </c>
      <c r="B34" s="23" t="s">
        <v>44</v>
      </c>
      <c r="C34" s="9" t="s">
        <v>26</v>
      </c>
      <c r="D34" s="10" t="s">
        <v>26</v>
      </c>
      <c r="E34" s="9" t="s">
        <v>26</v>
      </c>
      <c r="F34" s="10" t="s">
        <v>26</v>
      </c>
      <c r="G34" s="9">
        <v>200883947.22</v>
      </c>
      <c r="H34" s="10">
        <v>1</v>
      </c>
      <c r="I34" s="9" t="s">
        <v>26</v>
      </c>
      <c r="J34" s="10" t="s">
        <v>26</v>
      </c>
      <c r="K34" s="2">
        <v>212225224.80000001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50548811.899999999</v>
      </c>
      <c r="AB34" s="1">
        <v>1</v>
      </c>
      <c r="AC34" s="1" t="s">
        <v>26</v>
      </c>
      <c r="AD34" s="1" t="s">
        <v>26</v>
      </c>
      <c r="AE34" s="2">
        <v>463657983.92000002</v>
      </c>
      <c r="AF34" s="1">
        <v>1</v>
      </c>
      <c r="AG34" s="1" t="s">
        <v>26</v>
      </c>
      <c r="AH34" s="1" t="s">
        <v>26</v>
      </c>
      <c r="AI34" s="2">
        <v>20397096.600000001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20397096.600000001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484055080.51999998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4678355.6500000004</v>
      </c>
      <c r="D35" s="10">
        <v>6.0198388702000004E-4</v>
      </c>
      <c r="E35" s="10">
        <v>0.13500000000000001</v>
      </c>
      <c r="F35" s="10">
        <v>0.13439999999999999</v>
      </c>
      <c r="G35" s="9">
        <v>577059956.84000003</v>
      </c>
      <c r="H35" s="10">
        <v>3.36271626164E-3</v>
      </c>
      <c r="I35" s="10">
        <v>0.09</v>
      </c>
      <c r="J35" s="10">
        <v>8.6599999999999996E-2</v>
      </c>
      <c r="K35" s="9">
        <v>3101472.42</v>
      </c>
      <c r="L35" s="10">
        <v>7.9341684654000001E-4</v>
      </c>
      <c r="M35" s="10">
        <v>0.13500000000000001</v>
      </c>
      <c r="N35" s="10">
        <v>0.13420000000000001</v>
      </c>
      <c r="O35" s="9">
        <v>2251758762.8499999</v>
      </c>
      <c r="P35" s="10">
        <v>8.9235125407100008E-3</v>
      </c>
      <c r="Q35" s="10">
        <v>0.12379999999999999</v>
      </c>
      <c r="R35" s="10">
        <v>0.1149</v>
      </c>
      <c r="S35" s="9">
        <v>692507727.66999996</v>
      </c>
      <c r="T35" s="10">
        <v>5.5906802707600001E-3</v>
      </c>
      <c r="U35" s="10">
        <v>0.115</v>
      </c>
      <c r="V35" s="10">
        <v>0.1094</v>
      </c>
      <c r="W35" s="2" t="s">
        <v>26</v>
      </c>
      <c r="X35" s="1" t="s">
        <v>26</v>
      </c>
      <c r="Y35" s="1" t="s">
        <v>26</v>
      </c>
      <c r="Z35" s="1" t="s">
        <v>26</v>
      </c>
      <c r="AA35" s="9">
        <v>707897856.73000002</v>
      </c>
      <c r="AB35" s="10">
        <v>4.5513347376800002E-3</v>
      </c>
      <c r="AC35" s="10">
        <v>9.9500000000000005E-2</v>
      </c>
      <c r="AD35" s="10">
        <v>9.4899999999999998E-2</v>
      </c>
      <c r="AE35" s="9">
        <v>4237004132.1599998</v>
      </c>
      <c r="AF35" s="10">
        <v>5.8662231498700004E-3</v>
      </c>
      <c r="AG35" s="10">
        <v>0.1137</v>
      </c>
      <c r="AH35" s="10">
        <v>0.10780000000000001</v>
      </c>
      <c r="AI35" s="9">
        <v>204557383.90000001</v>
      </c>
      <c r="AJ35" s="10">
        <v>1.117026671633E-2</v>
      </c>
      <c r="AK35" s="10">
        <v>0.124</v>
      </c>
      <c r="AL35" s="10">
        <v>0.1128</v>
      </c>
      <c r="AM35" s="2" t="s">
        <v>26</v>
      </c>
      <c r="AN35" s="1" t="s">
        <v>26</v>
      </c>
      <c r="AO35" s="1" t="s">
        <v>26</v>
      </c>
      <c r="AP35" s="1" t="s">
        <v>26</v>
      </c>
      <c r="AQ35" s="9">
        <v>204557383.90000001</v>
      </c>
      <c r="AR35" s="10">
        <v>4.7106973213500002E-3</v>
      </c>
      <c r="AS35" s="10">
        <v>0.124</v>
      </c>
      <c r="AT35" s="10">
        <v>0.1193</v>
      </c>
      <c r="AU35" s="9">
        <v>106105143.8</v>
      </c>
      <c r="AV35" s="10">
        <v>2.0511575419500001E-3</v>
      </c>
      <c r="AW35" s="10">
        <v>0.13500000000000001</v>
      </c>
      <c r="AX35" s="10">
        <v>0.13289999999999999</v>
      </c>
      <c r="AY35" s="9">
        <v>4547666659.8599997</v>
      </c>
      <c r="AZ35" s="10">
        <v>5.5634079348399999E-3</v>
      </c>
      <c r="BA35" s="10">
        <v>0.1147</v>
      </c>
      <c r="BB35" s="10">
        <v>0.1091</v>
      </c>
    </row>
    <row r="36" spans="1:54" s="7" customFormat="1">
      <c r="A36" s="3" t="s">
        <v>39</v>
      </c>
      <c r="B36" s="23" t="s">
        <v>47</v>
      </c>
      <c r="C36" s="9" t="s">
        <v>26</v>
      </c>
      <c r="D36" s="10" t="s">
        <v>26</v>
      </c>
      <c r="E36" s="9" t="s">
        <v>26</v>
      </c>
      <c r="F36" s="10" t="s">
        <v>26</v>
      </c>
      <c r="G36" s="2">
        <v>577059956.84000003</v>
      </c>
      <c r="H36" s="1">
        <v>1</v>
      </c>
      <c r="I36" s="9" t="s">
        <v>26</v>
      </c>
      <c r="J36" s="10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558744455.10000002</v>
      </c>
      <c r="P36" s="1">
        <v>0.24813690716709</v>
      </c>
      <c r="Q36" s="1" t="s">
        <v>26</v>
      </c>
      <c r="R36" s="1" t="s">
        <v>26</v>
      </c>
      <c r="S36" s="2">
        <v>308137347</v>
      </c>
      <c r="T36" s="1">
        <v>0.44495871264391001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558744455.10000002</v>
      </c>
      <c r="AB36" s="1">
        <v>0.78930095604614003</v>
      </c>
      <c r="AC36" s="1" t="s">
        <v>26</v>
      </c>
      <c r="AD36" s="1" t="s">
        <v>26</v>
      </c>
      <c r="AE36" s="2">
        <v>2002686214.04</v>
      </c>
      <c r="AF36" s="1">
        <v>0.47266562683739</v>
      </c>
      <c r="AG36" s="1" t="s">
        <v>26</v>
      </c>
      <c r="AH36" s="1" t="s">
        <v>26</v>
      </c>
      <c r="AI36" s="2">
        <v>50045244</v>
      </c>
      <c r="AJ36" s="1">
        <v>0.24465136895017001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50045244</v>
      </c>
      <c r="AR36" s="1">
        <v>0.24465136895017001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2052731458.04</v>
      </c>
      <c r="AZ36" s="1">
        <v>0.45138124923676998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4678355.6500000004</v>
      </c>
      <c r="D37" s="1">
        <v>1</v>
      </c>
      <c r="E37" s="9" t="s">
        <v>26</v>
      </c>
      <c r="F37" s="10" t="s">
        <v>26</v>
      </c>
      <c r="G37" s="9" t="s">
        <v>26</v>
      </c>
      <c r="H37" s="10" t="s">
        <v>26</v>
      </c>
      <c r="I37" s="9" t="s">
        <v>26</v>
      </c>
      <c r="J37" s="10" t="s">
        <v>26</v>
      </c>
      <c r="K37" s="2">
        <v>3101472.42</v>
      </c>
      <c r="L37" s="1">
        <v>1</v>
      </c>
      <c r="M37" s="1" t="s">
        <v>26</v>
      </c>
      <c r="N37" s="1" t="s">
        <v>26</v>
      </c>
      <c r="O37" s="2">
        <v>1693014307.75</v>
      </c>
      <c r="P37" s="1">
        <v>0.75186309283290997</v>
      </c>
      <c r="Q37" s="1" t="s">
        <v>26</v>
      </c>
      <c r="R37" s="1" t="s">
        <v>26</v>
      </c>
      <c r="S37" s="2">
        <v>384370380.67000002</v>
      </c>
      <c r="T37" s="1">
        <v>0.55504128735609004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149153401.63</v>
      </c>
      <c r="AB37" s="1">
        <v>0.21069904395385999</v>
      </c>
      <c r="AC37" s="1" t="s">
        <v>26</v>
      </c>
      <c r="AD37" s="1" t="s">
        <v>26</v>
      </c>
      <c r="AE37" s="2">
        <v>2234317918.1199999</v>
      </c>
      <c r="AF37" s="1">
        <v>0.52733437316261</v>
      </c>
      <c r="AG37" s="1" t="s">
        <v>26</v>
      </c>
      <c r="AH37" s="1" t="s">
        <v>26</v>
      </c>
      <c r="AI37" s="2">
        <v>154512139.90000001</v>
      </c>
      <c r="AJ37" s="1">
        <v>0.75534863104982997</v>
      </c>
      <c r="AK37" s="1" t="s">
        <v>26</v>
      </c>
      <c r="AL37" s="1" t="s">
        <v>26</v>
      </c>
      <c r="AM37" s="1" t="s">
        <v>26</v>
      </c>
      <c r="AN37" s="1" t="s">
        <v>26</v>
      </c>
      <c r="AO37" s="1" t="s">
        <v>26</v>
      </c>
      <c r="AP37" s="1" t="s">
        <v>26</v>
      </c>
      <c r="AQ37" s="2">
        <v>154512139.90000001</v>
      </c>
      <c r="AR37" s="1">
        <v>0.75534863104982997</v>
      </c>
      <c r="AS37" s="1" t="s">
        <v>26</v>
      </c>
      <c r="AT37" s="1" t="s">
        <v>26</v>
      </c>
      <c r="AU37" s="2">
        <v>106105143.8</v>
      </c>
      <c r="AV37" s="1">
        <v>1</v>
      </c>
      <c r="AW37" s="1" t="s">
        <v>26</v>
      </c>
      <c r="AX37" s="1" t="s">
        <v>26</v>
      </c>
      <c r="AY37" s="2">
        <v>2494935201.8200002</v>
      </c>
      <c r="AZ37" s="1">
        <v>0.54861875076322997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9" t="s">
        <v>26</v>
      </c>
      <c r="F38" s="10" t="s">
        <v>26</v>
      </c>
      <c r="G38" s="9" t="s">
        <v>26</v>
      </c>
      <c r="H38" s="10" t="s">
        <v>26</v>
      </c>
      <c r="I38" s="9" t="s">
        <v>26</v>
      </c>
      <c r="J38" s="10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9">
        <v>101153817.41</v>
      </c>
      <c r="P38" s="10">
        <v>4.0086325990999999E-4</v>
      </c>
      <c r="Q38" s="10">
        <v>0.13500000000000001</v>
      </c>
      <c r="R38" s="10">
        <v>0.1346</v>
      </c>
      <c r="S38" s="9">
        <v>1105306.94</v>
      </c>
      <c r="T38" s="10">
        <v>8.9232472899999998E-6</v>
      </c>
      <c r="U38" s="10">
        <v>0.13500000000000001</v>
      </c>
      <c r="V38" s="10">
        <v>0.13500000000000001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9">
        <v>102259124.34999999</v>
      </c>
      <c r="AF38" s="10">
        <v>1.4157995221E-4</v>
      </c>
      <c r="AG38" s="10">
        <v>0.13500000000000001</v>
      </c>
      <c r="AH38" s="10">
        <v>0.13489999999999999</v>
      </c>
      <c r="AI38" s="9">
        <v>5149725.54</v>
      </c>
      <c r="AJ38" s="10">
        <v>2.8121110419000001E-4</v>
      </c>
      <c r="AK38" s="10">
        <v>0.13500000000000001</v>
      </c>
      <c r="AL38" s="10">
        <v>0.13469999999999999</v>
      </c>
      <c r="AM38" s="2" t="s">
        <v>26</v>
      </c>
      <c r="AN38" s="1" t="s">
        <v>26</v>
      </c>
      <c r="AO38" s="1" t="s">
        <v>26</v>
      </c>
      <c r="AP38" s="1" t="s">
        <v>26</v>
      </c>
      <c r="AQ38" s="9">
        <v>5149725.54</v>
      </c>
      <c r="AR38" s="10">
        <v>1.1859165307999999E-4</v>
      </c>
      <c r="AS38" s="10">
        <v>0.13500000000000001</v>
      </c>
      <c r="AT38" s="10">
        <v>0.13489999999999999</v>
      </c>
      <c r="AU38" s="9">
        <v>3609649.9</v>
      </c>
      <c r="AV38" s="10">
        <v>6.9779469219999996E-5</v>
      </c>
      <c r="AW38" s="10">
        <v>0.13500000000000001</v>
      </c>
      <c r="AX38" s="10">
        <v>0.13489999999999999</v>
      </c>
      <c r="AY38" s="9">
        <v>111018499.79000001</v>
      </c>
      <c r="AZ38" s="10">
        <v>1.3581496817000001E-4</v>
      </c>
      <c r="BA38" s="10">
        <v>0.13500000000000001</v>
      </c>
      <c r="BB38" s="10">
        <v>0.13489999999999999</v>
      </c>
    </row>
    <row r="39" spans="1:54" s="7" customFormat="1">
      <c r="A39" s="3" t="s">
        <v>41</v>
      </c>
      <c r="B39" s="23" t="s">
        <v>44</v>
      </c>
      <c r="C39" s="9" t="s">
        <v>26</v>
      </c>
      <c r="D39" s="10" t="s">
        <v>26</v>
      </c>
      <c r="E39" s="9" t="s">
        <v>26</v>
      </c>
      <c r="F39" s="10" t="s">
        <v>26</v>
      </c>
      <c r="G39" s="9" t="s">
        <v>26</v>
      </c>
      <c r="H39" s="10" t="s">
        <v>26</v>
      </c>
      <c r="I39" s="9" t="s">
        <v>26</v>
      </c>
      <c r="J39" s="10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101153817.41</v>
      </c>
      <c r="P39" s="1">
        <v>1</v>
      </c>
      <c r="Q39" s="1" t="s">
        <v>26</v>
      </c>
      <c r="R39" s="1" t="s">
        <v>26</v>
      </c>
      <c r="S39" s="2">
        <v>1105306.94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102259124.34999999</v>
      </c>
      <c r="AF39" s="1">
        <v>1</v>
      </c>
      <c r="AG39" s="1" t="s">
        <v>26</v>
      </c>
      <c r="AH39" s="1" t="s">
        <v>26</v>
      </c>
      <c r="AI39" s="2">
        <v>5149725.54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5149725.54</v>
      </c>
      <c r="AR39" s="1">
        <v>1</v>
      </c>
      <c r="AS39" s="1" t="s">
        <v>26</v>
      </c>
      <c r="AT39" s="1" t="s">
        <v>26</v>
      </c>
      <c r="AU39" s="2">
        <v>3609649.9</v>
      </c>
      <c r="AV39" s="1">
        <v>1</v>
      </c>
      <c r="AW39" s="1" t="s">
        <v>26</v>
      </c>
      <c r="AX39" s="1" t="s">
        <v>26</v>
      </c>
      <c r="AY39" s="2">
        <v>111018499.79000001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24650010.09</v>
      </c>
      <c r="D40" s="10">
        <v>3.17182146876E-3</v>
      </c>
      <c r="E40" s="10">
        <v>0.13500000000000001</v>
      </c>
      <c r="F40" s="10">
        <v>0.1318</v>
      </c>
      <c r="G40" s="9">
        <v>2705083763</v>
      </c>
      <c r="H40" s="10">
        <v>1.5763403873560001E-2</v>
      </c>
      <c r="I40" s="10">
        <v>0.13500000000000001</v>
      </c>
      <c r="J40" s="10">
        <v>0.1192</v>
      </c>
      <c r="K40" s="2" t="s">
        <v>26</v>
      </c>
      <c r="L40" s="1" t="s">
        <v>26</v>
      </c>
      <c r="M40" s="1" t="s">
        <v>26</v>
      </c>
      <c r="N40" s="1" t="s">
        <v>26</v>
      </c>
      <c r="O40" s="9">
        <v>4738270564.3999996</v>
      </c>
      <c r="P40" s="10">
        <v>1.877732974788E-2</v>
      </c>
      <c r="Q40" s="10">
        <v>0.05</v>
      </c>
      <c r="R40" s="10">
        <v>3.1199999999999999E-2</v>
      </c>
      <c r="S40" s="9">
        <v>2164447241.5799999</v>
      </c>
      <c r="T40" s="10">
        <v>1.747378694431E-2</v>
      </c>
      <c r="U40" s="10">
        <v>0.13500000000000001</v>
      </c>
      <c r="V40" s="10">
        <v>0.11749999999999999</v>
      </c>
      <c r="W40" s="9">
        <v>1065042519.17</v>
      </c>
      <c r="X40" s="10">
        <v>0.14708860862834999</v>
      </c>
      <c r="Y40" s="10">
        <v>0.15</v>
      </c>
      <c r="Z40" s="10">
        <v>2.8999999999999998E-3</v>
      </c>
      <c r="AA40" s="9">
        <v>5469816552.8400002</v>
      </c>
      <c r="AB40" s="10">
        <v>3.5167455091149998E-2</v>
      </c>
      <c r="AC40" s="10">
        <v>0.13919999999999999</v>
      </c>
      <c r="AD40" s="10">
        <v>0.104</v>
      </c>
      <c r="AE40" s="9">
        <v>16167310651.08</v>
      </c>
      <c r="AF40" s="10">
        <v>2.238398855755E-2</v>
      </c>
      <c r="AG40" s="10">
        <v>0.13739999999999999</v>
      </c>
      <c r="AH40" s="10">
        <v>0.115</v>
      </c>
      <c r="AI40" s="9">
        <v>240097206.90000001</v>
      </c>
      <c r="AJ40" s="10">
        <v>1.31109901182E-2</v>
      </c>
      <c r="AK40" s="10">
        <v>0.13500000000000001</v>
      </c>
      <c r="AL40" s="10">
        <v>0.12189999999999999</v>
      </c>
      <c r="AM40" s="2" t="s">
        <v>26</v>
      </c>
      <c r="AN40" s="1" t="s">
        <v>26</v>
      </c>
      <c r="AO40" s="1" t="s">
        <v>26</v>
      </c>
      <c r="AP40" s="1" t="s">
        <v>26</v>
      </c>
      <c r="AQ40" s="9">
        <v>240097206.90000001</v>
      </c>
      <c r="AR40" s="10">
        <v>5.5291344064199999E-3</v>
      </c>
      <c r="AS40" s="10">
        <v>0.13500000000000001</v>
      </c>
      <c r="AT40" s="10">
        <v>0.1295</v>
      </c>
      <c r="AU40" s="9">
        <v>1110243021.6199999</v>
      </c>
      <c r="AV40" s="10">
        <v>2.146251600666E-2</v>
      </c>
      <c r="AW40" s="10">
        <v>0.13500000000000001</v>
      </c>
      <c r="AX40" s="10">
        <v>0.1135</v>
      </c>
      <c r="AY40" s="9">
        <v>17517650879.599998</v>
      </c>
      <c r="AZ40" s="10">
        <v>2.1430294960600001E-2</v>
      </c>
      <c r="BA40" s="10">
        <v>0.13719999999999999</v>
      </c>
      <c r="BB40" s="10">
        <v>0.1158</v>
      </c>
    </row>
    <row r="41" spans="1:54" s="7" customFormat="1">
      <c r="A41" s="3" t="s">
        <v>39</v>
      </c>
      <c r="B41" s="23" t="s">
        <v>40</v>
      </c>
      <c r="C41" s="2">
        <v>24650010.09</v>
      </c>
      <c r="D41" s="1">
        <v>1</v>
      </c>
      <c r="E41" s="9" t="s">
        <v>25</v>
      </c>
      <c r="F41" s="10" t="s">
        <v>25</v>
      </c>
      <c r="G41" s="2">
        <v>2705083763</v>
      </c>
      <c r="H41" s="1">
        <v>1</v>
      </c>
      <c r="I41" s="9" t="s">
        <v>26</v>
      </c>
      <c r="J41" s="10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4699373669.7299995</v>
      </c>
      <c r="P41" s="1">
        <v>0.99179090891046995</v>
      </c>
      <c r="Q41" s="1" t="s">
        <v>26</v>
      </c>
      <c r="R41" s="1" t="s">
        <v>26</v>
      </c>
      <c r="S41" s="2">
        <v>2164447241.5799999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3955846983.5</v>
      </c>
      <c r="AB41" s="1">
        <v>0.72321383090005997</v>
      </c>
      <c r="AC41" s="1" t="s">
        <v>26</v>
      </c>
      <c r="AD41" s="1" t="s">
        <v>26</v>
      </c>
      <c r="AE41" s="2">
        <v>13549401667.9</v>
      </c>
      <c r="AF41" s="1">
        <v>0.83807393575348998</v>
      </c>
      <c r="AG41" s="1" t="s">
        <v>26</v>
      </c>
      <c r="AH41" s="1" t="s">
        <v>26</v>
      </c>
      <c r="AI41" s="2">
        <v>240097206.90000001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240097206.90000001</v>
      </c>
      <c r="AR41" s="1">
        <v>1</v>
      </c>
      <c r="AS41" s="1" t="s">
        <v>26</v>
      </c>
      <c r="AT41" s="1" t="s">
        <v>26</v>
      </c>
      <c r="AU41" s="2">
        <v>1110243021.6199999</v>
      </c>
      <c r="AV41" s="1">
        <v>1</v>
      </c>
      <c r="AW41" s="1" t="s">
        <v>26</v>
      </c>
      <c r="AX41" s="1" t="s">
        <v>26</v>
      </c>
      <c r="AY41" s="2">
        <v>14899741896.42</v>
      </c>
      <c r="AZ41" s="1">
        <v>0.85055593348827996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9" t="s">
        <v>26</v>
      </c>
      <c r="D42" s="10" t="s">
        <v>26</v>
      </c>
      <c r="E42" s="9" t="s">
        <v>26</v>
      </c>
      <c r="F42" s="10" t="s">
        <v>26</v>
      </c>
      <c r="G42" s="9" t="s">
        <v>26</v>
      </c>
      <c r="H42" s="10" t="s">
        <v>26</v>
      </c>
      <c r="I42" s="9" t="s">
        <v>26</v>
      </c>
      <c r="J42" s="10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38896894.670000002</v>
      </c>
      <c r="P42" s="1">
        <v>8.2090910895299997E-3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1065042519.17</v>
      </c>
      <c r="X42" s="1">
        <v>1</v>
      </c>
      <c r="Y42" s="1" t="s">
        <v>26</v>
      </c>
      <c r="Z42" s="1" t="s">
        <v>26</v>
      </c>
      <c r="AA42" s="2">
        <v>1513969569.3399999</v>
      </c>
      <c r="AB42" s="1">
        <v>0.27678616909994003</v>
      </c>
      <c r="AC42" s="1" t="s">
        <v>26</v>
      </c>
      <c r="AD42" s="1" t="s">
        <v>26</v>
      </c>
      <c r="AE42" s="2">
        <v>2617908983.1799998</v>
      </c>
      <c r="AF42" s="1">
        <v>0.16192606424650999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1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2617908983.1799998</v>
      </c>
      <c r="AZ42" s="1">
        <v>0.14944406651171999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9" t="s">
        <v>26</v>
      </c>
      <c r="F43" s="10" t="s">
        <v>26</v>
      </c>
      <c r="G43" s="9" t="s">
        <v>26</v>
      </c>
      <c r="H43" s="10" t="s">
        <v>26</v>
      </c>
      <c r="I43" s="9" t="s">
        <v>26</v>
      </c>
      <c r="J43" s="10" t="s">
        <v>26</v>
      </c>
      <c r="K43" s="9">
        <v>92809022.859999999</v>
      </c>
      <c r="L43" s="10">
        <v>2.374234952824E-2</v>
      </c>
      <c r="M43" s="10">
        <v>0.15</v>
      </c>
      <c r="N43" s="10">
        <v>0.1263</v>
      </c>
      <c r="O43" s="2" t="s">
        <v>26</v>
      </c>
      <c r="P43" s="1" t="s">
        <v>26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 t="s">
        <v>26</v>
      </c>
      <c r="X43" s="1" t="s">
        <v>26</v>
      </c>
      <c r="Y43" s="1" t="s">
        <v>26</v>
      </c>
      <c r="Z43" s="1" t="s">
        <v>26</v>
      </c>
      <c r="AA43" s="9">
        <v>142952925.59999999</v>
      </c>
      <c r="AB43" s="10">
        <v>9.1909674532000005E-4</v>
      </c>
      <c r="AC43" s="10">
        <v>0.15</v>
      </c>
      <c r="AD43" s="10">
        <v>0.14910000000000001</v>
      </c>
      <c r="AE43" s="9">
        <v>235761948.46000001</v>
      </c>
      <c r="AF43" s="10">
        <v>3.2641747725000001E-4</v>
      </c>
      <c r="AG43" s="10">
        <v>0.15</v>
      </c>
      <c r="AH43" s="10">
        <v>0.1497</v>
      </c>
      <c r="AI43" s="2" t="s">
        <v>26</v>
      </c>
      <c r="AJ43" s="1" t="s">
        <v>26</v>
      </c>
      <c r="AK43" s="1" t="s">
        <v>26</v>
      </c>
      <c r="AL43" s="1" t="s">
        <v>26</v>
      </c>
      <c r="AM43" s="9">
        <v>949115947.28999996</v>
      </c>
      <c r="AN43" s="10">
        <v>3.7796299768909997E-2</v>
      </c>
      <c r="AO43" s="10">
        <v>0.15</v>
      </c>
      <c r="AP43" s="10">
        <v>0.11219999999999999</v>
      </c>
      <c r="AQ43" s="9">
        <v>949115947.28999996</v>
      </c>
      <c r="AR43" s="10">
        <v>2.1856937477930001E-2</v>
      </c>
      <c r="AS43" s="10">
        <v>0.15</v>
      </c>
      <c r="AT43" s="10">
        <v>0.12809999999999999</v>
      </c>
      <c r="AU43" s="2" t="s">
        <v>26</v>
      </c>
      <c r="AV43" s="1" t="s">
        <v>26</v>
      </c>
      <c r="AW43" s="1" t="s">
        <v>26</v>
      </c>
      <c r="AX43" s="1" t="s">
        <v>26</v>
      </c>
      <c r="AY43" s="9">
        <v>1184877895.75</v>
      </c>
      <c r="AZ43" s="10">
        <v>1.4495255655399999E-3</v>
      </c>
      <c r="BA43" s="10">
        <v>0.15</v>
      </c>
      <c r="BB43" s="10">
        <v>0.14860000000000001</v>
      </c>
    </row>
    <row r="44" spans="1:54" s="7" customFormat="1">
      <c r="A44" s="3" t="s">
        <v>41</v>
      </c>
      <c r="B44" s="23" t="s">
        <v>35</v>
      </c>
      <c r="C44" s="9" t="s">
        <v>26</v>
      </c>
      <c r="D44" s="10" t="s">
        <v>26</v>
      </c>
      <c r="E44" s="9" t="s">
        <v>26</v>
      </c>
      <c r="F44" s="10" t="s">
        <v>26</v>
      </c>
      <c r="G44" s="9" t="s">
        <v>26</v>
      </c>
      <c r="H44" s="10" t="s">
        <v>26</v>
      </c>
      <c r="I44" s="9" t="s">
        <v>26</v>
      </c>
      <c r="J44" s="10" t="s">
        <v>26</v>
      </c>
      <c r="K44" s="2">
        <v>92809022.859999999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142952925.59999999</v>
      </c>
      <c r="AB44" s="1">
        <v>1</v>
      </c>
      <c r="AC44" s="1" t="s">
        <v>26</v>
      </c>
      <c r="AD44" s="1" t="s">
        <v>26</v>
      </c>
      <c r="AE44" s="2">
        <v>235761948.46000001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949115947.28999996</v>
      </c>
      <c r="AN44" s="1">
        <v>1</v>
      </c>
      <c r="AO44" s="1" t="s">
        <v>26</v>
      </c>
      <c r="AP44" s="1" t="s">
        <v>26</v>
      </c>
      <c r="AQ44" s="2">
        <v>949115947.28999996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1184877895.75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9" t="s">
        <v>26</v>
      </c>
      <c r="F45" s="10" t="s">
        <v>26</v>
      </c>
      <c r="G45" s="9" t="s">
        <v>26</v>
      </c>
      <c r="H45" s="10" t="s">
        <v>26</v>
      </c>
      <c r="I45" s="9" t="s">
        <v>26</v>
      </c>
      <c r="J45" s="10" t="s">
        <v>26</v>
      </c>
      <c r="K45" s="2" t="s">
        <v>26</v>
      </c>
      <c r="L45" s="1" t="s">
        <v>26</v>
      </c>
      <c r="M45" s="1" t="s">
        <v>26</v>
      </c>
      <c r="N45" s="1" t="s">
        <v>26</v>
      </c>
      <c r="O45" s="9">
        <v>1885598629.97</v>
      </c>
      <c r="P45" s="10">
        <v>7.4724536655000002E-3</v>
      </c>
      <c r="Q45" s="10">
        <v>0.15</v>
      </c>
      <c r="R45" s="10">
        <v>0.14249999999999999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 t="s">
        <v>26</v>
      </c>
      <c r="AB45" s="1" t="s">
        <v>26</v>
      </c>
      <c r="AC45" s="1" t="s">
        <v>26</v>
      </c>
      <c r="AD45" s="1" t="s">
        <v>26</v>
      </c>
      <c r="AE45" s="9">
        <v>1885598629.97</v>
      </c>
      <c r="AF45" s="10">
        <v>2.6106517693800001E-3</v>
      </c>
      <c r="AG45" s="10">
        <v>0.15</v>
      </c>
      <c r="AH45" s="10">
        <v>0.1474</v>
      </c>
      <c r="AI45" s="2" t="s">
        <v>26</v>
      </c>
      <c r="AJ45" s="1" t="s">
        <v>26</v>
      </c>
      <c r="AK45" s="1" t="s">
        <v>26</v>
      </c>
      <c r="AL45" s="1" t="s">
        <v>26</v>
      </c>
      <c r="AM45" s="2" t="s">
        <v>26</v>
      </c>
      <c r="AN45" s="1" t="s">
        <v>26</v>
      </c>
      <c r="AO45" s="1" t="s">
        <v>26</v>
      </c>
      <c r="AP45" s="1" t="s">
        <v>26</v>
      </c>
      <c r="AQ45" s="2" t="s">
        <v>26</v>
      </c>
      <c r="AR45" s="1" t="s">
        <v>26</v>
      </c>
      <c r="AS45" s="1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9">
        <v>1885598629.97</v>
      </c>
      <c r="AZ45" s="10">
        <v>2.3067553461E-3</v>
      </c>
      <c r="BA45" s="10">
        <v>0.15</v>
      </c>
      <c r="BB45" s="10">
        <v>0.1477</v>
      </c>
    </row>
    <row r="46" spans="1:54" s="7" customFormat="1">
      <c r="A46" s="3" t="s">
        <v>41</v>
      </c>
      <c r="B46" s="23" t="s">
        <v>35</v>
      </c>
      <c r="C46" s="9" t="s">
        <v>26</v>
      </c>
      <c r="D46" s="10" t="s">
        <v>26</v>
      </c>
      <c r="E46" s="9" t="s">
        <v>26</v>
      </c>
      <c r="F46" s="10" t="s">
        <v>26</v>
      </c>
      <c r="G46" s="9" t="s">
        <v>26</v>
      </c>
      <c r="H46" s="10" t="s">
        <v>26</v>
      </c>
      <c r="I46" s="9" t="s">
        <v>26</v>
      </c>
      <c r="J46" s="10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1885598629.97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1885598629.97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1885598629.97</v>
      </c>
      <c r="AZ46" s="1">
        <v>1</v>
      </c>
      <c r="BA46" s="1" t="s">
        <v>26</v>
      </c>
      <c r="BB46" s="1" t="s">
        <v>26</v>
      </c>
    </row>
    <row r="47" spans="1:54" s="7" customFormat="1">
      <c r="A47" s="12" t="s">
        <v>55</v>
      </c>
      <c r="B47" s="40" t="s">
        <v>25</v>
      </c>
      <c r="C47" s="42">
        <v>36055762.049999997</v>
      </c>
      <c r="D47" s="43">
        <v>1</v>
      </c>
      <c r="E47" s="43" t="s">
        <v>26</v>
      </c>
      <c r="F47" s="43" t="s">
        <v>26</v>
      </c>
      <c r="G47" s="42">
        <v>313526595</v>
      </c>
      <c r="H47" s="43">
        <v>1.82702155463E-3</v>
      </c>
      <c r="I47" s="43" t="s">
        <v>26</v>
      </c>
      <c r="J47" s="43" t="s">
        <v>26</v>
      </c>
      <c r="K47" s="42">
        <v>99235197.939999998</v>
      </c>
      <c r="L47" s="43">
        <v>2.5386289849749999E-2</v>
      </c>
      <c r="M47" s="43" t="s">
        <v>26</v>
      </c>
      <c r="N47" s="43" t="s">
        <v>26</v>
      </c>
      <c r="O47" s="42">
        <v>3501118503.9099998</v>
      </c>
      <c r="P47" s="43">
        <v>1.3874610101050001E-2</v>
      </c>
      <c r="Q47" s="43" t="s">
        <v>26</v>
      </c>
      <c r="R47" s="43" t="s">
        <v>26</v>
      </c>
      <c r="S47" s="42">
        <v>1460556518.1199999</v>
      </c>
      <c r="T47" s="43">
        <v>1.179121067378E-2</v>
      </c>
      <c r="U47" s="43" t="s">
        <v>26</v>
      </c>
      <c r="V47" s="43" t="s">
        <v>26</v>
      </c>
      <c r="W47" s="42">
        <v>76543751.200000003</v>
      </c>
      <c r="X47" s="43">
        <v>1.057114026957E-2</v>
      </c>
      <c r="Y47" s="43" t="s">
        <v>26</v>
      </c>
      <c r="Z47" s="43" t="s">
        <v>26</v>
      </c>
      <c r="AA47" s="42">
        <v>3294898254.6999998</v>
      </c>
      <c r="AB47" s="43">
        <v>2.1184108330269999E-2</v>
      </c>
      <c r="AC47" s="43" t="s">
        <v>26</v>
      </c>
      <c r="AD47" s="43" t="s">
        <v>26</v>
      </c>
      <c r="AE47" s="42">
        <v>8815656092.8700008</v>
      </c>
      <c r="AF47" s="43">
        <v>1.220546505036E-2</v>
      </c>
      <c r="AG47" s="43" t="s">
        <v>26</v>
      </c>
      <c r="AH47" s="43" t="s">
        <v>26</v>
      </c>
      <c r="AI47" s="42">
        <v>242536054.05000001</v>
      </c>
      <c r="AJ47" s="43">
        <v>1.324416826424E-2</v>
      </c>
      <c r="AK47" s="43" t="s">
        <v>26</v>
      </c>
      <c r="AL47" s="43" t="s">
        <v>26</v>
      </c>
      <c r="AM47" s="42">
        <v>223643657.41999999</v>
      </c>
      <c r="AN47" s="43">
        <v>8.9060801700800007E-3</v>
      </c>
      <c r="AO47" s="43" t="s">
        <v>26</v>
      </c>
      <c r="AP47" s="43" t="s">
        <v>26</v>
      </c>
      <c r="AQ47" s="42">
        <v>466179711.47000003</v>
      </c>
      <c r="AR47" s="43">
        <v>1.073552797861E-2</v>
      </c>
      <c r="AS47" s="43" t="s">
        <v>26</v>
      </c>
      <c r="AT47" s="43" t="s">
        <v>26</v>
      </c>
      <c r="AU47" s="42">
        <v>686774307.86000001</v>
      </c>
      <c r="AV47" s="43">
        <v>1.3276286622269999E-2</v>
      </c>
      <c r="AW47" s="43" t="s">
        <v>26</v>
      </c>
      <c r="AX47" s="43" t="s">
        <v>26</v>
      </c>
      <c r="AY47" s="42">
        <v>9968610112.2000008</v>
      </c>
      <c r="AZ47" s="43">
        <v>1.219514286019E-2</v>
      </c>
      <c r="BA47" s="43" t="s">
        <v>26</v>
      </c>
      <c r="BB47" s="43" t="s">
        <v>26</v>
      </c>
    </row>
    <row r="48" spans="1:54" s="7" customFormat="1">
      <c r="A48" s="5" t="s">
        <v>56</v>
      </c>
      <c r="B48" s="20" t="s">
        <v>25</v>
      </c>
      <c r="C48" s="9">
        <v>33721509.950000003</v>
      </c>
      <c r="D48" s="10">
        <v>4.3390898757399996E-3</v>
      </c>
      <c r="E48" s="10">
        <v>0.09</v>
      </c>
      <c r="F48" s="10">
        <v>8.5699999999999998E-2</v>
      </c>
      <c r="G48" s="9" t="s">
        <v>26</v>
      </c>
      <c r="H48" s="10" t="s">
        <v>26</v>
      </c>
      <c r="I48" s="9" t="s">
        <v>26</v>
      </c>
      <c r="J48" s="10" t="s">
        <v>26</v>
      </c>
      <c r="K48" s="9">
        <v>30904938.899999999</v>
      </c>
      <c r="L48" s="10">
        <v>7.9060832546399996E-3</v>
      </c>
      <c r="M48" s="10">
        <v>0.12</v>
      </c>
      <c r="N48" s="10">
        <v>0.11210000000000001</v>
      </c>
      <c r="O48" s="9">
        <v>827222197.88999999</v>
      </c>
      <c r="P48" s="10">
        <v>3.2782053649000002E-3</v>
      </c>
      <c r="Q48" s="10">
        <v>0.12</v>
      </c>
      <c r="R48" s="10">
        <v>0.1167</v>
      </c>
      <c r="S48" s="9">
        <v>309049389</v>
      </c>
      <c r="T48" s="10">
        <v>2.4949848972599998E-3</v>
      </c>
      <c r="U48" s="10">
        <v>0.12</v>
      </c>
      <c r="V48" s="10">
        <v>0.11749999999999999</v>
      </c>
      <c r="W48" s="2" t="s">
        <v>26</v>
      </c>
      <c r="X48" s="1" t="s">
        <v>26</v>
      </c>
      <c r="Y48" s="1" t="s">
        <v>26</v>
      </c>
      <c r="Z48" s="1" t="s">
        <v>26</v>
      </c>
      <c r="AA48" s="9">
        <v>906544874.39999998</v>
      </c>
      <c r="AB48" s="10">
        <v>5.8285092106099999E-3</v>
      </c>
      <c r="AC48" s="10">
        <v>0.12</v>
      </c>
      <c r="AD48" s="10">
        <v>0.1142</v>
      </c>
      <c r="AE48" s="9">
        <v>2109777162.24</v>
      </c>
      <c r="AF48" s="10">
        <v>2.9210317583300001E-3</v>
      </c>
      <c r="AG48" s="10">
        <v>0.12</v>
      </c>
      <c r="AH48" s="10">
        <v>0.1171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1" t="s">
        <v>26</v>
      </c>
      <c r="AT48" s="1" t="s">
        <v>26</v>
      </c>
      <c r="AU48" s="9">
        <v>206032926</v>
      </c>
      <c r="AV48" s="10">
        <v>3.9828982358499996E-3</v>
      </c>
      <c r="AW48" s="10">
        <v>0.12</v>
      </c>
      <c r="AX48" s="10">
        <v>0.11600000000000001</v>
      </c>
      <c r="AY48" s="9">
        <v>2315810088.2399998</v>
      </c>
      <c r="AZ48" s="10">
        <v>2.8330564186300001E-3</v>
      </c>
      <c r="BA48" s="10">
        <v>0.12</v>
      </c>
      <c r="BB48" s="10">
        <v>0.1172</v>
      </c>
    </row>
    <row r="49" spans="1:54" s="7" customFormat="1">
      <c r="A49" s="3" t="s">
        <v>39</v>
      </c>
      <c r="B49" s="23" t="s">
        <v>57</v>
      </c>
      <c r="C49" s="2">
        <v>33721509.950000003</v>
      </c>
      <c r="D49" s="1">
        <v>1</v>
      </c>
      <c r="E49" s="9" t="s">
        <v>26</v>
      </c>
      <c r="F49" s="10" t="s">
        <v>26</v>
      </c>
      <c r="G49" s="9" t="s">
        <v>26</v>
      </c>
      <c r="H49" s="10" t="s">
        <v>26</v>
      </c>
      <c r="I49" s="9" t="s">
        <v>26</v>
      </c>
      <c r="J49" s="10" t="s">
        <v>26</v>
      </c>
      <c r="K49" s="2">
        <v>30904938.899999999</v>
      </c>
      <c r="L49" s="1">
        <v>1</v>
      </c>
      <c r="M49" s="1" t="s">
        <v>26</v>
      </c>
      <c r="N49" s="1" t="s">
        <v>26</v>
      </c>
      <c r="O49" s="2">
        <v>827222197.88999999</v>
      </c>
      <c r="P49" s="1">
        <v>1</v>
      </c>
      <c r="Q49" s="1" t="s">
        <v>26</v>
      </c>
      <c r="R49" s="1" t="s">
        <v>26</v>
      </c>
      <c r="S49" s="2">
        <v>309049389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906544874.39999998</v>
      </c>
      <c r="AB49" s="1">
        <v>1</v>
      </c>
      <c r="AC49" s="1" t="s">
        <v>26</v>
      </c>
      <c r="AD49" s="1" t="s">
        <v>26</v>
      </c>
      <c r="AE49" s="2">
        <v>2109777162.24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>
        <v>206032926</v>
      </c>
      <c r="AV49" s="1">
        <v>1</v>
      </c>
      <c r="AW49" s="1" t="s">
        <v>26</v>
      </c>
      <c r="AX49" s="1" t="s">
        <v>26</v>
      </c>
      <c r="AY49" s="2">
        <v>2315810088.2399998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58</v>
      </c>
      <c r="B50" s="20" t="s">
        <v>25</v>
      </c>
      <c r="C50" s="9" t="s">
        <v>26</v>
      </c>
      <c r="D50" s="10" t="s">
        <v>26</v>
      </c>
      <c r="E50" s="9" t="s">
        <v>26</v>
      </c>
      <c r="F50" s="10" t="s">
        <v>26</v>
      </c>
      <c r="G50" s="9" t="s">
        <v>26</v>
      </c>
      <c r="H50" s="10" t="s">
        <v>26</v>
      </c>
      <c r="I50" s="9" t="s">
        <v>26</v>
      </c>
      <c r="J50" s="10" t="s">
        <v>26</v>
      </c>
      <c r="K50" s="9">
        <v>16728123.039999999</v>
      </c>
      <c r="L50" s="10">
        <v>4.27937857687E-3</v>
      </c>
      <c r="M50" s="10">
        <v>0.09</v>
      </c>
      <c r="N50" s="10">
        <v>8.5699999999999998E-2</v>
      </c>
      <c r="O50" s="9">
        <v>390218540.01999998</v>
      </c>
      <c r="P50" s="10">
        <v>1.5464001263999999E-3</v>
      </c>
      <c r="Q50" s="10">
        <v>0.09</v>
      </c>
      <c r="R50" s="10">
        <v>8.8499999999999995E-2</v>
      </c>
      <c r="S50" s="9">
        <v>295380413.85000002</v>
      </c>
      <c r="T50" s="10">
        <v>2.3846339702699999E-3</v>
      </c>
      <c r="U50" s="10">
        <v>0.09</v>
      </c>
      <c r="V50" s="10">
        <v>8.7599999999999997E-2</v>
      </c>
      <c r="W50" s="2" t="s">
        <v>26</v>
      </c>
      <c r="X50" s="1" t="s">
        <v>26</v>
      </c>
      <c r="Y50" s="1" t="s">
        <v>26</v>
      </c>
      <c r="Z50" s="1" t="s">
        <v>26</v>
      </c>
      <c r="AA50" s="9">
        <v>106723672.20999999</v>
      </c>
      <c r="AB50" s="10">
        <v>6.8616559867000005E-4</v>
      </c>
      <c r="AC50" s="10">
        <v>0.09</v>
      </c>
      <c r="AD50" s="10">
        <v>8.9300000000000004E-2</v>
      </c>
      <c r="AE50" s="9">
        <v>842772259.07000005</v>
      </c>
      <c r="AF50" s="10">
        <v>1.16683627913E-3</v>
      </c>
      <c r="AG50" s="10">
        <v>0.09</v>
      </c>
      <c r="AH50" s="10">
        <v>8.8800000000000004E-2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2" t="s">
        <v>26</v>
      </c>
      <c r="AV50" s="1" t="s">
        <v>26</v>
      </c>
      <c r="AW50" s="1" t="s">
        <v>26</v>
      </c>
      <c r="AX50" s="1" t="s">
        <v>26</v>
      </c>
      <c r="AY50" s="9">
        <v>842772259.07000005</v>
      </c>
      <c r="AZ50" s="10">
        <v>1.0310091359100001E-3</v>
      </c>
      <c r="BA50" s="10">
        <v>0.09</v>
      </c>
      <c r="BB50" s="10">
        <v>8.8999999999999996E-2</v>
      </c>
    </row>
    <row r="51" spans="1:54" s="28" customFormat="1">
      <c r="A51" s="3" t="s">
        <v>39</v>
      </c>
      <c r="B51" s="23" t="s">
        <v>47</v>
      </c>
      <c r="C51" s="9" t="s">
        <v>26</v>
      </c>
      <c r="D51" s="10" t="s">
        <v>26</v>
      </c>
      <c r="E51" s="9" t="s">
        <v>26</v>
      </c>
      <c r="F51" s="10" t="s">
        <v>26</v>
      </c>
      <c r="G51" s="9" t="s">
        <v>26</v>
      </c>
      <c r="H51" s="10" t="s">
        <v>26</v>
      </c>
      <c r="I51" s="9" t="s">
        <v>26</v>
      </c>
      <c r="J51" s="10" t="s">
        <v>26</v>
      </c>
      <c r="K51" s="2">
        <v>16728123.039999999</v>
      </c>
      <c r="L51" s="1">
        <v>1</v>
      </c>
      <c r="M51" s="1" t="s">
        <v>26</v>
      </c>
      <c r="N51" s="1" t="s">
        <v>26</v>
      </c>
      <c r="O51" s="2">
        <v>390218540.01999998</v>
      </c>
      <c r="P51" s="1">
        <v>1</v>
      </c>
      <c r="Q51" s="1" t="s">
        <v>26</v>
      </c>
      <c r="R51" s="1" t="s">
        <v>26</v>
      </c>
      <c r="S51" s="2">
        <v>295380413.85000002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106723672.20999999</v>
      </c>
      <c r="AB51" s="1">
        <v>1</v>
      </c>
      <c r="AC51" s="1" t="s">
        <v>26</v>
      </c>
      <c r="AD51" s="1" t="s">
        <v>26</v>
      </c>
      <c r="AE51" s="2">
        <v>842772259.07000005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 t="s">
        <v>26</v>
      </c>
      <c r="AV51" s="1" t="s">
        <v>26</v>
      </c>
      <c r="AW51" s="1" t="s">
        <v>26</v>
      </c>
      <c r="AX51" s="1" t="s">
        <v>26</v>
      </c>
      <c r="AY51" s="2">
        <v>842772259.07000005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60</v>
      </c>
      <c r="B52" s="20" t="s">
        <v>25</v>
      </c>
      <c r="C52" s="9" t="s">
        <v>26</v>
      </c>
      <c r="D52" s="10" t="s">
        <v>26</v>
      </c>
      <c r="E52" s="9" t="s">
        <v>26</v>
      </c>
      <c r="F52" s="10" t="s">
        <v>26</v>
      </c>
      <c r="G52" s="9">
        <v>313526595</v>
      </c>
      <c r="H52" s="10">
        <v>1.82702155463E-3</v>
      </c>
      <c r="I52" s="10">
        <v>0.12</v>
      </c>
      <c r="J52" s="10">
        <v>0.1182</v>
      </c>
      <c r="K52" s="9">
        <v>51602136</v>
      </c>
      <c r="L52" s="10">
        <v>1.3200828018239999E-2</v>
      </c>
      <c r="M52" s="10">
        <v>0.12</v>
      </c>
      <c r="N52" s="10">
        <v>0.10680000000000001</v>
      </c>
      <c r="O52" s="9">
        <v>2283677766</v>
      </c>
      <c r="P52" s="10">
        <v>9.0500046097499991E-3</v>
      </c>
      <c r="Q52" s="10">
        <v>0.12</v>
      </c>
      <c r="R52" s="10">
        <v>0.1109</v>
      </c>
      <c r="S52" s="9">
        <v>856126715.26999998</v>
      </c>
      <c r="T52" s="10">
        <v>6.9115918062499998E-3</v>
      </c>
      <c r="U52" s="10">
        <v>0.1305</v>
      </c>
      <c r="V52" s="10">
        <v>0.1236</v>
      </c>
      <c r="W52" s="9">
        <v>76543751.200000003</v>
      </c>
      <c r="X52" s="10">
        <v>1.057114026957E-2</v>
      </c>
      <c r="Y52" s="10">
        <v>0.13109999999999999</v>
      </c>
      <c r="Z52" s="10">
        <v>0.1205</v>
      </c>
      <c r="AA52" s="9">
        <v>2281629708.0900002</v>
      </c>
      <c r="AB52" s="10">
        <v>1.466943352099E-2</v>
      </c>
      <c r="AC52" s="10">
        <v>0.13059999999999999</v>
      </c>
      <c r="AD52" s="10">
        <v>0.1159</v>
      </c>
      <c r="AE52" s="9">
        <v>5863106671.5600004</v>
      </c>
      <c r="AF52" s="10">
        <v>8.1175970128999995E-3</v>
      </c>
      <c r="AG52" s="10">
        <v>0.1258</v>
      </c>
      <c r="AH52" s="10">
        <v>0.1177</v>
      </c>
      <c r="AI52" s="9">
        <v>242536054.05000001</v>
      </c>
      <c r="AJ52" s="10">
        <v>1.324416826424E-2</v>
      </c>
      <c r="AK52" s="10">
        <v>0.1245</v>
      </c>
      <c r="AL52" s="10">
        <v>0.1113</v>
      </c>
      <c r="AM52" s="9">
        <v>223643657.41999999</v>
      </c>
      <c r="AN52" s="10">
        <v>8.9060801700800007E-3</v>
      </c>
      <c r="AO52" s="10">
        <v>0.12</v>
      </c>
      <c r="AP52" s="10">
        <v>0.1111</v>
      </c>
      <c r="AQ52" s="9">
        <v>466179711.47000003</v>
      </c>
      <c r="AR52" s="10">
        <v>1.073552797861E-2</v>
      </c>
      <c r="AS52" s="10">
        <v>0.12230000000000001</v>
      </c>
      <c r="AT52" s="10">
        <v>0.1116</v>
      </c>
      <c r="AU52" s="9">
        <v>480741381.86000001</v>
      </c>
      <c r="AV52" s="10">
        <v>9.2933883864199998E-3</v>
      </c>
      <c r="AW52" s="10">
        <v>0.13070000000000001</v>
      </c>
      <c r="AX52" s="10">
        <v>0.12139999999999999</v>
      </c>
      <c r="AY52" s="9">
        <v>6810027764.8900003</v>
      </c>
      <c r="AZ52" s="10">
        <v>8.33107730566E-3</v>
      </c>
      <c r="BA52" s="10">
        <v>0.12590000000000001</v>
      </c>
      <c r="BB52" s="10">
        <v>0.1176</v>
      </c>
    </row>
    <row r="53" spans="1:54" s="28" customFormat="1">
      <c r="A53" s="3" t="s">
        <v>39</v>
      </c>
      <c r="B53" s="23" t="s">
        <v>57</v>
      </c>
      <c r="C53" s="9" t="s">
        <v>26</v>
      </c>
      <c r="D53" s="10" t="s">
        <v>26</v>
      </c>
      <c r="E53" s="9" t="s">
        <v>26</v>
      </c>
      <c r="F53" s="10" t="s">
        <v>26</v>
      </c>
      <c r="G53" s="2">
        <v>313526595</v>
      </c>
      <c r="H53" s="1">
        <v>1</v>
      </c>
      <c r="I53" s="9" t="s">
        <v>26</v>
      </c>
      <c r="J53" s="10" t="s">
        <v>26</v>
      </c>
      <c r="K53" s="2">
        <v>51602136</v>
      </c>
      <c r="L53" s="1">
        <v>1</v>
      </c>
      <c r="M53" s="1" t="s">
        <v>26</v>
      </c>
      <c r="N53" s="1" t="s">
        <v>26</v>
      </c>
      <c r="O53" s="2">
        <v>2283677766</v>
      </c>
      <c r="P53" s="1">
        <v>1</v>
      </c>
      <c r="Q53" s="1" t="s">
        <v>26</v>
      </c>
      <c r="R53" s="1" t="s">
        <v>26</v>
      </c>
      <c r="S53" s="2">
        <v>557303068.79999995</v>
      </c>
      <c r="T53" s="1">
        <v>0.65095862430159002</v>
      </c>
      <c r="U53" s="1" t="s">
        <v>26</v>
      </c>
      <c r="V53" s="1" t="s">
        <v>26</v>
      </c>
      <c r="W53" s="2">
        <v>48100572.950000003</v>
      </c>
      <c r="X53" s="1">
        <v>0.62840626695075996</v>
      </c>
      <c r="Y53" s="1" t="s">
        <v>26</v>
      </c>
      <c r="Z53" s="1" t="s">
        <v>26</v>
      </c>
      <c r="AA53" s="2">
        <v>1478523002.99</v>
      </c>
      <c r="AB53" s="1">
        <v>0.64801181267388996</v>
      </c>
      <c r="AC53" s="1" t="s">
        <v>26</v>
      </c>
      <c r="AD53" s="1" t="s">
        <v>26</v>
      </c>
      <c r="AE53" s="2">
        <v>4732733141.7399998</v>
      </c>
      <c r="AF53" s="1">
        <v>0.80720570285662996</v>
      </c>
      <c r="AG53" s="1" t="s">
        <v>26</v>
      </c>
      <c r="AH53" s="1" t="s">
        <v>26</v>
      </c>
      <c r="AI53" s="2">
        <v>206408544</v>
      </c>
      <c r="AJ53" s="1">
        <v>0.85104272355914001</v>
      </c>
      <c r="AK53" s="1" t="s">
        <v>26</v>
      </c>
      <c r="AL53" s="1" t="s">
        <v>26</v>
      </c>
      <c r="AM53" s="2">
        <v>223643657.41999999</v>
      </c>
      <c r="AN53" s="1">
        <v>1</v>
      </c>
      <c r="AO53" s="1" t="s">
        <v>26</v>
      </c>
      <c r="AP53" s="1" t="s">
        <v>26</v>
      </c>
      <c r="AQ53" s="2">
        <v>430052201.42000002</v>
      </c>
      <c r="AR53" s="1">
        <v>0.92250304086362001</v>
      </c>
      <c r="AS53" s="1" t="s">
        <v>26</v>
      </c>
      <c r="AT53" s="1" t="s">
        <v>26</v>
      </c>
      <c r="AU53" s="2">
        <v>309612816</v>
      </c>
      <c r="AV53" s="1">
        <v>0.64403196330238999</v>
      </c>
      <c r="AW53" s="1" t="s">
        <v>26</v>
      </c>
      <c r="AX53" s="1" t="s">
        <v>26</v>
      </c>
      <c r="AY53" s="2">
        <v>5472398159.1599998</v>
      </c>
      <c r="AZ53" s="1">
        <v>0.80357941965724</v>
      </c>
      <c r="BA53" s="1" t="s">
        <v>26</v>
      </c>
      <c r="BB53" s="1" t="s">
        <v>26</v>
      </c>
    </row>
    <row r="54" spans="1:54" s="7" customFormat="1">
      <c r="A54" s="3" t="s">
        <v>41</v>
      </c>
      <c r="B54" s="23" t="s">
        <v>35</v>
      </c>
      <c r="C54" s="9" t="s">
        <v>26</v>
      </c>
      <c r="D54" s="10" t="s">
        <v>26</v>
      </c>
      <c r="E54" s="9" t="s">
        <v>26</v>
      </c>
      <c r="F54" s="10" t="s">
        <v>26</v>
      </c>
      <c r="G54" s="9" t="s">
        <v>26</v>
      </c>
      <c r="H54" s="10" t="s">
        <v>26</v>
      </c>
      <c r="I54" s="9" t="s">
        <v>26</v>
      </c>
      <c r="J54" s="10" t="s">
        <v>26</v>
      </c>
      <c r="K54" s="2" t="s">
        <v>26</v>
      </c>
      <c r="L54" s="1" t="s">
        <v>26</v>
      </c>
      <c r="M54" s="1" t="s">
        <v>26</v>
      </c>
      <c r="N54" s="1" t="s">
        <v>26</v>
      </c>
      <c r="O54" s="2" t="s">
        <v>26</v>
      </c>
      <c r="P54" s="1" t="s">
        <v>26</v>
      </c>
      <c r="Q54" s="1" t="s">
        <v>26</v>
      </c>
      <c r="R54" s="1" t="s">
        <v>26</v>
      </c>
      <c r="S54" s="2">
        <v>298823646.47000003</v>
      </c>
      <c r="T54" s="1">
        <v>0.34904137569840998</v>
      </c>
      <c r="U54" s="1" t="s">
        <v>26</v>
      </c>
      <c r="V54" s="1" t="s">
        <v>26</v>
      </c>
      <c r="W54" s="2">
        <v>28443178.25</v>
      </c>
      <c r="X54" s="1">
        <v>0.37159373304923998</v>
      </c>
      <c r="Y54" s="1" t="s">
        <v>26</v>
      </c>
      <c r="Z54" s="1" t="s">
        <v>26</v>
      </c>
      <c r="AA54" s="2">
        <v>803106705.10000002</v>
      </c>
      <c r="AB54" s="1">
        <v>0.35198818732610998</v>
      </c>
      <c r="AC54" s="1" t="s">
        <v>26</v>
      </c>
      <c r="AD54" s="1" t="s">
        <v>26</v>
      </c>
      <c r="AE54" s="2">
        <v>1130373529.8199999</v>
      </c>
      <c r="AF54" s="1">
        <v>0.19279429714337001</v>
      </c>
      <c r="AG54" s="1" t="s">
        <v>26</v>
      </c>
      <c r="AH54" s="1" t="s">
        <v>26</v>
      </c>
      <c r="AI54" s="2">
        <v>36127510.049999997</v>
      </c>
      <c r="AJ54" s="1">
        <v>0.14895727644084999</v>
      </c>
      <c r="AK54" s="1" t="s">
        <v>26</v>
      </c>
      <c r="AL54" s="1" t="s">
        <v>26</v>
      </c>
      <c r="AM54" s="2" t="s">
        <v>26</v>
      </c>
      <c r="AN54" s="1" t="s">
        <v>26</v>
      </c>
      <c r="AO54" s="1" t="s">
        <v>26</v>
      </c>
      <c r="AP54" s="1" t="s">
        <v>26</v>
      </c>
      <c r="AQ54" s="2">
        <v>36127510.049999997</v>
      </c>
      <c r="AR54" s="1">
        <v>7.7496959136379995E-2</v>
      </c>
      <c r="AS54" s="1" t="s">
        <v>26</v>
      </c>
      <c r="AT54" s="1" t="s">
        <v>26</v>
      </c>
      <c r="AU54" s="2">
        <v>171128565.86000001</v>
      </c>
      <c r="AV54" s="1">
        <v>0.35596803669761001</v>
      </c>
      <c r="AW54" s="1" t="s">
        <v>26</v>
      </c>
      <c r="AX54" s="1" t="s">
        <v>26</v>
      </c>
      <c r="AY54" s="2">
        <v>1337629605.73</v>
      </c>
      <c r="AZ54" s="1">
        <v>0.19642058034276</v>
      </c>
      <c r="BA54" s="1" t="s">
        <v>26</v>
      </c>
      <c r="BB54" s="1" t="s">
        <v>26</v>
      </c>
    </row>
    <row r="55" spans="1:54" s="7" customFormat="1">
      <c r="A55" s="12" t="s">
        <v>61</v>
      </c>
      <c r="B55" s="40" t="s">
        <v>25</v>
      </c>
      <c r="C55" s="42" t="s">
        <v>26</v>
      </c>
      <c r="D55" s="43" t="s">
        <v>26</v>
      </c>
      <c r="E55" s="43" t="s">
        <v>26</v>
      </c>
      <c r="F55" s="43" t="s">
        <v>26</v>
      </c>
      <c r="G55" s="43" t="s">
        <v>26</v>
      </c>
      <c r="H55" s="43" t="s">
        <v>26</v>
      </c>
      <c r="I55" s="43" t="s">
        <v>26</v>
      </c>
      <c r="J55" s="43" t="s">
        <v>26</v>
      </c>
      <c r="K55" s="42">
        <v>79607629.599999994</v>
      </c>
      <c r="L55" s="43">
        <v>2.0365176885110001E-2</v>
      </c>
      <c r="M55" s="43" t="s">
        <v>26</v>
      </c>
      <c r="N55" s="43" t="s">
        <v>26</v>
      </c>
      <c r="O55" s="42">
        <v>100302703.39</v>
      </c>
      <c r="P55" s="43">
        <v>3.9749037345E-4</v>
      </c>
      <c r="Q55" s="43" t="s">
        <v>26</v>
      </c>
      <c r="R55" s="43" t="s">
        <v>26</v>
      </c>
      <c r="S55" s="43" t="s">
        <v>26</v>
      </c>
      <c r="T55" s="43" t="s">
        <v>26</v>
      </c>
      <c r="U55" s="43" t="s">
        <v>26</v>
      </c>
      <c r="V55" s="43" t="s">
        <v>26</v>
      </c>
      <c r="W55" s="43" t="s">
        <v>26</v>
      </c>
      <c r="X55" s="43" t="s">
        <v>26</v>
      </c>
      <c r="Y55" s="43" t="s">
        <v>26</v>
      </c>
      <c r="Z55" s="43" t="s">
        <v>26</v>
      </c>
      <c r="AA55" s="42">
        <v>145784223.5</v>
      </c>
      <c r="AB55" s="43">
        <v>9.3730019707000004E-4</v>
      </c>
      <c r="AC55" s="43" t="s">
        <v>26</v>
      </c>
      <c r="AD55" s="43" t="s">
        <v>26</v>
      </c>
      <c r="AE55" s="42">
        <v>325694556.49000001</v>
      </c>
      <c r="AF55" s="43">
        <v>4.5093110308E-4</v>
      </c>
      <c r="AG55" s="43" t="s">
        <v>26</v>
      </c>
      <c r="AH55" s="43" t="s">
        <v>26</v>
      </c>
      <c r="AI55" s="42">
        <v>48398877.109999999</v>
      </c>
      <c r="AJ55" s="43">
        <v>2.64291787362E-3</v>
      </c>
      <c r="AK55" s="43" t="s">
        <v>26</v>
      </c>
      <c r="AL55" s="43" t="s">
        <v>26</v>
      </c>
      <c r="AM55" s="43" t="s">
        <v>26</v>
      </c>
      <c r="AN55" s="43" t="s">
        <v>26</v>
      </c>
      <c r="AO55" s="43" t="s">
        <v>26</v>
      </c>
      <c r="AP55" s="43" t="s">
        <v>26</v>
      </c>
      <c r="AQ55" s="42">
        <v>48398877.109999999</v>
      </c>
      <c r="AR55" s="43">
        <v>1.1145648053E-3</v>
      </c>
      <c r="AS55" s="43" t="s">
        <v>26</v>
      </c>
      <c r="AT55" s="43" t="s">
        <v>26</v>
      </c>
      <c r="AU55" s="48">
        <v>4016504.33</v>
      </c>
      <c r="AV55" s="43">
        <v>7.7644521780000002E-5</v>
      </c>
      <c r="AW55" s="43" t="s">
        <v>26</v>
      </c>
      <c r="AX55" s="43" t="s">
        <v>26</v>
      </c>
      <c r="AY55" s="42">
        <v>378109937.93000001</v>
      </c>
      <c r="AZ55" s="43">
        <v>4.6256244932999999E-4</v>
      </c>
      <c r="BA55" s="43" t="s">
        <v>26</v>
      </c>
      <c r="BB55" s="43" t="s">
        <v>26</v>
      </c>
    </row>
    <row r="56" spans="1:54" s="7" customFormat="1">
      <c r="A56" s="5" t="s">
        <v>63</v>
      </c>
      <c r="B56" s="20" t="s">
        <v>25</v>
      </c>
      <c r="C56" s="9" t="s">
        <v>26</v>
      </c>
      <c r="D56" s="10" t="s">
        <v>26</v>
      </c>
      <c r="E56" s="9" t="s">
        <v>26</v>
      </c>
      <c r="F56" s="10" t="s">
        <v>26</v>
      </c>
      <c r="G56" s="9" t="s">
        <v>26</v>
      </c>
      <c r="H56" s="10" t="s">
        <v>26</v>
      </c>
      <c r="I56" s="9" t="s">
        <v>26</v>
      </c>
      <c r="J56" s="10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 t="s">
        <v>26</v>
      </c>
      <c r="T56" s="1" t="s">
        <v>26</v>
      </c>
      <c r="U56" s="1" t="s">
        <v>26</v>
      </c>
      <c r="V56" s="1" t="s">
        <v>26</v>
      </c>
      <c r="W56" s="2" t="s">
        <v>26</v>
      </c>
      <c r="X56" s="1" t="s">
        <v>26</v>
      </c>
      <c r="Y56" s="1" t="s">
        <v>26</v>
      </c>
      <c r="Z56" s="1" t="s">
        <v>26</v>
      </c>
      <c r="AA56" s="9">
        <v>95607294.700000003</v>
      </c>
      <c r="AB56" s="10">
        <v>6.1469433394000005E-4</v>
      </c>
      <c r="AC56" s="10">
        <v>0.13500000000000001</v>
      </c>
      <c r="AD56" s="10">
        <v>0.13439999999999999</v>
      </c>
      <c r="AE56" s="9">
        <v>95607294.700000003</v>
      </c>
      <c r="AF56" s="10">
        <v>1.3237035131000001E-4</v>
      </c>
      <c r="AG56" s="10">
        <v>0.13500000000000001</v>
      </c>
      <c r="AH56" s="10">
        <v>0.13489999999999999</v>
      </c>
      <c r="AI56" s="2" t="s">
        <v>26</v>
      </c>
      <c r="AJ56" s="1" t="s">
        <v>26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 t="s">
        <v>26</v>
      </c>
      <c r="AR56" s="1" t="s">
        <v>26</v>
      </c>
      <c r="AS56" s="1" t="s">
        <v>26</v>
      </c>
      <c r="AT56" s="1" t="s">
        <v>26</v>
      </c>
      <c r="AU56" s="2" t="s">
        <v>26</v>
      </c>
      <c r="AV56" s="1" t="s">
        <v>26</v>
      </c>
      <c r="AW56" s="1" t="s">
        <v>26</v>
      </c>
      <c r="AX56" s="1" t="s">
        <v>26</v>
      </c>
      <c r="AY56" s="9">
        <v>95607294.700000003</v>
      </c>
      <c r="AZ56" s="10">
        <v>1.1696160289E-4</v>
      </c>
      <c r="BA56" s="10">
        <v>0.13500000000000001</v>
      </c>
      <c r="BB56" s="10">
        <v>0.13489999999999999</v>
      </c>
    </row>
    <row r="57" spans="1:54" s="7" customFormat="1">
      <c r="A57" s="3" t="s">
        <v>41</v>
      </c>
      <c r="B57" s="23" t="s">
        <v>44</v>
      </c>
      <c r="C57" s="9" t="s">
        <v>26</v>
      </c>
      <c r="D57" s="10" t="s">
        <v>26</v>
      </c>
      <c r="E57" s="9" t="s">
        <v>26</v>
      </c>
      <c r="F57" s="10" t="s">
        <v>26</v>
      </c>
      <c r="G57" s="9" t="s">
        <v>26</v>
      </c>
      <c r="H57" s="10" t="s">
        <v>26</v>
      </c>
      <c r="I57" s="9" t="s">
        <v>26</v>
      </c>
      <c r="J57" s="10" t="s">
        <v>26</v>
      </c>
      <c r="K57" s="2" t="s">
        <v>26</v>
      </c>
      <c r="L57" s="1" t="s">
        <v>26</v>
      </c>
      <c r="M57" s="1" t="s">
        <v>26</v>
      </c>
      <c r="N57" s="1" t="s">
        <v>26</v>
      </c>
      <c r="O57" s="2" t="s">
        <v>26</v>
      </c>
      <c r="P57" s="1" t="s">
        <v>26</v>
      </c>
      <c r="Q57" s="1" t="s">
        <v>26</v>
      </c>
      <c r="R57" s="1" t="s">
        <v>26</v>
      </c>
      <c r="S57" s="2" t="s">
        <v>26</v>
      </c>
      <c r="T57" s="1" t="s">
        <v>26</v>
      </c>
      <c r="U57" s="1" t="s">
        <v>26</v>
      </c>
      <c r="V57" s="1" t="s">
        <v>26</v>
      </c>
      <c r="W57" s="2" t="s">
        <v>26</v>
      </c>
      <c r="X57" s="1" t="s">
        <v>26</v>
      </c>
      <c r="Y57" s="1" t="s">
        <v>26</v>
      </c>
      <c r="Z57" s="1" t="s">
        <v>26</v>
      </c>
      <c r="AA57" s="2">
        <v>95607294.700000003</v>
      </c>
      <c r="AB57" s="1">
        <v>1</v>
      </c>
      <c r="AC57" s="1" t="s">
        <v>26</v>
      </c>
      <c r="AD57" s="1" t="s">
        <v>26</v>
      </c>
      <c r="AE57" s="2">
        <v>95607294.700000003</v>
      </c>
      <c r="AF57" s="1">
        <v>1</v>
      </c>
      <c r="AG57" s="1" t="s">
        <v>26</v>
      </c>
      <c r="AH57" s="1" t="s">
        <v>26</v>
      </c>
      <c r="AI57" s="2" t="s">
        <v>26</v>
      </c>
      <c r="AJ57" s="1" t="s">
        <v>26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 t="s">
        <v>26</v>
      </c>
      <c r="AR57" s="1" t="s">
        <v>26</v>
      </c>
      <c r="AS57" s="1" t="s">
        <v>26</v>
      </c>
      <c r="AT57" s="1" t="s">
        <v>26</v>
      </c>
      <c r="AU57" s="2" t="s">
        <v>26</v>
      </c>
      <c r="AV57" s="1" t="s">
        <v>26</v>
      </c>
      <c r="AW57" s="1" t="s">
        <v>26</v>
      </c>
      <c r="AX57" s="1" t="s">
        <v>26</v>
      </c>
      <c r="AY57" s="2">
        <v>95607294.700000003</v>
      </c>
      <c r="AZ57" s="1">
        <v>1</v>
      </c>
      <c r="BA57" s="1" t="s">
        <v>26</v>
      </c>
      <c r="BB57" s="1" t="s">
        <v>26</v>
      </c>
    </row>
    <row r="58" spans="1:54" s="7" customFormat="1">
      <c r="A58" s="5" t="s">
        <v>65</v>
      </c>
      <c r="B58" s="20" t="s">
        <v>25</v>
      </c>
      <c r="C58" s="9" t="s">
        <v>26</v>
      </c>
      <c r="D58" s="10" t="s">
        <v>26</v>
      </c>
      <c r="E58" s="9" t="s">
        <v>26</v>
      </c>
      <c r="F58" s="10" t="s">
        <v>26</v>
      </c>
      <c r="G58" s="9" t="s">
        <v>26</v>
      </c>
      <c r="H58" s="10" t="s">
        <v>26</v>
      </c>
      <c r="I58" s="9" t="s">
        <v>26</v>
      </c>
      <c r="J58" s="10" t="s">
        <v>26</v>
      </c>
      <c r="K58" s="9">
        <v>79607629.599999994</v>
      </c>
      <c r="L58" s="10">
        <v>2.0365176885110001E-2</v>
      </c>
      <c r="M58" s="10">
        <v>0.13500000000000001</v>
      </c>
      <c r="N58" s="10">
        <v>0.11459999999999999</v>
      </c>
      <c r="O58" s="9">
        <v>100302703.39</v>
      </c>
      <c r="P58" s="10">
        <v>3.9749037345E-4</v>
      </c>
      <c r="Q58" s="10">
        <v>0.13500000000000001</v>
      </c>
      <c r="R58" s="10">
        <v>0.1346</v>
      </c>
      <c r="S58" s="2" t="s">
        <v>26</v>
      </c>
      <c r="T58" s="1" t="s">
        <v>26</v>
      </c>
      <c r="U58" s="1" t="s">
        <v>26</v>
      </c>
      <c r="V58" s="1" t="s">
        <v>26</v>
      </c>
      <c r="W58" s="2" t="s">
        <v>26</v>
      </c>
      <c r="X58" s="1" t="s">
        <v>26</v>
      </c>
      <c r="Y58" s="1" t="s">
        <v>26</v>
      </c>
      <c r="Z58" s="1" t="s">
        <v>26</v>
      </c>
      <c r="AA58" s="9">
        <v>50176928.799999997</v>
      </c>
      <c r="AB58" s="10">
        <v>3.2260586312999999E-4</v>
      </c>
      <c r="AC58" s="10">
        <v>0.13500000000000001</v>
      </c>
      <c r="AD58" s="10">
        <v>0.13469999999999999</v>
      </c>
      <c r="AE58" s="9">
        <v>230087261.78999999</v>
      </c>
      <c r="AF58" s="10">
        <v>3.1856075177E-4</v>
      </c>
      <c r="AG58" s="10">
        <v>0.13500000000000001</v>
      </c>
      <c r="AH58" s="10">
        <v>0.13469999999999999</v>
      </c>
      <c r="AI58" s="9">
        <v>48398877.109999999</v>
      </c>
      <c r="AJ58" s="10">
        <v>2.64291787362E-3</v>
      </c>
      <c r="AK58" s="10">
        <v>0.13500000000000001</v>
      </c>
      <c r="AL58" s="10">
        <v>0.13239999999999999</v>
      </c>
      <c r="AM58" s="2" t="s">
        <v>26</v>
      </c>
      <c r="AN58" s="1" t="s">
        <v>26</v>
      </c>
      <c r="AO58" s="1" t="s">
        <v>26</v>
      </c>
      <c r="AP58" s="1" t="s">
        <v>26</v>
      </c>
      <c r="AQ58" s="9">
        <v>48398877.109999999</v>
      </c>
      <c r="AR58" s="10">
        <v>1.1145648053E-3</v>
      </c>
      <c r="AS58" s="10">
        <v>0.13500000000000001</v>
      </c>
      <c r="AT58" s="10">
        <v>0.13389999999999999</v>
      </c>
      <c r="AU58" s="9">
        <v>4016504.33</v>
      </c>
      <c r="AV58" s="10">
        <v>7.7644521780000002E-5</v>
      </c>
      <c r="AW58" s="10">
        <v>0.13500000000000001</v>
      </c>
      <c r="AX58" s="10">
        <v>0.13489999999999999</v>
      </c>
      <c r="AY58" s="9">
        <v>282502643.23000002</v>
      </c>
      <c r="AZ58" s="10">
        <v>3.4560084644000001E-4</v>
      </c>
      <c r="BA58" s="10">
        <v>0.13500000000000001</v>
      </c>
      <c r="BB58" s="10">
        <v>0.13469999999999999</v>
      </c>
    </row>
    <row r="59" spans="1:54" s="28" customFormat="1">
      <c r="A59" s="3" t="s">
        <v>41</v>
      </c>
      <c r="B59" s="23" t="s">
        <v>44</v>
      </c>
      <c r="C59" s="9" t="s">
        <v>26</v>
      </c>
      <c r="D59" s="10" t="s">
        <v>26</v>
      </c>
      <c r="E59" s="9" t="s">
        <v>26</v>
      </c>
      <c r="F59" s="10" t="s">
        <v>26</v>
      </c>
      <c r="G59" s="9" t="s">
        <v>26</v>
      </c>
      <c r="H59" s="10" t="s">
        <v>26</v>
      </c>
      <c r="I59" s="9" t="s">
        <v>26</v>
      </c>
      <c r="J59" s="10" t="s">
        <v>26</v>
      </c>
      <c r="K59" s="2">
        <v>79607629.599999994</v>
      </c>
      <c r="L59" s="1">
        <v>1</v>
      </c>
      <c r="M59" s="1" t="s">
        <v>26</v>
      </c>
      <c r="N59" s="1" t="s">
        <v>26</v>
      </c>
      <c r="O59" s="2">
        <v>100302703.39</v>
      </c>
      <c r="P59" s="1">
        <v>1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>
        <v>50176928.799999997</v>
      </c>
      <c r="AB59" s="1">
        <v>1</v>
      </c>
      <c r="AC59" s="1" t="s">
        <v>26</v>
      </c>
      <c r="AD59" s="1" t="s">
        <v>26</v>
      </c>
      <c r="AE59" s="2">
        <v>230087261.78999999</v>
      </c>
      <c r="AF59" s="1">
        <v>1</v>
      </c>
      <c r="AG59" s="1" t="s">
        <v>26</v>
      </c>
      <c r="AH59" s="1" t="s">
        <v>26</v>
      </c>
      <c r="AI59" s="2">
        <v>48398877.109999999</v>
      </c>
      <c r="AJ59" s="1">
        <v>1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>
        <v>48398877.109999999</v>
      </c>
      <c r="AR59" s="1">
        <v>1</v>
      </c>
      <c r="AS59" s="1" t="s">
        <v>26</v>
      </c>
      <c r="AT59" s="1" t="s">
        <v>26</v>
      </c>
      <c r="AU59" s="2">
        <v>4016504.33</v>
      </c>
      <c r="AV59" s="1">
        <v>1</v>
      </c>
      <c r="AW59" s="1" t="s">
        <v>26</v>
      </c>
      <c r="AX59" s="1" t="s">
        <v>26</v>
      </c>
      <c r="AY59" s="2">
        <v>282502643.23000002</v>
      </c>
      <c r="AZ59" s="1">
        <v>1</v>
      </c>
      <c r="BA59" s="1" t="s">
        <v>26</v>
      </c>
      <c r="BB59" s="1" t="s">
        <v>26</v>
      </c>
    </row>
    <row r="60" spans="1:54" s="7" customFormat="1">
      <c r="A60" s="12" t="s">
        <v>66</v>
      </c>
      <c r="B60" s="40" t="s">
        <v>25</v>
      </c>
      <c r="C60" s="42">
        <v>1147979503.6300001</v>
      </c>
      <c r="D60" s="43">
        <v>0.14771539735743999</v>
      </c>
      <c r="E60" s="43" t="s">
        <v>26</v>
      </c>
      <c r="F60" s="43" t="s">
        <v>26</v>
      </c>
      <c r="G60" s="42">
        <v>6655330119.8100004</v>
      </c>
      <c r="H60" s="43">
        <v>3.8782775611380001E-2</v>
      </c>
      <c r="I60" s="43" t="s">
        <v>26</v>
      </c>
      <c r="J60" s="43" t="s">
        <v>26</v>
      </c>
      <c r="K60" s="42">
        <v>655951156.57000005</v>
      </c>
      <c r="L60" s="43">
        <v>0.16780503826908999</v>
      </c>
      <c r="M60" s="43" t="s">
        <v>26</v>
      </c>
      <c r="N60" s="43" t="s">
        <v>26</v>
      </c>
      <c r="O60" s="42">
        <v>10582155521.99</v>
      </c>
      <c r="P60" s="43">
        <v>4.193610748459E-2</v>
      </c>
      <c r="Q60" s="43" t="s">
        <v>26</v>
      </c>
      <c r="R60" s="43" t="s">
        <v>26</v>
      </c>
      <c r="S60" s="42">
        <v>6182820595.9099998</v>
      </c>
      <c r="T60" s="43">
        <v>4.9914494441059998E-2</v>
      </c>
      <c r="U60" s="43" t="s">
        <v>26</v>
      </c>
      <c r="V60" s="43" t="s">
        <v>26</v>
      </c>
      <c r="W60" s="43" t="s">
        <v>26</v>
      </c>
      <c r="X60" s="43" t="s">
        <v>26</v>
      </c>
      <c r="Y60" s="43" t="s">
        <v>26</v>
      </c>
      <c r="Z60" s="43" t="s">
        <v>26</v>
      </c>
      <c r="AA60" s="42">
        <v>5056925065.4099998</v>
      </c>
      <c r="AB60" s="43">
        <v>3.2512824409940001E-2</v>
      </c>
      <c r="AC60" s="43" t="s">
        <v>26</v>
      </c>
      <c r="AD60" s="43" t="s">
        <v>26</v>
      </c>
      <c r="AE60" s="42">
        <v>30281161963.32</v>
      </c>
      <c r="AF60" s="43">
        <v>4.1924918591890001E-2</v>
      </c>
      <c r="AG60" s="43" t="s">
        <v>26</v>
      </c>
      <c r="AH60" s="43" t="s">
        <v>26</v>
      </c>
      <c r="AI60" s="42">
        <v>907601943.28999996</v>
      </c>
      <c r="AJ60" s="43">
        <v>4.9561426654550003E-2</v>
      </c>
      <c r="AK60" s="43" t="s">
        <v>26</v>
      </c>
      <c r="AL60" s="43" t="s">
        <v>26</v>
      </c>
      <c r="AM60" s="42">
        <v>2183697808.4299998</v>
      </c>
      <c r="AN60" s="43">
        <v>8.6960604979610001E-2</v>
      </c>
      <c r="AO60" s="43" t="s">
        <v>26</v>
      </c>
      <c r="AP60" s="43" t="s">
        <v>26</v>
      </c>
      <c r="AQ60" s="42">
        <v>3091299751.7199998</v>
      </c>
      <c r="AR60" s="43">
        <v>7.1188715764190003E-2</v>
      </c>
      <c r="AS60" s="43" t="s">
        <v>26</v>
      </c>
      <c r="AT60" s="43" t="s">
        <v>26</v>
      </c>
      <c r="AU60" s="42">
        <v>1463301091.1099999</v>
      </c>
      <c r="AV60" s="43">
        <v>2.8287611341780001E-2</v>
      </c>
      <c r="AW60" s="43" t="s">
        <v>26</v>
      </c>
      <c r="AX60" s="43" t="s">
        <v>26</v>
      </c>
      <c r="AY60" s="42">
        <v>34835762806.150002</v>
      </c>
      <c r="AZ60" s="43">
        <v>4.2616483068659998E-2</v>
      </c>
      <c r="BA60" s="43" t="s">
        <v>26</v>
      </c>
      <c r="BB60" s="43" t="s">
        <v>26</v>
      </c>
    </row>
    <row r="61" spans="1:54" s="28" customFormat="1">
      <c r="A61" s="5" t="s">
        <v>67</v>
      </c>
      <c r="B61" s="20" t="s">
        <v>25</v>
      </c>
      <c r="C61" s="9">
        <v>291239726.11000001</v>
      </c>
      <c r="D61" s="10">
        <v>3.747505223968E-2</v>
      </c>
      <c r="E61" s="10">
        <v>0.08</v>
      </c>
      <c r="F61" s="10">
        <v>4.2500000000000003E-2</v>
      </c>
      <c r="G61" s="9" t="s">
        <v>26</v>
      </c>
      <c r="H61" s="10" t="s">
        <v>26</v>
      </c>
      <c r="I61" s="9" t="s">
        <v>26</v>
      </c>
      <c r="J61" s="10" t="s">
        <v>26</v>
      </c>
      <c r="K61" s="9">
        <v>191506726.05000001</v>
      </c>
      <c r="L61" s="10">
        <v>4.899113778783E-2</v>
      </c>
      <c r="M61" s="10">
        <v>0.08</v>
      </c>
      <c r="N61" s="10">
        <v>3.1E-2</v>
      </c>
      <c r="O61" s="2" t="s">
        <v>26</v>
      </c>
      <c r="P61" s="1" t="s">
        <v>26</v>
      </c>
      <c r="Q61" s="1" t="s">
        <v>26</v>
      </c>
      <c r="R61" s="1" t="s">
        <v>26</v>
      </c>
      <c r="S61" s="9">
        <v>489287547.23000002</v>
      </c>
      <c r="T61" s="10">
        <v>3.9500645664000003E-3</v>
      </c>
      <c r="U61" s="10">
        <v>0.08</v>
      </c>
      <c r="V61" s="10">
        <v>7.5999999999999998E-2</v>
      </c>
      <c r="W61" s="2" t="s">
        <v>26</v>
      </c>
      <c r="X61" s="1" t="s">
        <v>26</v>
      </c>
      <c r="Y61" s="1" t="s">
        <v>26</v>
      </c>
      <c r="Z61" s="1" t="s">
        <v>26</v>
      </c>
      <c r="AA61" s="2" t="s">
        <v>26</v>
      </c>
      <c r="AB61" s="1" t="s">
        <v>26</v>
      </c>
      <c r="AC61" s="1" t="s">
        <v>26</v>
      </c>
      <c r="AD61" s="1" t="s">
        <v>26</v>
      </c>
      <c r="AE61" s="9">
        <v>972033999.38999999</v>
      </c>
      <c r="AF61" s="10">
        <v>1.34580193265E-3</v>
      </c>
      <c r="AG61" s="10">
        <v>0.08</v>
      </c>
      <c r="AH61" s="10">
        <v>7.8700000000000006E-2</v>
      </c>
      <c r="AI61" s="2" t="s">
        <v>26</v>
      </c>
      <c r="AJ61" s="1" t="s">
        <v>26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 t="s">
        <v>26</v>
      </c>
      <c r="AR61" s="1" t="s">
        <v>26</v>
      </c>
      <c r="AS61" s="1" t="s">
        <v>26</v>
      </c>
      <c r="AT61" s="1" t="s">
        <v>26</v>
      </c>
      <c r="AU61" s="2" t="s">
        <v>26</v>
      </c>
      <c r="AV61" s="1" t="s">
        <v>26</v>
      </c>
      <c r="AW61" s="1" t="s">
        <v>26</v>
      </c>
      <c r="AX61" s="1" t="s">
        <v>26</v>
      </c>
      <c r="AY61" s="9">
        <v>972033999.38999999</v>
      </c>
      <c r="AZ61" s="10">
        <v>1.1891420523100001E-3</v>
      </c>
      <c r="BA61" s="10">
        <v>0.08</v>
      </c>
      <c r="BB61" s="10">
        <v>7.8799999999999995E-2</v>
      </c>
    </row>
    <row r="62" spans="1:54" s="7" customFormat="1">
      <c r="A62" s="3" t="s">
        <v>68</v>
      </c>
      <c r="B62" s="23" t="s">
        <v>57</v>
      </c>
      <c r="C62" s="2">
        <v>291239726.11000001</v>
      </c>
      <c r="D62" s="1">
        <v>1</v>
      </c>
      <c r="E62" s="9" t="s">
        <v>26</v>
      </c>
      <c r="F62" s="10" t="s">
        <v>26</v>
      </c>
      <c r="G62" s="9" t="s">
        <v>26</v>
      </c>
      <c r="H62" s="10" t="s">
        <v>26</v>
      </c>
      <c r="I62" s="9" t="s">
        <v>26</v>
      </c>
      <c r="J62" s="10" t="s">
        <v>26</v>
      </c>
      <c r="K62" s="2">
        <v>191506726.05000001</v>
      </c>
      <c r="L62" s="1">
        <v>1</v>
      </c>
      <c r="M62" s="1" t="s">
        <v>26</v>
      </c>
      <c r="N62" s="1" t="s">
        <v>26</v>
      </c>
      <c r="O62" s="2" t="s">
        <v>26</v>
      </c>
      <c r="P62" s="1" t="s">
        <v>26</v>
      </c>
      <c r="Q62" s="1" t="s">
        <v>26</v>
      </c>
      <c r="R62" s="1" t="s">
        <v>26</v>
      </c>
      <c r="S62" s="2">
        <v>489287547.23000002</v>
      </c>
      <c r="T62" s="1">
        <v>1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 t="s">
        <v>26</v>
      </c>
      <c r="AB62" s="1" t="s">
        <v>26</v>
      </c>
      <c r="AC62" s="1" t="s">
        <v>26</v>
      </c>
      <c r="AD62" s="1" t="s">
        <v>26</v>
      </c>
      <c r="AE62" s="2">
        <v>972033999.38999999</v>
      </c>
      <c r="AF62" s="1">
        <v>1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 t="s">
        <v>26</v>
      </c>
      <c r="AV62" s="1" t="s">
        <v>26</v>
      </c>
      <c r="AW62" s="1" t="s">
        <v>26</v>
      </c>
      <c r="AX62" s="1" t="s">
        <v>26</v>
      </c>
      <c r="AY62" s="2">
        <v>972033999.38999999</v>
      </c>
      <c r="AZ62" s="1">
        <v>1</v>
      </c>
      <c r="BA62" s="1" t="s">
        <v>26</v>
      </c>
      <c r="BB62" s="1" t="s">
        <v>26</v>
      </c>
    </row>
    <row r="63" spans="1:54" s="7" customFormat="1">
      <c r="A63" s="5" t="s">
        <v>69</v>
      </c>
      <c r="B63" s="20" t="s">
        <v>25</v>
      </c>
      <c r="C63" s="9" t="s">
        <v>26</v>
      </c>
      <c r="D63" s="10" t="s">
        <v>26</v>
      </c>
      <c r="E63" s="9" t="s">
        <v>26</v>
      </c>
      <c r="F63" s="10" t="s">
        <v>26</v>
      </c>
      <c r="G63" s="9">
        <v>443087154.69</v>
      </c>
      <c r="H63" s="10">
        <v>2.5820131214000001E-3</v>
      </c>
      <c r="I63" s="10">
        <v>0.08</v>
      </c>
      <c r="J63" s="10">
        <v>7.7399999999999997E-2</v>
      </c>
      <c r="K63" s="2" t="s">
        <v>26</v>
      </c>
      <c r="L63" s="1" t="s">
        <v>26</v>
      </c>
      <c r="M63" s="1" t="s">
        <v>26</v>
      </c>
      <c r="N63" s="1" t="s">
        <v>26</v>
      </c>
      <c r="O63" s="9">
        <v>399603298.70999998</v>
      </c>
      <c r="P63" s="10">
        <v>1.58359106054E-3</v>
      </c>
      <c r="Q63" s="10">
        <v>0.08</v>
      </c>
      <c r="R63" s="10">
        <v>7.8399999999999997E-2</v>
      </c>
      <c r="S63" s="9">
        <v>101399353</v>
      </c>
      <c r="T63" s="10">
        <v>8.1860655071E-4</v>
      </c>
      <c r="U63" s="10">
        <v>0.08</v>
      </c>
      <c r="V63" s="10">
        <v>7.9200000000000007E-2</v>
      </c>
      <c r="W63" s="2" t="s">
        <v>26</v>
      </c>
      <c r="X63" s="1" t="s">
        <v>26</v>
      </c>
      <c r="Y63" s="1" t="s">
        <v>26</v>
      </c>
      <c r="Z63" s="1" t="s">
        <v>26</v>
      </c>
      <c r="AA63" s="2" t="s">
        <v>26</v>
      </c>
      <c r="AB63" s="1" t="s">
        <v>26</v>
      </c>
      <c r="AC63" s="1" t="s">
        <v>26</v>
      </c>
      <c r="AD63" s="1" t="s">
        <v>26</v>
      </c>
      <c r="AE63" s="9">
        <v>944089806.39999998</v>
      </c>
      <c r="AF63" s="10">
        <v>1.3071125977499999E-3</v>
      </c>
      <c r="AG63" s="10">
        <v>0.08</v>
      </c>
      <c r="AH63" s="10">
        <v>7.8700000000000006E-2</v>
      </c>
      <c r="AI63" s="2" t="s">
        <v>26</v>
      </c>
      <c r="AJ63" s="1" t="s">
        <v>26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 t="s">
        <v>26</v>
      </c>
      <c r="AR63" s="1" t="s">
        <v>26</v>
      </c>
      <c r="AS63" s="1" t="s">
        <v>26</v>
      </c>
      <c r="AT63" s="1" t="s">
        <v>26</v>
      </c>
      <c r="AU63" s="9">
        <v>101399353</v>
      </c>
      <c r="AV63" s="10">
        <v>1.9601881700200001E-3</v>
      </c>
      <c r="AW63" s="10">
        <v>0.08</v>
      </c>
      <c r="AX63" s="10">
        <v>7.8E-2</v>
      </c>
      <c r="AY63" s="9">
        <v>1045489159.4</v>
      </c>
      <c r="AZ63" s="10">
        <v>1.2790037441700001E-3</v>
      </c>
      <c r="BA63" s="10">
        <v>0.08</v>
      </c>
      <c r="BB63" s="10">
        <v>7.8700000000000006E-2</v>
      </c>
    </row>
    <row r="64" spans="1:54" s="7" customFormat="1">
      <c r="A64" s="3" t="s">
        <v>68</v>
      </c>
      <c r="B64" s="23" t="s">
        <v>57</v>
      </c>
      <c r="C64" s="9" t="s">
        <v>26</v>
      </c>
      <c r="D64" s="10" t="s">
        <v>26</v>
      </c>
      <c r="E64" s="9" t="s">
        <v>26</v>
      </c>
      <c r="F64" s="10" t="s">
        <v>26</v>
      </c>
      <c r="G64" s="2">
        <v>443087154.69</v>
      </c>
      <c r="H64" s="1">
        <v>1</v>
      </c>
      <c r="I64" s="9" t="s">
        <v>26</v>
      </c>
      <c r="J64" s="10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>
        <v>399603298.70999998</v>
      </c>
      <c r="P64" s="1">
        <v>1</v>
      </c>
      <c r="Q64" s="1" t="s">
        <v>26</v>
      </c>
      <c r="R64" s="1" t="s">
        <v>26</v>
      </c>
      <c r="S64" s="2">
        <v>101399353</v>
      </c>
      <c r="T64" s="1">
        <v>1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944089806.39999998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>
        <v>101399353</v>
      </c>
      <c r="AV64" s="1">
        <v>1</v>
      </c>
      <c r="AW64" s="1" t="s">
        <v>26</v>
      </c>
      <c r="AX64" s="1" t="s">
        <v>26</v>
      </c>
      <c r="AY64" s="2">
        <v>1045489159.4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70</v>
      </c>
      <c r="B65" s="20" t="s">
        <v>25</v>
      </c>
      <c r="C65" s="9" t="s">
        <v>26</v>
      </c>
      <c r="D65" s="10" t="s">
        <v>26</v>
      </c>
      <c r="E65" s="9" t="s">
        <v>26</v>
      </c>
      <c r="F65" s="10" t="s">
        <v>26</v>
      </c>
      <c r="G65" s="9">
        <v>512744701.27999997</v>
      </c>
      <c r="H65" s="10">
        <v>2.98793032617E-3</v>
      </c>
      <c r="I65" s="10">
        <v>0.09</v>
      </c>
      <c r="J65" s="10">
        <v>8.6999999999999994E-2</v>
      </c>
      <c r="K65" s="2" t="s">
        <v>26</v>
      </c>
      <c r="L65" s="1" t="s">
        <v>26</v>
      </c>
      <c r="M65" s="1" t="s">
        <v>26</v>
      </c>
      <c r="N65" s="1" t="s">
        <v>26</v>
      </c>
      <c r="O65" s="9">
        <v>1126402149.26</v>
      </c>
      <c r="P65" s="10">
        <v>4.4638279511300004E-3</v>
      </c>
      <c r="Q65" s="10">
        <v>0.09</v>
      </c>
      <c r="R65" s="10">
        <v>8.5500000000000007E-2</v>
      </c>
      <c r="S65" s="9">
        <v>515897674.10000002</v>
      </c>
      <c r="T65" s="10">
        <v>4.1648906330999996E-3</v>
      </c>
      <c r="U65" s="10">
        <v>0.09</v>
      </c>
      <c r="V65" s="10">
        <v>8.5800000000000001E-2</v>
      </c>
      <c r="W65" s="2" t="s">
        <v>26</v>
      </c>
      <c r="X65" s="1" t="s">
        <v>26</v>
      </c>
      <c r="Y65" s="1" t="s">
        <v>26</v>
      </c>
      <c r="Z65" s="1" t="s">
        <v>26</v>
      </c>
      <c r="AA65" s="9">
        <v>1369814900.9400001</v>
      </c>
      <c r="AB65" s="10">
        <v>8.8070419814999992E-3</v>
      </c>
      <c r="AC65" s="10">
        <v>0.09</v>
      </c>
      <c r="AD65" s="10">
        <v>8.1199999999999994E-2</v>
      </c>
      <c r="AE65" s="9">
        <v>3524859425.5799999</v>
      </c>
      <c r="AF65" s="10">
        <v>4.8802435205199998E-3</v>
      </c>
      <c r="AG65" s="10">
        <v>0.09</v>
      </c>
      <c r="AH65" s="10">
        <v>8.5099999999999995E-2</v>
      </c>
      <c r="AI65" s="9">
        <v>95638863.75</v>
      </c>
      <c r="AJ65" s="10">
        <v>5.2225522059699998E-3</v>
      </c>
      <c r="AK65" s="10">
        <v>0.09</v>
      </c>
      <c r="AL65" s="10">
        <v>8.48E-2</v>
      </c>
      <c r="AM65" s="9">
        <v>13437459.140000001</v>
      </c>
      <c r="AN65" s="10">
        <v>5.3511505653000004E-4</v>
      </c>
      <c r="AO65" s="10">
        <v>0.09</v>
      </c>
      <c r="AP65" s="10">
        <v>8.9499999999999996E-2</v>
      </c>
      <c r="AQ65" s="9">
        <v>109076322.89</v>
      </c>
      <c r="AR65" s="10">
        <v>2.5118894867800002E-3</v>
      </c>
      <c r="AS65" s="10">
        <v>0.09</v>
      </c>
      <c r="AT65" s="10">
        <v>8.7499999999999994E-2</v>
      </c>
      <c r="AU65" s="9">
        <v>185568808.61000001</v>
      </c>
      <c r="AV65" s="10">
        <v>3.5872988594099998E-3</v>
      </c>
      <c r="AW65" s="10">
        <v>0.09</v>
      </c>
      <c r="AX65" s="10">
        <v>8.6400000000000005E-2</v>
      </c>
      <c r="AY65" s="9">
        <v>3819504557.0799999</v>
      </c>
      <c r="AZ65" s="10">
        <v>4.6726076358199996E-3</v>
      </c>
      <c r="BA65" s="10">
        <v>0.09</v>
      </c>
      <c r="BB65" s="10">
        <v>8.5300000000000001E-2</v>
      </c>
    </row>
    <row r="66" spans="1:54" s="7" customFormat="1">
      <c r="A66" s="3" t="s">
        <v>68</v>
      </c>
      <c r="B66" s="23" t="s">
        <v>40</v>
      </c>
      <c r="C66" s="9" t="s">
        <v>26</v>
      </c>
      <c r="D66" s="10" t="s">
        <v>26</v>
      </c>
      <c r="E66" s="9" t="s">
        <v>26</v>
      </c>
      <c r="F66" s="10" t="s">
        <v>26</v>
      </c>
      <c r="G66" s="2">
        <v>512744701.27999997</v>
      </c>
      <c r="H66" s="1">
        <v>1</v>
      </c>
      <c r="I66" s="9" t="s">
        <v>26</v>
      </c>
      <c r="J66" s="10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1126402149.26</v>
      </c>
      <c r="P66" s="1">
        <v>1</v>
      </c>
      <c r="Q66" s="1" t="s">
        <v>26</v>
      </c>
      <c r="R66" s="1" t="s">
        <v>26</v>
      </c>
      <c r="S66" s="2">
        <v>515897674.10000002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>
        <v>1369814900.9400001</v>
      </c>
      <c r="AB66" s="1">
        <v>1</v>
      </c>
      <c r="AC66" s="1" t="s">
        <v>26</v>
      </c>
      <c r="AD66" s="1" t="s">
        <v>26</v>
      </c>
      <c r="AE66" s="2">
        <v>3524859425.5799999</v>
      </c>
      <c r="AF66" s="1">
        <v>1</v>
      </c>
      <c r="AG66" s="1" t="s">
        <v>26</v>
      </c>
      <c r="AH66" s="1" t="s">
        <v>26</v>
      </c>
      <c r="AI66" s="2">
        <v>95638863.75</v>
      </c>
      <c r="AJ66" s="1">
        <v>1</v>
      </c>
      <c r="AK66" s="1" t="s">
        <v>26</v>
      </c>
      <c r="AL66" s="1" t="s">
        <v>26</v>
      </c>
      <c r="AM66" s="2">
        <v>13437459.140000001</v>
      </c>
      <c r="AN66" s="1">
        <v>1</v>
      </c>
      <c r="AO66" s="1" t="s">
        <v>26</v>
      </c>
      <c r="AP66" s="1" t="s">
        <v>26</v>
      </c>
      <c r="AQ66" s="2">
        <v>109076322.89</v>
      </c>
      <c r="AR66" s="1">
        <v>1</v>
      </c>
      <c r="AS66" s="1" t="s">
        <v>26</v>
      </c>
      <c r="AT66" s="1" t="s">
        <v>26</v>
      </c>
      <c r="AU66" s="2">
        <v>185568808.61000001</v>
      </c>
      <c r="AV66" s="1">
        <v>1</v>
      </c>
      <c r="AW66" s="1" t="s">
        <v>26</v>
      </c>
      <c r="AX66" s="1" t="s">
        <v>26</v>
      </c>
      <c r="AY66" s="2">
        <v>3819504557.0799999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71</v>
      </c>
      <c r="B67" s="20" t="s">
        <v>25</v>
      </c>
      <c r="C67" s="9">
        <v>350720969.97000003</v>
      </c>
      <c r="D67" s="10">
        <v>4.5128756460280001E-2</v>
      </c>
      <c r="E67" s="10">
        <v>0.08</v>
      </c>
      <c r="F67" s="10">
        <v>3.49E-2</v>
      </c>
      <c r="G67" s="9">
        <v>464742300.81999999</v>
      </c>
      <c r="H67" s="10">
        <v>2.7082047089099998E-3</v>
      </c>
      <c r="I67" s="10">
        <v>0.08</v>
      </c>
      <c r="J67" s="10">
        <v>7.7299999999999994E-2</v>
      </c>
      <c r="K67" s="9">
        <v>163849746.87</v>
      </c>
      <c r="L67" s="10">
        <v>4.1915945674480003E-2</v>
      </c>
      <c r="M67" s="10">
        <v>0.08</v>
      </c>
      <c r="N67" s="10">
        <v>3.8100000000000002E-2</v>
      </c>
      <c r="O67" s="9">
        <v>1442318697.8299999</v>
      </c>
      <c r="P67" s="10">
        <v>5.7157761302499997E-3</v>
      </c>
      <c r="Q67" s="10">
        <v>0.08</v>
      </c>
      <c r="R67" s="10">
        <v>7.4300000000000005E-2</v>
      </c>
      <c r="S67" s="9">
        <v>314696780.43000001</v>
      </c>
      <c r="T67" s="10">
        <v>2.5405768214899998E-3</v>
      </c>
      <c r="U67" s="10">
        <v>0.08</v>
      </c>
      <c r="V67" s="10">
        <v>7.7499999999999999E-2</v>
      </c>
      <c r="W67" s="2" t="s">
        <v>26</v>
      </c>
      <c r="X67" s="1" t="s">
        <v>26</v>
      </c>
      <c r="Y67" s="1" t="s">
        <v>26</v>
      </c>
      <c r="Z67" s="1" t="s">
        <v>26</v>
      </c>
      <c r="AA67" s="2" t="s">
        <v>26</v>
      </c>
      <c r="AB67" s="1" t="s">
        <v>26</v>
      </c>
      <c r="AC67" s="1" t="s">
        <v>26</v>
      </c>
      <c r="AD67" s="1" t="s">
        <v>26</v>
      </c>
      <c r="AE67" s="9">
        <v>2736328495.9200001</v>
      </c>
      <c r="AF67" s="10">
        <v>3.7885055260100001E-3</v>
      </c>
      <c r="AG67" s="10">
        <v>0.08</v>
      </c>
      <c r="AH67" s="10">
        <v>7.6200000000000004E-2</v>
      </c>
      <c r="AI67" s="2" t="s">
        <v>26</v>
      </c>
      <c r="AJ67" s="1" t="s">
        <v>26</v>
      </c>
      <c r="AK67" s="1" t="s">
        <v>26</v>
      </c>
      <c r="AL67" s="1" t="s">
        <v>26</v>
      </c>
      <c r="AM67" s="2" t="s">
        <v>26</v>
      </c>
      <c r="AN67" s="1" t="s">
        <v>26</v>
      </c>
      <c r="AO67" s="1" t="s">
        <v>26</v>
      </c>
      <c r="AP67" s="1" t="s">
        <v>26</v>
      </c>
      <c r="AQ67" s="2" t="s">
        <v>26</v>
      </c>
      <c r="AR67" s="1" t="s">
        <v>26</v>
      </c>
      <c r="AS67" s="1" t="s">
        <v>26</v>
      </c>
      <c r="AT67" s="1" t="s">
        <v>26</v>
      </c>
      <c r="AU67" s="2" t="s">
        <v>26</v>
      </c>
      <c r="AV67" s="1" t="s">
        <v>26</v>
      </c>
      <c r="AW67" s="1" t="s">
        <v>26</v>
      </c>
      <c r="AX67" s="1" t="s">
        <v>26</v>
      </c>
      <c r="AY67" s="9">
        <v>2736328495.9200001</v>
      </c>
      <c r="AZ67" s="10">
        <v>3.3474994552499999E-3</v>
      </c>
      <c r="BA67" s="10">
        <v>0.08</v>
      </c>
      <c r="BB67" s="10">
        <v>7.6700000000000004E-2</v>
      </c>
    </row>
    <row r="68" spans="1:54" s="28" customFormat="1">
      <c r="A68" s="3" t="s">
        <v>68</v>
      </c>
      <c r="B68" s="23" t="s">
        <v>57</v>
      </c>
      <c r="C68" s="2">
        <v>350720969.97000003</v>
      </c>
      <c r="D68" s="1">
        <v>1</v>
      </c>
      <c r="E68" s="9" t="s">
        <v>26</v>
      </c>
      <c r="F68" s="10" t="s">
        <v>26</v>
      </c>
      <c r="G68" s="2">
        <v>464742300.81999999</v>
      </c>
      <c r="H68" s="1">
        <v>1</v>
      </c>
      <c r="I68" s="9" t="s">
        <v>26</v>
      </c>
      <c r="J68" s="10" t="s">
        <v>26</v>
      </c>
      <c r="K68" s="2">
        <v>163849746.87</v>
      </c>
      <c r="L68" s="1">
        <v>1</v>
      </c>
      <c r="M68" s="1" t="s">
        <v>26</v>
      </c>
      <c r="N68" s="1" t="s">
        <v>26</v>
      </c>
      <c r="O68" s="2">
        <v>1442318697.8299999</v>
      </c>
      <c r="P68" s="1">
        <v>1</v>
      </c>
      <c r="Q68" s="1" t="s">
        <v>26</v>
      </c>
      <c r="R68" s="1" t="s">
        <v>26</v>
      </c>
      <c r="S68" s="2">
        <v>314696780.43000001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 t="s">
        <v>26</v>
      </c>
      <c r="AB68" s="1" t="s">
        <v>26</v>
      </c>
      <c r="AC68" s="1" t="s">
        <v>26</v>
      </c>
      <c r="AD68" s="1" t="s">
        <v>26</v>
      </c>
      <c r="AE68" s="2">
        <v>2736328495.9200001</v>
      </c>
      <c r="AF68" s="1">
        <v>1</v>
      </c>
      <c r="AG68" s="1" t="s">
        <v>26</v>
      </c>
      <c r="AH68" s="1" t="s">
        <v>26</v>
      </c>
      <c r="AI68" s="2" t="s">
        <v>26</v>
      </c>
      <c r="AJ68" s="1" t="s">
        <v>26</v>
      </c>
      <c r="AK68" s="1" t="s">
        <v>26</v>
      </c>
      <c r="AL68" s="1" t="s">
        <v>26</v>
      </c>
      <c r="AM68" s="2" t="s">
        <v>26</v>
      </c>
      <c r="AN68" s="1" t="s">
        <v>26</v>
      </c>
      <c r="AO68" s="1" t="s">
        <v>26</v>
      </c>
      <c r="AP68" s="1" t="s">
        <v>26</v>
      </c>
      <c r="AQ68" s="2" t="s">
        <v>26</v>
      </c>
      <c r="AR68" s="1" t="s">
        <v>26</v>
      </c>
      <c r="AS68" s="1" t="s">
        <v>26</v>
      </c>
      <c r="AT68" s="1" t="s">
        <v>26</v>
      </c>
      <c r="AU68" s="2" t="s">
        <v>26</v>
      </c>
      <c r="AV68" s="1" t="s">
        <v>26</v>
      </c>
      <c r="AW68" s="1" t="s">
        <v>26</v>
      </c>
      <c r="AX68" s="1" t="s">
        <v>26</v>
      </c>
      <c r="AY68" s="2">
        <v>2736328495.9200001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72</v>
      </c>
      <c r="B69" s="20" t="s">
        <v>25</v>
      </c>
      <c r="C69" s="9" t="s">
        <v>26</v>
      </c>
      <c r="D69" s="10" t="s">
        <v>26</v>
      </c>
      <c r="E69" s="9" t="s">
        <v>26</v>
      </c>
      <c r="F69" s="10" t="s">
        <v>26</v>
      </c>
      <c r="G69" s="9">
        <v>2574405769.0999999</v>
      </c>
      <c r="H69" s="10">
        <v>1.5001900653800001E-2</v>
      </c>
      <c r="I69" s="10">
        <v>0.09</v>
      </c>
      <c r="J69" s="10">
        <v>7.4999999999999997E-2</v>
      </c>
      <c r="K69" s="2" t="s">
        <v>26</v>
      </c>
      <c r="L69" s="1" t="s">
        <v>26</v>
      </c>
      <c r="M69" s="1" t="s">
        <v>26</v>
      </c>
      <c r="N69" s="1" t="s">
        <v>26</v>
      </c>
      <c r="O69" s="9">
        <v>2179324519.0999999</v>
      </c>
      <c r="P69" s="10">
        <v>8.6364623055199992E-3</v>
      </c>
      <c r="Q69" s="10">
        <v>0.09</v>
      </c>
      <c r="R69" s="10">
        <v>8.14E-2</v>
      </c>
      <c r="S69" s="9">
        <v>1362131161.8599999</v>
      </c>
      <c r="T69" s="10">
        <v>1.099661347956E-2</v>
      </c>
      <c r="U69" s="10">
        <v>0.09</v>
      </c>
      <c r="V69" s="10">
        <v>7.9000000000000001E-2</v>
      </c>
      <c r="W69" s="2" t="s">
        <v>26</v>
      </c>
      <c r="X69" s="1" t="s">
        <v>26</v>
      </c>
      <c r="Y69" s="1" t="s">
        <v>26</v>
      </c>
      <c r="Z69" s="1" t="s">
        <v>26</v>
      </c>
      <c r="AA69" s="9">
        <v>1808537129.6400001</v>
      </c>
      <c r="AB69" s="10">
        <v>1.162774796428E-2</v>
      </c>
      <c r="AC69" s="10">
        <v>0.09</v>
      </c>
      <c r="AD69" s="10">
        <v>7.8399999999999997E-2</v>
      </c>
      <c r="AE69" s="9">
        <v>7924398579.6999998</v>
      </c>
      <c r="AF69" s="10">
        <v>1.0971499896409999E-2</v>
      </c>
      <c r="AG69" s="10">
        <v>0.09</v>
      </c>
      <c r="AH69" s="10">
        <v>7.9000000000000001E-2</v>
      </c>
      <c r="AI69" s="9">
        <v>16043469.6</v>
      </c>
      <c r="AJ69" s="10">
        <v>8.7608587414999997E-4</v>
      </c>
      <c r="AK69" s="10">
        <v>0.09</v>
      </c>
      <c r="AL69" s="10">
        <v>8.9099999999999999E-2</v>
      </c>
      <c r="AM69" s="9">
        <v>114529184.47</v>
      </c>
      <c r="AN69" s="10">
        <v>4.5608541305000002E-3</v>
      </c>
      <c r="AO69" s="10">
        <v>0.09</v>
      </c>
      <c r="AP69" s="10">
        <v>8.5400000000000004E-2</v>
      </c>
      <c r="AQ69" s="9">
        <v>130572654.06999999</v>
      </c>
      <c r="AR69" s="10">
        <v>3.0069227521499998E-3</v>
      </c>
      <c r="AS69" s="10">
        <v>0.09</v>
      </c>
      <c r="AT69" s="10">
        <v>8.6999999999999994E-2</v>
      </c>
      <c r="AU69" s="9">
        <v>475952391.19</v>
      </c>
      <c r="AV69" s="10">
        <v>9.2008106472200001E-3</v>
      </c>
      <c r="AW69" s="10">
        <v>0.09</v>
      </c>
      <c r="AX69" s="10">
        <v>8.0799999999999997E-2</v>
      </c>
      <c r="AY69" s="9">
        <v>8530923624.96</v>
      </c>
      <c r="AZ69" s="10">
        <v>1.043634279652E-2</v>
      </c>
      <c r="BA69" s="10">
        <v>0.09</v>
      </c>
      <c r="BB69" s="10">
        <v>7.9600000000000004E-2</v>
      </c>
    </row>
    <row r="70" spans="1:54" s="28" customFormat="1">
      <c r="A70" s="3" t="s">
        <v>68</v>
      </c>
      <c r="B70" s="23" t="s">
        <v>40</v>
      </c>
      <c r="C70" s="9" t="s">
        <v>26</v>
      </c>
      <c r="D70" s="10" t="s">
        <v>26</v>
      </c>
      <c r="E70" s="9" t="s">
        <v>26</v>
      </c>
      <c r="F70" s="10" t="s">
        <v>26</v>
      </c>
      <c r="G70" s="2">
        <v>2574405769.0999999</v>
      </c>
      <c r="H70" s="1">
        <v>1</v>
      </c>
      <c r="I70" s="9" t="s">
        <v>26</v>
      </c>
      <c r="J70" s="10" t="s">
        <v>26</v>
      </c>
      <c r="K70" s="2" t="s">
        <v>26</v>
      </c>
      <c r="L70" s="1" t="s">
        <v>26</v>
      </c>
      <c r="M70" s="1" t="s">
        <v>26</v>
      </c>
      <c r="N70" s="1" t="s">
        <v>26</v>
      </c>
      <c r="O70" s="2">
        <v>2179324519.0999999</v>
      </c>
      <c r="P70" s="1">
        <v>1</v>
      </c>
      <c r="Q70" s="1" t="s">
        <v>26</v>
      </c>
      <c r="R70" s="1" t="s">
        <v>26</v>
      </c>
      <c r="S70" s="2">
        <v>1362131161.8599999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>
        <v>1808537129.6400001</v>
      </c>
      <c r="AB70" s="1">
        <v>1</v>
      </c>
      <c r="AC70" s="1" t="s">
        <v>25</v>
      </c>
      <c r="AD70" s="1" t="s">
        <v>25</v>
      </c>
      <c r="AE70" s="2">
        <v>7924398579.6999998</v>
      </c>
      <c r="AF70" s="1">
        <v>1</v>
      </c>
      <c r="AG70" s="1" t="s">
        <v>26</v>
      </c>
      <c r="AH70" s="1" t="s">
        <v>26</v>
      </c>
      <c r="AI70" s="2">
        <v>16043469.6</v>
      </c>
      <c r="AJ70" s="1">
        <v>1</v>
      </c>
      <c r="AK70" s="1" t="s">
        <v>26</v>
      </c>
      <c r="AL70" s="1" t="s">
        <v>26</v>
      </c>
      <c r="AM70" s="2">
        <v>114529184.47</v>
      </c>
      <c r="AN70" s="1">
        <v>1</v>
      </c>
      <c r="AO70" s="1" t="s">
        <v>26</v>
      </c>
      <c r="AP70" s="1" t="s">
        <v>26</v>
      </c>
      <c r="AQ70" s="2">
        <v>130572654.06999999</v>
      </c>
      <c r="AR70" s="1">
        <v>1</v>
      </c>
      <c r="AS70" s="1" t="s">
        <v>26</v>
      </c>
      <c r="AT70" s="1" t="s">
        <v>26</v>
      </c>
      <c r="AU70" s="2">
        <v>475952391.19</v>
      </c>
      <c r="AV70" s="1">
        <v>1</v>
      </c>
      <c r="AW70" s="1" t="s">
        <v>26</v>
      </c>
      <c r="AX70" s="1" t="s">
        <v>26</v>
      </c>
      <c r="AY70" s="2">
        <v>8530923624.96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73</v>
      </c>
      <c r="B71" s="20" t="s">
        <v>25</v>
      </c>
      <c r="C71" s="9">
        <v>87480017</v>
      </c>
      <c r="D71" s="10">
        <v>1.125642525074E-2</v>
      </c>
      <c r="E71" s="10">
        <v>0.08</v>
      </c>
      <c r="F71" s="10">
        <v>6.8699999999999997E-2</v>
      </c>
      <c r="G71" s="9">
        <v>220257340.50999999</v>
      </c>
      <c r="H71" s="10">
        <v>1.2835112398599999E-3</v>
      </c>
      <c r="I71" s="10">
        <v>0.08</v>
      </c>
      <c r="J71" s="10">
        <v>7.8700000000000006E-2</v>
      </c>
      <c r="K71" s="9">
        <v>105256616.02</v>
      </c>
      <c r="L71" s="10">
        <v>2.6926685474070001E-2</v>
      </c>
      <c r="M71" s="10">
        <v>0.08</v>
      </c>
      <c r="N71" s="10">
        <v>5.3100000000000001E-2</v>
      </c>
      <c r="O71" s="9">
        <v>2715567892.0700002</v>
      </c>
      <c r="P71" s="10">
        <v>1.07615453928E-2</v>
      </c>
      <c r="Q71" s="10">
        <v>0.08</v>
      </c>
      <c r="R71" s="10">
        <v>6.9199999999999998E-2</v>
      </c>
      <c r="S71" s="9">
        <v>2861951463.5700002</v>
      </c>
      <c r="T71" s="10">
        <v>2.3104804385469999E-2</v>
      </c>
      <c r="U71" s="10">
        <v>0.08</v>
      </c>
      <c r="V71" s="10">
        <v>5.6899999999999999E-2</v>
      </c>
      <c r="W71" s="2" t="s">
        <v>26</v>
      </c>
      <c r="X71" s="1" t="s">
        <v>26</v>
      </c>
      <c r="Y71" s="1" t="s">
        <v>26</v>
      </c>
      <c r="Z71" s="1" t="s">
        <v>26</v>
      </c>
      <c r="AA71" s="9">
        <v>1878573034.8299999</v>
      </c>
      <c r="AB71" s="10">
        <v>1.207803446416E-2</v>
      </c>
      <c r="AC71" s="10">
        <v>0.08</v>
      </c>
      <c r="AD71" s="10">
        <v>6.7900000000000002E-2</v>
      </c>
      <c r="AE71" s="9">
        <v>7869086364</v>
      </c>
      <c r="AF71" s="10">
        <v>1.089491894673E-2</v>
      </c>
      <c r="AG71" s="10">
        <v>0.08</v>
      </c>
      <c r="AH71" s="10">
        <v>6.9099999999999995E-2</v>
      </c>
      <c r="AI71" s="9">
        <v>605261223.94000006</v>
      </c>
      <c r="AJ71" s="10">
        <v>3.3051504548790002E-2</v>
      </c>
      <c r="AK71" s="10">
        <v>0.08</v>
      </c>
      <c r="AL71" s="10">
        <v>4.6899999999999997E-2</v>
      </c>
      <c r="AM71" s="9">
        <v>1685725731.9300001</v>
      </c>
      <c r="AN71" s="10">
        <v>6.7130043778229995E-2</v>
      </c>
      <c r="AO71" s="10">
        <v>0.08</v>
      </c>
      <c r="AP71" s="10">
        <v>1.29E-2</v>
      </c>
      <c r="AQ71" s="9">
        <v>2290986955.8699999</v>
      </c>
      <c r="AR71" s="10">
        <v>5.2758526289839999E-2</v>
      </c>
      <c r="AS71" s="10">
        <v>0.08</v>
      </c>
      <c r="AT71" s="10">
        <v>2.7199999999999998E-2</v>
      </c>
      <c r="AU71" s="9">
        <v>700380538.30999994</v>
      </c>
      <c r="AV71" s="10">
        <v>1.353931366512E-2</v>
      </c>
      <c r="AW71" s="10">
        <v>0.08</v>
      </c>
      <c r="AX71" s="10">
        <v>6.6500000000000004E-2</v>
      </c>
      <c r="AY71" s="9">
        <v>10860453858.18</v>
      </c>
      <c r="AZ71" s="10">
        <v>1.328618381462E-2</v>
      </c>
      <c r="BA71" s="10">
        <v>0.08</v>
      </c>
      <c r="BB71" s="10">
        <v>6.6699999999999995E-2</v>
      </c>
    </row>
    <row r="72" spans="1:54" s="7" customFormat="1">
      <c r="A72" s="3" t="s">
        <v>68</v>
      </c>
      <c r="B72" s="23" t="s">
        <v>57</v>
      </c>
      <c r="C72" s="2">
        <v>87480017</v>
      </c>
      <c r="D72" s="1">
        <v>1</v>
      </c>
      <c r="E72" s="9" t="s">
        <v>25</v>
      </c>
      <c r="F72" s="10" t="s">
        <v>25</v>
      </c>
      <c r="G72" s="2">
        <v>220257340.50999999</v>
      </c>
      <c r="H72" s="1">
        <v>1</v>
      </c>
      <c r="I72" s="9" t="s">
        <v>26</v>
      </c>
      <c r="J72" s="10" t="s">
        <v>26</v>
      </c>
      <c r="K72" s="2">
        <v>105256616.02</v>
      </c>
      <c r="L72" s="1">
        <v>1</v>
      </c>
      <c r="M72" s="1" t="s">
        <v>26</v>
      </c>
      <c r="N72" s="1" t="s">
        <v>26</v>
      </c>
      <c r="O72" s="2">
        <v>2715567892.0700002</v>
      </c>
      <c r="P72" s="1">
        <v>1</v>
      </c>
      <c r="Q72" s="1" t="s">
        <v>26</v>
      </c>
      <c r="R72" s="1" t="s">
        <v>26</v>
      </c>
      <c r="S72" s="2">
        <v>2861951463.5700002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1878573034.8299999</v>
      </c>
      <c r="AB72" s="1">
        <v>1</v>
      </c>
      <c r="AC72" s="1" t="s">
        <v>25</v>
      </c>
      <c r="AD72" s="1" t="s">
        <v>25</v>
      </c>
      <c r="AE72" s="2">
        <v>7869086364</v>
      </c>
      <c r="AF72" s="1">
        <v>1</v>
      </c>
      <c r="AG72" s="1" t="s">
        <v>26</v>
      </c>
      <c r="AH72" s="1" t="s">
        <v>26</v>
      </c>
      <c r="AI72" s="2">
        <v>605261223.94000006</v>
      </c>
      <c r="AJ72" s="1">
        <v>1</v>
      </c>
      <c r="AK72" s="1" t="s">
        <v>26</v>
      </c>
      <c r="AL72" s="1" t="s">
        <v>26</v>
      </c>
      <c r="AM72" s="2">
        <v>1685725731.9300001</v>
      </c>
      <c r="AN72" s="1">
        <v>1</v>
      </c>
      <c r="AO72" s="1" t="s">
        <v>26</v>
      </c>
      <c r="AP72" s="1" t="s">
        <v>26</v>
      </c>
      <c r="AQ72" s="2">
        <v>2290986955.8699999</v>
      </c>
      <c r="AR72" s="1">
        <v>1</v>
      </c>
      <c r="AS72" s="1" t="s">
        <v>26</v>
      </c>
      <c r="AT72" s="1" t="s">
        <v>26</v>
      </c>
      <c r="AU72" s="2">
        <v>700380538.30999994</v>
      </c>
      <c r="AV72" s="1">
        <v>1</v>
      </c>
      <c r="AW72" s="1" t="s">
        <v>26</v>
      </c>
      <c r="AX72" s="1" t="s">
        <v>26</v>
      </c>
      <c r="AY72" s="2">
        <v>10860453858.18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74</v>
      </c>
      <c r="B73" s="20" t="s">
        <v>25</v>
      </c>
      <c r="C73" s="9">
        <v>269655322.89999998</v>
      </c>
      <c r="D73" s="10">
        <v>3.4697695425549999E-2</v>
      </c>
      <c r="E73" s="10">
        <v>0.08</v>
      </c>
      <c r="F73" s="10">
        <v>4.53E-2</v>
      </c>
      <c r="G73" s="9">
        <v>931707372.96000004</v>
      </c>
      <c r="H73" s="10">
        <v>5.4293622300400001E-3</v>
      </c>
      <c r="I73" s="10">
        <v>0.08</v>
      </c>
      <c r="J73" s="10">
        <v>7.46E-2</v>
      </c>
      <c r="K73" s="9">
        <v>110661755.03</v>
      </c>
      <c r="L73" s="10">
        <v>2.830942494992E-2</v>
      </c>
      <c r="M73" s="10">
        <v>0.08</v>
      </c>
      <c r="N73" s="10">
        <v>5.1700000000000003E-2</v>
      </c>
      <c r="O73" s="9">
        <v>1974258764.0899999</v>
      </c>
      <c r="P73" s="10">
        <v>7.8238056094700002E-3</v>
      </c>
      <c r="Q73" s="10">
        <v>0.08</v>
      </c>
      <c r="R73" s="10">
        <v>7.22E-2</v>
      </c>
      <c r="S73" s="2" t="s">
        <v>26</v>
      </c>
      <c r="T73" s="1" t="s">
        <v>26</v>
      </c>
      <c r="U73" s="1" t="s">
        <v>26</v>
      </c>
      <c r="V73" s="1" t="s">
        <v>26</v>
      </c>
      <c r="W73" s="2" t="s">
        <v>26</v>
      </c>
      <c r="X73" s="1" t="s">
        <v>26</v>
      </c>
      <c r="Y73" s="1" t="s">
        <v>26</v>
      </c>
      <c r="Z73" s="1" t="s">
        <v>26</v>
      </c>
      <c r="AA73" s="2" t="s">
        <v>26</v>
      </c>
      <c r="AB73" s="1" t="s">
        <v>26</v>
      </c>
      <c r="AC73" s="1" t="s">
        <v>26</v>
      </c>
      <c r="AD73" s="1" t="s">
        <v>26</v>
      </c>
      <c r="AE73" s="9">
        <v>3286283214.98</v>
      </c>
      <c r="AF73" s="10">
        <v>4.5499296369400002E-3</v>
      </c>
      <c r="AG73" s="10">
        <v>0.08</v>
      </c>
      <c r="AH73" s="10">
        <v>7.5499999999999998E-2</v>
      </c>
      <c r="AI73" s="2" t="s">
        <v>26</v>
      </c>
      <c r="AJ73" s="1" t="s">
        <v>26</v>
      </c>
      <c r="AK73" s="1" t="s">
        <v>26</v>
      </c>
      <c r="AL73" s="1" t="s">
        <v>26</v>
      </c>
      <c r="AM73" s="9">
        <v>370005432.88999999</v>
      </c>
      <c r="AN73" s="10">
        <v>1.4734592014360001E-2</v>
      </c>
      <c r="AO73" s="10">
        <v>0.08</v>
      </c>
      <c r="AP73" s="10">
        <v>6.5299999999999997E-2</v>
      </c>
      <c r="AQ73" s="9">
        <v>370005432.88999999</v>
      </c>
      <c r="AR73" s="10">
        <v>8.5207562218999992E-3</v>
      </c>
      <c r="AS73" s="10">
        <v>0.08</v>
      </c>
      <c r="AT73" s="10">
        <v>7.1499999999999994E-2</v>
      </c>
      <c r="AU73" s="2" t="s">
        <v>26</v>
      </c>
      <c r="AV73" s="1" t="s">
        <v>26</v>
      </c>
      <c r="AW73" s="1" t="s">
        <v>26</v>
      </c>
      <c r="AX73" s="1" t="s">
        <v>26</v>
      </c>
      <c r="AY73" s="9">
        <v>3656288647.8699999</v>
      </c>
      <c r="AZ73" s="10">
        <v>4.4729367381200003E-3</v>
      </c>
      <c r="BA73" s="10">
        <v>0.08</v>
      </c>
      <c r="BB73" s="10">
        <v>7.5499999999999998E-2</v>
      </c>
    </row>
    <row r="74" spans="1:54" s="7" customFormat="1">
      <c r="A74" s="3" t="s">
        <v>68</v>
      </c>
      <c r="B74" s="23" t="s">
        <v>57</v>
      </c>
      <c r="C74" s="2">
        <v>269655322.89999998</v>
      </c>
      <c r="D74" s="1">
        <v>1</v>
      </c>
      <c r="E74" s="9" t="s">
        <v>25</v>
      </c>
      <c r="F74" s="10" t="s">
        <v>25</v>
      </c>
      <c r="G74" s="2">
        <v>931707372.96000004</v>
      </c>
      <c r="H74" s="1">
        <v>1</v>
      </c>
      <c r="I74" s="9" t="s">
        <v>26</v>
      </c>
      <c r="J74" s="10" t="s">
        <v>26</v>
      </c>
      <c r="K74" s="2">
        <v>110661755.03</v>
      </c>
      <c r="L74" s="1">
        <v>1</v>
      </c>
      <c r="M74" s="1" t="s">
        <v>26</v>
      </c>
      <c r="N74" s="1" t="s">
        <v>26</v>
      </c>
      <c r="O74" s="2">
        <v>1974258764.0899999</v>
      </c>
      <c r="P74" s="1">
        <v>1</v>
      </c>
      <c r="Q74" s="1" t="s">
        <v>26</v>
      </c>
      <c r="R74" s="1" t="s">
        <v>26</v>
      </c>
      <c r="S74" s="2" t="s">
        <v>26</v>
      </c>
      <c r="T74" s="1" t="s">
        <v>26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 t="s">
        <v>26</v>
      </c>
      <c r="AB74" s="1" t="s">
        <v>26</v>
      </c>
      <c r="AC74" s="1" t="s">
        <v>26</v>
      </c>
      <c r="AD74" s="1" t="s">
        <v>26</v>
      </c>
      <c r="AE74" s="2">
        <v>3286283214.98</v>
      </c>
      <c r="AF74" s="1">
        <v>1</v>
      </c>
      <c r="AG74" s="1" t="s">
        <v>26</v>
      </c>
      <c r="AH74" s="1" t="s">
        <v>26</v>
      </c>
      <c r="AI74" s="2" t="s">
        <v>26</v>
      </c>
      <c r="AJ74" s="1" t="s">
        <v>26</v>
      </c>
      <c r="AK74" s="1" t="s">
        <v>26</v>
      </c>
      <c r="AL74" s="1" t="s">
        <v>26</v>
      </c>
      <c r="AM74" s="2">
        <v>370005432.88999999</v>
      </c>
      <c r="AN74" s="1">
        <v>1</v>
      </c>
      <c r="AO74" s="1" t="s">
        <v>26</v>
      </c>
      <c r="AP74" s="1" t="s">
        <v>26</v>
      </c>
      <c r="AQ74" s="2">
        <v>370005432.88999999</v>
      </c>
      <c r="AR74" s="1">
        <v>1</v>
      </c>
      <c r="AS74" s="1" t="s">
        <v>26</v>
      </c>
      <c r="AT74" s="1" t="s">
        <v>26</v>
      </c>
      <c r="AU74" s="2" t="s">
        <v>26</v>
      </c>
      <c r="AV74" s="1" t="s">
        <v>26</v>
      </c>
      <c r="AW74" s="1" t="s">
        <v>26</v>
      </c>
      <c r="AX74" s="1" t="s">
        <v>26</v>
      </c>
      <c r="AY74" s="2">
        <v>3656288647.8699999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75</v>
      </c>
      <c r="B75" s="20" t="s">
        <v>25</v>
      </c>
      <c r="C75" s="9">
        <v>110994471</v>
      </c>
      <c r="D75" s="10">
        <v>1.4282129895519999E-2</v>
      </c>
      <c r="E75" s="10">
        <v>0.06</v>
      </c>
      <c r="F75" s="10">
        <v>4.5699999999999998E-2</v>
      </c>
      <c r="G75" s="9">
        <v>658632132.17999995</v>
      </c>
      <c r="H75" s="10">
        <v>3.83806388758E-3</v>
      </c>
      <c r="I75" s="10">
        <v>0.06</v>
      </c>
      <c r="J75" s="10">
        <v>5.62E-2</v>
      </c>
      <c r="K75" s="9">
        <v>33719443.100000001</v>
      </c>
      <c r="L75" s="10">
        <v>8.6260880602699996E-3</v>
      </c>
      <c r="M75" s="10">
        <v>0.06</v>
      </c>
      <c r="N75" s="10">
        <v>5.1400000000000001E-2</v>
      </c>
      <c r="O75" s="9">
        <v>299835846.31999999</v>
      </c>
      <c r="P75" s="10">
        <v>1.1882218375000001E-3</v>
      </c>
      <c r="Q75" s="10">
        <v>0.06</v>
      </c>
      <c r="R75" s="10">
        <v>5.8799999999999998E-2</v>
      </c>
      <c r="S75" s="9">
        <v>330638585.72000003</v>
      </c>
      <c r="T75" s="10">
        <v>2.66927652079E-3</v>
      </c>
      <c r="U75" s="10">
        <v>0.06</v>
      </c>
      <c r="V75" s="10">
        <v>5.7299999999999997E-2</v>
      </c>
      <c r="W75" s="2" t="s">
        <v>26</v>
      </c>
      <c r="X75" s="1" t="s">
        <v>26</v>
      </c>
      <c r="Y75" s="1" t="s">
        <v>26</v>
      </c>
      <c r="Z75" s="1" t="s">
        <v>26</v>
      </c>
      <c r="AA75" s="2" t="s">
        <v>26</v>
      </c>
      <c r="AB75" s="1" t="s">
        <v>26</v>
      </c>
      <c r="AC75" s="1" t="s">
        <v>26</v>
      </c>
      <c r="AD75" s="1" t="s">
        <v>26</v>
      </c>
      <c r="AE75" s="9">
        <v>1433820478.3199999</v>
      </c>
      <c r="AF75" s="10">
        <v>1.9851552229699998E-3</v>
      </c>
      <c r="AG75" s="10">
        <v>0.06</v>
      </c>
      <c r="AH75" s="10">
        <v>5.8000000000000003E-2</v>
      </c>
      <c r="AI75" s="9">
        <v>50341991</v>
      </c>
      <c r="AJ75" s="10">
        <v>2.74902550952E-3</v>
      </c>
      <c r="AK75" s="10">
        <v>0.06</v>
      </c>
      <c r="AL75" s="10">
        <v>5.7299999999999997E-2</v>
      </c>
      <c r="AM75" s="2" t="s">
        <v>26</v>
      </c>
      <c r="AN75" s="1" t="s">
        <v>26</v>
      </c>
      <c r="AO75" s="1" t="s">
        <v>26</v>
      </c>
      <c r="AP75" s="1" t="s">
        <v>26</v>
      </c>
      <c r="AQ75" s="9">
        <v>50341991</v>
      </c>
      <c r="AR75" s="10">
        <v>1.1593122557299999E-3</v>
      </c>
      <c r="AS75" s="10">
        <v>0.06</v>
      </c>
      <c r="AT75" s="10">
        <v>5.8799999999999998E-2</v>
      </c>
      <c r="AU75" s="2" t="s">
        <v>26</v>
      </c>
      <c r="AV75" s="1" t="s">
        <v>26</v>
      </c>
      <c r="AW75" s="1" t="s">
        <v>26</v>
      </c>
      <c r="AX75" s="1" t="s">
        <v>26</v>
      </c>
      <c r="AY75" s="9">
        <v>1484162469.3199999</v>
      </c>
      <c r="AZ75" s="10">
        <v>1.8156566599900001E-3</v>
      </c>
      <c r="BA75" s="10">
        <v>0.06</v>
      </c>
      <c r="BB75" s="10">
        <v>5.8200000000000002E-2</v>
      </c>
    </row>
    <row r="76" spans="1:54" s="7" customFormat="1">
      <c r="A76" s="3" t="s">
        <v>68</v>
      </c>
      <c r="B76" s="23" t="s">
        <v>47</v>
      </c>
      <c r="C76" s="2">
        <v>110994471</v>
      </c>
      <c r="D76" s="1">
        <v>1</v>
      </c>
      <c r="E76" s="9" t="s">
        <v>25</v>
      </c>
      <c r="F76" s="10" t="s">
        <v>25</v>
      </c>
      <c r="G76" s="2">
        <v>658632132.17999995</v>
      </c>
      <c r="H76" s="1">
        <v>1</v>
      </c>
      <c r="I76" s="9" t="s">
        <v>26</v>
      </c>
      <c r="J76" s="10" t="s">
        <v>26</v>
      </c>
      <c r="K76" s="2">
        <v>33719443.100000001</v>
      </c>
      <c r="L76" s="1">
        <v>1</v>
      </c>
      <c r="M76" s="1" t="s">
        <v>26</v>
      </c>
      <c r="N76" s="1" t="s">
        <v>26</v>
      </c>
      <c r="O76" s="2">
        <v>299835846.31999999</v>
      </c>
      <c r="P76" s="1">
        <v>1</v>
      </c>
      <c r="Q76" s="1" t="s">
        <v>26</v>
      </c>
      <c r="R76" s="1" t="s">
        <v>26</v>
      </c>
      <c r="S76" s="2">
        <v>330638585.72000003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1433820478.3199999</v>
      </c>
      <c r="AF76" s="1">
        <v>1</v>
      </c>
      <c r="AG76" s="1" t="s">
        <v>26</v>
      </c>
      <c r="AH76" s="1" t="s">
        <v>26</v>
      </c>
      <c r="AI76" s="2">
        <v>50341991</v>
      </c>
      <c r="AJ76" s="1">
        <v>1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>
        <v>50341991</v>
      </c>
      <c r="AR76" s="1">
        <v>1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1484162469.3199999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76</v>
      </c>
      <c r="B77" s="20" t="s">
        <v>25</v>
      </c>
      <c r="C77" s="9">
        <v>37888996.649999999</v>
      </c>
      <c r="D77" s="10">
        <v>4.8753380856800003E-3</v>
      </c>
      <c r="E77" s="10">
        <v>0.06</v>
      </c>
      <c r="F77" s="10">
        <v>5.5100000000000003E-2</v>
      </c>
      <c r="G77" s="9">
        <v>849753348.26999998</v>
      </c>
      <c r="H77" s="10">
        <v>4.9517894436000003E-3</v>
      </c>
      <c r="I77" s="10">
        <v>0.06</v>
      </c>
      <c r="J77" s="10">
        <v>5.5E-2</v>
      </c>
      <c r="K77" s="9">
        <v>50956869.5</v>
      </c>
      <c r="L77" s="10">
        <v>1.3035756322519999E-2</v>
      </c>
      <c r="M77" s="10">
        <v>0.06</v>
      </c>
      <c r="N77" s="10">
        <v>4.7E-2</v>
      </c>
      <c r="O77" s="9">
        <v>444844354.61000001</v>
      </c>
      <c r="P77" s="10">
        <v>1.7628771973800001E-3</v>
      </c>
      <c r="Q77" s="10">
        <v>0.06</v>
      </c>
      <c r="R77" s="10">
        <v>5.8200000000000002E-2</v>
      </c>
      <c r="S77" s="9">
        <v>206818030</v>
      </c>
      <c r="T77" s="10">
        <v>1.66966148356E-3</v>
      </c>
      <c r="U77" s="10">
        <v>0.06</v>
      </c>
      <c r="V77" s="10">
        <v>5.8299999999999998E-2</v>
      </c>
      <c r="W77" s="2" t="s">
        <v>26</v>
      </c>
      <c r="X77" s="1" t="s">
        <v>26</v>
      </c>
      <c r="Y77" s="1" t="s">
        <v>26</v>
      </c>
      <c r="Z77" s="1" t="s">
        <v>26</v>
      </c>
      <c r="AA77" s="2" t="s">
        <v>26</v>
      </c>
      <c r="AB77" s="1" t="s">
        <v>26</v>
      </c>
      <c r="AC77" s="1" t="s">
        <v>26</v>
      </c>
      <c r="AD77" s="1" t="s">
        <v>26</v>
      </c>
      <c r="AE77" s="9">
        <v>1590261599.03</v>
      </c>
      <c r="AF77" s="10">
        <v>2.2017513119199999E-3</v>
      </c>
      <c r="AG77" s="10">
        <v>0.06</v>
      </c>
      <c r="AH77" s="10">
        <v>5.7799999999999997E-2</v>
      </c>
      <c r="AI77" s="9">
        <v>140316395</v>
      </c>
      <c r="AJ77" s="10">
        <v>7.66225851612E-3</v>
      </c>
      <c r="AK77" s="10">
        <v>0.06</v>
      </c>
      <c r="AL77" s="10">
        <v>5.2299999999999999E-2</v>
      </c>
      <c r="AM77" s="2" t="s">
        <v>26</v>
      </c>
      <c r="AN77" s="1" t="s">
        <v>26</v>
      </c>
      <c r="AO77" s="1" t="s">
        <v>26</v>
      </c>
      <c r="AP77" s="1" t="s">
        <v>26</v>
      </c>
      <c r="AQ77" s="9">
        <v>140316395</v>
      </c>
      <c r="AR77" s="10">
        <v>3.2313087577999998E-3</v>
      </c>
      <c r="AS77" s="10">
        <v>0.06</v>
      </c>
      <c r="AT77" s="10">
        <v>5.6800000000000003E-2</v>
      </c>
      <c r="AU77" s="2" t="s">
        <v>26</v>
      </c>
      <c r="AV77" s="1" t="s">
        <v>26</v>
      </c>
      <c r="AW77" s="1" t="s">
        <v>26</v>
      </c>
      <c r="AX77" s="1" t="s">
        <v>26</v>
      </c>
      <c r="AY77" s="9">
        <v>1730577994.03</v>
      </c>
      <c r="AZ77" s="10">
        <v>2.1171101718700002E-3</v>
      </c>
      <c r="BA77" s="10">
        <v>0.06</v>
      </c>
      <c r="BB77" s="10">
        <v>5.79E-2</v>
      </c>
    </row>
    <row r="78" spans="1:54" s="7" customFormat="1">
      <c r="A78" s="3" t="s">
        <v>68</v>
      </c>
      <c r="B78" s="23" t="s">
        <v>47</v>
      </c>
      <c r="C78" s="2">
        <v>37888996.649999999</v>
      </c>
      <c r="D78" s="1">
        <v>1</v>
      </c>
      <c r="E78" s="9" t="s">
        <v>25</v>
      </c>
      <c r="F78" s="10" t="s">
        <v>25</v>
      </c>
      <c r="G78" s="2">
        <v>849753348.26999998</v>
      </c>
      <c r="H78" s="1">
        <v>1</v>
      </c>
      <c r="I78" s="9" t="s">
        <v>26</v>
      </c>
      <c r="J78" s="10" t="s">
        <v>26</v>
      </c>
      <c r="K78" s="2">
        <v>50956869.5</v>
      </c>
      <c r="L78" s="1">
        <v>1</v>
      </c>
      <c r="M78" s="1" t="s">
        <v>26</v>
      </c>
      <c r="N78" s="1" t="s">
        <v>26</v>
      </c>
      <c r="O78" s="2">
        <v>444844354.61000001</v>
      </c>
      <c r="P78" s="1">
        <v>1</v>
      </c>
      <c r="Q78" s="1" t="s">
        <v>26</v>
      </c>
      <c r="R78" s="1" t="s">
        <v>26</v>
      </c>
      <c r="S78" s="2">
        <v>206818030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1590261599.03</v>
      </c>
      <c r="AF78" s="1">
        <v>1</v>
      </c>
      <c r="AG78" s="1" t="s">
        <v>26</v>
      </c>
      <c r="AH78" s="1" t="s">
        <v>26</v>
      </c>
      <c r="AI78" s="2">
        <v>140316395</v>
      </c>
      <c r="AJ78" s="1">
        <v>1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>
        <v>140316395</v>
      </c>
      <c r="AR78" s="1">
        <v>1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1730577994.03</v>
      </c>
      <c r="AZ78" s="1">
        <v>1</v>
      </c>
      <c r="BA78" s="1" t="s">
        <v>26</v>
      </c>
      <c r="BB78" s="1" t="s">
        <v>26</v>
      </c>
    </row>
    <row r="79" spans="1:54" s="7" customFormat="1">
      <c r="A79" s="12" t="s">
        <v>77</v>
      </c>
      <c r="B79" s="40" t="s">
        <v>25</v>
      </c>
      <c r="C79" s="42" t="s">
        <v>26</v>
      </c>
      <c r="D79" s="43" t="s">
        <v>26</v>
      </c>
      <c r="E79" s="43" t="s">
        <v>26</v>
      </c>
      <c r="F79" s="43" t="s">
        <v>26</v>
      </c>
      <c r="G79" s="42" t="s">
        <v>26</v>
      </c>
      <c r="H79" s="43" t="s">
        <v>26</v>
      </c>
      <c r="I79" s="43" t="s">
        <v>26</v>
      </c>
      <c r="J79" s="43" t="s">
        <v>26</v>
      </c>
      <c r="K79" s="42" t="s">
        <v>26</v>
      </c>
      <c r="L79" s="43" t="s">
        <v>26</v>
      </c>
      <c r="M79" s="43" t="s">
        <v>26</v>
      </c>
      <c r="N79" s="43" t="s">
        <v>26</v>
      </c>
      <c r="O79" s="42">
        <v>129634840</v>
      </c>
      <c r="P79" s="43">
        <v>5.1373092870000004E-4</v>
      </c>
      <c r="Q79" s="43" t="s">
        <v>26</v>
      </c>
      <c r="R79" s="43" t="s">
        <v>26</v>
      </c>
      <c r="S79" s="42">
        <v>207494106.18000001</v>
      </c>
      <c r="T79" s="43">
        <v>1.6751195103900001E-3</v>
      </c>
      <c r="U79" s="43" t="s">
        <v>26</v>
      </c>
      <c r="V79" s="43" t="s">
        <v>26</v>
      </c>
      <c r="W79" s="43" t="s">
        <v>26</v>
      </c>
      <c r="X79" s="43" t="s">
        <v>26</v>
      </c>
      <c r="Y79" s="43" t="s">
        <v>26</v>
      </c>
      <c r="Z79" s="43" t="s">
        <v>26</v>
      </c>
      <c r="AA79" s="42">
        <v>144153942.08000001</v>
      </c>
      <c r="AB79" s="43">
        <v>9.2681852039000001E-4</v>
      </c>
      <c r="AC79" s="43" t="s">
        <v>26</v>
      </c>
      <c r="AD79" s="43" t="s">
        <v>26</v>
      </c>
      <c r="AE79" s="42">
        <v>481282888.25999999</v>
      </c>
      <c r="AF79" s="43">
        <v>6.6634648743999999E-4</v>
      </c>
      <c r="AG79" s="43" t="s">
        <v>26</v>
      </c>
      <c r="AH79" s="43" t="s">
        <v>26</v>
      </c>
      <c r="AI79" s="42">
        <v>6491537.2699999996</v>
      </c>
      <c r="AJ79" s="43">
        <v>3.5448342817999997E-4</v>
      </c>
      <c r="AK79" s="43" t="s">
        <v>26</v>
      </c>
      <c r="AL79" s="43" t="s">
        <v>26</v>
      </c>
      <c r="AM79" s="43" t="s">
        <v>26</v>
      </c>
      <c r="AN79" s="43" t="s">
        <v>26</v>
      </c>
      <c r="AO79" s="43" t="s">
        <v>26</v>
      </c>
      <c r="AP79" s="43" t="s">
        <v>26</v>
      </c>
      <c r="AQ79" s="42">
        <v>6491537.2699999996</v>
      </c>
      <c r="AR79" s="43">
        <v>1.4949187678E-4</v>
      </c>
      <c r="AS79" s="43" t="s">
        <v>26</v>
      </c>
      <c r="AT79" s="43" t="s">
        <v>26</v>
      </c>
      <c r="AU79" s="42">
        <v>19474611.82</v>
      </c>
      <c r="AV79" s="43">
        <v>3.7647088048999998E-4</v>
      </c>
      <c r="AW79" s="43" t="s">
        <v>26</v>
      </c>
      <c r="AX79" s="43" t="s">
        <v>26</v>
      </c>
      <c r="AY79" s="42">
        <v>507249037.35000002</v>
      </c>
      <c r="AZ79" s="43">
        <v>6.2054533245000005E-4</v>
      </c>
      <c r="BA79" s="43" t="s">
        <v>26</v>
      </c>
      <c r="BB79" s="43" t="s">
        <v>26</v>
      </c>
    </row>
    <row r="80" spans="1:54" s="7" customFormat="1">
      <c r="A80" s="5" t="s">
        <v>78</v>
      </c>
      <c r="B80" s="20" t="s">
        <v>25</v>
      </c>
      <c r="C80" s="9" t="s">
        <v>26</v>
      </c>
      <c r="D80" s="10" t="s">
        <v>26</v>
      </c>
      <c r="E80" s="9" t="s">
        <v>26</v>
      </c>
      <c r="F80" s="10" t="s">
        <v>26</v>
      </c>
      <c r="G80" s="9" t="s">
        <v>26</v>
      </c>
      <c r="H80" s="10" t="s">
        <v>26</v>
      </c>
      <c r="I80" s="9" t="s">
        <v>26</v>
      </c>
      <c r="J80" s="10" t="s">
        <v>26</v>
      </c>
      <c r="K80" s="2" t="s">
        <v>26</v>
      </c>
      <c r="L80" s="1" t="s">
        <v>26</v>
      </c>
      <c r="M80" s="1" t="s">
        <v>26</v>
      </c>
      <c r="N80" s="1" t="s">
        <v>26</v>
      </c>
      <c r="O80" s="2" t="s">
        <v>26</v>
      </c>
      <c r="P80" s="1" t="s">
        <v>26</v>
      </c>
      <c r="Q80" s="1" t="s">
        <v>26</v>
      </c>
      <c r="R80" s="1" t="s">
        <v>26</v>
      </c>
      <c r="S80" s="9">
        <v>51932298.18</v>
      </c>
      <c r="T80" s="10">
        <v>4.1925434656000003E-4</v>
      </c>
      <c r="U80" s="10">
        <v>0.1</v>
      </c>
      <c r="V80" s="10">
        <v>9.9599999999999994E-2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9">
        <v>51932298.18</v>
      </c>
      <c r="AF80" s="10">
        <v>7.1901381329999995E-5</v>
      </c>
      <c r="AG80" s="10">
        <v>0.1</v>
      </c>
      <c r="AH80" s="10">
        <v>9.9900000000000003E-2</v>
      </c>
      <c r="AI80" s="9">
        <v>6491537.2699999996</v>
      </c>
      <c r="AJ80" s="10">
        <v>3.5448342817999997E-4</v>
      </c>
      <c r="AK80" s="10">
        <v>0.1</v>
      </c>
      <c r="AL80" s="10">
        <v>9.9599999999999994E-2</v>
      </c>
      <c r="AM80" s="2" t="s">
        <v>26</v>
      </c>
      <c r="AN80" s="1" t="s">
        <v>26</v>
      </c>
      <c r="AO80" s="1" t="s">
        <v>26</v>
      </c>
      <c r="AP80" s="1" t="s">
        <v>26</v>
      </c>
      <c r="AQ80" s="9">
        <v>6491537.2699999996</v>
      </c>
      <c r="AR80" s="10">
        <v>1.4949187678E-4</v>
      </c>
      <c r="AS80" s="10">
        <v>0.1</v>
      </c>
      <c r="AT80" s="10">
        <v>9.9900000000000003E-2</v>
      </c>
      <c r="AU80" s="9">
        <v>19474611.82</v>
      </c>
      <c r="AV80" s="10">
        <v>3.7647088048999998E-4</v>
      </c>
      <c r="AW80" s="10">
        <v>0.1</v>
      </c>
      <c r="AX80" s="10">
        <v>9.9599999999999994E-2</v>
      </c>
      <c r="AY80" s="9">
        <v>77898447.269999996</v>
      </c>
      <c r="AZ80" s="10">
        <v>9.5297406799999996E-5</v>
      </c>
      <c r="BA80" s="10">
        <v>0.1</v>
      </c>
      <c r="BB80" s="10">
        <v>9.9900000000000003E-2</v>
      </c>
    </row>
    <row r="81" spans="1:54" s="7" customFormat="1">
      <c r="A81" s="3" t="s">
        <v>79</v>
      </c>
      <c r="B81" s="23" t="s">
        <v>29</v>
      </c>
      <c r="C81" s="9" t="s">
        <v>26</v>
      </c>
      <c r="D81" s="10" t="s">
        <v>26</v>
      </c>
      <c r="E81" s="9" t="s">
        <v>26</v>
      </c>
      <c r="F81" s="10" t="s">
        <v>26</v>
      </c>
      <c r="G81" s="9" t="s">
        <v>26</v>
      </c>
      <c r="H81" s="10" t="s">
        <v>26</v>
      </c>
      <c r="I81" s="9" t="s">
        <v>26</v>
      </c>
      <c r="J81" s="10" t="s">
        <v>26</v>
      </c>
      <c r="K81" s="2" t="s">
        <v>26</v>
      </c>
      <c r="L81" s="1" t="s">
        <v>26</v>
      </c>
      <c r="M81" s="1" t="s">
        <v>26</v>
      </c>
      <c r="N81" s="1" t="s">
        <v>26</v>
      </c>
      <c r="O81" s="2" t="s">
        <v>26</v>
      </c>
      <c r="P81" s="1" t="s">
        <v>26</v>
      </c>
      <c r="Q81" s="1" t="s">
        <v>26</v>
      </c>
      <c r="R81" s="1" t="s">
        <v>26</v>
      </c>
      <c r="S81" s="2">
        <v>51932298.18</v>
      </c>
      <c r="T81" s="1">
        <v>1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2">
        <v>51932298.18</v>
      </c>
      <c r="AF81" s="1">
        <v>1</v>
      </c>
      <c r="AG81" s="1" t="s">
        <v>26</v>
      </c>
      <c r="AH81" s="1" t="s">
        <v>26</v>
      </c>
      <c r="AI81" s="2">
        <v>6491537.2699999996</v>
      </c>
      <c r="AJ81" s="1">
        <v>1</v>
      </c>
      <c r="AK81" s="1" t="s">
        <v>26</v>
      </c>
      <c r="AL81" s="1" t="s">
        <v>26</v>
      </c>
      <c r="AM81" s="2" t="s">
        <v>26</v>
      </c>
      <c r="AN81" s="1" t="s">
        <v>26</v>
      </c>
      <c r="AO81" s="1" t="s">
        <v>26</v>
      </c>
      <c r="AP81" s="1" t="s">
        <v>26</v>
      </c>
      <c r="AQ81" s="2">
        <v>6491537.2699999996</v>
      </c>
      <c r="AR81" s="1">
        <v>1</v>
      </c>
      <c r="AS81" s="1" t="s">
        <v>26</v>
      </c>
      <c r="AT81" s="1" t="s">
        <v>26</v>
      </c>
      <c r="AU81" s="2">
        <v>19474611.82</v>
      </c>
      <c r="AV81" s="1">
        <v>1</v>
      </c>
      <c r="AW81" s="1" t="s">
        <v>26</v>
      </c>
      <c r="AX81" s="1" t="s">
        <v>26</v>
      </c>
      <c r="AY81" s="2">
        <v>77898447.269999996</v>
      </c>
      <c r="AZ81" s="1">
        <v>1</v>
      </c>
      <c r="BA81" s="1" t="s">
        <v>26</v>
      </c>
      <c r="BB81" s="1" t="s">
        <v>26</v>
      </c>
    </row>
    <row r="82" spans="1:54" s="7" customFormat="1">
      <c r="A82" s="5" t="s">
        <v>80</v>
      </c>
      <c r="B82" s="20" t="s">
        <v>25</v>
      </c>
      <c r="C82" s="9" t="s">
        <v>26</v>
      </c>
      <c r="D82" s="10" t="s">
        <v>26</v>
      </c>
      <c r="E82" s="9" t="s">
        <v>26</v>
      </c>
      <c r="F82" s="10" t="s">
        <v>26</v>
      </c>
      <c r="G82" s="9" t="s">
        <v>26</v>
      </c>
      <c r="H82" s="10" t="s">
        <v>26</v>
      </c>
      <c r="I82" s="9" t="s">
        <v>26</v>
      </c>
      <c r="J82" s="10" t="s">
        <v>26</v>
      </c>
      <c r="K82" s="2" t="s">
        <v>26</v>
      </c>
      <c r="L82" s="1" t="s">
        <v>26</v>
      </c>
      <c r="M82" s="1" t="s">
        <v>26</v>
      </c>
      <c r="N82" s="1" t="s">
        <v>26</v>
      </c>
      <c r="O82" s="9">
        <v>129634840</v>
      </c>
      <c r="P82" s="10">
        <v>5.1373092870000004E-4</v>
      </c>
      <c r="Q82" s="10">
        <v>0.09</v>
      </c>
      <c r="R82" s="10">
        <v>8.9499999999999996E-2</v>
      </c>
      <c r="S82" s="9">
        <v>155561808</v>
      </c>
      <c r="T82" s="10">
        <v>1.2558651638400001E-3</v>
      </c>
      <c r="U82" s="10">
        <v>0.09</v>
      </c>
      <c r="V82" s="10">
        <v>8.8700000000000001E-2</v>
      </c>
      <c r="W82" s="2" t="s">
        <v>26</v>
      </c>
      <c r="X82" s="1" t="s">
        <v>26</v>
      </c>
      <c r="Y82" s="1" t="s">
        <v>26</v>
      </c>
      <c r="Z82" s="1" t="s">
        <v>26</v>
      </c>
      <c r="AA82" s="9">
        <v>144153942.08000001</v>
      </c>
      <c r="AB82" s="10">
        <v>9.2681852039000001E-4</v>
      </c>
      <c r="AC82" s="10">
        <v>0.09</v>
      </c>
      <c r="AD82" s="10">
        <v>8.9099999999999999E-2</v>
      </c>
      <c r="AE82" s="9">
        <v>429350590.07999998</v>
      </c>
      <c r="AF82" s="10">
        <v>5.9444510611E-4</v>
      </c>
      <c r="AG82" s="10">
        <v>0.09</v>
      </c>
      <c r="AH82" s="10">
        <v>8.9399999999999993E-2</v>
      </c>
      <c r="AI82" s="2" t="s">
        <v>26</v>
      </c>
      <c r="AJ82" s="1" t="s">
        <v>26</v>
      </c>
      <c r="AK82" s="1" t="s">
        <v>26</v>
      </c>
      <c r="AL82" s="1" t="s">
        <v>26</v>
      </c>
      <c r="AM82" s="2" t="s">
        <v>26</v>
      </c>
      <c r="AN82" s="1" t="s">
        <v>26</v>
      </c>
      <c r="AO82" s="1" t="s">
        <v>26</v>
      </c>
      <c r="AP82" s="1" t="s">
        <v>26</v>
      </c>
      <c r="AQ82" s="2" t="s">
        <v>26</v>
      </c>
      <c r="AR82" s="1" t="s">
        <v>26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9">
        <v>429350590.07999998</v>
      </c>
      <c r="AZ82" s="10">
        <v>5.2524792565999999E-4</v>
      </c>
      <c r="BA82" s="10">
        <v>0.09</v>
      </c>
      <c r="BB82" s="10">
        <v>8.9499999999999996E-2</v>
      </c>
    </row>
    <row r="83" spans="1:54" s="7" customFormat="1">
      <c r="A83" s="3" t="s">
        <v>79</v>
      </c>
      <c r="B83" s="23" t="s">
        <v>40</v>
      </c>
      <c r="C83" s="9" t="s">
        <v>26</v>
      </c>
      <c r="D83" s="10" t="s">
        <v>26</v>
      </c>
      <c r="E83" s="9" t="s">
        <v>26</v>
      </c>
      <c r="F83" s="10" t="s">
        <v>26</v>
      </c>
      <c r="G83" s="9" t="s">
        <v>26</v>
      </c>
      <c r="H83" s="10" t="s">
        <v>26</v>
      </c>
      <c r="I83" s="9" t="s">
        <v>26</v>
      </c>
      <c r="J83" s="10" t="s">
        <v>26</v>
      </c>
      <c r="K83" s="2" t="s">
        <v>26</v>
      </c>
      <c r="L83" s="1" t="s">
        <v>26</v>
      </c>
      <c r="M83" s="1" t="s">
        <v>26</v>
      </c>
      <c r="N83" s="1" t="s">
        <v>26</v>
      </c>
      <c r="O83" s="2">
        <v>129634840</v>
      </c>
      <c r="P83" s="1">
        <v>1</v>
      </c>
      <c r="Q83" s="1" t="s">
        <v>26</v>
      </c>
      <c r="R83" s="1" t="s">
        <v>26</v>
      </c>
      <c r="S83" s="2">
        <v>155561808</v>
      </c>
      <c r="T83" s="1">
        <v>1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>
        <v>144153942.08000001</v>
      </c>
      <c r="AB83" s="1">
        <v>1</v>
      </c>
      <c r="AC83" s="1" t="s">
        <v>25</v>
      </c>
      <c r="AD83" s="1" t="s">
        <v>25</v>
      </c>
      <c r="AE83" s="2">
        <v>429350590.07999998</v>
      </c>
      <c r="AF83" s="1">
        <v>1</v>
      </c>
      <c r="AG83" s="1" t="s">
        <v>26</v>
      </c>
      <c r="AH83" s="1" t="s">
        <v>26</v>
      </c>
      <c r="AI83" s="2" t="s">
        <v>26</v>
      </c>
      <c r="AJ83" s="1" t="s">
        <v>26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 t="s">
        <v>26</v>
      </c>
      <c r="AR83" s="1" t="s">
        <v>26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429350590.07999998</v>
      </c>
      <c r="AZ83" s="1">
        <v>1</v>
      </c>
      <c r="BA83" s="1" t="s">
        <v>26</v>
      </c>
      <c r="BB83" s="1" t="s">
        <v>26</v>
      </c>
    </row>
    <row r="84" spans="1:54" s="7" customFormat="1">
      <c r="A84" s="12" t="s">
        <v>81</v>
      </c>
      <c r="B84" s="40" t="s">
        <v>25</v>
      </c>
      <c r="C84" s="42" t="s">
        <v>26</v>
      </c>
      <c r="D84" s="43" t="s">
        <v>26</v>
      </c>
      <c r="E84" s="43" t="s">
        <v>26</v>
      </c>
      <c r="F84" s="43" t="s">
        <v>26</v>
      </c>
      <c r="G84" s="42">
        <v>3590399775.25</v>
      </c>
      <c r="H84" s="43">
        <v>2.0922428539520001E-2</v>
      </c>
      <c r="I84" s="43">
        <v>0.05</v>
      </c>
      <c r="J84" s="43">
        <f>+I84-H84</f>
        <v>2.9077571460480001E-2</v>
      </c>
      <c r="K84" s="42">
        <v>24167922.649999999</v>
      </c>
      <c r="L84" s="43">
        <v>6.1826237282299997E-3</v>
      </c>
      <c r="M84" s="43">
        <v>0.05</v>
      </c>
      <c r="N84" s="43">
        <f>+M84-L84</f>
        <v>4.381737627177E-2</v>
      </c>
      <c r="O84" s="42">
        <v>1872571248.4100001</v>
      </c>
      <c r="P84" s="43">
        <v>7.4208273524900004E-3</v>
      </c>
      <c r="Q84" s="43">
        <v>0.05</v>
      </c>
      <c r="R84" s="43">
        <f>+Q84-P84</f>
        <v>4.2579172647510002E-2</v>
      </c>
      <c r="S84" s="42">
        <v>1619532186.4300001</v>
      </c>
      <c r="T84" s="43">
        <v>1.307463625423E-2</v>
      </c>
      <c r="U84" s="43">
        <v>0.05</v>
      </c>
      <c r="V84" s="43">
        <f>+U84-T84</f>
        <v>3.6925363745770004E-2</v>
      </c>
      <c r="W84" s="43" t="s">
        <v>26</v>
      </c>
      <c r="X84" s="43" t="s">
        <v>26</v>
      </c>
      <c r="Y84" s="43" t="s">
        <v>26</v>
      </c>
      <c r="Z84" s="43" t="s">
        <v>26</v>
      </c>
      <c r="AA84" s="42">
        <v>380654207.10000002</v>
      </c>
      <c r="AB84" s="43">
        <v>2.44736539226E-3</v>
      </c>
      <c r="AC84" s="43">
        <v>0.05</v>
      </c>
      <c r="AD84" s="43">
        <f>+AC84-AB84</f>
        <v>4.7552634607740001E-2</v>
      </c>
      <c r="AE84" s="42">
        <v>7487325339.8400002</v>
      </c>
      <c r="AF84" s="43">
        <v>1.0366362615939999E-2</v>
      </c>
      <c r="AG84" s="43">
        <v>0.05</v>
      </c>
      <c r="AH84" s="43">
        <f>+AG84-AF84</f>
        <v>3.9633637384060005E-2</v>
      </c>
      <c r="AI84" s="43" t="s">
        <v>26</v>
      </c>
      <c r="AJ84" s="43" t="s">
        <v>26</v>
      </c>
      <c r="AK84" s="43" t="s">
        <v>26</v>
      </c>
      <c r="AL84" s="43" t="s">
        <v>26</v>
      </c>
      <c r="AM84" s="43" t="s">
        <v>26</v>
      </c>
      <c r="AN84" s="43" t="s">
        <v>26</v>
      </c>
      <c r="AO84" s="43" t="s">
        <v>26</v>
      </c>
      <c r="AP84" s="43" t="s">
        <v>26</v>
      </c>
      <c r="AQ84" s="43" t="s">
        <v>26</v>
      </c>
      <c r="AR84" s="43" t="s">
        <v>26</v>
      </c>
      <c r="AS84" s="43" t="s">
        <v>26</v>
      </c>
      <c r="AT84" s="43" t="s">
        <v>26</v>
      </c>
      <c r="AU84" s="42">
        <v>618334206</v>
      </c>
      <c r="AV84" s="43">
        <v>1.1953245852759999E-2</v>
      </c>
      <c r="AW84" s="43">
        <v>0.05</v>
      </c>
      <c r="AX84" s="43">
        <f>+AW84-AV84</f>
        <v>3.804675414724E-2</v>
      </c>
      <c r="AY84" s="42">
        <v>8105659545.8400002</v>
      </c>
      <c r="AZ84" s="43">
        <v>9.9160941219500007E-3</v>
      </c>
      <c r="BA84" s="43">
        <v>0.05</v>
      </c>
      <c r="BB84" s="43">
        <f>+BA84-AZ84</f>
        <v>4.0083905878050004E-2</v>
      </c>
    </row>
    <row r="85" spans="1:54" s="7" customFormat="1">
      <c r="A85" s="5" t="s">
        <v>82</v>
      </c>
      <c r="B85" s="20" t="s">
        <v>25</v>
      </c>
      <c r="C85" s="9" t="s">
        <v>26</v>
      </c>
      <c r="D85" s="10" t="s">
        <v>26</v>
      </c>
      <c r="E85" s="9" t="s">
        <v>26</v>
      </c>
      <c r="F85" s="10" t="s">
        <v>26</v>
      </c>
      <c r="G85" s="9">
        <v>2871653972.9699998</v>
      </c>
      <c r="H85" s="10">
        <v>1.673406272301E-2</v>
      </c>
      <c r="I85" s="9" t="s">
        <v>26</v>
      </c>
      <c r="J85" s="10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 t="s">
        <v>26</v>
      </c>
      <c r="P85" s="1" t="s">
        <v>26</v>
      </c>
      <c r="Q85" s="1" t="s">
        <v>26</v>
      </c>
      <c r="R85" s="1" t="s">
        <v>26</v>
      </c>
      <c r="S85" s="9">
        <v>685320411.64999998</v>
      </c>
      <c r="T85" s="10">
        <v>5.5326563899099996E-3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 t="s">
        <v>26</v>
      </c>
      <c r="AB85" s="1" t="s">
        <v>26</v>
      </c>
      <c r="AC85" s="1" t="s">
        <v>26</v>
      </c>
      <c r="AD85" s="1" t="s">
        <v>26</v>
      </c>
      <c r="AE85" s="9">
        <v>3556974384.6199999</v>
      </c>
      <c r="AF85" s="10">
        <v>4.9247073705199996E-3</v>
      </c>
      <c r="AG85" s="1" t="s">
        <v>26</v>
      </c>
      <c r="AH85" s="1" t="s">
        <v>26</v>
      </c>
      <c r="AI85" s="2" t="s">
        <v>26</v>
      </c>
      <c r="AJ85" s="1" t="s">
        <v>26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 t="s">
        <v>26</v>
      </c>
      <c r="AR85" s="1" t="s">
        <v>26</v>
      </c>
      <c r="AS85" s="1" t="s">
        <v>26</v>
      </c>
      <c r="AT85" s="1" t="s">
        <v>26</v>
      </c>
      <c r="AU85" s="9">
        <v>618334206</v>
      </c>
      <c r="AV85" s="10">
        <v>1.1953245852759999E-2</v>
      </c>
      <c r="AW85" s="1" t="s">
        <v>26</v>
      </c>
      <c r="AX85" s="1" t="s">
        <v>26</v>
      </c>
      <c r="AY85" s="9">
        <v>4175308590.6199999</v>
      </c>
      <c r="AZ85" s="10">
        <v>5.1078820592699997E-3</v>
      </c>
      <c r="BA85" s="1" t="s">
        <v>26</v>
      </c>
      <c r="BB85" s="1" t="s">
        <v>26</v>
      </c>
    </row>
    <row r="86" spans="1:54" s="7" customFormat="1">
      <c r="A86" s="3" t="s">
        <v>83</v>
      </c>
      <c r="B86" s="23" t="s">
        <v>40</v>
      </c>
      <c r="C86" s="9" t="s">
        <v>26</v>
      </c>
      <c r="D86" s="10" t="s">
        <v>26</v>
      </c>
      <c r="E86" s="9" t="s">
        <v>26</v>
      </c>
      <c r="F86" s="10" t="s">
        <v>26</v>
      </c>
      <c r="G86" s="9">
        <v>2871653972.9699998</v>
      </c>
      <c r="H86" s="10">
        <v>1</v>
      </c>
      <c r="I86" s="9" t="s">
        <v>26</v>
      </c>
      <c r="J86" s="10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2" t="s">
        <v>26</v>
      </c>
      <c r="P86" s="1" t="s">
        <v>26</v>
      </c>
      <c r="Q86" s="1" t="s">
        <v>26</v>
      </c>
      <c r="R86" s="1" t="s">
        <v>26</v>
      </c>
      <c r="S86" s="2">
        <v>685320411.64999998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3556974384.6199999</v>
      </c>
      <c r="AF86" s="1">
        <v>1</v>
      </c>
      <c r="AG86" s="1" t="s">
        <v>26</v>
      </c>
      <c r="AH86" s="1" t="s">
        <v>26</v>
      </c>
      <c r="AI86" s="2" t="s">
        <v>26</v>
      </c>
      <c r="AJ86" s="1" t="s">
        <v>26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 t="s">
        <v>26</v>
      </c>
      <c r="AR86" s="1" t="s">
        <v>26</v>
      </c>
      <c r="AS86" s="1" t="s">
        <v>26</v>
      </c>
      <c r="AT86" s="1" t="s">
        <v>26</v>
      </c>
      <c r="AU86" s="2">
        <v>618334206</v>
      </c>
      <c r="AV86" s="1">
        <v>1</v>
      </c>
      <c r="AW86" s="1" t="s">
        <v>26</v>
      </c>
      <c r="AX86" s="1" t="s">
        <v>26</v>
      </c>
      <c r="AY86" s="2">
        <v>4175308590.6199999</v>
      </c>
      <c r="AZ86" s="1">
        <v>1</v>
      </c>
      <c r="BA86" s="1" t="s">
        <v>26</v>
      </c>
      <c r="BB86" s="1" t="s">
        <v>26</v>
      </c>
    </row>
    <row r="87" spans="1:54" s="7" customFormat="1">
      <c r="A87" s="5" t="s">
        <v>84</v>
      </c>
      <c r="B87" s="20" t="s">
        <v>25</v>
      </c>
      <c r="C87" s="9" t="s">
        <v>26</v>
      </c>
      <c r="D87" s="10" t="s">
        <v>26</v>
      </c>
      <c r="E87" s="9" t="s">
        <v>26</v>
      </c>
      <c r="F87" s="10" t="s">
        <v>26</v>
      </c>
      <c r="G87" s="9">
        <v>718745802.27999997</v>
      </c>
      <c r="H87" s="10">
        <v>4.1883658165200004E-3</v>
      </c>
      <c r="I87" s="9" t="s">
        <v>26</v>
      </c>
      <c r="J87" s="10" t="s">
        <v>26</v>
      </c>
      <c r="K87" s="9">
        <v>24167922.649999999</v>
      </c>
      <c r="L87" s="10">
        <v>6.1826237282299997E-3</v>
      </c>
      <c r="M87" s="1" t="s">
        <v>26</v>
      </c>
      <c r="N87" s="1" t="s">
        <v>26</v>
      </c>
      <c r="O87" s="9">
        <v>1872571248.4100001</v>
      </c>
      <c r="P87" s="10">
        <v>7.4208273524900004E-3</v>
      </c>
      <c r="Q87" s="1" t="s">
        <v>26</v>
      </c>
      <c r="R87" s="1" t="s">
        <v>26</v>
      </c>
      <c r="S87" s="9">
        <v>934211774.77999997</v>
      </c>
      <c r="T87" s="10">
        <v>7.54197986432E-3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9">
        <v>380654207.10000002</v>
      </c>
      <c r="AB87" s="10">
        <v>2.44736539226E-3</v>
      </c>
      <c r="AC87" s="1" t="s">
        <v>26</v>
      </c>
      <c r="AD87" s="1" t="s">
        <v>26</v>
      </c>
      <c r="AE87" s="9">
        <v>3930350955.2199998</v>
      </c>
      <c r="AF87" s="10">
        <v>5.4416552454200004E-3</v>
      </c>
      <c r="AG87" s="1" t="s">
        <v>26</v>
      </c>
      <c r="AH87" s="1" t="s">
        <v>26</v>
      </c>
      <c r="AI87" s="2" t="s">
        <v>26</v>
      </c>
      <c r="AJ87" s="1" t="s">
        <v>26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 t="s">
        <v>26</v>
      </c>
      <c r="AR87" s="1" t="s">
        <v>26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9">
        <v>3930350955.2199998</v>
      </c>
      <c r="AZ87" s="10">
        <v>4.8082120626800002E-3</v>
      </c>
      <c r="BA87" s="1" t="s">
        <v>26</v>
      </c>
      <c r="BB87" s="1" t="s">
        <v>26</v>
      </c>
    </row>
    <row r="88" spans="1:54" s="28" customFormat="1">
      <c r="A88" s="3" t="s">
        <v>85</v>
      </c>
      <c r="B88" s="23" t="s">
        <v>40</v>
      </c>
      <c r="C88" s="9" t="s">
        <v>26</v>
      </c>
      <c r="D88" s="10" t="s">
        <v>26</v>
      </c>
      <c r="E88" s="9" t="s">
        <v>26</v>
      </c>
      <c r="F88" s="10" t="s">
        <v>26</v>
      </c>
      <c r="G88" s="2">
        <v>718745802.27999997</v>
      </c>
      <c r="H88" s="1">
        <v>1</v>
      </c>
      <c r="I88" s="9" t="s">
        <v>26</v>
      </c>
      <c r="J88" s="10" t="s">
        <v>26</v>
      </c>
      <c r="K88" s="2">
        <v>24167922.649999999</v>
      </c>
      <c r="L88" s="1">
        <v>1</v>
      </c>
      <c r="M88" s="1" t="s">
        <v>26</v>
      </c>
      <c r="N88" s="1" t="s">
        <v>26</v>
      </c>
      <c r="O88" s="2">
        <v>1872571248.4100001</v>
      </c>
      <c r="P88" s="1">
        <v>1</v>
      </c>
      <c r="Q88" s="1" t="s">
        <v>26</v>
      </c>
      <c r="R88" s="1" t="s">
        <v>26</v>
      </c>
      <c r="S88" s="2">
        <v>934211774.77999997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>
        <v>380654207.10000002</v>
      </c>
      <c r="AB88" s="1">
        <v>1</v>
      </c>
      <c r="AC88" s="1" t="s">
        <v>26</v>
      </c>
      <c r="AD88" s="1" t="s">
        <v>26</v>
      </c>
      <c r="AE88" s="2">
        <v>3930350955.2199998</v>
      </c>
      <c r="AF88" s="1">
        <v>1</v>
      </c>
      <c r="AG88" s="1" t="s">
        <v>26</v>
      </c>
      <c r="AH88" s="1" t="s">
        <v>26</v>
      </c>
      <c r="AI88" s="2" t="s">
        <v>26</v>
      </c>
      <c r="AJ88" s="1" t="s">
        <v>26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 t="s">
        <v>26</v>
      </c>
      <c r="AR88" s="1" t="s">
        <v>26</v>
      </c>
      <c r="AS88" s="1" t="s">
        <v>26</v>
      </c>
      <c r="AT88" s="1" t="s">
        <v>26</v>
      </c>
      <c r="AU88" s="2" t="s">
        <v>26</v>
      </c>
      <c r="AV88" s="1" t="s">
        <v>26</v>
      </c>
      <c r="AW88" s="1" t="s">
        <v>26</v>
      </c>
      <c r="AX88" s="1" t="s">
        <v>26</v>
      </c>
      <c r="AY88" s="2">
        <v>3930350955.2199998</v>
      </c>
      <c r="AZ88" s="1">
        <v>1</v>
      </c>
      <c r="BA88" s="1" t="s">
        <v>26</v>
      </c>
      <c r="BB88" s="1" t="s">
        <v>26</v>
      </c>
    </row>
    <row r="89" spans="1:54" s="7" customFormat="1">
      <c r="A89" s="12" t="s">
        <v>86</v>
      </c>
      <c r="B89" s="40" t="s">
        <v>25</v>
      </c>
      <c r="C89" s="42">
        <v>117308828.68000001</v>
      </c>
      <c r="D89" s="43">
        <v>1.509462511065E-2</v>
      </c>
      <c r="E89" s="43">
        <v>0.15</v>
      </c>
      <c r="F89" s="43">
        <f>+E89-D89</f>
        <v>0.13490537488935</v>
      </c>
      <c r="G89" s="42">
        <v>9623478963.7700005</v>
      </c>
      <c r="H89" s="43">
        <v>5.6079145366779999E-2</v>
      </c>
      <c r="I89" s="43">
        <v>0.15</v>
      </c>
      <c r="J89" s="43">
        <f>+I89-H89</f>
        <v>9.3920854633220002E-2</v>
      </c>
      <c r="K89" s="42">
        <v>266164761.28999999</v>
      </c>
      <c r="L89" s="43">
        <v>6.8090112360960006E-2</v>
      </c>
      <c r="M89" s="43">
        <v>0.15</v>
      </c>
      <c r="N89" s="43">
        <f>+M89-L89</f>
        <v>8.1909887639039988E-2</v>
      </c>
      <c r="O89" s="42">
        <v>27300204989.849998</v>
      </c>
      <c r="P89" s="43">
        <v>0.10818819742598999</v>
      </c>
      <c r="Q89" s="43">
        <v>0.15</v>
      </c>
      <c r="R89" s="43">
        <f>+Q89-P89</f>
        <v>4.1811802574010001E-2</v>
      </c>
      <c r="S89" s="42">
        <v>6079581164.3100004</v>
      </c>
      <c r="T89" s="43">
        <v>4.908103276208E-2</v>
      </c>
      <c r="U89" s="43">
        <v>0.15</v>
      </c>
      <c r="V89" s="43">
        <f>+U89-T89</f>
        <v>0.10091896723791999</v>
      </c>
      <c r="W89" s="43" t="s">
        <v>26</v>
      </c>
      <c r="X89" s="43" t="s">
        <v>26</v>
      </c>
      <c r="Y89" s="43" t="s">
        <v>26</v>
      </c>
      <c r="Z89" s="43" t="s">
        <v>26</v>
      </c>
      <c r="AA89" s="42">
        <v>6156154141.0200005</v>
      </c>
      <c r="AB89" s="43">
        <v>3.9580170961320001E-2</v>
      </c>
      <c r="AC89" s="43">
        <v>0.15</v>
      </c>
      <c r="AD89" s="43">
        <f>+AC89-AB89</f>
        <v>0.11041982903868</v>
      </c>
      <c r="AE89" s="42">
        <v>49542892848.919998</v>
      </c>
      <c r="AF89" s="43">
        <v>6.8593198372429998E-2</v>
      </c>
      <c r="AG89" s="43">
        <v>0.15</v>
      </c>
      <c r="AH89" s="43">
        <f>+AG89-AF89</f>
        <v>8.1406801627569997E-2</v>
      </c>
      <c r="AI89" s="43" t="s">
        <v>26</v>
      </c>
      <c r="AJ89" s="43" t="s">
        <v>26</v>
      </c>
      <c r="AK89" s="43" t="s">
        <v>26</v>
      </c>
      <c r="AL89" s="43" t="s">
        <v>26</v>
      </c>
      <c r="AM89" s="43" t="s">
        <v>26</v>
      </c>
      <c r="AN89" s="43" t="s">
        <v>26</v>
      </c>
      <c r="AO89" s="43" t="s">
        <v>26</v>
      </c>
      <c r="AP89" s="43" t="s">
        <v>26</v>
      </c>
      <c r="AQ89" s="43" t="s">
        <v>26</v>
      </c>
      <c r="AR89" s="43" t="s">
        <v>26</v>
      </c>
      <c r="AS89" s="43" t="s">
        <v>26</v>
      </c>
      <c r="AT89" s="43" t="s">
        <v>26</v>
      </c>
      <c r="AU89" s="42">
        <v>1859955956.9400001</v>
      </c>
      <c r="AV89" s="43">
        <v>3.5955492374319997E-2</v>
      </c>
      <c r="AW89" s="43">
        <v>0.15</v>
      </c>
      <c r="AX89" s="43">
        <f>+AW89-AV89</f>
        <v>0.11404450762568</v>
      </c>
      <c r="AY89" s="42">
        <v>51402848805.860001</v>
      </c>
      <c r="AZ89" s="43">
        <v>6.2883900318359998E-2</v>
      </c>
      <c r="BA89" s="43">
        <v>0.15</v>
      </c>
      <c r="BB89" s="43">
        <f>+BA89-AZ89</f>
        <v>8.7116099681639997E-2</v>
      </c>
    </row>
    <row r="90" spans="1:54" s="28" customFormat="1">
      <c r="A90" s="5" t="s">
        <v>124</v>
      </c>
      <c r="B90" s="20" t="s">
        <v>25</v>
      </c>
      <c r="C90" s="9" t="s">
        <v>26</v>
      </c>
      <c r="D90" s="10" t="s">
        <v>26</v>
      </c>
      <c r="E90" s="9" t="s">
        <v>26</v>
      </c>
      <c r="F90" s="10" t="s">
        <v>26</v>
      </c>
      <c r="G90" s="9">
        <v>576435661.92999995</v>
      </c>
      <c r="H90" s="10">
        <v>3.35907829192E-3</v>
      </c>
      <c r="I90" s="9" t="s">
        <v>26</v>
      </c>
      <c r="J90" s="10" t="s">
        <v>26</v>
      </c>
      <c r="K90" s="9">
        <v>67815960.230000004</v>
      </c>
      <c r="L90" s="10">
        <v>1.734863897665E-2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9">
        <v>725939028.78999996</v>
      </c>
      <c r="T90" s="10">
        <v>5.8605743212199997E-3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9">
        <v>450051372.42000002</v>
      </c>
      <c r="AB90" s="10">
        <v>2.8935451994400001E-3</v>
      </c>
      <c r="AC90" s="1" t="s">
        <v>26</v>
      </c>
      <c r="AD90" s="1" t="s">
        <v>26</v>
      </c>
      <c r="AE90" s="9">
        <v>1820242023.3699999</v>
      </c>
      <c r="AF90" s="10">
        <v>2.52016414495E-3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 t="s">
        <v>26</v>
      </c>
      <c r="AV90" s="1" t="s">
        <v>26</v>
      </c>
      <c r="AW90" s="1" t="s">
        <v>26</v>
      </c>
      <c r="AX90" s="1" t="s">
        <v>26</v>
      </c>
      <c r="AY90" s="9">
        <v>1820242023.3699999</v>
      </c>
      <c r="AZ90" s="10">
        <v>2.2268010550399999E-3</v>
      </c>
      <c r="BA90" s="1" t="s">
        <v>26</v>
      </c>
      <c r="BB90" s="1" t="s">
        <v>26</v>
      </c>
    </row>
    <row r="91" spans="1:54" s="7" customFormat="1">
      <c r="A91" s="3" t="s">
        <v>88</v>
      </c>
      <c r="B91" s="23" t="s">
        <v>47</v>
      </c>
      <c r="C91" s="9" t="s">
        <v>26</v>
      </c>
      <c r="D91" s="10" t="s">
        <v>26</v>
      </c>
      <c r="E91" s="9" t="s">
        <v>26</v>
      </c>
      <c r="F91" s="10" t="s">
        <v>26</v>
      </c>
      <c r="G91" s="2">
        <v>576435661.92999995</v>
      </c>
      <c r="H91" s="1">
        <v>1</v>
      </c>
      <c r="I91" s="9" t="s">
        <v>26</v>
      </c>
      <c r="J91" s="10" t="s">
        <v>26</v>
      </c>
      <c r="K91" s="2">
        <v>67815960.230000004</v>
      </c>
      <c r="L91" s="1">
        <v>1</v>
      </c>
      <c r="M91" s="1" t="s">
        <v>26</v>
      </c>
      <c r="N91" s="1" t="s">
        <v>26</v>
      </c>
      <c r="O91" s="2" t="s">
        <v>26</v>
      </c>
      <c r="P91" s="1" t="s">
        <v>26</v>
      </c>
      <c r="Q91" s="1" t="s">
        <v>26</v>
      </c>
      <c r="R91" s="1" t="s">
        <v>26</v>
      </c>
      <c r="S91" s="2">
        <v>725939028.78999996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450051372.42000002</v>
      </c>
      <c r="AB91" s="1">
        <v>1</v>
      </c>
      <c r="AC91" s="1" t="s">
        <v>26</v>
      </c>
      <c r="AD91" s="1" t="s">
        <v>26</v>
      </c>
      <c r="AE91" s="2">
        <v>1820242023.3699999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1820242023.3699999</v>
      </c>
      <c r="AZ91" s="1">
        <v>1</v>
      </c>
      <c r="BA91" s="1" t="s">
        <v>26</v>
      </c>
      <c r="BB91" s="1" t="s">
        <v>26</v>
      </c>
    </row>
    <row r="92" spans="1:54" s="7" customFormat="1">
      <c r="A92" s="5" t="s">
        <v>125</v>
      </c>
      <c r="B92" s="20" t="s">
        <v>25</v>
      </c>
      <c r="C92" s="9" t="s">
        <v>26</v>
      </c>
      <c r="D92" s="10" t="s">
        <v>26</v>
      </c>
      <c r="E92" s="9" t="s">
        <v>26</v>
      </c>
      <c r="F92" s="10" t="s">
        <v>26</v>
      </c>
      <c r="G92" s="9">
        <v>17117520.579999998</v>
      </c>
      <c r="H92" s="10">
        <v>9.9749365959999998E-5</v>
      </c>
      <c r="I92" s="9" t="s">
        <v>26</v>
      </c>
      <c r="J92" s="10" t="s">
        <v>26</v>
      </c>
      <c r="K92" s="2" t="s">
        <v>26</v>
      </c>
      <c r="L92" s="1" t="s">
        <v>26</v>
      </c>
      <c r="M92" s="1" t="s">
        <v>26</v>
      </c>
      <c r="N92" s="1" t="s">
        <v>26</v>
      </c>
      <c r="O92" s="2" t="s">
        <v>26</v>
      </c>
      <c r="P92" s="1" t="s">
        <v>26</v>
      </c>
      <c r="Q92" s="1" t="s">
        <v>26</v>
      </c>
      <c r="R92" s="1" t="s">
        <v>26</v>
      </c>
      <c r="S92" s="9">
        <v>17117520.579999998</v>
      </c>
      <c r="T92" s="10">
        <v>1.3819135985E-4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 t="s">
        <v>26</v>
      </c>
      <c r="AB92" s="1" t="s">
        <v>26</v>
      </c>
      <c r="AC92" s="1" t="s">
        <v>26</v>
      </c>
      <c r="AD92" s="1" t="s">
        <v>26</v>
      </c>
      <c r="AE92" s="9">
        <v>34235041.159999996</v>
      </c>
      <c r="AF92" s="10">
        <v>4.7399149189999999E-5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9">
        <v>34235041.159999996</v>
      </c>
      <c r="AZ92" s="10">
        <v>4.188158761E-5</v>
      </c>
      <c r="BA92" s="1" t="s">
        <v>26</v>
      </c>
      <c r="BB92" s="1" t="s">
        <v>26</v>
      </c>
    </row>
    <row r="93" spans="1:54" s="28" customFormat="1">
      <c r="A93" s="3" t="s">
        <v>88</v>
      </c>
      <c r="B93" s="23" t="s">
        <v>47</v>
      </c>
      <c r="C93" s="9" t="s">
        <v>26</v>
      </c>
      <c r="D93" s="10" t="s">
        <v>26</v>
      </c>
      <c r="E93" s="9" t="s">
        <v>26</v>
      </c>
      <c r="F93" s="10" t="s">
        <v>26</v>
      </c>
      <c r="G93" s="2">
        <v>17117520.579999998</v>
      </c>
      <c r="H93" s="1">
        <v>1</v>
      </c>
      <c r="I93" s="9" t="s">
        <v>26</v>
      </c>
      <c r="J93" s="10" t="s">
        <v>26</v>
      </c>
      <c r="K93" s="2" t="s">
        <v>26</v>
      </c>
      <c r="L93" s="1" t="s">
        <v>26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17117520.579999998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 t="s">
        <v>26</v>
      </c>
      <c r="AB93" s="1" t="s">
        <v>26</v>
      </c>
      <c r="AC93" s="1" t="s">
        <v>26</v>
      </c>
      <c r="AD93" s="1" t="s">
        <v>26</v>
      </c>
      <c r="AE93" s="2">
        <v>34235041.159999996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 t="s">
        <v>26</v>
      </c>
      <c r="AV93" s="1" t="s">
        <v>26</v>
      </c>
      <c r="AW93" s="1" t="s">
        <v>26</v>
      </c>
      <c r="AX93" s="1" t="s">
        <v>26</v>
      </c>
      <c r="AY93" s="2">
        <v>34235041.159999996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89</v>
      </c>
      <c r="B94" s="20" t="s">
        <v>25</v>
      </c>
      <c r="C94" s="9" t="s">
        <v>26</v>
      </c>
      <c r="D94" s="10" t="s">
        <v>26</v>
      </c>
      <c r="E94" s="9" t="s">
        <v>26</v>
      </c>
      <c r="F94" s="10" t="s">
        <v>26</v>
      </c>
      <c r="G94" s="9">
        <v>2754412675.2399998</v>
      </c>
      <c r="H94" s="10">
        <v>1.605085950688E-2</v>
      </c>
      <c r="I94" s="9" t="s">
        <v>26</v>
      </c>
      <c r="J94" s="10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9">
        <v>3496334952.0599999</v>
      </c>
      <c r="P94" s="10">
        <v>1.385565332574E-2</v>
      </c>
      <c r="Q94" s="1" t="s">
        <v>26</v>
      </c>
      <c r="R94" s="1" t="s">
        <v>26</v>
      </c>
      <c r="S94" s="9">
        <v>1274219849.1900001</v>
      </c>
      <c r="T94" s="10">
        <v>1.0286897151949999E-2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9">
        <v>1948468620.6199999</v>
      </c>
      <c r="AB94" s="10">
        <v>1.2527418799189999E-2</v>
      </c>
      <c r="AC94" s="1" t="s">
        <v>26</v>
      </c>
      <c r="AD94" s="1" t="s">
        <v>26</v>
      </c>
      <c r="AE94" s="9">
        <v>9473436097.1100006</v>
      </c>
      <c r="AF94" s="10">
        <v>1.3116175582630001E-2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9">
        <v>319642710.94999999</v>
      </c>
      <c r="AV94" s="10">
        <v>6.1791307547800003E-3</v>
      </c>
      <c r="AW94" s="1" t="s">
        <v>26</v>
      </c>
      <c r="AX94" s="1" t="s">
        <v>26</v>
      </c>
      <c r="AY94" s="9">
        <v>9793078808.0599995</v>
      </c>
      <c r="AZ94" s="10">
        <v>1.198040587014E-2</v>
      </c>
      <c r="BA94" s="1" t="s">
        <v>26</v>
      </c>
      <c r="BB94" s="1" t="s">
        <v>26</v>
      </c>
    </row>
    <row r="95" spans="1:54" s="28" customFormat="1">
      <c r="A95" s="3" t="s">
        <v>88</v>
      </c>
      <c r="B95" s="23" t="s">
        <v>47</v>
      </c>
      <c r="C95" s="9" t="s">
        <v>26</v>
      </c>
      <c r="D95" s="10" t="s">
        <v>26</v>
      </c>
      <c r="E95" s="9" t="s">
        <v>26</v>
      </c>
      <c r="F95" s="10" t="s">
        <v>26</v>
      </c>
      <c r="G95" s="2">
        <v>2754412675.2399998</v>
      </c>
      <c r="H95" s="1">
        <v>1</v>
      </c>
      <c r="I95" s="9" t="s">
        <v>26</v>
      </c>
      <c r="J95" s="10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>
        <v>3496334952.0599999</v>
      </c>
      <c r="P95" s="1">
        <v>1</v>
      </c>
      <c r="Q95" s="1" t="s">
        <v>26</v>
      </c>
      <c r="R95" s="1" t="s">
        <v>26</v>
      </c>
      <c r="S95" s="2">
        <v>1274219849.1900001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1948468620.6199999</v>
      </c>
      <c r="AB95" s="1">
        <v>1</v>
      </c>
      <c r="AC95" s="1" t="s">
        <v>26</v>
      </c>
      <c r="AD95" s="1" t="s">
        <v>26</v>
      </c>
      <c r="AE95" s="2">
        <v>9473436097.1100006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>
        <v>319642710.94999999</v>
      </c>
      <c r="AV95" s="1">
        <v>1</v>
      </c>
      <c r="AW95" s="1" t="s">
        <v>26</v>
      </c>
      <c r="AX95" s="1" t="s">
        <v>26</v>
      </c>
      <c r="AY95" s="2">
        <v>9793078808.0599995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90</v>
      </c>
      <c r="B96" s="20" t="s">
        <v>25</v>
      </c>
      <c r="C96" s="9" t="s">
        <v>26</v>
      </c>
      <c r="D96" s="10" t="s">
        <v>26</v>
      </c>
      <c r="E96" s="9" t="s">
        <v>26</v>
      </c>
      <c r="F96" s="10" t="s">
        <v>26</v>
      </c>
      <c r="G96" s="9">
        <v>2008694445.3599999</v>
      </c>
      <c r="H96" s="10">
        <v>1.1705316572399999E-2</v>
      </c>
      <c r="I96" s="9" t="s">
        <v>26</v>
      </c>
      <c r="J96" s="10" t="s">
        <v>26</v>
      </c>
      <c r="K96" s="2" t="s">
        <v>26</v>
      </c>
      <c r="L96" s="1" t="s">
        <v>26</v>
      </c>
      <c r="M96" s="1" t="s">
        <v>26</v>
      </c>
      <c r="N96" s="1" t="s">
        <v>26</v>
      </c>
      <c r="O96" s="9">
        <v>1307743779.53</v>
      </c>
      <c r="P96" s="10">
        <v>5.1824681263400001E-3</v>
      </c>
      <c r="Q96" s="1" t="s">
        <v>26</v>
      </c>
      <c r="R96" s="1" t="s">
        <v>26</v>
      </c>
      <c r="S96" s="9">
        <v>1307743779.53</v>
      </c>
      <c r="T96" s="10">
        <v>1.0557539006849999E-2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9">
        <v>1254649382.0799999</v>
      </c>
      <c r="AB96" s="10">
        <v>8.0666006571100003E-3</v>
      </c>
      <c r="AC96" s="1" t="s">
        <v>26</v>
      </c>
      <c r="AD96" s="1" t="s">
        <v>26</v>
      </c>
      <c r="AE96" s="9">
        <v>5878831386.5</v>
      </c>
      <c r="AF96" s="10">
        <v>8.1393682182000007E-3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9">
        <v>5878831386.5</v>
      </c>
      <c r="AZ96" s="10">
        <v>7.1918941359299998E-3</v>
      </c>
      <c r="BA96" s="1" t="s">
        <v>26</v>
      </c>
      <c r="BB96" s="1" t="s">
        <v>26</v>
      </c>
    </row>
    <row r="97" spans="1:54" s="7" customFormat="1">
      <c r="A97" s="3" t="s">
        <v>88</v>
      </c>
      <c r="B97" s="23" t="s">
        <v>47</v>
      </c>
      <c r="C97" s="9" t="s">
        <v>26</v>
      </c>
      <c r="D97" s="10" t="s">
        <v>26</v>
      </c>
      <c r="E97" s="9" t="s">
        <v>26</v>
      </c>
      <c r="F97" s="10" t="s">
        <v>26</v>
      </c>
      <c r="G97" s="2">
        <v>2008694445.3599999</v>
      </c>
      <c r="H97" s="1">
        <v>1</v>
      </c>
      <c r="I97" s="9" t="s">
        <v>26</v>
      </c>
      <c r="J97" s="10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>
        <v>1307743779.53</v>
      </c>
      <c r="P97" s="1">
        <v>1</v>
      </c>
      <c r="Q97" s="1" t="s">
        <v>26</v>
      </c>
      <c r="R97" s="1" t="s">
        <v>26</v>
      </c>
      <c r="S97" s="2">
        <v>1307743779.53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>
        <v>1254649382.0799999</v>
      </c>
      <c r="AB97" s="1">
        <v>1</v>
      </c>
      <c r="AC97" s="1" t="s">
        <v>26</v>
      </c>
      <c r="AD97" s="1" t="s">
        <v>26</v>
      </c>
      <c r="AE97" s="2">
        <v>5878831386.5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5878831386.5</v>
      </c>
      <c r="AZ97" s="1">
        <v>1</v>
      </c>
      <c r="BA97" s="1" t="s">
        <v>26</v>
      </c>
      <c r="BB97" s="1" t="s">
        <v>26</v>
      </c>
    </row>
    <row r="98" spans="1:54" s="28" customFormat="1">
      <c r="A98" s="5" t="s">
        <v>91</v>
      </c>
      <c r="B98" s="20" t="s">
        <v>25</v>
      </c>
      <c r="C98" s="9" t="s">
        <v>26</v>
      </c>
      <c r="D98" s="10" t="s">
        <v>26</v>
      </c>
      <c r="E98" s="9" t="s">
        <v>26</v>
      </c>
      <c r="F98" s="10" t="s">
        <v>26</v>
      </c>
      <c r="G98" s="9">
        <v>492931646.58999997</v>
      </c>
      <c r="H98" s="10">
        <v>2.87247320528E-3</v>
      </c>
      <c r="I98" s="9" t="s">
        <v>26</v>
      </c>
      <c r="J98" s="10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9">
        <v>4263002534.1999998</v>
      </c>
      <c r="P98" s="10">
        <v>1.6893886326819998E-2</v>
      </c>
      <c r="Q98" s="1" t="s">
        <v>26</v>
      </c>
      <c r="R98" s="1" t="s">
        <v>26</v>
      </c>
      <c r="S98" s="9">
        <v>960751911.78999996</v>
      </c>
      <c r="T98" s="10">
        <v>7.7562408962700002E-3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9">
        <v>1320665403.1199999</v>
      </c>
      <c r="AB98" s="10">
        <v>8.4910418486599994E-3</v>
      </c>
      <c r="AC98" s="1" t="s">
        <v>26</v>
      </c>
      <c r="AD98" s="1" t="s">
        <v>26</v>
      </c>
      <c r="AE98" s="9">
        <v>7037351495.6999998</v>
      </c>
      <c r="AF98" s="10">
        <v>9.7433641719899995E-3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9">
        <v>366946635.18000001</v>
      </c>
      <c r="AV98" s="10">
        <v>7.0935803042899998E-3</v>
      </c>
      <c r="AW98" s="1" t="s">
        <v>26</v>
      </c>
      <c r="AX98" s="1" t="s">
        <v>26</v>
      </c>
      <c r="AY98" s="9">
        <v>7404298130.8800001</v>
      </c>
      <c r="AZ98" s="10">
        <v>9.0580805618000002E-3</v>
      </c>
      <c r="BA98" s="1" t="s">
        <v>26</v>
      </c>
      <c r="BB98" s="1" t="s">
        <v>26</v>
      </c>
    </row>
    <row r="99" spans="1:54" s="28" customFormat="1">
      <c r="A99" s="3" t="s">
        <v>88</v>
      </c>
      <c r="B99" s="23" t="s">
        <v>47</v>
      </c>
      <c r="C99" s="9" t="s">
        <v>26</v>
      </c>
      <c r="D99" s="10" t="s">
        <v>26</v>
      </c>
      <c r="E99" s="9" t="s">
        <v>26</v>
      </c>
      <c r="F99" s="10" t="s">
        <v>26</v>
      </c>
      <c r="G99" s="2">
        <v>492931646.58999997</v>
      </c>
      <c r="H99" s="1">
        <v>1</v>
      </c>
      <c r="I99" s="9" t="s">
        <v>26</v>
      </c>
      <c r="J99" s="10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4263002534.1999998</v>
      </c>
      <c r="P99" s="1">
        <v>1</v>
      </c>
      <c r="Q99" s="1" t="s">
        <v>26</v>
      </c>
      <c r="R99" s="1" t="s">
        <v>26</v>
      </c>
      <c r="S99" s="2">
        <v>960751911.78999996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1320665403.1199999</v>
      </c>
      <c r="AB99" s="1">
        <v>1</v>
      </c>
      <c r="AC99" s="1" t="s">
        <v>26</v>
      </c>
      <c r="AD99" s="1" t="s">
        <v>26</v>
      </c>
      <c r="AE99" s="2">
        <v>7037351495.6999998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>
        <v>366946635.18000001</v>
      </c>
      <c r="AV99" s="1">
        <v>1</v>
      </c>
      <c r="AW99" s="1" t="s">
        <v>26</v>
      </c>
      <c r="AX99" s="1" t="s">
        <v>26</v>
      </c>
      <c r="AY99" s="2">
        <v>7404298130.8800001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92</v>
      </c>
      <c r="B100" s="20" t="s">
        <v>25</v>
      </c>
      <c r="C100" s="9" t="s">
        <v>26</v>
      </c>
      <c r="D100" s="10" t="s">
        <v>26</v>
      </c>
      <c r="E100" s="9" t="s">
        <v>26</v>
      </c>
      <c r="F100" s="10" t="s">
        <v>26</v>
      </c>
      <c r="G100" s="9" t="s">
        <v>26</v>
      </c>
      <c r="H100" s="10" t="s">
        <v>26</v>
      </c>
      <c r="I100" s="9" t="s">
        <v>26</v>
      </c>
      <c r="J100" s="10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9">
        <v>2411440979.4899998</v>
      </c>
      <c r="P100" s="10">
        <v>9.5563184550200003E-3</v>
      </c>
      <c r="Q100" s="1" t="s">
        <v>26</v>
      </c>
      <c r="R100" s="1" t="s">
        <v>26</v>
      </c>
      <c r="S100" s="2" t="s">
        <v>26</v>
      </c>
      <c r="T100" s="1" t="s">
        <v>26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2" t="s">
        <v>26</v>
      </c>
      <c r="AB100" s="1" t="s">
        <v>26</v>
      </c>
      <c r="AC100" s="1" t="s">
        <v>26</v>
      </c>
      <c r="AD100" s="1" t="s">
        <v>26</v>
      </c>
      <c r="AE100" s="9">
        <v>2411440979.4899998</v>
      </c>
      <c r="AF100" s="10">
        <v>3.3386917872200001E-3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9">
        <v>2411440979.4899998</v>
      </c>
      <c r="AZ100" s="10">
        <v>2.95004688846E-3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9" t="s">
        <v>26</v>
      </c>
      <c r="D101" s="10" t="s">
        <v>26</v>
      </c>
      <c r="E101" s="9" t="s">
        <v>26</v>
      </c>
      <c r="F101" s="10" t="s">
        <v>26</v>
      </c>
      <c r="G101" s="9" t="s">
        <v>26</v>
      </c>
      <c r="H101" s="10" t="s">
        <v>26</v>
      </c>
      <c r="I101" s="9" t="s">
        <v>26</v>
      </c>
      <c r="J101" s="10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2411440979.4899998</v>
      </c>
      <c r="P101" s="1">
        <v>1</v>
      </c>
      <c r="Q101" s="1" t="s">
        <v>26</v>
      </c>
      <c r="R101" s="1" t="s">
        <v>26</v>
      </c>
      <c r="S101" s="2" t="s">
        <v>26</v>
      </c>
      <c r="T101" s="1" t="s">
        <v>26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 t="s">
        <v>26</v>
      </c>
      <c r="AB101" s="1" t="s">
        <v>26</v>
      </c>
      <c r="AC101" s="1" t="s">
        <v>26</v>
      </c>
      <c r="AD101" s="1" t="s">
        <v>26</v>
      </c>
      <c r="AE101" s="2">
        <v>2411440979.4899998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" t="s">
        <v>26</v>
      </c>
      <c r="AX101" s="1" t="s">
        <v>26</v>
      </c>
      <c r="AY101" s="2">
        <v>2411440979.4899998</v>
      </c>
      <c r="AZ101" s="1">
        <v>1</v>
      </c>
      <c r="BA101" s="1" t="s">
        <v>26</v>
      </c>
      <c r="BB101" s="1" t="s">
        <v>26</v>
      </c>
    </row>
    <row r="102" spans="1:54" s="28" customFormat="1">
      <c r="A102" s="5" t="s">
        <v>93</v>
      </c>
      <c r="B102" s="20" t="s">
        <v>25</v>
      </c>
      <c r="C102" s="9" t="s">
        <v>26</v>
      </c>
      <c r="D102" s="10" t="s">
        <v>26</v>
      </c>
      <c r="E102" s="9" t="s">
        <v>26</v>
      </c>
      <c r="F102" s="10" t="s">
        <v>26</v>
      </c>
      <c r="G102" s="9" t="s">
        <v>26</v>
      </c>
      <c r="H102" s="10" t="s">
        <v>26</v>
      </c>
      <c r="I102" s="9" t="s">
        <v>26</v>
      </c>
      <c r="J102" s="10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9">
        <v>327729121.52999997</v>
      </c>
      <c r="P102" s="10">
        <v>1.29876031757E-3</v>
      </c>
      <c r="Q102" s="1" t="s">
        <v>26</v>
      </c>
      <c r="R102" s="1" t="s">
        <v>26</v>
      </c>
      <c r="S102" s="2" t="s">
        <v>26</v>
      </c>
      <c r="T102" s="1" t="s">
        <v>26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9">
        <v>327729121.52999997</v>
      </c>
      <c r="AB102" s="10">
        <v>2.1070906221699998E-3</v>
      </c>
      <c r="AC102" s="1" t="s">
        <v>26</v>
      </c>
      <c r="AD102" s="1" t="s">
        <v>26</v>
      </c>
      <c r="AE102" s="9">
        <v>655458243.05999994</v>
      </c>
      <c r="AF102" s="10">
        <v>9.0749600408000005E-4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 t="s">
        <v>26</v>
      </c>
      <c r="AV102" s="1" t="s">
        <v>26</v>
      </c>
      <c r="AW102" s="1" t="s">
        <v>26</v>
      </c>
      <c r="AX102" s="1" t="s">
        <v>26</v>
      </c>
      <c r="AY102" s="9">
        <v>655458243.05999994</v>
      </c>
      <c r="AZ102" s="10">
        <v>8.0185771367000005E-4</v>
      </c>
      <c r="BA102" s="1" t="s">
        <v>26</v>
      </c>
      <c r="BB102" s="1" t="s">
        <v>26</v>
      </c>
    </row>
    <row r="103" spans="1:54" s="7" customFormat="1">
      <c r="A103" s="3" t="s">
        <v>88</v>
      </c>
      <c r="B103" s="23" t="s">
        <v>47</v>
      </c>
      <c r="C103" s="9" t="s">
        <v>26</v>
      </c>
      <c r="D103" s="10" t="s">
        <v>26</v>
      </c>
      <c r="E103" s="9" t="s">
        <v>26</v>
      </c>
      <c r="F103" s="10" t="s">
        <v>26</v>
      </c>
      <c r="G103" s="9" t="s">
        <v>26</v>
      </c>
      <c r="H103" s="10" t="s">
        <v>26</v>
      </c>
      <c r="I103" s="9" t="s">
        <v>26</v>
      </c>
      <c r="J103" s="10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327729121.52999997</v>
      </c>
      <c r="P103" s="1">
        <v>1</v>
      </c>
      <c r="Q103" s="1" t="s">
        <v>26</v>
      </c>
      <c r="R103" s="1" t="s">
        <v>26</v>
      </c>
      <c r="S103" s="2" t="s">
        <v>26</v>
      </c>
      <c r="T103" s="1" t="s">
        <v>26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327729121.52999997</v>
      </c>
      <c r="AB103" s="1">
        <v>1</v>
      </c>
      <c r="AC103" s="1" t="s">
        <v>26</v>
      </c>
      <c r="AD103" s="1" t="s">
        <v>26</v>
      </c>
      <c r="AE103" s="2">
        <v>655458243.05999994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v>655458243.05999994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94</v>
      </c>
      <c r="B104" s="20" t="s">
        <v>25</v>
      </c>
      <c r="C104" s="9" t="s">
        <v>26</v>
      </c>
      <c r="D104" s="10" t="s">
        <v>26</v>
      </c>
      <c r="E104" s="9" t="s">
        <v>26</v>
      </c>
      <c r="F104" s="10" t="s">
        <v>26</v>
      </c>
      <c r="G104" s="9" t="s">
        <v>26</v>
      </c>
      <c r="H104" s="10" t="s">
        <v>26</v>
      </c>
      <c r="I104" s="9" t="s">
        <v>26</v>
      </c>
      <c r="J104" s="10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9">
        <v>6144911272.5699997</v>
      </c>
      <c r="P104" s="10">
        <v>2.4351717291839999E-2</v>
      </c>
      <c r="Q104" s="1" t="s">
        <v>26</v>
      </c>
      <c r="R104" s="1" t="s">
        <v>26</v>
      </c>
      <c r="S104" s="2" t="s">
        <v>26</v>
      </c>
      <c r="T104" s="1" t="s">
        <v>26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 t="s">
        <v>26</v>
      </c>
      <c r="AB104" s="1" t="s">
        <v>26</v>
      </c>
      <c r="AC104" s="1" t="s">
        <v>26</v>
      </c>
      <c r="AD104" s="1" t="s">
        <v>26</v>
      </c>
      <c r="AE104" s="9">
        <v>6144911272.5699997</v>
      </c>
      <c r="AF104" s="10">
        <v>8.50776153072E-3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9">
        <v>6144911272.5699997</v>
      </c>
      <c r="AZ104" s="10">
        <v>7.51740413044E-3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9" t="s">
        <v>26</v>
      </c>
      <c r="D105" s="10" t="s">
        <v>26</v>
      </c>
      <c r="E105" s="9" t="s">
        <v>26</v>
      </c>
      <c r="F105" s="10" t="s">
        <v>26</v>
      </c>
      <c r="G105" s="9" t="s">
        <v>26</v>
      </c>
      <c r="H105" s="10" t="s">
        <v>26</v>
      </c>
      <c r="I105" s="9" t="s">
        <v>26</v>
      </c>
      <c r="J105" s="10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6144911272.5699997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 t="s">
        <v>26</v>
      </c>
      <c r="AB105" s="1" t="s">
        <v>26</v>
      </c>
      <c r="AC105" s="1" t="s">
        <v>26</v>
      </c>
      <c r="AD105" s="1" t="s">
        <v>26</v>
      </c>
      <c r="AE105" s="2">
        <v>6144911272.5699997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6144911272.5699997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95</v>
      </c>
      <c r="B106" s="20" t="s">
        <v>25</v>
      </c>
      <c r="C106" s="9" t="s">
        <v>26</v>
      </c>
      <c r="D106" s="10" t="s">
        <v>26</v>
      </c>
      <c r="E106" s="9" t="s">
        <v>26</v>
      </c>
      <c r="F106" s="10" t="s">
        <v>26</v>
      </c>
      <c r="G106" s="9" t="s">
        <v>26</v>
      </c>
      <c r="H106" s="10" t="s">
        <v>26</v>
      </c>
      <c r="I106" s="9" t="s">
        <v>26</v>
      </c>
      <c r="J106" s="10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2" t="s">
        <v>26</v>
      </c>
      <c r="P106" s="1" t="s">
        <v>26</v>
      </c>
      <c r="Q106" s="1" t="s">
        <v>26</v>
      </c>
      <c r="R106" s="1" t="s">
        <v>26</v>
      </c>
      <c r="S106" s="9">
        <v>137985177.47</v>
      </c>
      <c r="T106" s="10">
        <v>1.1139673660199999E-3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 t="s">
        <v>26</v>
      </c>
      <c r="AB106" s="1" t="s">
        <v>26</v>
      </c>
      <c r="AC106" s="1" t="s">
        <v>26</v>
      </c>
      <c r="AD106" s="1" t="s">
        <v>26</v>
      </c>
      <c r="AE106" s="9">
        <v>137985177.47</v>
      </c>
      <c r="AF106" s="10">
        <v>1.9104343946E-4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9">
        <v>176762033.91</v>
      </c>
      <c r="AV106" s="10">
        <v>3.4170518600799998E-3</v>
      </c>
      <c r="AW106" s="1" t="s">
        <v>26</v>
      </c>
      <c r="AX106" s="1" t="s">
        <v>26</v>
      </c>
      <c r="AY106" s="9">
        <v>314747211.38</v>
      </c>
      <c r="AZ106" s="10">
        <v>3.8504738016999999E-4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9" t="s">
        <v>26</v>
      </c>
      <c r="D107" s="10" t="s">
        <v>26</v>
      </c>
      <c r="E107" s="9" t="s">
        <v>26</v>
      </c>
      <c r="F107" s="10" t="s">
        <v>26</v>
      </c>
      <c r="G107" s="9" t="s">
        <v>26</v>
      </c>
      <c r="H107" s="10" t="s">
        <v>26</v>
      </c>
      <c r="I107" s="9" t="s">
        <v>26</v>
      </c>
      <c r="J107" s="10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 t="s">
        <v>26</v>
      </c>
      <c r="P107" s="1" t="s">
        <v>26</v>
      </c>
      <c r="Q107" s="1" t="s">
        <v>26</v>
      </c>
      <c r="R107" s="1" t="s">
        <v>26</v>
      </c>
      <c r="S107" s="2">
        <v>137985177.47</v>
      </c>
      <c r="T107" s="1">
        <v>1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137985177.47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>
        <v>176762033.91</v>
      </c>
      <c r="AV107" s="1">
        <v>1</v>
      </c>
      <c r="AW107" s="1" t="s">
        <v>26</v>
      </c>
      <c r="AX107" s="1" t="s">
        <v>26</v>
      </c>
      <c r="AY107" s="2">
        <v>314747211.38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96</v>
      </c>
      <c r="B108" s="20" t="s">
        <v>25</v>
      </c>
      <c r="C108" s="9">
        <v>58341915.130000003</v>
      </c>
      <c r="D108" s="10">
        <v>7.5071019550200001E-3</v>
      </c>
      <c r="E108" s="9" t="s">
        <v>26</v>
      </c>
      <c r="F108" s="10" t="s">
        <v>26</v>
      </c>
      <c r="G108" s="9" t="s">
        <v>26</v>
      </c>
      <c r="H108" s="10" t="s">
        <v>26</v>
      </c>
      <c r="I108" s="9" t="s">
        <v>26</v>
      </c>
      <c r="J108" s="10" t="s">
        <v>26</v>
      </c>
      <c r="K108" s="9">
        <v>88872623.829999998</v>
      </c>
      <c r="L108" s="10">
        <v>2.2735342248419999E-2</v>
      </c>
      <c r="M108" s="1" t="s">
        <v>26</v>
      </c>
      <c r="N108" s="1" t="s">
        <v>26</v>
      </c>
      <c r="O108" s="2" t="s">
        <v>26</v>
      </c>
      <c r="P108" s="1" t="s">
        <v>26</v>
      </c>
      <c r="Q108" s="1" t="s">
        <v>26</v>
      </c>
      <c r="R108" s="1" t="s">
        <v>26</v>
      </c>
      <c r="S108" s="9">
        <v>285127076.63</v>
      </c>
      <c r="T108" s="10">
        <v>2.3018578108000001E-3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9">
        <v>432341615.58999997</v>
      </c>
      <c r="AF108" s="10">
        <v>5.9858624512000005E-4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9">
        <v>432341615.58999997</v>
      </c>
      <c r="AZ108" s="10">
        <v>5.2890700981999997E-4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2">
        <v>58341915.130000003</v>
      </c>
      <c r="D109" s="1">
        <v>1</v>
      </c>
      <c r="E109" s="9" t="s">
        <v>26</v>
      </c>
      <c r="F109" s="10" t="s">
        <v>26</v>
      </c>
      <c r="G109" s="9" t="s">
        <v>26</v>
      </c>
      <c r="H109" s="10" t="s">
        <v>26</v>
      </c>
      <c r="I109" s="9" t="s">
        <v>26</v>
      </c>
      <c r="J109" s="10" t="s">
        <v>26</v>
      </c>
      <c r="K109" s="2">
        <v>88872623.829999998</v>
      </c>
      <c r="L109" s="1">
        <v>1</v>
      </c>
      <c r="M109" s="1" t="s">
        <v>26</v>
      </c>
      <c r="N109" s="1" t="s">
        <v>26</v>
      </c>
      <c r="O109" s="2" t="s">
        <v>26</v>
      </c>
      <c r="P109" s="1" t="s">
        <v>26</v>
      </c>
      <c r="Q109" s="1" t="s">
        <v>26</v>
      </c>
      <c r="R109" s="1" t="s">
        <v>26</v>
      </c>
      <c r="S109" s="2">
        <v>285127076.63</v>
      </c>
      <c r="T109" s="1">
        <v>1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432341615.58999997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432341615.58999997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117</v>
      </c>
      <c r="B110" s="20" t="s">
        <v>25</v>
      </c>
      <c r="C110" s="9" t="s">
        <v>26</v>
      </c>
      <c r="D110" s="10" t="s">
        <v>26</v>
      </c>
      <c r="E110" s="9" t="s">
        <v>26</v>
      </c>
      <c r="F110" s="10" t="s">
        <v>26</v>
      </c>
      <c r="G110" s="9">
        <v>982195587.76999998</v>
      </c>
      <c r="H110" s="10">
        <v>5.72357349692E-3</v>
      </c>
      <c r="I110" s="9" t="s">
        <v>26</v>
      </c>
      <c r="J110" s="10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 t="s">
        <v>26</v>
      </c>
      <c r="P110" s="1" t="s">
        <v>26</v>
      </c>
      <c r="Q110" s="1" t="s">
        <v>26</v>
      </c>
      <c r="R110" s="1" t="s">
        <v>26</v>
      </c>
      <c r="S110" s="2" t="s">
        <v>26</v>
      </c>
      <c r="T110" s="1" t="s">
        <v>26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9">
        <v>982195587.76999998</v>
      </c>
      <c r="AF110" s="10">
        <v>1.3598708698299999E-3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 t="s">
        <v>26</v>
      </c>
      <c r="AV110" s="1" t="s">
        <v>26</v>
      </c>
      <c r="AW110" s="1" t="s">
        <v>26</v>
      </c>
      <c r="AX110" s="1" t="s">
        <v>26</v>
      </c>
      <c r="AY110" s="9">
        <v>982195587.76999998</v>
      </c>
      <c r="AZ110" s="10">
        <v>1.20157327598E-3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9" t="s">
        <v>26</v>
      </c>
      <c r="D111" s="10" t="s">
        <v>26</v>
      </c>
      <c r="E111" s="9" t="s">
        <v>26</v>
      </c>
      <c r="F111" s="10" t="s">
        <v>26</v>
      </c>
      <c r="G111" s="2">
        <v>982195587.76999998</v>
      </c>
      <c r="H111" s="1">
        <v>1</v>
      </c>
      <c r="I111" s="9" t="s">
        <v>26</v>
      </c>
      <c r="J111" s="10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982195587.76999998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982195587.76999998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97</v>
      </c>
      <c r="B112" s="20" t="s">
        <v>25</v>
      </c>
      <c r="C112" s="9" t="s">
        <v>26</v>
      </c>
      <c r="D112" s="10" t="s">
        <v>26</v>
      </c>
      <c r="E112" s="9" t="s">
        <v>26</v>
      </c>
      <c r="F112" s="10" t="s">
        <v>26</v>
      </c>
      <c r="G112" s="9">
        <v>728074676.88999999</v>
      </c>
      <c r="H112" s="10">
        <v>4.24272820639E-3</v>
      </c>
      <c r="I112" s="9" t="s">
        <v>26</v>
      </c>
      <c r="J112" s="10" t="s">
        <v>26</v>
      </c>
      <c r="K112" s="2" t="s">
        <v>26</v>
      </c>
      <c r="L112" s="1" t="s">
        <v>26</v>
      </c>
      <c r="M112" s="1" t="s">
        <v>26</v>
      </c>
      <c r="N112" s="1" t="s">
        <v>26</v>
      </c>
      <c r="O112" s="9">
        <v>2098462351.27</v>
      </c>
      <c r="P112" s="10">
        <v>8.3160129835900005E-3</v>
      </c>
      <c r="Q112" s="1" t="s">
        <v>26</v>
      </c>
      <c r="R112" s="1" t="s">
        <v>26</v>
      </c>
      <c r="S112" s="9">
        <v>110650558.39</v>
      </c>
      <c r="T112" s="10">
        <v>8.9329240530000001E-4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9">
        <v>2937187586.5500002</v>
      </c>
      <c r="AF112" s="10">
        <v>4.06659924756E-3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 t="s">
        <v>26</v>
      </c>
      <c r="AV112" s="1" t="s">
        <v>26</v>
      </c>
      <c r="AW112" s="1" t="s">
        <v>26</v>
      </c>
      <c r="AX112" s="1" t="s">
        <v>26</v>
      </c>
      <c r="AY112" s="9">
        <v>2937187586.5500002</v>
      </c>
      <c r="AZ112" s="10">
        <v>3.5932213038700001E-3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9" t="s">
        <v>26</v>
      </c>
      <c r="D113" s="10" t="s">
        <v>26</v>
      </c>
      <c r="E113" s="9" t="s">
        <v>26</v>
      </c>
      <c r="F113" s="10" t="s">
        <v>26</v>
      </c>
      <c r="G113" s="2">
        <v>728074676.88999999</v>
      </c>
      <c r="H113" s="1">
        <v>1</v>
      </c>
      <c r="I113" s="9" t="s">
        <v>26</v>
      </c>
      <c r="J113" s="10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>
        <v>2098462351.27</v>
      </c>
      <c r="P113" s="1">
        <v>1</v>
      </c>
      <c r="Q113" s="1" t="s">
        <v>26</v>
      </c>
      <c r="R113" s="1" t="s">
        <v>26</v>
      </c>
      <c r="S113" s="2">
        <v>110650558.39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2937187586.5500002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2937187586.5500002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98</v>
      </c>
      <c r="B114" s="20" t="s">
        <v>25</v>
      </c>
      <c r="C114" s="9" t="s">
        <v>26</v>
      </c>
      <c r="D114" s="10" t="s">
        <v>26</v>
      </c>
      <c r="E114" s="9" t="s">
        <v>26</v>
      </c>
      <c r="F114" s="10" t="s">
        <v>26</v>
      </c>
      <c r="G114" s="9">
        <v>1493889921.9100001</v>
      </c>
      <c r="H114" s="10">
        <v>8.7053829917599999E-3</v>
      </c>
      <c r="I114" s="9" t="s">
        <v>26</v>
      </c>
      <c r="J114" s="10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9">
        <v>3559302060.3699999</v>
      </c>
      <c r="P114" s="10">
        <v>1.410518617531E-2</v>
      </c>
      <c r="Q114" s="1" t="s">
        <v>26</v>
      </c>
      <c r="R114" s="1" t="s">
        <v>26</v>
      </c>
      <c r="S114" s="9">
        <v>996604576.89999998</v>
      </c>
      <c r="T114" s="10">
        <v>8.0456828468399993E-3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9">
        <v>6049796559.1800003</v>
      </c>
      <c r="AF114" s="10">
        <v>8.3760731687999995E-3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9">
        <v>996604576.89999998</v>
      </c>
      <c r="AV114" s="10">
        <v>1.9265729455170001E-2</v>
      </c>
      <c r="AW114" s="1" t="s">
        <v>26</v>
      </c>
      <c r="AX114" s="1" t="s">
        <v>26</v>
      </c>
      <c r="AY114" s="9">
        <v>7046401136.0799999</v>
      </c>
      <c r="AZ114" s="10">
        <v>8.6202457050199993E-3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40</v>
      </c>
      <c r="C115" s="9" t="s">
        <v>26</v>
      </c>
      <c r="D115" s="10" t="s">
        <v>26</v>
      </c>
      <c r="E115" s="9" t="s">
        <v>26</v>
      </c>
      <c r="F115" s="10" t="s">
        <v>26</v>
      </c>
      <c r="G115" s="2">
        <v>1493889921.9100001</v>
      </c>
      <c r="H115" s="1">
        <v>1</v>
      </c>
      <c r="I115" s="9" t="s">
        <v>26</v>
      </c>
      <c r="J115" s="10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3559302060.3699999</v>
      </c>
      <c r="P115" s="1">
        <v>1</v>
      </c>
      <c r="Q115" s="1" t="s">
        <v>26</v>
      </c>
      <c r="R115" s="1" t="s">
        <v>26</v>
      </c>
      <c r="S115" s="2">
        <v>996604576.89999998</v>
      </c>
      <c r="T115" s="1">
        <v>1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6049796559.1800003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>
        <v>996604576.89999998</v>
      </c>
      <c r="AV115" s="1">
        <v>1</v>
      </c>
      <c r="AW115" s="1" t="s">
        <v>26</v>
      </c>
      <c r="AX115" s="1" t="s">
        <v>26</v>
      </c>
      <c r="AY115" s="2">
        <v>7046401136.0799999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99</v>
      </c>
      <c r="B116" s="20" t="s">
        <v>25</v>
      </c>
      <c r="C116" s="9" t="s">
        <v>26</v>
      </c>
      <c r="D116" s="10" t="s">
        <v>26</v>
      </c>
      <c r="E116" s="9" t="s">
        <v>26</v>
      </c>
      <c r="F116" s="10" t="s">
        <v>26</v>
      </c>
      <c r="G116" s="9">
        <v>569726827.5</v>
      </c>
      <c r="H116" s="10">
        <v>3.3199837292700002E-3</v>
      </c>
      <c r="I116" s="9" t="s">
        <v>26</v>
      </c>
      <c r="J116" s="10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9">
        <v>789971824.48000002</v>
      </c>
      <c r="P116" s="10">
        <v>3.1305855666499999E-3</v>
      </c>
      <c r="Q116" s="1" t="s">
        <v>26</v>
      </c>
      <c r="R116" s="1" t="s">
        <v>26</v>
      </c>
      <c r="S116" s="9">
        <v>263441685.03999999</v>
      </c>
      <c r="T116" s="10">
        <v>2.1267895969999998E-3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9">
        <v>854590241.25</v>
      </c>
      <c r="AB116" s="10">
        <v>5.4944738347600004E-3</v>
      </c>
      <c r="AC116" s="1" t="s">
        <v>26</v>
      </c>
      <c r="AD116" s="1" t="s">
        <v>26</v>
      </c>
      <c r="AE116" s="9">
        <v>2477730578.27</v>
      </c>
      <c r="AF116" s="10">
        <v>3.43047115934E-3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9">
        <v>2477730578.27</v>
      </c>
      <c r="AZ116" s="10">
        <v>3.0311425595899999E-3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9" t="s">
        <v>26</v>
      </c>
      <c r="D117" s="10" t="s">
        <v>26</v>
      </c>
      <c r="E117" s="9" t="s">
        <v>26</v>
      </c>
      <c r="F117" s="10" t="s">
        <v>26</v>
      </c>
      <c r="G117" s="2">
        <v>569726827.5</v>
      </c>
      <c r="H117" s="1">
        <v>1</v>
      </c>
      <c r="I117" s="9" t="s">
        <v>26</v>
      </c>
      <c r="J117" s="10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789971824.48000002</v>
      </c>
      <c r="P117" s="1">
        <v>1</v>
      </c>
      <c r="Q117" s="1" t="s">
        <v>26</v>
      </c>
      <c r="R117" s="1" t="s">
        <v>26</v>
      </c>
      <c r="S117" s="2">
        <v>263441685.03999999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>
        <v>854590241.25</v>
      </c>
      <c r="AB117" s="1">
        <v>1</v>
      </c>
      <c r="AC117" s="1" t="s">
        <v>26</v>
      </c>
      <c r="AD117" s="1" t="s">
        <v>26</v>
      </c>
      <c r="AE117" s="2">
        <v>2477730578.27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2477730578.27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100</v>
      </c>
      <c r="B118" s="20" t="s">
        <v>25</v>
      </c>
      <c r="C118" s="9" t="s">
        <v>26</v>
      </c>
      <c r="D118" s="10" t="s">
        <v>26</v>
      </c>
      <c r="E118" s="9" t="s">
        <v>26</v>
      </c>
      <c r="F118" s="10" t="s">
        <v>26</v>
      </c>
      <c r="G118" s="9" t="s">
        <v>26</v>
      </c>
      <c r="H118" s="10" t="s">
        <v>26</v>
      </c>
      <c r="I118" s="9" t="s">
        <v>26</v>
      </c>
      <c r="J118" s="10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9">
        <v>387496481.91000003</v>
      </c>
      <c r="P118" s="10">
        <v>1.5356128608700001E-3</v>
      </c>
      <c r="Q118" s="1" t="s">
        <v>26</v>
      </c>
      <c r="R118" s="1" t="s">
        <v>26</v>
      </c>
      <c r="S118" s="2" t="s">
        <v>26</v>
      </c>
      <c r="T118" s="1" t="s">
        <v>26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" t="s">
        <v>26</v>
      </c>
      <c r="AD118" s="1" t="s">
        <v>26</v>
      </c>
      <c r="AE118" s="9">
        <v>387496481.91000003</v>
      </c>
      <c r="AF118" s="10">
        <v>5.3649719512999998E-4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2" t="s">
        <v>26</v>
      </c>
      <c r="AV118" s="1" t="s">
        <v>26</v>
      </c>
      <c r="AW118" s="1" t="s">
        <v>26</v>
      </c>
      <c r="AX118" s="1" t="s">
        <v>26</v>
      </c>
      <c r="AY118" s="9">
        <v>387496481.91000003</v>
      </c>
      <c r="AZ118" s="10">
        <v>4.7404551903999998E-4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57</v>
      </c>
      <c r="C119" s="9" t="s">
        <v>26</v>
      </c>
      <c r="D119" s="10" t="s">
        <v>26</v>
      </c>
      <c r="E119" s="9" t="s">
        <v>26</v>
      </c>
      <c r="F119" s="10" t="s">
        <v>26</v>
      </c>
      <c r="G119" s="9" t="s">
        <v>26</v>
      </c>
      <c r="H119" s="10" t="s">
        <v>26</v>
      </c>
      <c r="I119" s="9" t="s">
        <v>26</v>
      </c>
      <c r="J119" s="10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387496481.91000003</v>
      </c>
      <c r="P119" s="1">
        <v>1</v>
      </c>
      <c r="Q119" s="1" t="s">
        <v>26</v>
      </c>
      <c r="R119" s="1" t="s">
        <v>26</v>
      </c>
      <c r="S119" s="2" t="s">
        <v>26</v>
      </c>
      <c r="T119" s="1" t="s">
        <v>26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387496481.91000003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" t="s">
        <v>26</v>
      </c>
      <c r="AX119" s="1" t="s">
        <v>26</v>
      </c>
      <c r="AY119" s="2">
        <v>387496481.91000003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101</v>
      </c>
      <c r="B120" s="20" t="s">
        <v>25</v>
      </c>
      <c r="C120" s="9" t="s">
        <v>26</v>
      </c>
      <c r="D120" s="10" t="s">
        <v>26</v>
      </c>
      <c r="E120" s="9" t="s">
        <v>26</v>
      </c>
      <c r="F120" s="10" t="s">
        <v>26</v>
      </c>
      <c r="G120" s="9" t="s">
        <v>26</v>
      </c>
      <c r="H120" s="10" t="s">
        <v>26</v>
      </c>
      <c r="I120" s="9" t="s">
        <v>26</v>
      </c>
      <c r="J120" s="10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9">
        <v>33133649.219999999</v>
      </c>
      <c r="P120" s="10">
        <v>1.3130559951999999E-4</v>
      </c>
      <c r="Q120" s="1" t="s">
        <v>26</v>
      </c>
      <c r="R120" s="1" t="s">
        <v>26</v>
      </c>
      <c r="S120" s="2" t="s">
        <v>26</v>
      </c>
      <c r="T120" s="1" t="s">
        <v>26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2" t="s">
        <v>26</v>
      </c>
      <c r="AB120" s="1" t="s">
        <v>26</v>
      </c>
      <c r="AC120" s="1" t="s">
        <v>26</v>
      </c>
      <c r="AD120" s="1" t="s">
        <v>26</v>
      </c>
      <c r="AE120" s="9">
        <v>33133649.219999999</v>
      </c>
      <c r="AF120" s="10">
        <v>4.5874248419999999E-5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9">
        <v>33133649.219999999</v>
      </c>
      <c r="AZ120" s="10">
        <v>4.0534194949999999E-5</v>
      </c>
      <c r="BA120" s="1" t="s">
        <v>26</v>
      </c>
      <c r="BB120" s="1" t="s">
        <v>26</v>
      </c>
    </row>
    <row r="121" spans="1:54" s="28" customFormat="1">
      <c r="A121" s="3" t="s">
        <v>88</v>
      </c>
      <c r="B121" s="23" t="s">
        <v>57</v>
      </c>
      <c r="C121" s="9" t="s">
        <v>26</v>
      </c>
      <c r="D121" s="10" t="s">
        <v>26</v>
      </c>
      <c r="E121" s="9" t="s">
        <v>26</v>
      </c>
      <c r="F121" s="10" t="s">
        <v>26</v>
      </c>
      <c r="G121" s="9" t="s">
        <v>26</v>
      </c>
      <c r="H121" s="10" t="s">
        <v>26</v>
      </c>
      <c r="I121" s="9" t="s">
        <v>26</v>
      </c>
      <c r="J121" s="10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33133649.219999999</v>
      </c>
      <c r="P121" s="1">
        <v>1</v>
      </c>
      <c r="Q121" s="1" t="s">
        <v>26</v>
      </c>
      <c r="R121" s="1" t="s">
        <v>26</v>
      </c>
      <c r="S121" s="2" t="s">
        <v>26</v>
      </c>
      <c r="T121" s="1" t="s">
        <v>26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33133649.219999999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33133649.219999999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102</v>
      </c>
      <c r="B122" s="20" t="s">
        <v>25</v>
      </c>
      <c r="C122" s="9" t="s">
        <v>26</v>
      </c>
      <c r="D122" s="10" t="s">
        <v>26</v>
      </c>
      <c r="E122" s="9" t="s">
        <v>26</v>
      </c>
      <c r="F122" s="10" t="s">
        <v>26</v>
      </c>
      <c r="G122" s="9" t="s">
        <v>26</v>
      </c>
      <c r="H122" s="10" t="s">
        <v>26</v>
      </c>
      <c r="I122" s="9" t="s">
        <v>26</v>
      </c>
      <c r="J122" s="10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9">
        <v>1831325561.72</v>
      </c>
      <c r="P122" s="10">
        <v>7.2573744957700002E-3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9">
        <v>1831325561.72</v>
      </c>
      <c r="AF122" s="10">
        <v>2.5355095416500001E-3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9">
        <v>1831325561.72</v>
      </c>
      <c r="AZ122" s="10">
        <v>2.24036015024E-3</v>
      </c>
      <c r="BA122" s="1" t="s">
        <v>26</v>
      </c>
      <c r="BB122" s="1" t="s">
        <v>26</v>
      </c>
    </row>
    <row r="123" spans="1:54" s="7" customFormat="1">
      <c r="A123" s="3" t="s">
        <v>88</v>
      </c>
      <c r="B123" s="23" t="s">
        <v>47</v>
      </c>
      <c r="C123" s="9" t="s">
        <v>26</v>
      </c>
      <c r="D123" s="10" t="s">
        <v>26</v>
      </c>
      <c r="E123" s="9" t="s">
        <v>26</v>
      </c>
      <c r="F123" s="10" t="s">
        <v>26</v>
      </c>
      <c r="G123" s="9" t="s">
        <v>26</v>
      </c>
      <c r="H123" s="10" t="s">
        <v>26</v>
      </c>
      <c r="I123" s="9" t="s">
        <v>26</v>
      </c>
      <c r="J123" s="10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1831325561.72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1831325561.72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1831325561.72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103</v>
      </c>
      <c r="B124" s="20" t="s">
        <v>25</v>
      </c>
      <c r="C124" s="9" t="s">
        <v>26</v>
      </c>
      <c r="D124" s="10" t="s">
        <v>26</v>
      </c>
      <c r="E124" s="9" t="s">
        <v>26</v>
      </c>
      <c r="F124" s="10" t="s">
        <v>26</v>
      </c>
      <c r="G124" s="9" t="s">
        <v>26</v>
      </c>
      <c r="H124" s="10" t="s">
        <v>26</v>
      </c>
      <c r="I124" s="9" t="s">
        <v>26</v>
      </c>
      <c r="J124" s="10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9">
        <v>649350421.5</v>
      </c>
      <c r="P124" s="10">
        <v>2.5733159009599998E-3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9">
        <v>649350421.5</v>
      </c>
      <c r="AF124" s="10">
        <v>8.9903959404999997E-4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9">
        <v>649350421.5</v>
      </c>
      <c r="AZ124" s="10">
        <v>7.9438568339999999E-4</v>
      </c>
      <c r="BA124" s="1" t="s">
        <v>26</v>
      </c>
      <c r="BB124" s="1" t="s">
        <v>26</v>
      </c>
    </row>
    <row r="125" spans="1:54" s="7" customFormat="1">
      <c r="A125" s="3" t="s">
        <v>88</v>
      </c>
      <c r="B125" s="23" t="s">
        <v>120</v>
      </c>
      <c r="C125" s="9" t="s">
        <v>26</v>
      </c>
      <c r="D125" s="10" t="s">
        <v>26</v>
      </c>
      <c r="E125" s="9" t="s">
        <v>26</v>
      </c>
      <c r="F125" s="10" t="s">
        <v>26</v>
      </c>
      <c r="G125" s="9" t="s">
        <v>26</v>
      </c>
      <c r="H125" s="10" t="s">
        <v>26</v>
      </c>
      <c r="I125" s="9" t="s">
        <v>26</v>
      </c>
      <c r="J125" s="10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649350421.5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649350421.5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649350421.5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121</v>
      </c>
      <c r="B126" s="20" t="s">
        <v>25</v>
      </c>
      <c r="C126" s="9">
        <v>58966913.549999997</v>
      </c>
      <c r="D126" s="10">
        <v>7.5875231556299999E-3</v>
      </c>
      <c r="E126" s="9" t="s">
        <v>26</v>
      </c>
      <c r="F126" s="10" t="s">
        <v>26</v>
      </c>
      <c r="G126" s="9" t="s">
        <v>26</v>
      </c>
      <c r="H126" s="10" t="s">
        <v>26</v>
      </c>
      <c r="I126" s="9" t="s">
        <v>26</v>
      </c>
      <c r="J126" s="10" t="s">
        <v>26</v>
      </c>
      <c r="K126" s="9">
        <v>37242261.189999998</v>
      </c>
      <c r="L126" s="10">
        <v>9.5272933077699996E-3</v>
      </c>
      <c r="M126" s="1" t="s">
        <v>26</v>
      </c>
      <c r="N126" s="1" t="s">
        <v>26</v>
      </c>
      <c r="O126" s="2" t="s">
        <v>26</v>
      </c>
      <c r="P126" s="1" t="s">
        <v>26</v>
      </c>
      <c r="Q126" s="1" t="s">
        <v>26</v>
      </c>
      <c r="R126" s="1" t="s">
        <v>26</v>
      </c>
      <c r="S126" s="2" t="s">
        <v>26</v>
      </c>
      <c r="T126" s="1" t="s">
        <v>26</v>
      </c>
      <c r="U126" s="1" t="s">
        <v>26</v>
      </c>
      <c r="V126" s="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9">
        <v>96209174.739999995</v>
      </c>
      <c r="AF126" s="10">
        <v>1.3320366713999999E-4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9">
        <v>96209174.739999995</v>
      </c>
      <c r="AZ126" s="10">
        <v>1.1769791548E-4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47</v>
      </c>
      <c r="C127" s="2">
        <v>58966913.549999997</v>
      </c>
      <c r="D127" s="1">
        <v>1</v>
      </c>
      <c r="E127" s="9" t="s">
        <v>26</v>
      </c>
      <c r="F127" s="10" t="s">
        <v>26</v>
      </c>
      <c r="G127" s="9" t="s">
        <v>26</v>
      </c>
      <c r="H127" s="10" t="s">
        <v>26</v>
      </c>
      <c r="I127" s="9" t="s">
        <v>26</v>
      </c>
      <c r="J127" s="10" t="s">
        <v>26</v>
      </c>
      <c r="K127" s="2">
        <v>37242261.189999998</v>
      </c>
      <c r="L127" s="1">
        <v>1</v>
      </c>
      <c r="M127" s="1" t="s">
        <v>26</v>
      </c>
      <c r="N127" s="1" t="s">
        <v>26</v>
      </c>
      <c r="O127" s="2" t="s">
        <v>26</v>
      </c>
      <c r="P127" s="1" t="s">
        <v>26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96209174.739999995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96209174.739999995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126</v>
      </c>
      <c r="B128" s="20" t="s">
        <v>25</v>
      </c>
      <c r="C128" s="9" t="s">
        <v>26</v>
      </c>
      <c r="D128" s="10" t="s">
        <v>26</v>
      </c>
      <c r="E128" s="9" t="s">
        <v>26</v>
      </c>
      <c r="F128" s="10" t="s">
        <v>26</v>
      </c>
      <c r="G128" s="9" t="s">
        <v>26</v>
      </c>
      <c r="H128" s="10" t="s">
        <v>26</v>
      </c>
      <c r="I128" s="9" t="s">
        <v>26</v>
      </c>
      <c r="J128" s="10" t="s">
        <v>26</v>
      </c>
      <c r="K128" s="9">
        <v>72233916.040000007</v>
      </c>
      <c r="L128" s="10">
        <v>1.8478837828109999E-2</v>
      </c>
      <c r="M128" s="1" t="s">
        <v>26</v>
      </c>
      <c r="N128" s="1" t="s">
        <v>26</v>
      </c>
      <c r="O128" s="2" t="s">
        <v>26</v>
      </c>
      <c r="P128" s="1" t="s">
        <v>26</v>
      </c>
      <c r="Q128" s="1" t="s">
        <v>26</v>
      </c>
      <c r="R128" s="1" t="s">
        <v>26</v>
      </c>
      <c r="S128" s="2" t="s">
        <v>26</v>
      </c>
      <c r="T128" s="1" t="s">
        <v>26</v>
      </c>
      <c r="U128" s="1" t="s">
        <v>26</v>
      </c>
      <c r="V128" s="1" t="s">
        <v>26</v>
      </c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" t="s">
        <v>26</v>
      </c>
      <c r="AD128" s="1" t="s">
        <v>26</v>
      </c>
      <c r="AE128" s="9">
        <v>72233916.040000007</v>
      </c>
      <c r="AF128" s="10">
        <v>1.0000940694000001E-4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9">
        <v>72233916.040000007</v>
      </c>
      <c r="AZ128" s="10">
        <v>8.8367677689999999E-5</v>
      </c>
      <c r="BA128" s="1" t="s">
        <v>26</v>
      </c>
      <c r="BB128" s="1" t="s">
        <v>26</v>
      </c>
    </row>
    <row r="129" spans="1:54" s="25" customFormat="1">
      <c r="A129" s="3" t="s">
        <v>88</v>
      </c>
      <c r="B129" s="23" t="s">
        <v>47</v>
      </c>
      <c r="C129" s="9" t="s">
        <v>26</v>
      </c>
      <c r="D129" s="10" t="s">
        <v>26</v>
      </c>
      <c r="E129" s="9" t="s">
        <v>26</v>
      </c>
      <c r="F129" s="10" t="s">
        <v>26</v>
      </c>
      <c r="G129" s="9" t="s">
        <v>26</v>
      </c>
      <c r="H129" s="10" t="s">
        <v>26</v>
      </c>
      <c r="I129" s="9" t="s">
        <v>26</v>
      </c>
      <c r="J129" s="10" t="s">
        <v>26</v>
      </c>
      <c r="K129" s="2">
        <v>72233916.040000007</v>
      </c>
      <c r="L129" s="1">
        <v>1</v>
      </c>
      <c r="M129" s="1" t="s">
        <v>26</v>
      </c>
      <c r="N129" s="1" t="s">
        <v>26</v>
      </c>
      <c r="O129" s="2" t="s">
        <v>26</v>
      </c>
      <c r="P129" s="1" t="s">
        <v>26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72233916.040000007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72233916.040000007</v>
      </c>
      <c r="AZ129" s="1">
        <v>1</v>
      </c>
      <c r="BA129" s="1" t="s">
        <v>26</v>
      </c>
      <c r="BB129" s="1" t="s">
        <v>26</v>
      </c>
    </row>
    <row r="130" spans="1:54" s="7" customFormat="1">
      <c r="A130" s="12" t="s">
        <v>106</v>
      </c>
      <c r="B130" s="40" t="s">
        <v>25</v>
      </c>
      <c r="C130" s="42" t="s">
        <v>26</v>
      </c>
      <c r="D130" s="43" t="s">
        <v>26</v>
      </c>
      <c r="E130" s="43" t="s">
        <v>26</v>
      </c>
      <c r="F130" s="43" t="s">
        <v>26</v>
      </c>
      <c r="G130" s="42">
        <v>140166273.69</v>
      </c>
      <c r="H130" s="43">
        <v>8.1679451550999995E-4</v>
      </c>
      <c r="I130" s="43">
        <v>0.05</v>
      </c>
      <c r="J130" s="43">
        <f>+I130-H130</f>
        <v>4.9183205484490004E-2</v>
      </c>
      <c r="K130" s="42" t="s">
        <v>26</v>
      </c>
      <c r="L130" s="43" t="s">
        <v>26</v>
      </c>
      <c r="M130" s="43" t="s">
        <v>26</v>
      </c>
      <c r="N130" s="43" t="s">
        <v>26</v>
      </c>
      <c r="O130" s="42" t="s">
        <v>26</v>
      </c>
      <c r="P130" s="43" t="s">
        <v>26</v>
      </c>
      <c r="Q130" s="43" t="s">
        <v>26</v>
      </c>
      <c r="R130" s="43" t="s">
        <v>26</v>
      </c>
      <c r="S130" s="42">
        <v>140166273.69</v>
      </c>
      <c r="T130" s="43">
        <v>1.1315755617399999E-3</v>
      </c>
      <c r="U130" s="43">
        <v>0.05</v>
      </c>
      <c r="V130" s="43">
        <f>+U130-T130</f>
        <v>4.8868424438260005E-2</v>
      </c>
      <c r="W130" s="42" t="s">
        <v>26</v>
      </c>
      <c r="X130" s="43" t="s">
        <v>26</v>
      </c>
      <c r="Y130" s="43" t="s">
        <v>26</v>
      </c>
      <c r="Z130" s="43" t="s">
        <v>26</v>
      </c>
      <c r="AA130" s="42">
        <v>140166272.69</v>
      </c>
      <c r="AB130" s="43">
        <v>9.0118033255999995E-4</v>
      </c>
      <c r="AC130" s="43">
        <v>0.05</v>
      </c>
      <c r="AD130" s="47">
        <f>+AC130-AB130</f>
        <v>4.9098819667440001E-2</v>
      </c>
      <c r="AE130" s="42">
        <v>420498820.06999999</v>
      </c>
      <c r="AF130" s="43">
        <v>5.8218964057000003E-4</v>
      </c>
      <c r="AG130" s="43">
        <v>0.05</v>
      </c>
      <c r="AH130" s="43">
        <f>+AG130-AF130</f>
        <v>4.9417810359430006E-2</v>
      </c>
      <c r="AI130" s="42" t="s">
        <v>26</v>
      </c>
      <c r="AJ130" s="43" t="s">
        <v>26</v>
      </c>
      <c r="AK130" s="43" t="s">
        <v>26</v>
      </c>
      <c r="AL130" s="43" t="s">
        <v>26</v>
      </c>
      <c r="AM130" s="42" t="s">
        <v>26</v>
      </c>
      <c r="AN130" s="43" t="s">
        <v>26</v>
      </c>
      <c r="AO130" s="43" t="s">
        <v>26</v>
      </c>
      <c r="AP130" s="43" t="s">
        <v>26</v>
      </c>
      <c r="AQ130" s="42" t="s">
        <v>26</v>
      </c>
      <c r="AR130" s="43" t="s">
        <v>26</v>
      </c>
      <c r="AS130" s="43" t="s">
        <v>26</v>
      </c>
      <c r="AT130" s="43" t="s">
        <v>26</v>
      </c>
      <c r="AU130" s="42" t="s">
        <v>26</v>
      </c>
      <c r="AV130" s="43" t="s">
        <v>26</v>
      </c>
      <c r="AW130" s="43" t="s">
        <v>26</v>
      </c>
      <c r="AX130" s="43" t="s">
        <v>26</v>
      </c>
      <c r="AY130" s="42">
        <v>420498820.06999999</v>
      </c>
      <c r="AZ130" s="43">
        <v>5.1441907403000002E-4</v>
      </c>
      <c r="BA130" s="43">
        <v>0.05</v>
      </c>
      <c r="BB130" s="43">
        <f>+BA130-AZ130</f>
        <v>4.9485580925970003E-2</v>
      </c>
    </row>
    <row r="131" spans="1:54" s="7" customFormat="1">
      <c r="A131" s="5" t="s">
        <v>107</v>
      </c>
      <c r="B131" s="20" t="s">
        <v>25</v>
      </c>
      <c r="C131" s="9" t="s">
        <v>26</v>
      </c>
      <c r="D131" s="10" t="s">
        <v>26</v>
      </c>
      <c r="E131" s="10" t="s">
        <v>26</v>
      </c>
      <c r="F131" s="10" t="s">
        <v>26</v>
      </c>
      <c r="G131" s="9">
        <v>140166273.69</v>
      </c>
      <c r="H131" s="10">
        <v>8.1679451550999995E-4</v>
      </c>
      <c r="I131" s="9" t="s">
        <v>26</v>
      </c>
      <c r="J131" s="10" t="s">
        <v>26</v>
      </c>
      <c r="K131" s="2" t="s">
        <v>26</v>
      </c>
      <c r="L131" s="1" t="s">
        <v>26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9">
        <v>140166273.69</v>
      </c>
      <c r="T131" s="10">
        <v>1.1315755617399999E-3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9">
        <v>140166272.69</v>
      </c>
      <c r="AB131" s="10">
        <v>9.0118033255999995E-4</v>
      </c>
      <c r="AC131" s="1" t="s">
        <v>26</v>
      </c>
      <c r="AD131" s="1" t="s">
        <v>26</v>
      </c>
      <c r="AE131" s="9">
        <v>420498820.06999999</v>
      </c>
      <c r="AF131" s="10">
        <v>5.8218964057000003E-4</v>
      </c>
      <c r="AG131" s="10" t="s">
        <v>26</v>
      </c>
      <c r="AH131" s="10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9">
        <v>420498820.06999999</v>
      </c>
      <c r="AZ131" s="10">
        <v>5.1441907403000002E-4</v>
      </c>
      <c r="BA131" s="1" t="s">
        <v>26</v>
      </c>
      <c r="BB131" s="1" t="s">
        <v>26</v>
      </c>
    </row>
    <row r="132" spans="1:54" s="25" customFormat="1">
      <c r="A132" s="3" t="s">
        <v>108</v>
      </c>
      <c r="B132" s="23" t="s">
        <v>40</v>
      </c>
      <c r="C132" s="2" t="s">
        <v>26</v>
      </c>
      <c r="D132" s="1" t="s">
        <v>26</v>
      </c>
      <c r="E132" s="1" t="s">
        <v>26</v>
      </c>
      <c r="F132" s="1" t="s">
        <v>26</v>
      </c>
      <c r="G132" s="2">
        <v>140166273.69</v>
      </c>
      <c r="H132" s="1">
        <v>1</v>
      </c>
      <c r="I132" s="9" t="s">
        <v>26</v>
      </c>
      <c r="J132" s="10" t="s">
        <v>26</v>
      </c>
      <c r="K132" s="2" t="s">
        <v>26</v>
      </c>
      <c r="L132" s="1" t="s">
        <v>26</v>
      </c>
      <c r="M132" s="1" t="s">
        <v>26</v>
      </c>
      <c r="N132" s="1" t="s">
        <v>26</v>
      </c>
      <c r="O132" s="2" t="s">
        <v>26</v>
      </c>
      <c r="P132" s="1" t="s">
        <v>26</v>
      </c>
      <c r="Q132" s="1" t="s">
        <v>26</v>
      </c>
      <c r="R132" s="1" t="s">
        <v>26</v>
      </c>
      <c r="S132" s="2">
        <v>140166273.69</v>
      </c>
      <c r="T132" s="1">
        <v>1</v>
      </c>
      <c r="U132" s="1" t="s">
        <v>26</v>
      </c>
      <c r="V132" s="1" t="s">
        <v>26</v>
      </c>
      <c r="W132" s="2" t="s">
        <v>26</v>
      </c>
      <c r="X132" s="1" t="s">
        <v>26</v>
      </c>
      <c r="Y132" s="1" t="s">
        <v>26</v>
      </c>
      <c r="Z132" s="1" t="s">
        <v>26</v>
      </c>
      <c r="AA132" s="2">
        <v>140166272.69</v>
      </c>
      <c r="AB132" s="1">
        <v>1</v>
      </c>
      <c r="AC132" s="1" t="s">
        <v>26</v>
      </c>
      <c r="AD132" s="1" t="s">
        <v>26</v>
      </c>
      <c r="AE132" s="2">
        <v>420498820.06999999</v>
      </c>
      <c r="AF132" s="1">
        <v>1</v>
      </c>
      <c r="AG132" s="1" t="s">
        <v>26</v>
      </c>
      <c r="AH132" s="1" t="s">
        <v>26</v>
      </c>
      <c r="AI132" s="2" t="s">
        <v>26</v>
      </c>
      <c r="AJ132" s="1" t="s">
        <v>26</v>
      </c>
      <c r="AK132" s="1" t="s">
        <v>26</v>
      </c>
      <c r="AL132" s="1" t="s">
        <v>26</v>
      </c>
      <c r="AM132" s="2" t="s">
        <v>26</v>
      </c>
      <c r="AN132" s="1" t="s">
        <v>26</v>
      </c>
      <c r="AO132" s="1" t="s">
        <v>26</v>
      </c>
      <c r="AP132" s="1" t="s">
        <v>26</v>
      </c>
      <c r="AQ132" s="2" t="s">
        <v>26</v>
      </c>
      <c r="AR132" s="1" t="s">
        <v>26</v>
      </c>
      <c r="AS132" s="1" t="s">
        <v>26</v>
      </c>
      <c r="AT132" s="1" t="s">
        <v>26</v>
      </c>
      <c r="AU132" s="2" t="s">
        <v>26</v>
      </c>
      <c r="AV132" s="1" t="s">
        <v>26</v>
      </c>
      <c r="AW132" s="1" t="s">
        <v>26</v>
      </c>
      <c r="AX132" s="1" t="s">
        <v>26</v>
      </c>
      <c r="AY132" s="2">
        <v>420498820.06999999</v>
      </c>
      <c r="AZ132" s="1">
        <v>1</v>
      </c>
      <c r="BA132" s="1" t="s">
        <v>26</v>
      </c>
      <c r="BB132" s="1" t="s">
        <v>26</v>
      </c>
    </row>
    <row r="133" spans="1:54" s="7" customFormat="1">
      <c r="A133" s="12" t="s">
        <v>109</v>
      </c>
      <c r="B133" s="40" t="s">
        <v>25</v>
      </c>
      <c r="C133" s="42">
        <v>7769889734.6999998</v>
      </c>
      <c r="D133" s="43">
        <v>0.99980000000000002</v>
      </c>
      <c r="E133" s="43" t="s">
        <v>26</v>
      </c>
      <c r="F133" s="43" t="s">
        <v>26</v>
      </c>
      <c r="G133" s="42">
        <v>171604470082.39001</v>
      </c>
      <c r="H133" s="43">
        <v>1</v>
      </c>
      <c r="I133" s="43" t="s">
        <v>26</v>
      </c>
      <c r="J133" s="43" t="s">
        <v>26</v>
      </c>
      <c r="K133" s="42">
        <v>3904929769.7199998</v>
      </c>
      <c r="L133" s="43">
        <v>0.999</v>
      </c>
      <c r="M133" s="43" t="s">
        <v>26</v>
      </c>
      <c r="N133" s="43" t="s">
        <v>26</v>
      </c>
      <c r="O133" s="42">
        <v>252339758606.26001</v>
      </c>
      <c r="P133" s="43">
        <v>1</v>
      </c>
      <c r="Q133" s="43" t="s">
        <v>26</v>
      </c>
      <c r="R133" s="43" t="s">
        <v>26</v>
      </c>
      <c r="S133" s="42">
        <v>123868077742.96001</v>
      </c>
      <c r="T133" s="43">
        <v>1</v>
      </c>
      <c r="U133" s="43" t="s">
        <v>26</v>
      </c>
      <c r="V133" s="43" t="s">
        <v>26</v>
      </c>
      <c r="W133" s="42">
        <v>7232113175.8699999</v>
      </c>
      <c r="X133" s="43">
        <v>0.99880000000000002</v>
      </c>
      <c r="Y133" s="43" t="s">
        <v>26</v>
      </c>
      <c r="Z133" s="43" t="s">
        <v>26</v>
      </c>
      <c r="AA133" s="42">
        <v>155536126284.73999</v>
      </c>
      <c r="AB133" s="43">
        <v>1</v>
      </c>
      <c r="AC133" s="43" t="s">
        <v>26</v>
      </c>
      <c r="AD133" s="43" t="s">
        <v>26</v>
      </c>
      <c r="AE133" s="42">
        <v>722255365396.64001</v>
      </c>
      <c r="AF133" s="43">
        <v>1</v>
      </c>
      <c r="AG133" s="43" t="s">
        <v>26</v>
      </c>
      <c r="AH133" s="43" t="s">
        <v>26</v>
      </c>
      <c r="AI133" s="42">
        <v>18312539660.799999</v>
      </c>
      <c r="AJ133" s="43">
        <v>1</v>
      </c>
      <c r="AK133" s="43" t="s">
        <v>26</v>
      </c>
      <c r="AL133" s="43" t="s">
        <v>26</v>
      </c>
      <c r="AM133" s="42">
        <v>25109750090.98</v>
      </c>
      <c r="AN133" s="43">
        <v>0.99990000000000001</v>
      </c>
      <c r="AO133" s="43" t="s">
        <v>26</v>
      </c>
      <c r="AP133" s="43" t="s">
        <v>26</v>
      </c>
      <c r="AQ133" s="42">
        <v>43422289751.779999</v>
      </c>
      <c r="AR133" s="43">
        <v>1</v>
      </c>
      <c r="AS133" s="43" t="s">
        <v>26</v>
      </c>
      <c r="AT133" s="43" t="s">
        <v>26</v>
      </c>
      <c r="AU133" s="42">
        <v>51729351649.629997</v>
      </c>
      <c r="AV133" s="43">
        <v>1</v>
      </c>
      <c r="AW133" s="43" t="s">
        <v>26</v>
      </c>
      <c r="AX133" s="43" t="s">
        <v>26</v>
      </c>
      <c r="AY133" s="42">
        <v>817407006798.05005</v>
      </c>
      <c r="AZ133" s="43">
        <v>1</v>
      </c>
      <c r="BA133" s="43" t="s">
        <v>26</v>
      </c>
      <c r="BB133" s="43" t="s">
        <v>26</v>
      </c>
    </row>
    <row r="134" spans="1:54" s="41" customFormat="1">
      <c r="A134" s="3" t="s">
        <v>110</v>
      </c>
      <c r="B134" s="23" t="s">
        <v>25</v>
      </c>
      <c r="C134" s="2">
        <v>1673177.27</v>
      </c>
      <c r="D134" s="1">
        <v>2.0000000000000001E-4</v>
      </c>
      <c r="E134" s="1" t="s">
        <v>26</v>
      </c>
      <c r="F134" s="1" t="s">
        <v>26</v>
      </c>
      <c r="G134" s="2">
        <v>837038.99</v>
      </c>
      <c r="H134" s="1">
        <v>0</v>
      </c>
      <c r="I134" s="9" t="s">
        <v>26</v>
      </c>
      <c r="J134" s="10" t="s">
        <v>26</v>
      </c>
      <c r="K134" s="2">
        <v>4077750.77</v>
      </c>
      <c r="L134" s="1">
        <v>1E-3</v>
      </c>
      <c r="M134" s="9" t="s">
        <v>26</v>
      </c>
      <c r="N134" s="10" t="s">
        <v>26</v>
      </c>
      <c r="O134" s="2">
        <v>197501.47</v>
      </c>
      <c r="P134" s="1">
        <v>0</v>
      </c>
      <c r="Q134" s="9" t="s">
        <v>26</v>
      </c>
      <c r="R134" s="10" t="s">
        <v>26</v>
      </c>
      <c r="S134" s="2">
        <v>162637.81</v>
      </c>
      <c r="T134" s="1">
        <v>0</v>
      </c>
      <c r="U134" s="9" t="s">
        <v>26</v>
      </c>
      <c r="V134" s="10" t="s">
        <v>26</v>
      </c>
      <c r="W134" s="2">
        <v>8709407.8900000006</v>
      </c>
      <c r="X134" s="1">
        <v>1.1999999999999999E-3</v>
      </c>
      <c r="Y134" s="9" t="s">
        <v>26</v>
      </c>
      <c r="Z134" s="10" t="s">
        <v>26</v>
      </c>
      <c r="AA134" s="2">
        <v>193834.63</v>
      </c>
      <c r="AB134" s="1">
        <v>0</v>
      </c>
      <c r="AC134" s="9" t="s">
        <v>26</v>
      </c>
      <c r="AD134" s="10" t="s">
        <v>26</v>
      </c>
      <c r="AE134" s="2">
        <v>15851348.83</v>
      </c>
      <c r="AF134" s="1">
        <v>0</v>
      </c>
      <c r="AG134" s="9" t="s">
        <v>26</v>
      </c>
      <c r="AH134" s="10" t="s">
        <v>26</v>
      </c>
      <c r="AI134" s="2">
        <v>128164.85</v>
      </c>
      <c r="AJ134" s="1">
        <v>0</v>
      </c>
      <c r="AK134" s="9" t="s">
        <v>26</v>
      </c>
      <c r="AL134" s="10" t="s">
        <v>26</v>
      </c>
      <c r="AM134" s="2">
        <v>1595545.84</v>
      </c>
      <c r="AN134" s="1">
        <v>1E-4</v>
      </c>
      <c r="AO134" s="9" t="s">
        <v>26</v>
      </c>
      <c r="AP134" s="10" t="s">
        <v>26</v>
      </c>
      <c r="AQ134" s="2">
        <v>1723710.69</v>
      </c>
      <c r="AR134" s="1">
        <v>0</v>
      </c>
      <c r="AS134" s="9" t="s">
        <v>26</v>
      </c>
      <c r="AT134" s="10" t="s">
        <v>26</v>
      </c>
      <c r="AU134" s="2">
        <v>45839.26</v>
      </c>
      <c r="AV134" s="1">
        <v>0</v>
      </c>
      <c r="AW134" s="9" t="s">
        <v>26</v>
      </c>
      <c r="AX134" s="10" t="s">
        <v>26</v>
      </c>
      <c r="AY134" s="2">
        <v>17620898.780000001</v>
      </c>
      <c r="AZ134" s="1">
        <v>0</v>
      </c>
      <c r="BA134" s="9" t="s">
        <v>26</v>
      </c>
      <c r="BB134" s="10" t="s">
        <v>26</v>
      </c>
    </row>
    <row r="135" spans="1:54">
      <c r="A135" s="12" t="s">
        <v>111</v>
      </c>
      <c r="B135" s="40" t="s">
        <v>25</v>
      </c>
      <c r="C135" s="42">
        <v>7771562911.9700003</v>
      </c>
      <c r="D135" s="43">
        <v>1</v>
      </c>
      <c r="E135" s="43" t="s">
        <v>26</v>
      </c>
      <c r="F135" s="43" t="s">
        <v>26</v>
      </c>
      <c r="G135" s="42">
        <v>171605307121.38</v>
      </c>
      <c r="H135" s="43">
        <v>1</v>
      </c>
      <c r="I135" s="43" t="s">
        <v>26</v>
      </c>
      <c r="J135" s="43" t="s">
        <v>26</v>
      </c>
      <c r="K135" s="42">
        <v>3909007520.4899998</v>
      </c>
      <c r="L135" s="43">
        <v>1</v>
      </c>
      <c r="M135" s="43" t="s">
        <v>26</v>
      </c>
      <c r="N135" s="43" t="s">
        <v>26</v>
      </c>
      <c r="O135" s="42">
        <v>252339956107.73001</v>
      </c>
      <c r="P135" s="43">
        <v>1</v>
      </c>
      <c r="Q135" s="43" t="s">
        <v>26</v>
      </c>
      <c r="R135" s="43" t="s">
        <v>26</v>
      </c>
      <c r="S135" s="42">
        <v>123868240380.77</v>
      </c>
      <c r="T135" s="43">
        <v>1</v>
      </c>
      <c r="U135" s="43" t="s">
        <v>26</v>
      </c>
      <c r="V135" s="43" t="s">
        <v>26</v>
      </c>
      <c r="W135" s="42">
        <v>7240822583.7600002</v>
      </c>
      <c r="X135" s="43">
        <v>1</v>
      </c>
      <c r="Y135" s="43" t="s">
        <v>26</v>
      </c>
      <c r="Z135" s="43" t="s">
        <v>26</v>
      </c>
      <c r="AA135" s="42">
        <v>155536320119.37</v>
      </c>
      <c r="AB135" s="43">
        <v>1</v>
      </c>
      <c r="AC135" s="43" t="s">
        <v>26</v>
      </c>
      <c r="AD135" s="43" t="s">
        <v>26</v>
      </c>
      <c r="AE135" s="42">
        <v>722271216745.46997</v>
      </c>
      <c r="AF135" s="43">
        <v>1</v>
      </c>
      <c r="AG135" s="43" t="s">
        <v>26</v>
      </c>
      <c r="AH135" s="43" t="s">
        <v>26</v>
      </c>
      <c r="AI135" s="42">
        <v>18312667825.650002</v>
      </c>
      <c r="AJ135" s="43">
        <v>1</v>
      </c>
      <c r="AK135" s="43" t="s">
        <v>26</v>
      </c>
      <c r="AL135" s="43" t="s">
        <v>26</v>
      </c>
      <c r="AM135" s="42">
        <v>25111345636.82</v>
      </c>
      <c r="AN135" s="43">
        <v>1</v>
      </c>
      <c r="AO135" s="43" t="s">
        <v>26</v>
      </c>
      <c r="AP135" s="43" t="s">
        <v>26</v>
      </c>
      <c r="AQ135" s="42">
        <v>43424013462.470001</v>
      </c>
      <c r="AR135" s="43">
        <v>1</v>
      </c>
      <c r="AS135" s="43" t="s">
        <v>26</v>
      </c>
      <c r="AT135" s="43" t="s">
        <v>26</v>
      </c>
      <c r="AU135" s="42">
        <v>51729397488.889999</v>
      </c>
      <c r="AV135" s="43">
        <v>1</v>
      </c>
      <c r="AW135" s="43" t="s">
        <v>26</v>
      </c>
      <c r="AX135" s="43" t="s">
        <v>26</v>
      </c>
      <c r="AY135" s="42">
        <v>817424627696.82996</v>
      </c>
      <c r="AZ135" s="43">
        <v>1</v>
      </c>
      <c r="BA135" s="43" t="s">
        <v>26</v>
      </c>
      <c r="BB135" s="43" t="s">
        <v>26</v>
      </c>
    </row>
    <row r="136" spans="1:54">
      <c r="A136" s="24"/>
    </row>
    <row r="137" spans="1:54">
      <c r="A137" s="17" t="s">
        <v>112</v>
      </c>
      <c r="AY137" s="39"/>
    </row>
    <row r="138" spans="1:54">
      <c r="A138" s="24" t="s">
        <v>113</v>
      </c>
    </row>
    <row r="139" spans="1:54">
      <c r="A139" s="24" t="s">
        <v>114</v>
      </c>
      <c r="AY139" s="37"/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5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W126" sqref="W126:Z133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bestFit="1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.42578125" style="13" customWidth="1"/>
    <col min="53" max="53" width="9.7109375" style="8" customWidth="1"/>
    <col min="54" max="54" width="10.42578125" style="8" customWidth="1"/>
    <col min="55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3694411120.0300002</v>
      </c>
      <c r="D8" s="43">
        <v>0.46929491414903002</v>
      </c>
      <c r="E8" s="43" t="s">
        <v>26</v>
      </c>
      <c r="F8" s="43" t="s">
        <v>26</v>
      </c>
      <c r="G8" s="42">
        <f>+G9+G11</f>
        <v>92724143325.229996</v>
      </c>
      <c r="H8" s="43">
        <f>+H9+H11</f>
        <v>0.53345170094101746</v>
      </c>
      <c r="I8" s="43" t="s">
        <v>26</v>
      </c>
      <c r="J8" s="43" t="s">
        <v>26</v>
      </c>
      <c r="K8" s="42">
        <v>1144346694.1300001</v>
      </c>
      <c r="L8" s="43">
        <v>0.28035833458089998</v>
      </c>
      <c r="M8" s="43" t="s">
        <v>26</v>
      </c>
      <c r="N8" s="43" t="s">
        <v>26</v>
      </c>
      <c r="O8" s="42">
        <f>+O9+O11</f>
        <v>119163922013.19</v>
      </c>
      <c r="P8" s="43">
        <f>+P9+P11</f>
        <v>0.46902551615529309</v>
      </c>
      <c r="Q8" s="43" t="s">
        <v>26</v>
      </c>
      <c r="R8" s="43" t="s">
        <v>26</v>
      </c>
      <c r="S8" s="42">
        <f>+S9+S11</f>
        <v>68095987266</v>
      </c>
      <c r="T8" s="43">
        <f>+T9+T11</f>
        <v>0.5421915962979913</v>
      </c>
      <c r="U8" s="43" t="s">
        <v>26</v>
      </c>
      <c r="V8" s="43" t="s">
        <v>26</v>
      </c>
      <c r="W8" s="42">
        <v>2654924883.1599998</v>
      </c>
      <c r="X8" s="43">
        <v>0.36271125471495003</v>
      </c>
      <c r="Y8" s="43" t="s">
        <v>26</v>
      </c>
      <c r="Z8" s="43" t="s">
        <v>26</v>
      </c>
      <c r="AA8" s="42">
        <f>+AA9+AA11</f>
        <v>75312581446.619995</v>
      </c>
      <c r="AB8" s="43">
        <f>+AB9+AB11</f>
        <v>0.48117724845169962</v>
      </c>
      <c r="AC8" s="43" t="s">
        <v>26</v>
      </c>
      <c r="AD8" s="43" t="s">
        <v>26</v>
      </c>
      <c r="AE8" s="42">
        <f>+AE9+AE11</f>
        <v>362790316748.35999</v>
      </c>
      <c r="AF8" s="43">
        <f>+AF9+AF11</f>
        <v>0.49746941101284181</v>
      </c>
      <c r="AG8" s="43" t="s">
        <v>26</v>
      </c>
      <c r="AH8" s="43" t="s">
        <v>26</v>
      </c>
      <c r="AI8" s="42">
        <v>9551631585.75</v>
      </c>
      <c r="AJ8" s="43">
        <v>0.51801855666353003</v>
      </c>
      <c r="AK8" s="43" t="s">
        <v>26</v>
      </c>
      <c r="AL8" s="43" t="s">
        <v>26</v>
      </c>
      <c r="AM8" s="42">
        <v>8627488254.3199997</v>
      </c>
      <c r="AN8" s="43">
        <v>0.34326668267190003</v>
      </c>
      <c r="AO8" s="43" t="s">
        <v>26</v>
      </c>
      <c r="AP8" s="43" t="s">
        <v>26</v>
      </c>
      <c r="AQ8" s="42">
        <v>18179119840.07</v>
      </c>
      <c r="AR8" s="43">
        <v>0.41721765992410997</v>
      </c>
      <c r="AS8" s="43" t="s">
        <v>26</v>
      </c>
      <c r="AT8" s="43" t="s">
        <v>26</v>
      </c>
      <c r="AU8" s="42">
        <v>29989225405.52</v>
      </c>
      <c r="AV8" s="43">
        <v>0.57262636822391</v>
      </c>
      <c r="AW8" s="43" t="s">
        <v>26</v>
      </c>
      <c r="AX8" s="43" t="s">
        <v>26</v>
      </c>
      <c r="AY8" s="42">
        <f>+AY9+AY11</f>
        <v>410958661993.95001</v>
      </c>
      <c r="AZ8" s="43">
        <f>+AZ9+AZ11</f>
        <v>0.49800178329054806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3694411120.0300002</v>
      </c>
      <c r="D9" s="10">
        <v>0.46929491414903002</v>
      </c>
      <c r="E9" s="10">
        <v>0.6</v>
      </c>
      <c r="F9" s="10">
        <f>E9-D9</f>
        <v>0.13070508585096996</v>
      </c>
      <c r="G9" s="9">
        <f>+G10</f>
        <v>86928007003.429993</v>
      </c>
      <c r="H9" s="10">
        <f>G9/G141</f>
        <v>0.50010592206544269</v>
      </c>
      <c r="I9" s="10">
        <v>0.6</v>
      </c>
      <c r="J9" s="10">
        <f>I9-H9</f>
        <v>9.989407793455729E-2</v>
      </c>
      <c r="K9" s="9">
        <v>1144346694.1300001</v>
      </c>
      <c r="L9" s="10">
        <v>0.28035833458089998</v>
      </c>
      <c r="M9" s="10">
        <v>0.6</v>
      </c>
      <c r="N9" s="10">
        <f>M9-L9</f>
        <v>0.3196416654191</v>
      </c>
      <c r="O9" s="9">
        <f>+O10</f>
        <v>117623176914.99001</v>
      </c>
      <c r="P9" s="10">
        <f>+O9/O141</f>
        <v>0.46296118626595695</v>
      </c>
      <c r="Q9" s="10">
        <v>0.6</v>
      </c>
      <c r="R9" s="10">
        <f>Q9-P9</f>
        <v>0.13703881373404303</v>
      </c>
      <c r="S9" s="9">
        <f>+S10</f>
        <v>66580875321</v>
      </c>
      <c r="T9" s="10">
        <f>S9/S139</f>
        <v>0.53012802255434621</v>
      </c>
      <c r="U9" s="10">
        <v>0.6</v>
      </c>
      <c r="V9" s="10">
        <f>U9-T9</f>
        <v>6.9871977445653766E-2</v>
      </c>
      <c r="W9" s="9">
        <v>2654924883.1599998</v>
      </c>
      <c r="X9" s="10">
        <v>0.36271125471495003</v>
      </c>
      <c r="Y9" s="10">
        <v>0.6</v>
      </c>
      <c r="Z9" s="10">
        <f>Y9-X9</f>
        <v>0.23728874528504995</v>
      </c>
      <c r="AA9" s="9">
        <f>AA10</f>
        <v>73967486519.619995</v>
      </c>
      <c r="AB9" s="10">
        <f>AA9/AA139</f>
        <v>0.47258334470483443</v>
      </c>
      <c r="AC9" s="10">
        <v>0.6</v>
      </c>
      <c r="AD9" s="10">
        <f>AC9-AB9</f>
        <v>0.12741665529516555</v>
      </c>
      <c r="AE9" s="9">
        <f>+AE10</f>
        <v>352593228456.35999</v>
      </c>
      <c r="AF9" s="10">
        <f>+AE9/AE141</f>
        <v>0.48348684512703355</v>
      </c>
      <c r="AG9" s="10">
        <v>0.6</v>
      </c>
      <c r="AH9" s="10">
        <f>AG9-AF9</f>
        <v>0.11651315487296643</v>
      </c>
      <c r="AI9" s="9">
        <v>9551631585.75</v>
      </c>
      <c r="AJ9" s="10">
        <v>0.51801855666353003</v>
      </c>
      <c r="AK9" s="10">
        <v>0.6</v>
      </c>
      <c r="AL9" s="10">
        <f>AK9-AJ9</f>
        <v>8.198144333646995E-2</v>
      </c>
      <c r="AM9" s="9">
        <v>8627488254.3199997</v>
      </c>
      <c r="AN9" s="10">
        <v>0.34326668267190003</v>
      </c>
      <c r="AO9" s="10">
        <v>0.6</v>
      </c>
      <c r="AP9" s="10">
        <f>AO9-AN9</f>
        <v>0.25673331732809995</v>
      </c>
      <c r="AQ9" s="9">
        <v>18179119840.07</v>
      </c>
      <c r="AR9" s="10">
        <v>0.41721765992410997</v>
      </c>
      <c r="AS9" s="10">
        <v>0.6</v>
      </c>
      <c r="AT9" s="10">
        <f>AS9-AR9</f>
        <v>0.18278234007589</v>
      </c>
      <c r="AU9" s="9">
        <v>29989225405.52</v>
      </c>
      <c r="AV9" s="10">
        <v>0.57262636822391</v>
      </c>
      <c r="AW9" s="10">
        <v>0.6</v>
      </c>
      <c r="AX9" s="10">
        <f>AW9-AV9</f>
        <v>2.7373631776089979E-2</v>
      </c>
      <c r="AY9" s="9">
        <f>+AY10</f>
        <v>400761573701.95001</v>
      </c>
      <c r="AZ9" s="10">
        <f>+AY9/AY141</f>
        <v>0.4856449001696323</v>
      </c>
      <c r="BA9" s="10">
        <v>0.6</v>
      </c>
      <c r="BB9" s="10">
        <f>BA9-AZ9</f>
        <v>0.11435509983036768</v>
      </c>
    </row>
    <row r="10" spans="1:54" ht="17.25">
      <c r="A10" s="3" t="s">
        <v>28</v>
      </c>
      <c r="B10" s="23" t="s">
        <v>29</v>
      </c>
      <c r="C10" s="2">
        <v>3694411120.0300002</v>
      </c>
      <c r="D10" s="1">
        <v>1</v>
      </c>
      <c r="E10" s="1" t="s">
        <v>26</v>
      </c>
      <c r="F10" s="1" t="s">
        <v>26</v>
      </c>
      <c r="G10" s="2">
        <v>86928007003.429993</v>
      </c>
      <c r="H10" s="1">
        <f>+G10/G8</f>
        <v>0.9374905379123315</v>
      </c>
      <c r="I10" s="1" t="s">
        <v>26</v>
      </c>
      <c r="J10" s="1" t="s">
        <v>26</v>
      </c>
      <c r="K10" s="2">
        <v>1144346694.1300001</v>
      </c>
      <c r="L10" s="1">
        <v>1</v>
      </c>
      <c r="M10" s="1" t="s">
        <v>26</v>
      </c>
      <c r="N10" s="1" t="s">
        <v>26</v>
      </c>
      <c r="O10" s="2">
        <v>117623176914.99001</v>
      </c>
      <c r="P10" s="1">
        <f>+O10/O8</f>
        <v>0.98707037270870079</v>
      </c>
      <c r="Q10" s="1" t="s">
        <v>26</v>
      </c>
      <c r="R10" s="1" t="s">
        <v>26</v>
      </c>
      <c r="S10" s="2">
        <v>66580875321</v>
      </c>
      <c r="T10" s="1">
        <f>+S10/S8</f>
        <v>0.97775034909059189</v>
      </c>
      <c r="U10" s="1" t="s">
        <v>26</v>
      </c>
      <c r="V10" s="1" t="s">
        <v>26</v>
      </c>
      <c r="W10" s="2">
        <v>2654924883.1599998</v>
      </c>
      <c r="X10" s="1">
        <v>1</v>
      </c>
      <c r="Y10" s="1" t="s">
        <v>26</v>
      </c>
      <c r="Z10" s="1" t="s">
        <v>26</v>
      </c>
      <c r="AA10" s="2">
        <v>73967486519.619995</v>
      </c>
      <c r="AB10" s="1">
        <f>+AA10/AA8</f>
        <v>0.98213983771153324</v>
      </c>
      <c r="AC10" s="1" t="s">
        <v>26</v>
      </c>
      <c r="AD10" s="1" t="s">
        <v>26</v>
      </c>
      <c r="AE10" s="2">
        <v>352593228456.35999</v>
      </c>
      <c r="AF10" s="1">
        <f>+AE10/AE8</f>
        <v>0.97189261173397601</v>
      </c>
      <c r="AG10" s="1" t="s">
        <v>26</v>
      </c>
      <c r="AH10" s="1" t="s">
        <v>26</v>
      </c>
      <c r="AI10" s="2">
        <v>9551631585.75</v>
      </c>
      <c r="AJ10" s="1">
        <v>1</v>
      </c>
      <c r="AK10" s="1" t="s">
        <v>26</v>
      </c>
      <c r="AL10" s="1" t="s">
        <v>26</v>
      </c>
      <c r="AM10" s="2">
        <v>8627488254.3199997</v>
      </c>
      <c r="AN10" s="1">
        <v>1</v>
      </c>
      <c r="AO10" s="1" t="s">
        <v>26</v>
      </c>
      <c r="AP10" s="1" t="s">
        <v>26</v>
      </c>
      <c r="AQ10" s="2">
        <v>18179119840.07</v>
      </c>
      <c r="AR10" s="1">
        <v>1</v>
      </c>
      <c r="AS10" s="1" t="s">
        <v>26</v>
      </c>
      <c r="AT10" s="1" t="s">
        <v>26</v>
      </c>
      <c r="AU10" s="2">
        <v>29989225405.52</v>
      </c>
      <c r="AV10" s="1">
        <v>1</v>
      </c>
      <c r="AW10" s="1" t="s">
        <v>26</v>
      </c>
      <c r="AX10" s="1" t="s">
        <v>26</v>
      </c>
      <c r="AY10" s="2">
        <v>400761573701.95001</v>
      </c>
      <c r="AZ10" s="1">
        <f>+AY10/AY8</f>
        <v>0.9751870705376442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2" t="s">
        <v>26</v>
      </c>
      <c r="D11" s="1" t="s">
        <v>26</v>
      </c>
      <c r="E11" s="10" t="s">
        <v>26</v>
      </c>
      <c r="F11" s="10" t="s">
        <v>26</v>
      </c>
      <c r="G11" s="9">
        <f>G12</f>
        <v>5796136321.8000002</v>
      </c>
      <c r="H11" s="10">
        <f>+G11/G141</f>
        <v>3.3345778875574786E-2</v>
      </c>
      <c r="I11" s="10">
        <v>0.1</v>
      </c>
      <c r="J11" s="10">
        <f>I11-H11</f>
        <v>6.665422112442522E-2</v>
      </c>
      <c r="K11" s="2" t="s">
        <v>26</v>
      </c>
      <c r="L11" s="1" t="s">
        <v>26</v>
      </c>
      <c r="M11" s="1" t="s">
        <v>26</v>
      </c>
      <c r="N11" s="1" t="s">
        <v>26</v>
      </c>
      <c r="O11" s="9">
        <f>O12</f>
        <v>1540745098.2</v>
      </c>
      <c r="P11" s="10">
        <f>O11/O139</f>
        <v>6.0643298893361198E-3</v>
      </c>
      <c r="Q11" s="10">
        <v>0.1</v>
      </c>
      <c r="R11" s="10">
        <f>Q11-P11</f>
        <v>9.393567011066388E-2</v>
      </c>
      <c r="S11" s="9">
        <f>S12</f>
        <v>1515111945</v>
      </c>
      <c r="T11" s="10">
        <f>S11/S139</f>
        <v>1.2063573743645035E-2</v>
      </c>
      <c r="U11" s="10">
        <v>0.1</v>
      </c>
      <c r="V11" s="10">
        <f>U11-T11</f>
        <v>8.7936426256354977E-2</v>
      </c>
      <c r="W11" s="2" t="s">
        <v>26</v>
      </c>
      <c r="X11" s="1" t="s">
        <v>26</v>
      </c>
      <c r="Y11" s="1" t="s">
        <v>26</v>
      </c>
      <c r="Z11" s="1" t="s">
        <v>26</v>
      </c>
      <c r="AA11" s="9">
        <f>AA12</f>
        <v>1345094927</v>
      </c>
      <c r="AB11" s="10">
        <f>AA11/AA139</f>
        <v>8.5939037468652224E-3</v>
      </c>
      <c r="AC11" s="10">
        <v>0.1</v>
      </c>
      <c r="AD11" s="10">
        <f>AC11-AB11</f>
        <v>9.1406096253134783E-2</v>
      </c>
      <c r="AE11" s="9">
        <f>+AE12</f>
        <v>10197088292</v>
      </c>
      <c r="AF11" s="10">
        <f>+AE11/AE141</f>
        <v>1.3982565885808243E-2</v>
      </c>
      <c r="AG11" s="10">
        <v>0.1</v>
      </c>
      <c r="AH11" s="10">
        <f>AG11-AF11</f>
        <v>8.6017434114191757E-2</v>
      </c>
      <c r="AI11" s="2" t="s">
        <v>26</v>
      </c>
      <c r="AJ11" s="1" t="s">
        <v>26</v>
      </c>
      <c r="AK11" s="1" t="s">
        <v>26</v>
      </c>
      <c r="AL11" s="1" t="s">
        <v>26</v>
      </c>
      <c r="AM11" s="2" t="s">
        <v>26</v>
      </c>
      <c r="AN11" s="1" t="s">
        <v>26</v>
      </c>
      <c r="AO11" s="1" t="s">
        <v>26</v>
      </c>
      <c r="AP11" s="1" t="s">
        <v>26</v>
      </c>
      <c r="AQ11" s="2" t="s">
        <v>26</v>
      </c>
      <c r="AR11" s="1" t="s">
        <v>26</v>
      </c>
      <c r="AS11" s="1" t="s">
        <v>26</v>
      </c>
      <c r="AT11" s="1" t="s">
        <v>26</v>
      </c>
      <c r="AU11" s="2" t="s">
        <v>26</v>
      </c>
      <c r="AV11" s="1" t="s">
        <v>26</v>
      </c>
      <c r="AW11" s="1" t="s">
        <v>26</v>
      </c>
      <c r="AX11" s="1" t="s">
        <v>26</v>
      </c>
      <c r="AY11" s="9">
        <f>+AY12</f>
        <v>10197088292</v>
      </c>
      <c r="AZ11" s="10">
        <f>+AY11/AY141</f>
        <v>1.2356883120915766E-2</v>
      </c>
      <c r="BA11" s="10">
        <v>0.1</v>
      </c>
      <c r="BB11" s="10">
        <f>+BA11-AZ11</f>
        <v>8.7643116879084243E-2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5796136321.8000002</v>
      </c>
      <c r="H12" s="1">
        <f>+G12/G8</f>
        <v>6.2509462087668458E-2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1540745098.2</v>
      </c>
      <c r="P12" s="1">
        <f>+O12/O8</f>
        <v>1.2929627291299275E-2</v>
      </c>
      <c r="Q12" s="1" t="s">
        <v>26</v>
      </c>
      <c r="R12" s="1" t="s">
        <v>26</v>
      </c>
      <c r="S12" s="2">
        <v>1515111945</v>
      </c>
      <c r="T12" s="1">
        <f>+S12/S8</f>
        <v>2.2249650909408111E-2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1345094927</v>
      </c>
      <c r="AB12" s="1">
        <f>+AA12/AA8</f>
        <v>1.7860162288466708E-2</v>
      </c>
      <c r="AC12" s="1" t="s">
        <v>26</v>
      </c>
      <c r="AD12" s="1" t="s">
        <v>26</v>
      </c>
      <c r="AE12" s="2">
        <v>10197088292</v>
      </c>
      <c r="AF12" s="1">
        <f>+AE12/AE8</f>
        <v>2.8107388266024044E-2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10197088292</v>
      </c>
      <c r="AZ12" s="1">
        <f>+AY12/AY8</f>
        <v>2.4812929462355797E-2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2460911316.3000002</v>
      </c>
      <c r="D13" s="43">
        <v>0.31260548092493001</v>
      </c>
      <c r="E13" s="43" t="s">
        <v>26</v>
      </c>
      <c r="F13" s="43" t="s">
        <v>26</v>
      </c>
      <c r="G13" s="42">
        <v>49062310682.989998</v>
      </c>
      <c r="H13" s="43">
        <v>0.28226060815831</v>
      </c>
      <c r="I13" s="43" t="s">
        <v>26</v>
      </c>
      <c r="J13" s="43" t="s">
        <v>26</v>
      </c>
      <c r="K13" s="42">
        <v>892558861.07000005</v>
      </c>
      <c r="L13" s="43">
        <v>0.21867176886918999</v>
      </c>
      <c r="M13" s="43" t="s">
        <v>26</v>
      </c>
      <c r="N13" s="43" t="s">
        <v>26</v>
      </c>
      <c r="O13" s="42">
        <v>66012308362.779999</v>
      </c>
      <c r="P13" s="43">
        <v>0.25982240396272999</v>
      </c>
      <c r="Q13" s="43" t="s">
        <v>26</v>
      </c>
      <c r="R13" s="43" t="s">
        <v>26</v>
      </c>
      <c r="S13" s="42">
        <v>35890727801.029999</v>
      </c>
      <c r="T13" s="43">
        <v>0.28576740025705999</v>
      </c>
      <c r="U13" s="43" t="s">
        <v>26</v>
      </c>
      <c r="V13" s="43" t="s">
        <v>26</v>
      </c>
      <c r="W13" s="42">
        <v>3352898101.23</v>
      </c>
      <c r="X13" s="43">
        <v>0.45806715095494999</v>
      </c>
      <c r="Y13" s="43" t="s">
        <v>26</v>
      </c>
      <c r="Z13" s="43" t="s">
        <v>26</v>
      </c>
      <c r="AA13" s="42">
        <v>50290593820.699997</v>
      </c>
      <c r="AB13" s="43">
        <v>0.32130966440324998</v>
      </c>
      <c r="AC13" s="43" t="s">
        <v>26</v>
      </c>
      <c r="AD13" s="43" t="s">
        <v>26</v>
      </c>
      <c r="AE13" s="42">
        <v>207962308946.10001</v>
      </c>
      <c r="AF13" s="43">
        <v>0.28516441197091003</v>
      </c>
      <c r="AG13" s="43" t="s">
        <v>26</v>
      </c>
      <c r="AH13" s="43" t="s">
        <v>26</v>
      </c>
      <c r="AI13" s="42">
        <v>6739638230.3100004</v>
      </c>
      <c r="AJ13" s="43">
        <v>0.36551427231638001</v>
      </c>
      <c r="AK13" s="43" t="s">
        <v>26</v>
      </c>
      <c r="AL13" s="43" t="s">
        <v>26</v>
      </c>
      <c r="AM13" s="42">
        <v>12434450652.120001</v>
      </c>
      <c r="AN13" s="43">
        <v>0.49473641694770998</v>
      </c>
      <c r="AO13" s="43" t="s">
        <v>26</v>
      </c>
      <c r="AP13" s="43" t="s">
        <v>26</v>
      </c>
      <c r="AQ13" s="42">
        <v>19174088882.43</v>
      </c>
      <c r="AR13" s="43">
        <v>0.44005257488161997</v>
      </c>
      <c r="AS13" s="43" t="s">
        <v>26</v>
      </c>
      <c r="AT13" s="43" t="s">
        <v>26</v>
      </c>
      <c r="AU13" s="42">
        <v>14314458214.66</v>
      </c>
      <c r="AV13" s="43">
        <v>0.27332603992649002</v>
      </c>
      <c r="AW13" s="43" t="s">
        <v>26</v>
      </c>
      <c r="AX13" s="43" t="s">
        <v>26</v>
      </c>
      <c r="AY13" s="42">
        <v>241450856043.19</v>
      </c>
      <c r="AZ13" s="43">
        <v>0.29259136747020997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2460911316.3000002</v>
      </c>
      <c r="D14" s="10">
        <v>0.31260548092493001</v>
      </c>
      <c r="E14" s="49">
        <v>0.5</v>
      </c>
      <c r="F14" s="10">
        <v>0.18740000000000001</v>
      </c>
      <c r="G14" s="9">
        <v>49062310682.989998</v>
      </c>
      <c r="H14" s="10">
        <v>0.28226060815831</v>
      </c>
      <c r="I14" s="10">
        <v>0.5</v>
      </c>
      <c r="J14" s="10">
        <v>0.2177</v>
      </c>
      <c r="K14" s="9">
        <v>892558861.07000005</v>
      </c>
      <c r="L14" s="10">
        <v>0.21867176886918999</v>
      </c>
      <c r="M14" s="10">
        <v>0.5</v>
      </c>
      <c r="N14" s="10">
        <v>0.28129999999999999</v>
      </c>
      <c r="O14" s="9">
        <v>66012308362.779999</v>
      </c>
      <c r="P14" s="10">
        <v>0.25982240396272999</v>
      </c>
      <c r="Q14" s="10">
        <v>0.5</v>
      </c>
      <c r="R14" s="10">
        <v>0.2402</v>
      </c>
      <c r="S14" s="9">
        <v>35890727801.029999</v>
      </c>
      <c r="T14" s="10">
        <v>0.28576740025705999</v>
      </c>
      <c r="U14" s="10">
        <v>0.5</v>
      </c>
      <c r="V14" s="10">
        <v>0.2142</v>
      </c>
      <c r="W14" s="9">
        <v>3352898101.23</v>
      </c>
      <c r="X14" s="10">
        <v>0.45806715095494999</v>
      </c>
      <c r="Y14" s="10">
        <v>0.5</v>
      </c>
      <c r="Z14" s="10">
        <v>4.19E-2</v>
      </c>
      <c r="AA14" s="9">
        <v>50290593820.699997</v>
      </c>
      <c r="AB14" s="10">
        <v>0.32130966440324998</v>
      </c>
      <c r="AC14" s="10">
        <v>0.5</v>
      </c>
      <c r="AD14" s="10">
        <f>+AC14-AB14</f>
        <v>0.17869033559675002</v>
      </c>
      <c r="AE14" s="9">
        <v>207962308946.10001</v>
      </c>
      <c r="AF14" s="10">
        <v>0.28516441197091003</v>
      </c>
      <c r="AG14" s="10">
        <v>0.5</v>
      </c>
      <c r="AH14" s="10">
        <v>0.21479999999999999</v>
      </c>
      <c r="AI14" s="9">
        <v>6739638230.3100004</v>
      </c>
      <c r="AJ14" s="10">
        <v>0.36551427231638001</v>
      </c>
      <c r="AK14" s="10">
        <v>0.5</v>
      </c>
      <c r="AL14" s="10">
        <v>0.13450000000000001</v>
      </c>
      <c r="AM14" s="9">
        <v>12434450652.120001</v>
      </c>
      <c r="AN14" s="10">
        <v>0.49473641694770998</v>
      </c>
      <c r="AO14" s="10">
        <v>0.5</v>
      </c>
      <c r="AP14" s="10">
        <v>5.3E-3</v>
      </c>
      <c r="AQ14" s="9">
        <v>19174088882.43</v>
      </c>
      <c r="AR14" s="10">
        <v>0.44005257488161997</v>
      </c>
      <c r="AS14" s="10">
        <v>0.5</v>
      </c>
      <c r="AT14" s="10">
        <v>5.9900000000000002E-2</v>
      </c>
      <c r="AU14" s="9">
        <v>14314458214.66</v>
      </c>
      <c r="AV14" s="10">
        <v>0.27332603992649002</v>
      </c>
      <c r="AW14" s="10">
        <v>0.5</v>
      </c>
      <c r="AX14" s="10">
        <v>0.22670000000000001</v>
      </c>
      <c r="AY14" s="9">
        <v>241450856043.19</v>
      </c>
      <c r="AZ14" s="10">
        <v>0.29259136747020997</v>
      </c>
      <c r="BA14" s="10">
        <v>0.5</v>
      </c>
      <c r="BB14" s="10">
        <v>0.2074</v>
      </c>
    </row>
    <row r="15" spans="1:54" s="7" customFormat="1">
      <c r="A15" s="3" t="s">
        <v>33</v>
      </c>
      <c r="B15" s="23" t="s">
        <v>29</v>
      </c>
      <c r="C15" s="2">
        <v>720036751.03999996</v>
      </c>
      <c r="D15" s="1">
        <v>0.29258947539912999</v>
      </c>
      <c r="E15" s="10" t="s">
        <v>26</v>
      </c>
      <c r="F15" s="10" t="s">
        <v>26</v>
      </c>
      <c r="G15" s="2">
        <v>14600208821.52</v>
      </c>
      <c r="H15" s="1">
        <v>0.29758502235773998</v>
      </c>
      <c r="I15" s="1" t="s">
        <v>26</v>
      </c>
      <c r="J15" s="1" t="s">
        <v>26</v>
      </c>
      <c r="K15" s="2">
        <v>223376242.80000001</v>
      </c>
      <c r="L15" s="1">
        <v>0.25026499936621999</v>
      </c>
      <c r="M15" s="1" t="s">
        <v>26</v>
      </c>
      <c r="N15" s="1" t="s">
        <v>26</v>
      </c>
      <c r="O15" s="2">
        <v>18607325092.560001</v>
      </c>
      <c r="P15" s="1">
        <v>0.28187660080451998</v>
      </c>
      <c r="Q15" s="1" t="s">
        <v>26</v>
      </c>
      <c r="R15" s="1" t="s">
        <v>26</v>
      </c>
      <c r="S15" s="2">
        <v>10690884030.15</v>
      </c>
      <c r="T15" s="1">
        <v>0.29787314677533999</v>
      </c>
      <c r="U15" s="1" t="s">
        <v>26</v>
      </c>
      <c r="V15" s="1" t="s">
        <v>26</v>
      </c>
      <c r="W15" s="2">
        <v>1133457921.53</v>
      </c>
      <c r="X15" s="1">
        <v>0.33805319675959999</v>
      </c>
      <c r="Y15" s="1" t="s">
        <v>26</v>
      </c>
      <c r="Z15" s="1" t="s">
        <v>26</v>
      </c>
      <c r="AA15" s="2">
        <v>18157644867.639999</v>
      </c>
      <c r="AB15" s="1">
        <v>0.36105449325925998</v>
      </c>
      <c r="AC15" s="1" t="s">
        <v>26</v>
      </c>
      <c r="AD15" s="1" t="s">
        <v>26</v>
      </c>
      <c r="AE15" s="2">
        <v>64132933727.239998</v>
      </c>
      <c r="AF15" s="1">
        <v>0.30838729408347998</v>
      </c>
      <c r="AG15" s="1" t="s">
        <v>26</v>
      </c>
      <c r="AH15" s="1" t="s">
        <v>26</v>
      </c>
      <c r="AI15" s="2">
        <v>1598497339.51</v>
      </c>
      <c r="AJ15" s="1">
        <v>0.23717850793847001</v>
      </c>
      <c r="AK15" s="1" t="s">
        <v>26</v>
      </c>
      <c r="AL15" s="1" t="s">
        <v>26</v>
      </c>
      <c r="AM15" s="2">
        <v>6312975746.6899996</v>
      </c>
      <c r="AN15" s="1">
        <v>0.50770041422084999</v>
      </c>
      <c r="AO15" s="1" t="s">
        <v>26</v>
      </c>
      <c r="AP15" s="1" t="s">
        <v>26</v>
      </c>
      <c r="AQ15" s="2">
        <v>7911473086.1999998</v>
      </c>
      <c r="AR15" s="1">
        <v>0.41261272620101003</v>
      </c>
      <c r="AS15" s="1" t="s">
        <v>26</v>
      </c>
      <c r="AT15" s="1" t="s">
        <v>26</v>
      </c>
      <c r="AU15" s="2">
        <v>6127155462.6599998</v>
      </c>
      <c r="AV15" s="1">
        <v>0.42803963452734001</v>
      </c>
      <c r="AW15" s="1" t="s">
        <v>26</v>
      </c>
      <c r="AX15" s="1" t="s">
        <v>26</v>
      </c>
      <c r="AY15" s="2">
        <v>78171562276.100006</v>
      </c>
      <c r="AZ15" s="1">
        <v>0.32375765220776997</v>
      </c>
      <c r="BA15" s="1" t="s">
        <v>26</v>
      </c>
      <c r="BB15" s="1" t="s">
        <v>26</v>
      </c>
    </row>
    <row r="16" spans="1:54" s="25" customFormat="1">
      <c r="A16" s="3" t="s">
        <v>34</v>
      </c>
      <c r="B16" s="23" t="s">
        <v>35</v>
      </c>
      <c r="C16" s="2" t="s">
        <v>26</v>
      </c>
      <c r="D16" s="1" t="s">
        <v>26</v>
      </c>
      <c r="E16" s="10" t="s">
        <v>26</v>
      </c>
      <c r="F16" s="10" t="s">
        <v>26</v>
      </c>
      <c r="G16" s="2">
        <v>2901339112.6599998</v>
      </c>
      <c r="H16" s="1">
        <v>5.9135802457549999E-2</v>
      </c>
      <c r="I16" s="1" t="s">
        <v>26</v>
      </c>
      <c r="J16" s="1" t="s">
        <v>26</v>
      </c>
      <c r="K16" s="2">
        <v>43593182.25</v>
      </c>
      <c r="L16" s="1">
        <v>4.8840680599749997E-2</v>
      </c>
      <c r="M16" s="1" t="s">
        <v>26</v>
      </c>
      <c r="N16" s="1" t="s">
        <v>26</v>
      </c>
      <c r="O16" s="2">
        <v>1910513807.2</v>
      </c>
      <c r="P16" s="1">
        <v>2.8941781534139999E-2</v>
      </c>
      <c r="Q16" s="1" t="s">
        <v>26</v>
      </c>
      <c r="R16" s="1" t="s">
        <v>26</v>
      </c>
      <c r="S16" s="2" t="s">
        <v>26</v>
      </c>
      <c r="T16" s="1" t="s">
        <v>26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10036387575.209999</v>
      </c>
      <c r="AB16" s="1">
        <v>0.19956788760524</v>
      </c>
      <c r="AC16" s="1" t="s">
        <v>26</v>
      </c>
      <c r="AD16" s="1" t="s">
        <v>26</v>
      </c>
      <c r="AE16" s="2">
        <v>14891833677.32</v>
      </c>
      <c r="AF16" s="1">
        <v>7.1608330147840002E-2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1219997053.48</v>
      </c>
      <c r="AN16" s="1">
        <v>9.811427039376E-2</v>
      </c>
      <c r="AO16" s="1" t="s">
        <v>26</v>
      </c>
      <c r="AP16" s="1" t="s">
        <v>26</v>
      </c>
      <c r="AQ16" s="2">
        <v>1219997053.48</v>
      </c>
      <c r="AR16" s="1">
        <v>6.362738073035E-2</v>
      </c>
      <c r="AS16" s="1" t="s">
        <v>26</v>
      </c>
      <c r="AT16" s="1" t="s">
        <v>26</v>
      </c>
      <c r="AU16" s="2" t="s">
        <v>26</v>
      </c>
      <c r="AV16" s="1" t="s">
        <v>26</v>
      </c>
      <c r="AW16" s="1" t="s">
        <v>26</v>
      </c>
      <c r="AX16" s="1" t="s">
        <v>26</v>
      </c>
      <c r="AY16" s="2">
        <v>16111830730.799999</v>
      </c>
      <c r="AZ16" s="1">
        <v>6.6729234241840005E-2</v>
      </c>
      <c r="BA16" s="1" t="s">
        <v>26</v>
      </c>
      <c r="BB16" s="1" t="s">
        <v>26</v>
      </c>
    </row>
    <row r="17" spans="1:54" s="7" customFormat="1">
      <c r="A17" s="3" t="s">
        <v>36</v>
      </c>
      <c r="B17" s="23" t="s">
        <v>29</v>
      </c>
      <c r="C17" s="2">
        <v>1740874565.26</v>
      </c>
      <c r="D17" s="1">
        <v>0.70741052460086995</v>
      </c>
      <c r="E17" s="10" t="s">
        <v>26</v>
      </c>
      <c r="F17" s="10" t="s">
        <v>26</v>
      </c>
      <c r="G17" s="2">
        <v>31560762748.810001</v>
      </c>
      <c r="H17" s="1">
        <v>0.64327917518471001</v>
      </c>
      <c r="I17" s="1" t="s">
        <v>26</v>
      </c>
      <c r="J17" s="1" t="s">
        <v>26</v>
      </c>
      <c r="K17" s="2">
        <v>625589436.01999998</v>
      </c>
      <c r="L17" s="1">
        <v>0.70089432003401997</v>
      </c>
      <c r="M17" s="1" t="s">
        <v>26</v>
      </c>
      <c r="N17" s="1" t="s">
        <v>26</v>
      </c>
      <c r="O17" s="2">
        <v>45494469463.019997</v>
      </c>
      <c r="P17" s="1">
        <v>0.68918161766134001</v>
      </c>
      <c r="Q17" s="1" t="s">
        <v>26</v>
      </c>
      <c r="R17" s="1" t="s">
        <v>26</v>
      </c>
      <c r="S17" s="2">
        <v>25199843770.880001</v>
      </c>
      <c r="T17" s="1">
        <v>0.70212685322465995</v>
      </c>
      <c r="U17" s="1" t="s">
        <v>26</v>
      </c>
      <c r="V17" s="1" t="s">
        <v>26</v>
      </c>
      <c r="W17" s="2">
        <v>2219440179.6999998</v>
      </c>
      <c r="X17" s="1">
        <v>0.66194680324040001</v>
      </c>
      <c r="Y17" s="1" t="s">
        <v>26</v>
      </c>
      <c r="Z17" s="1" t="s">
        <v>26</v>
      </c>
      <c r="AA17" s="2">
        <v>22096561377.849998</v>
      </c>
      <c r="AB17" s="1">
        <v>0.43937761913550999</v>
      </c>
      <c r="AC17" s="1" t="s">
        <v>26</v>
      </c>
      <c r="AD17" s="1" t="s">
        <v>26</v>
      </c>
      <c r="AE17" s="2">
        <v>128937541541.53999</v>
      </c>
      <c r="AF17" s="1">
        <v>0.62000437576867995</v>
      </c>
      <c r="AG17" s="1" t="s">
        <v>26</v>
      </c>
      <c r="AH17" s="1" t="s">
        <v>26</v>
      </c>
      <c r="AI17" s="2">
        <v>5141140890.8000002</v>
      </c>
      <c r="AJ17" s="1">
        <v>0.76282149206153005</v>
      </c>
      <c r="AK17" s="1" t="s">
        <v>26</v>
      </c>
      <c r="AL17" s="1" t="s">
        <v>26</v>
      </c>
      <c r="AM17" s="2">
        <v>4901477851.9499998</v>
      </c>
      <c r="AN17" s="1">
        <v>0.39418531538538998</v>
      </c>
      <c r="AO17" s="1" t="s">
        <v>26</v>
      </c>
      <c r="AP17" s="1" t="s">
        <v>26</v>
      </c>
      <c r="AQ17" s="2">
        <v>10042618742.75</v>
      </c>
      <c r="AR17" s="1">
        <v>0.52375989306863002</v>
      </c>
      <c r="AS17" s="1" t="s">
        <v>26</v>
      </c>
      <c r="AT17" s="1" t="s">
        <v>26</v>
      </c>
      <c r="AU17" s="2">
        <v>8187302752</v>
      </c>
      <c r="AV17" s="1">
        <v>0.57196036547266005</v>
      </c>
      <c r="AW17" s="1" t="s">
        <v>26</v>
      </c>
      <c r="AX17" s="1" t="s">
        <v>26</v>
      </c>
      <c r="AY17" s="2">
        <v>147167463036.29001</v>
      </c>
      <c r="AZ17" s="1">
        <v>0.60951311355037996</v>
      </c>
      <c r="BA17" s="1" t="s">
        <v>26</v>
      </c>
      <c r="BB17" s="1" t="s">
        <v>26</v>
      </c>
    </row>
    <row r="18" spans="1:54" s="28" customFormat="1">
      <c r="A18" s="12" t="s">
        <v>37</v>
      </c>
      <c r="B18" s="40" t="s">
        <v>25</v>
      </c>
      <c r="C18" s="42">
        <v>333239440.32999998</v>
      </c>
      <c r="D18" s="43">
        <v>4.2330853134580002E-2</v>
      </c>
      <c r="E18" s="43" t="s">
        <v>26</v>
      </c>
      <c r="F18" s="43" t="s">
        <v>26</v>
      </c>
      <c r="G18" s="42">
        <v>11555707595.700001</v>
      </c>
      <c r="H18" s="43">
        <v>6.6481195203729998E-2</v>
      </c>
      <c r="I18" s="43" t="s">
        <v>26</v>
      </c>
      <c r="J18" s="43" t="s">
        <v>26</v>
      </c>
      <c r="K18" s="42">
        <v>677976885.00999999</v>
      </c>
      <c r="L18" s="43">
        <v>0.16610042336011999</v>
      </c>
      <c r="M18" s="43" t="s">
        <v>25</v>
      </c>
      <c r="N18" s="43" t="s">
        <v>25</v>
      </c>
      <c r="O18" s="42">
        <v>24384272986.599998</v>
      </c>
      <c r="P18" s="43">
        <v>9.5975744272479999E-2</v>
      </c>
      <c r="Q18" s="43" t="s">
        <v>26</v>
      </c>
      <c r="R18" s="43" t="s">
        <v>26</v>
      </c>
      <c r="S18" s="42">
        <v>5602384078.3100004</v>
      </c>
      <c r="T18" s="43">
        <v>4.4607028928909997E-2</v>
      </c>
      <c r="U18" s="43" t="s">
        <v>26</v>
      </c>
      <c r="V18" s="43" t="s">
        <v>26</v>
      </c>
      <c r="W18" s="42">
        <v>1136984827.1800001</v>
      </c>
      <c r="X18" s="43">
        <v>0.15533290447279</v>
      </c>
      <c r="Y18" s="43" t="s">
        <v>26</v>
      </c>
      <c r="Z18" s="43" t="s">
        <v>26</v>
      </c>
      <c r="AA18" s="42">
        <v>14988958599.48</v>
      </c>
      <c r="AB18" s="43">
        <v>9.5765368659670003E-2</v>
      </c>
      <c r="AC18" s="43" t="s">
        <v>26</v>
      </c>
      <c r="AD18" s="43" t="s">
        <v>26</v>
      </c>
      <c r="AE18" s="42">
        <v>58679524412.610001</v>
      </c>
      <c r="AF18" s="43">
        <v>8.0463196233270001E-2</v>
      </c>
      <c r="AG18" s="43" t="s">
        <v>26</v>
      </c>
      <c r="AH18" s="43" t="s">
        <v>26</v>
      </c>
      <c r="AI18" s="42">
        <v>979121777.37</v>
      </c>
      <c r="AJ18" s="43">
        <v>5.3101215782619997E-2</v>
      </c>
      <c r="AK18" s="43" t="s">
        <v>26</v>
      </c>
      <c r="AL18" s="43" t="s">
        <v>26</v>
      </c>
      <c r="AM18" s="42">
        <v>1661487658.99</v>
      </c>
      <c r="AN18" s="43">
        <v>6.6106535319389995E-2</v>
      </c>
      <c r="AO18" s="43" t="s">
        <v>26</v>
      </c>
      <c r="AP18" s="43" t="s">
        <v>26</v>
      </c>
      <c r="AQ18" s="42">
        <v>2640609436.3600001</v>
      </c>
      <c r="AR18" s="43">
        <v>6.0602982955379997E-2</v>
      </c>
      <c r="AS18" s="43" t="s">
        <v>26</v>
      </c>
      <c r="AT18" s="43" t="s">
        <v>26</v>
      </c>
      <c r="AU18" s="42">
        <v>3552076411.02</v>
      </c>
      <c r="AV18" s="43">
        <v>6.7824779979870006E-2</v>
      </c>
      <c r="AW18" s="43" t="s">
        <v>26</v>
      </c>
      <c r="AX18" s="43" t="s">
        <v>26</v>
      </c>
      <c r="AY18" s="42">
        <v>64872210259.989998</v>
      </c>
      <c r="AZ18" s="43">
        <v>7.8612472210040002E-2</v>
      </c>
      <c r="BA18" s="43" t="s">
        <v>26</v>
      </c>
      <c r="BB18" s="43" t="s">
        <v>26</v>
      </c>
    </row>
    <row r="19" spans="1:54" s="7" customFormat="1">
      <c r="A19" s="5" t="s">
        <v>38</v>
      </c>
      <c r="B19" s="20" t="s">
        <v>25</v>
      </c>
      <c r="C19" s="9">
        <v>11631583.550000001</v>
      </c>
      <c r="D19" s="10">
        <v>1.4775407571500001E-3</v>
      </c>
      <c r="E19" s="10">
        <v>0.15</v>
      </c>
      <c r="F19" s="10">
        <v>0.14849999999999999</v>
      </c>
      <c r="G19" s="9">
        <v>6323262534.7299995</v>
      </c>
      <c r="H19" s="10">
        <v>3.637839114692E-2</v>
      </c>
      <c r="I19" s="10">
        <v>0.15</v>
      </c>
      <c r="J19" s="10">
        <v>0.11360000000000001</v>
      </c>
      <c r="K19" s="2" t="s">
        <v>26</v>
      </c>
      <c r="L19" s="1" t="s">
        <v>26</v>
      </c>
      <c r="M19" s="1" t="s">
        <v>26</v>
      </c>
      <c r="N19" s="1" t="s">
        <v>26</v>
      </c>
      <c r="O19" s="9">
        <v>8024140991.1499996</v>
      </c>
      <c r="P19" s="10">
        <v>3.1582770755400003E-2</v>
      </c>
      <c r="Q19" s="10">
        <v>0.1424</v>
      </c>
      <c r="R19" s="10">
        <v>0.1108</v>
      </c>
      <c r="S19" s="9">
        <v>1515004883.55</v>
      </c>
      <c r="T19" s="10">
        <v>1.206269790206E-2</v>
      </c>
      <c r="U19" s="10">
        <v>0.05</v>
      </c>
      <c r="V19" s="10">
        <v>3.7900000000000003E-2</v>
      </c>
      <c r="W19" s="9">
        <v>7775337.5700000003</v>
      </c>
      <c r="X19" s="10">
        <v>1.06225319734E-3</v>
      </c>
      <c r="Y19" s="10">
        <v>0.15</v>
      </c>
      <c r="Z19" s="10">
        <v>0.1489</v>
      </c>
      <c r="AA19" s="9">
        <v>5486168957.21</v>
      </c>
      <c r="AB19" s="10">
        <v>3.5051467333739997E-2</v>
      </c>
      <c r="AC19" s="10">
        <v>0.1389</v>
      </c>
      <c r="AD19" s="10">
        <v>0.1038</v>
      </c>
      <c r="AE19" s="9">
        <v>21367984287.759998</v>
      </c>
      <c r="AF19" s="10">
        <v>2.930044730366E-2</v>
      </c>
      <c r="AG19" s="10">
        <v>0.14360000000000001</v>
      </c>
      <c r="AH19" s="10">
        <v>0.1143</v>
      </c>
      <c r="AI19" s="9">
        <v>455084278.75</v>
      </c>
      <c r="AJ19" s="10">
        <v>2.4680820142820002E-2</v>
      </c>
      <c r="AK19" s="10">
        <v>0.05</v>
      </c>
      <c r="AL19" s="10">
        <v>2.53E-2</v>
      </c>
      <c r="AM19" s="2" t="s">
        <v>26</v>
      </c>
      <c r="AN19" s="1" t="s">
        <v>26</v>
      </c>
      <c r="AO19" s="1" t="s">
        <v>26</v>
      </c>
      <c r="AP19" s="1" t="s">
        <v>26</v>
      </c>
      <c r="AQ19" s="9">
        <v>455084278.75</v>
      </c>
      <c r="AR19" s="10">
        <v>1.0444355915950001E-2</v>
      </c>
      <c r="AS19" s="10">
        <v>0.13800000000000001</v>
      </c>
      <c r="AT19" s="10">
        <v>0.12759999999999999</v>
      </c>
      <c r="AU19" s="9">
        <v>736639471.08000004</v>
      </c>
      <c r="AV19" s="10">
        <v>1.40656912378E-2</v>
      </c>
      <c r="AW19" s="10">
        <v>0.05</v>
      </c>
      <c r="AX19" s="10">
        <v>3.5900000000000001E-2</v>
      </c>
      <c r="AY19" s="9">
        <v>22559708037.59</v>
      </c>
      <c r="AZ19" s="10">
        <v>2.7337968200309998E-2</v>
      </c>
      <c r="BA19" s="10">
        <v>0.14330000000000001</v>
      </c>
      <c r="BB19" s="10">
        <v>0.11600000000000001</v>
      </c>
    </row>
    <row r="20" spans="1:54" s="7" customFormat="1">
      <c r="A20" s="3" t="s">
        <v>39</v>
      </c>
      <c r="B20" s="23" t="s">
        <v>40</v>
      </c>
      <c r="C20" s="9" t="s">
        <v>26</v>
      </c>
      <c r="D20" s="10" t="s">
        <v>26</v>
      </c>
      <c r="E20" s="9" t="s">
        <v>26</v>
      </c>
      <c r="F20" s="10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4053870400</v>
      </c>
      <c r="P20" s="1">
        <v>0.50520926844020997</v>
      </c>
      <c r="Q20" s="1" t="s">
        <v>26</v>
      </c>
      <c r="R20" s="1" t="s">
        <v>26</v>
      </c>
      <c r="S20" s="2">
        <v>999279053.60000002</v>
      </c>
      <c r="T20" s="1">
        <v>0.65958800823035002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4053870400</v>
      </c>
      <c r="AB20" s="1">
        <v>0.73892554743002004</v>
      </c>
      <c r="AC20" s="1" t="s">
        <v>26</v>
      </c>
      <c r="AD20" s="1" t="s">
        <v>26</v>
      </c>
      <c r="AE20" s="2">
        <v>9107019853.6000004</v>
      </c>
      <c r="AF20" s="1">
        <v>0.42619929568259002</v>
      </c>
      <c r="AG20" s="1" t="s">
        <v>26</v>
      </c>
      <c r="AH20" s="1" t="s">
        <v>26</v>
      </c>
      <c r="AI20" s="2">
        <v>362821400.80000001</v>
      </c>
      <c r="AJ20" s="1">
        <v>0.79726199682524002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362821400.80000001</v>
      </c>
      <c r="AR20" s="1">
        <v>0.79726199682524002</v>
      </c>
      <c r="AS20" s="1" t="s">
        <v>26</v>
      </c>
      <c r="AT20" s="1" t="s">
        <v>26</v>
      </c>
      <c r="AU20" s="2">
        <v>647605796.39999998</v>
      </c>
      <c r="AV20" s="1">
        <v>0.87913534615587996</v>
      </c>
      <c r="AW20" s="1" t="s">
        <v>26</v>
      </c>
      <c r="AX20" s="1" t="s">
        <v>26</v>
      </c>
      <c r="AY20" s="2">
        <v>10117447050.799999</v>
      </c>
      <c r="AZ20" s="1">
        <v>0.44847420161385998</v>
      </c>
      <c r="BA20" s="1" t="s">
        <v>26</v>
      </c>
      <c r="BB20" s="1" t="s">
        <v>26</v>
      </c>
    </row>
    <row r="21" spans="1:54" s="25" customFormat="1">
      <c r="A21" s="3" t="s">
        <v>41</v>
      </c>
      <c r="B21" s="23" t="s">
        <v>35</v>
      </c>
      <c r="C21" s="2">
        <v>11631583.550000001</v>
      </c>
      <c r="D21" s="1">
        <v>1</v>
      </c>
      <c r="E21" s="9" t="s">
        <v>26</v>
      </c>
      <c r="F21" s="10" t="s">
        <v>26</v>
      </c>
      <c r="G21" s="2">
        <v>6323262534.7299995</v>
      </c>
      <c r="H21" s="1">
        <v>1</v>
      </c>
      <c r="I21" s="9" t="s">
        <v>26</v>
      </c>
      <c r="J21" s="10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3970270591.1500001</v>
      </c>
      <c r="P21" s="1">
        <v>0.49479073155978998</v>
      </c>
      <c r="Q21" s="1" t="s">
        <v>26</v>
      </c>
      <c r="R21" s="1" t="s">
        <v>26</v>
      </c>
      <c r="S21" s="2">
        <v>515725829.94999999</v>
      </c>
      <c r="T21" s="1">
        <v>0.34041199176964998</v>
      </c>
      <c r="U21" s="1" t="s">
        <v>26</v>
      </c>
      <c r="V21" s="1" t="s">
        <v>26</v>
      </c>
      <c r="W21" s="2">
        <v>7775337.5700000003</v>
      </c>
      <c r="X21" s="1">
        <v>1</v>
      </c>
      <c r="Y21" s="1" t="s">
        <v>26</v>
      </c>
      <c r="Z21" s="1" t="s">
        <v>26</v>
      </c>
      <c r="AA21" s="2">
        <v>1432298557.21</v>
      </c>
      <c r="AB21" s="1">
        <v>0.26107445256998002</v>
      </c>
      <c r="AC21" s="1" t="s">
        <v>26</v>
      </c>
      <c r="AD21" s="1" t="s">
        <v>26</v>
      </c>
      <c r="AE21" s="2">
        <v>12260964434.16</v>
      </c>
      <c r="AF21" s="1">
        <v>0.57380070431741004</v>
      </c>
      <c r="AG21" s="1" t="s">
        <v>26</v>
      </c>
      <c r="AH21" s="1" t="s">
        <v>26</v>
      </c>
      <c r="AI21" s="2">
        <v>92262877.950000003</v>
      </c>
      <c r="AJ21" s="1">
        <v>0.20273800317476001</v>
      </c>
      <c r="AK21" s="1" t="s">
        <v>26</v>
      </c>
      <c r="AL21" s="1" t="s">
        <v>26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92262877.950000003</v>
      </c>
      <c r="AR21" s="1">
        <v>0.20273800317476001</v>
      </c>
      <c r="AS21" s="1" t="s">
        <v>26</v>
      </c>
      <c r="AT21" s="1" t="s">
        <v>26</v>
      </c>
      <c r="AU21" s="2">
        <v>89033674.680000007</v>
      </c>
      <c r="AV21" s="1">
        <v>0.12086465384412</v>
      </c>
      <c r="AW21" s="1" t="s">
        <v>26</v>
      </c>
      <c r="AX21" s="1" t="s">
        <v>26</v>
      </c>
      <c r="AY21" s="2">
        <v>12442260986.790001</v>
      </c>
      <c r="AZ21" s="1">
        <v>0.55152579838614002</v>
      </c>
      <c r="BA21" s="1" t="s">
        <v>26</v>
      </c>
      <c r="BB21" s="1" t="s">
        <v>26</v>
      </c>
    </row>
    <row r="22" spans="1:54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9" t="s">
        <v>26</v>
      </c>
      <c r="F22" s="10" t="s">
        <v>26</v>
      </c>
      <c r="G22" s="2" t="s">
        <v>26</v>
      </c>
      <c r="H22" s="1" t="s">
        <v>26</v>
      </c>
      <c r="I22" s="1" t="s">
        <v>26</v>
      </c>
      <c r="J22" s="1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9">
        <v>3913000.64</v>
      </c>
      <c r="T22" s="10">
        <v>3.1155902610000003E-5</v>
      </c>
      <c r="U22" s="10">
        <v>0.15</v>
      </c>
      <c r="V22" s="10">
        <v>0.15</v>
      </c>
      <c r="W22" s="9">
        <v>59254212.759999998</v>
      </c>
      <c r="X22" s="10">
        <v>8.0952082650799992E-3</v>
      </c>
      <c r="Y22" s="10">
        <v>0.15</v>
      </c>
      <c r="Z22" s="10">
        <v>0.1419</v>
      </c>
      <c r="AA22" s="9">
        <v>155499500.94</v>
      </c>
      <c r="AB22" s="10">
        <v>9.9349577458000002E-4</v>
      </c>
      <c r="AC22" s="10">
        <v>0.15</v>
      </c>
      <c r="AD22" s="10">
        <v>0.14899999999999999</v>
      </c>
      <c r="AE22" s="9">
        <v>218666714.34</v>
      </c>
      <c r="AF22" s="10">
        <v>2.9984262691000002E-4</v>
      </c>
      <c r="AG22" s="10">
        <v>0.15</v>
      </c>
      <c r="AH22" s="10">
        <v>0.1497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9">
        <v>74248088.719999999</v>
      </c>
      <c r="AV22" s="10">
        <v>1.4177229593800001E-3</v>
      </c>
      <c r="AW22" s="10">
        <v>0.15</v>
      </c>
      <c r="AX22" s="10">
        <v>0.14860000000000001</v>
      </c>
      <c r="AY22" s="9">
        <v>292914803.06</v>
      </c>
      <c r="AZ22" s="10">
        <v>3.5495563852999998E-4</v>
      </c>
      <c r="BA22" s="10">
        <v>0.15</v>
      </c>
      <c r="BB22" s="10">
        <v>0.14960000000000001</v>
      </c>
    </row>
    <row r="23" spans="1:54" s="28" customFormat="1">
      <c r="A23" s="3" t="s">
        <v>41</v>
      </c>
      <c r="B23" s="23" t="s">
        <v>35</v>
      </c>
      <c r="C23" s="9" t="s">
        <v>26</v>
      </c>
      <c r="D23" s="10" t="s">
        <v>26</v>
      </c>
      <c r="E23" s="9" t="s">
        <v>26</v>
      </c>
      <c r="F23" s="10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>
        <v>3913000.64</v>
      </c>
      <c r="T23" s="1">
        <v>1</v>
      </c>
      <c r="U23" s="1" t="s">
        <v>26</v>
      </c>
      <c r="V23" s="1" t="s">
        <v>26</v>
      </c>
      <c r="W23" s="2">
        <v>59254212.759999998</v>
      </c>
      <c r="X23" s="1">
        <v>1</v>
      </c>
      <c r="Y23" s="1" t="s">
        <v>26</v>
      </c>
      <c r="Z23" s="1" t="s">
        <v>26</v>
      </c>
      <c r="AA23" s="2">
        <v>155499500.94</v>
      </c>
      <c r="AB23" s="1">
        <v>1</v>
      </c>
      <c r="AC23" s="1" t="s">
        <v>26</v>
      </c>
      <c r="AD23" s="1" t="s">
        <v>26</v>
      </c>
      <c r="AE23" s="2">
        <v>218666714.34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>
        <v>74248088.719999999</v>
      </c>
      <c r="AV23" s="1">
        <v>1</v>
      </c>
      <c r="AW23" s="1" t="s">
        <v>26</v>
      </c>
      <c r="AX23" s="1" t="s">
        <v>26</v>
      </c>
      <c r="AY23" s="2">
        <v>292914803.06</v>
      </c>
      <c r="AZ23" s="1">
        <v>1</v>
      </c>
      <c r="BA23" s="1" t="s">
        <v>26</v>
      </c>
      <c r="BB23" s="1" t="s">
        <v>26</v>
      </c>
    </row>
    <row r="24" spans="1:54" s="7" customFormat="1">
      <c r="A24" s="5" t="s">
        <v>43</v>
      </c>
      <c r="B24" s="20" t="s">
        <v>25</v>
      </c>
      <c r="C24" s="9">
        <v>271978775.81999999</v>
      </c>
      <c r="D24" s="10">
        <v>3.4549012576530001E-2</v>
      </c>
      <c r="E24" s="10">
        <v>0.13500000000000001</v>
      </c>
      <c r="F24" s="10">
        <v>0.10050000000000001</v>
      </c>
      <c r="G24" s="2" t="s">
        <v>26</v>
      </c>
      <c r="H24" s="1" t="s">
        <v>26</v>
      </c>
      <c r="I24" s="1" t="s">
        <v>26</v>
      </c>
      <c r="J24" s="1" t="s">
        <v>26</v>
      </c>
      <c r="K24" s="9">
        <v>71170568</v>
      </c>
      <c r="L24" s="10">
        <v>1.7436378344089998E-2</v>
      </c>
      <c r="M24" s="10">
        <v>0.13500000000000001</v>
      </c>
      <c r="N24" s="10">
        <v>0.1176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9">
        <v>343149343.81999999</v>
      </c>
      <c r="AF24" s="10">
        <v>4.7053709560999999E-4</v>
      </c>
      <c r="AG24" s="10">
        <v>0.13500000000000001</v>
      </c>
      <c r="AH24" s="10">
        <v>0.13450000000000001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9">
        <v>343149343.81999999</v>
      </c>
      <c r="AZ24" s="10">
        <v>4.1583010886999999E-4</v>
      </c>
      <c r="BA24" s="10">
        <v>0.13500000000000001</v>
      </c>
      <c r="BB24" s="10">
        <v>0.1346</v>
      </c>
    </row>
    <row r="25" spans="1:54" s="7" customFormat="1">
      <c r="A25" s="3" t="s">
        <v>41</v>
      </c>
      <c r="B25" s="23" t="s">
        <v>44</v>
      </c>
      <c r="C25" s="2">
        <v>271978775.81999999</v>
      </c>
      <c r="D25" s="1">
        <v>1</v>
      </c>
      <c r="E25" s="9" t="s">
        <v>26</v>
      </c>
      <c r="F25" s="10" t="s">
        <v>26</v>
      </c>
      <c r="G25" s="2" t="s">
        <v>26</v>
      </c>
      <c r="H25" s="1" t="s">
        <v>26</v>
      </c>
      <c r="I25" s="1" t="s">
        <v>26</v>
      </c>
      <c r="J25" s="1" t="s">
        <v>26</v>
      </c>
      <c r="K25" s="2">
        <v>71170568</v>
      </c>
      <c r="L25" s="1">
        <v>1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343149343.81999999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343149343.81999999</v>
      </c>
      <c r="AZ25" s="1">
        <v>1</v>
      </c>
      <c r="BA25" s="1" t="s">
        <v>26</v>
      </c>
      <c r="BB25" s="1" t="s">
        <v>26</v>
      </c>
    </row>
    <row r="26" spans="1:54" s="7" customFormat="1">
      <c r="A26" s="5" t="s">
        <v>45</v>
      </c>
      <c r="B26" s="20" t="s">
        <v>25</v>
      </c>
      <c r="C26" s="9">
        <v>20294365.800000001</v>
      </c>
      <c r="D26" s="10">
        <v>2.5779596115300001E-3</v>
      </c>
      <c r="E26" s="10">
        <v>0.13500000000000001</v>
      </c>
      <c r="F26" s="10">
        <v>0.13239999999999999</v>
      </c>
      <c r="G26" s="9">
        <v>1462425668.0999999</v>
      </c>
      <c r="H26" s="10">
        <v>8.4134879241899996E-3</v>
      </c>
      <c r="I26" s="10">
        <v>0.13500000000000001</v>
      </c>
      <c r="J26" s="10">
        <v>0.12659999999999999</v>
      </c>
      <c r="K26" s="2" t="s">
        <v>26</v>
      </c>
      <c r="L26" s="1" t="s">
        <v>26</v>
      </c>
      <c r="M26" s="1" t="s">
        <v>26</v>
      </c>
      <c r="N26" s="1" t="s">
        <v>26</v>
      </c>
      <c r="O26" s="9">
        <v>6946771599.1899996</v>
      </c>
      <c r="P26" s="10">
        <v>2.7342278151559998E-2</v>
      </c>
      <c r="Q26" s="10">
        <v>0.14649999999999999</v>
      </c>
      <c r="R26" s="10">
        <v>0.1192</v>
      </c>
      <c r="S26" s="9">
        <v>1215306706.4400001</v>
      </c>
      <c r="T26" s="10">
        <v>9.6764557113399995E-3</v>
      </c>
      <c r="U26" s="10">
        <v>0.14000000000000001</v>
      </c>
      <c r="V26" s="10">
        <v>0.1303</v>
      </c>
      <c r="W26" s="2" t="s">
        <v>26</v>
      </c>
      <c r="X26" s="1" t="s">
        <v>26</v>
      </c>
      <c r="Y26" s="1" t="s">
        <v>26</v>
      </c>
      <c r="Z26" s="1" t="s">
        <v>26</v>
      </c>
      <c r="AA26" s="9">
        <v>3030230922.6599998</v>
      </c>
      <c r="AB26" s="10">
        <v>1.9360329772509999E-2</v>
      </c>
      <c r="AC26" s="10">
        <v>0.05</v>
      </c>
      <c r="AD26" s="10">
        <v>3.0599999999999999E-2</v>
      </c>
      <c r="AE26" s="9">
        <v>12675029262.190001</v>
      </c>
      <c r="AF26" s="10">
        <v>1.7380395921660002E-2</v>
      </c>
      <c r="AG26" s="10">
        <v>0.1434</v>
      </c>
      <c r="AH26" s="10">
        <v>0.126</v>
      </c>
      <c r="AI26" s="9">
        <v>11502555.619999999</v>
      </c>
      <c r="AJ26" s="10">
        <v>6.2382402489999996E-4</v>
      </c>
      <c r="AK26" s="10">
        <v>0.15</v>
      </c>
      <c r="AL26" s="10">
        <v>0.14940000000000001</v>
      </c>
      <c r="AM26" s="2" t="s">
        <v>26</v>
      </c>
      <c r="AN26" s="1" t="s">
        <v>26</v>
      </c>
      <c r="AO26" s="1" t="s">
        <v>26</v>
      </c>
      <c r="AP26" s="1" t="s">
        <v>26</v>
      </c>
      <c r="AQ26" s="9">
        <v>11502555.619999999</v>
      </c>
      <c r="AR26" s="10">
        <v>2.6398799178000001E-4</v>
      </c>
      <c r="AS26" s="10">
        <v>0.15</v>
      </c>
      <c r="AT26" s="10">
        <v>0.1497</v>
      </c>
      <c r="AU26" s="9">
        <v>1383375125.98</v>
      </c>
      <c r="AV26" s="10">
        <v>2.641472274023E-2</v>
      </c>
      <c r="AW26" s="10">
        <v>0.13950000000000001</v>
      </c>
      <c r="AX26" s="10">
        <v>0.11310000000000001</v>
      </c>
      <c r="AY26" s="9">
        <v>14069906943.790001</v>
      </c>
      <c r="AZ26" s="10">
        <v>1.704998433356E-2</v>
      </c>
      <c r="BA26" s="10">
        <v>0.14299999999999999</v>
      </c>
      <c r="BB26" s="10">
        <v>0.126</v>
      </c>
    </row>
    <row r="27" spans="1:54" s="7" customFormat="1">
      <c r="A27" s="3" t="s">
        <v>39</v>
      </c>
      <c r="B27" s="23" t="s">
        <v>40</v>
      </c>
      <c r="C27" s="2">
        <v>20294365.800000001</v>
      </c>
      <c r="D27" s="1">
        <v>1</v>
      </c>
      <c r="E27" s="9" t="s">
        <v>26</v>
      </c>
      <c r="F27" s="10" t="s">
        <v>26</v>
      </c>
      <c r="G27" s="2">
        <v>1462425668.0999999</v>
      </c>
      <c r="H27" s="1">
        <v>1</v>
      </c>
      <c r="I27" s="9" t="s">
        <v>26</v>
      </c>
      <c r="J27" s="10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1626422368.5</v>
      </c>
      <c r="P27" s="1">
        <v>0.23412636291218</v>
      </c>
      <c r="Q27" s="1" t="s">
        <v>26</v>
      </c>
      <c r="R27" s="1" t="s">
        <v>26</v>
      </c>
      <c r="S27" s="2">
        <v>812595519</v>
      </c>
      <c r="T27" s="1">
        <v>0.66863411079195001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1652006937.96</v>
      </c>
      <c r="AB27" s="1">
        <v>0.54517526225685997</v>
      </c>
      <c r="AC27" s="1" t="s">
        <v>26</v>
      </c>
      <c r="AD27" s="1" t="s">
        <v>26</v>
      </c>
      <c r="AE27" s="2">
        <v>5573744859.3599997</v>
      </c>
      <c r="AF27" s="1">
        <v>0.43974216895787999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967265923.5</v>
      </c>
      <c r="AV27" s="1">
        <v>0.69920725429755004</v>
      </c>
      <c r="AW27" s="1" t="s">
        <v>26</v>
      </c>
      <c r="AX27" s="1" t="s">
        <v>26</v>
      </c>
      <c r="AY27" s="2">
        <v>6541010782.8599997</v>
      </c>
      <c r="AZ27" s="1">
        <v>0.46489367761931</v>
      </c>
      <c r="BA27" s="1" t="s">
        <v>26</v>
      </c>
      <c r="BB27" s="1" t="s">
        <v>26</v>
      </c>
    </row>
    <row r="28" spans="1:54" s="7" customFormat="1">
      <c r="A28" s="3" t="s">
        <v>41</v>
      </c>
      <c r="B28" s="23" t="s">
        <v>35</v>
      </c>
      <c r="C28" s="9" t="s">
        <v>26</v>
      </c>
      <c r="D28" s="10" t="s">
        <v>26</v>
      </c>
      <c r="E28" s="9" t="s">
        <v>26</v>
      </c>
      <c r="F28" s="10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>
        <v>5320349230.6899996</v>
      </c>
      <c r="P28" s="1">
        <v>0.76587363708781997</v>
      </c>
      <c r="Q28" s="1" t="s">
        <v>26</v>
      </c>
      <c r="R28" s="1" t="s">
        <v>26</v>
      </c>
      <c r="S28" s="2">
        <v>402711187.44</v>
      </c>
      <c r="T28" s="1">
        <v>0.33136588920804999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1378223984.7</v>
      </c>
      <c r="AB28" s="1">
        <v>0.45482473774313997</v>
      </c>
      <c r="AC28" s="1" t="s">
        <v>26</v>
      </c>
      <c r="AD28" s="1" t="s">
        <v>26</v>
      </c>
      <c r="AE28" s="2">
        <v>7101284402.8299999</v>
      </c>
      <c r="AF28" s="1">
        <v>0.56025783104212001</v>
      </c>
      <c r="AG28" s="1" t="s">
        <v>26</v>
      </c>
      <c r="AH28" s="1" t="s">
        <v>26</v>
      </c>
      <c r="AI28" s="2">
        <v>11502555.619999999</v>
      </c>
      <c r="AJ28" s="1">
        <v>1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>
        <v>11502555.619999999</v>
      </c>
      <c r="AR28" s="1">
        <v>1</v>
      </c>
      <c r="AS28" s="1" t="s">
        <v>26</v>
      </c>
      <c r="AT28" s="1" t="s">
        <v>26</v>
      </c>
      <c r="AU28" s="2">
        <v>416109202.48000002</v>
      </c>
      <c r="AV28" s="1">
        <v>0.30079274570245002</v>
      </c>
      <c r="AW28" s="1" t="s">
        <v>26</v>
      </c>
      <c r="AX28" s="1" t="s">
        <v>26</v>
      </c>
      <c r="AY28" s="2">
        <v>7528896160.9300003</v>
      </c>
      <c r="AZ28" s="1">
        <v>0.53510632238069</v>
      </c>
      <c r="BA28" s="1" t="s">
        <v>26</v>
      </c>
      <c r="BB28" s="1" t="s">
        <v>26</v>
      </c>
    </row>
    <row r="29" spans="1:54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9" t="s">
        <v>26</v>
      </c>
      <c r="F29" s="10" t="s">
        <v>26</v>
      </c>
      <c r="G29" s="2" t="s">
        <v>26</v>
      </c>
      <c r="H29" s="1" t="s">
        <v>26</v>
      </c>
      <c r="I29" s="1" t="s">
        <v>26</v>
      </c>
      <c r="J29" s="1" t="s">
        <v>26</v>
      </c>
      <c r="K29" s="9">
        <v>102738471.38</v>
      </c>
      <c r="L29" s="10">
        <v>2.517033245365E-2</v>
      </c>
      <c r="M29" s="10">
        <v>0.13500000000000001</v>
      </c>
      <c r="N29" s="10">
        <v>0.10979999999999999</v>
      </c>
      <c r="O29" s="2" t="s">
        <v>26</v>
      </c>
      <c r="P29" s="1" t="s">
        <v>26</v>
      </c>
      <c r="Q29" s="1" t="s">
        <v>26</v>
      </c>
      <c r="R29" s="1" t="s">
        <v>26</v>
      </c>
      <c r="S29" s="9">
        <v>16477510.48</v>
      </c>
      <c r="T29" s="10">
        <v>1.3119642929999999E-4</v>
      </c>
      <c r="U29" s="10">
        <v>0.13500000000000001</v>
      </c>
      <c r="V29" s="10">
        <v>0.13489999999999999</v>
      </c>
      <c r="W29" s="2" t="s">
        <v>26</v>
      </c>
      <c r="X29" s="1" t="s">
        <v>26</v>
      </c>
      <c r="Y29" s="1" t="s">
        <v>26</v>
      </c>
      <c r="Z29" s="1" t="s">
        <v>26</v>
      </c>
      <c r="AA29" s="2" t="s">
        <v>26</v>
      </c>
      <c r="AB29" s="1" t="s">
        <v>26</v>
      </c>
      <c r="AC29" s="1" t="s">
        <v>26</v>
      </c>
      <c r="AD29" s="1" t="s">
        <v>26</v>
      </c>
      <c r="AE29" s="9">
        <v>119215981.86</v>
      </c>
      <c r="AF29" s="10">
        <v>1.6347267703E-4</v>
      </c>
      <c r="AG29" s="10">
        <v>0.13500000000000001</v>
      </c>
      <c r="AH29" s="10">
        <v>0.1348</v>
      </c>
      <c r="AI29" s="2" t="s">
        <v>26</v>
      </c>
      <c r="AJ29" s="1" t="s">
        <v>26</v>
      </c>
      <c r="AK29" s="1" t="s">
        <v>26</v>
      </c>
      <c r="AL29" s="1" t="s">
        <v>26</v>
      </c>
      <c r="AM29" s="9">
        <v>672995696.19000006</v>
      </c>
      <c r="AN29" s="10">
        <v>2.6776854777860001E-2</v>
      </c>
      <c r="AO29" s="10">
        <v>0.13500000000000001</v>
      </c>
      <c r="AP29" s="10">
        <v>0.1082</v>
      </c>
      <c r="AQ29" s="9">
        <v>672995696.19000006</v>
      </c>
      <c r="AR29" s="10">
        <v>1.5445505171510001E-2</v>
      </c>
      <c r="AS29" s="10">
        <v>0.13500000000000001</v>
      </c>
      <c r="AT29" s="10">
        <v>0.1196</v>
      </c>
      <c r="AU29" s="9">
        <v>5626466.9900000002</v>
      </c>
      <c r="AV29" s="10">
        <v>1.0743403055E-4</v>
      </c>
      <c r="AW29" s="10">
        <v>0.13500000000000001</v>
      </c>
      <c r="AX29" s="10">
        <v>0.13489999999999999</v>
      </c>
      <c r="AY29" s="9">
        <v>797838145.03999996</v>
      </c>
      <c r="AZ29" s="10">
        <v>9.6682429585000001E-4</v>
      </c>
      <c r="BA29" s="10">
        <v>0.13500000000000001</v>
      </c>
      <c r="BB29" s="10">
        <v>0.13400000000000001</v>
      </c>
    </row>
    <row r="30" spans="1:54" s="7" customFormat="1">
      <c r="A30" s="3" t="s">
        <v>41</v>
      </c>
      <c r="B30" s="23" t="s">
        <v>44</v>
      </c>
      <c r="C30" s="9" t="s">
        <v>26</v>
      </c>
      <c r="D30" s="10" t="s">
        <v>26</v>
      </c>
      <c r="E30" s="9" t="s">
        <v>26</v>
      </c>
      <c r="F30" s="10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>
        <v>102738471.38</v>
      </c>
      <c r="L30" s="1">
        <v>1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16477510.48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119215981.86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672995696.19000006</v>
      </c>
      <c r="AN30" s="1">
        <v>1</v>
      </c>
      <c r="AO30" s="1" t="s">
        <v>26</v>
      </c>
      <c r="AP30" s="1" t="s">
        <v>26</v>
      </c>
      <c r="AQ30" s="2">
        <v>672995696.19000006</v>
      </c>
      <c r="AR30" s="1">
        <v>1</v>
      </c>
      <c r="AS30" s="1" t="s">
        <v>26</v>
      </c>
      <c r="AT30" s="1" t="s">
        <v>26</v>
      </c>
      <c r="AU30" s="2">
        <v>5626466.9900000002</v>
      </c>
      <c r="AV30" s="1">
        <v>1</v>
      </c>
      <c r="AW30" s="1" t="s">
        <v>26</v>
      </c>
      <c r="AX30" s="1" t="s">
        <v>26</v>
      </c>
      <c r="AY30" s="2">
        <v>797838145.03999996</v>
      </c>
      <c r="AZ30" s="1">
        <v>1</v>
      </c>
      <c r="BA30" s="1" t="s">
        <v>26</v>
      </c>
      <c r="BB30" s="1" t="s">
        <v>26</v>
      </c>
    </row>
    <row r="31" spans="1:54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9" t="s">
        <v>26</v>
      </c>
      <c r="F31" s="10" t="s">
        <v>26</v>
      </c>
      <c r="G31" s="9">
        <v>20019106.989999998</v>
      </c>
      <c r="H31" s="10">
        <v>1.1517201769000001E-4</v>
      </c>
      <c r="I31" s="10">
        <v>0.13500000000000001</v>
      </c>
      <c r="J31" s="10">
        <v>0.13489999999999999</v>
      </c>
      <c r="K31" s="9">
        <v>180154672.94999999</v>
      </c>
      <c r="L31" s="10">
        <v>4.4136854970889997E-2</v>
      </c>
      <c r="M31" s="10">
        <v>0.13500000000000001</v>
      </c>
      <c r="N31" s="10">
        <v>9.0899999999999995E-2</v>
      </c>
      <c r="O31" s="2" t="s">
        <v>26</v>
      </c>
      <c r="P31" s="1" t="s">
        <v>26</v>
      </c>
      <c r="Q31" s="1" t="s">
        <v>26</v>
      </c>
      <c r="R31" s="1" t="s">
        <v>26</v>
      </c>
      <c r="S31" s="2" t="s">
        <v>26</v>
      </c>
      <c r="T31" s="1" t="s">
        <v>26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9">
        <v>200173779.94</v>
      </c>
      <c r="AF31" s="10">
        <v>2.7448453779E-4</v>
      </c>
      <c r="AG31" s="10">
        <v>0.13500000000000001</v>
      </c>
      <c r="AH31" s="10">
        <v>0.13469999999999999</v>
      </c>
      <c r="AI31" s="9">
        <v>6113757.8200000003</v>
      </c>
      <c r="AJ31" s="10">
        <v>3.3157057757999999E-4</v>
      </c>
      <c r="AK31" s="10">
        <v>0.13500000000000001</v>
      </c>
      <c r="AL31" s="10">
        <v>0.13469999999999999</v>
      </c>
      <c r="AM31" s="2" t="s">
        <v>26</v>
      </c>
      <c r="AN31" s="1" t="s">
        <v>26</v>
      </c>
      <c r="AO31" s="1" t="s">
        <v>26</v>
      </c>
      <c r="AP31" s="1" t="s">
        <v>26</v>
      </c>
      <c r="AQ31" s="9">
        <v>6113757.8200000003</v>
      </c>
      <c r="AR31" s="10">
        <v>1.403130489E-4</v>
      </c>
      <c r="AS31" s="10">
        <v>0.13500000000000001</v>
      </c>
      <c r="AT31" s="10">
        <v>0.13489999999999999</v>
      </c>
      <c r="AU31" s="2" t="s">
        <v>26</v>
      </c>
      <c r="AV31" s="1" t="s">
        <v>26</v>
      </c>
      <c r="AW31" s="1" t="s">
        <v>26</v>
      </c>
      <c r="AX31" s="1" t="s">
        <v>26</v>
      </c>
      <c r="AY31" s="9">
        <v>206287537.75999999</v>
      </c>
      <c r="AZ31" s="10">
        <v>2.4998028067999998E-4</v>
      </c>
      <c r="BA31" s="10">
        <v>0.13500000000000001</v>
      </c>
      <c r="BB31" s="10">
        <v>0.1348</v>
      </c>
    </row>
    <row r="32" spans="1:54" s="7" customFormat="1">
      <c r="A32" s="3" t="s">
        <v>41</v>
      </c>
      <c r="B32" s="23" t="s">
        <v>44</v>
      </c>
      <c r="C32" s="9" t="s">
        <v>26</v>
      </c>
      <c r="D32" s="10" t="s">
        <v>26</v>
      </c>
      <c r="E32" s="9" t="s">
        <v>26</v>
      </c>
      <c r="F32" s="10" t="s">
        <v>26</v>
      </c>
      <c r="G32" s="2">
        <v>20019106.989999998</v>
      </c>
      <c r="H32" s="1">
        <v>1</v>
      </c>
      <c r="I32" s="9" t="s">
        <v>26</v>
      </c>
      <c r="J32" s="10" t="s">
        <v>26</v>
      </c>
      <c r="K32" s="2">
        <v>180154672.94999999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200173779.94</v>
      </c>
      <c r="AF32" s="1">
        <v>1</v>
      </c>
      <c r="AG32" s="1" t="s">
        <v>26</v>
      </c>
      <c r="AH32" s="1" t="s">
        <v>26</v>
      </c>
      <c r="AI32" s="2">
        <v>6113757.8200000003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6113757.8200000003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206287537.75999999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9" t="s">
        <v>26</v>
      </c>
      <c r="F33" s="10" t="s">
        <v>26</v>
      </c>
      <c r="G33" s="9">
        <v>200196703.38999999</v>
      </c>
      <c r="H33" s="10">
        <v>1.1517525869400001E-3</v>
      </c>
      <c r="I33" s="49">
        <v>0.13500000000000001</v>
      </c>
      <c r="J33" s="10">
        <v>0.1338</v>
      </c>
      <c r="K33" s="9">
        <v>200302063.43000001</v>
      </c>
      <c r="L33" s="10">
        <v>4.907284934226E-2</v>
      </c>
      <c r="M33" s="10">
        <v>0.13500000000000001</v>
      </c>
      <c r="N33" s="10">
        <v>8.5900000000000004E-2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9">
        <v>50774517.700000003</v>
      </c>
      <c r="AB33" s="10">
        <v>3.2440148352000001E-4</v>
      </c>
      <c r="AC33" s="10">
        <v>0.13500000000000001</v>
      </c>
      <c r="AD33" s="10">
        <v>0.13469999999999999</v>
      </c>
      <c r="AE33" s="9">
        <v>451273284.51999998</v>
      </c>
      <c r="AF33" s="10">
        <v>6.1880001944000004E-4</v>
      </c>
      <c r="AG33" s="10">
        <v>0.13500000000000001</v>
      </c>
      <c r="AH33" s="10">
        <v>0.13439999999999999</v>
      </c>
      <c r="AI33" s="9">
        <v>20488546.460000001</v>
      </c>
      <c r="AJ33" s="10">
        <v>1.1111658955900001E-3</v>
      </c>
      <c r="AK33" s="10">
        <v>0.13500000000000001</v>
      </c>
      <c r="AL33" s="10">
        <v>0.13389999999999999</v>
      </c>
      <c r="AM33" s="2" t="s">
        <v>26</v>
      </c>
      <c r="AN33" s="1" t="s">
        <v>26</v>
      </c>
      <c r="AO33" s="1" t="s">
        <v>26</v>
      </c>
      <c r="AP33" s="1" t="s">
        <v>26</v>
      </c>
      <c r="AQ33" s="9">
        <v>20488546.460000001</v>
      </c>
      <c r="AR33" s="10">
        <v>4.7021987227999999E-4</v>
      </c>
      <c r="AS33" s="10">
        <v>0.13500000000000001</v>
      </c>
      <c r="AT33" s="10">
        <v>0.13450000000000001</v>
      </c>
      <c r="AU33" s="2" t="s">
        <v>26</v>
      </c>
      <c r="AV33" s="1" t="s">
        <v>26</v>
      </c>
      <c r="AW33" s="1" t="s">
        <v>26</v>
      </c>
      <c r="AX33" s="1" t="s">
        <v>26</v>
      </c>
      <c r="AY33" s="9">
        <v>471761830.98000002</v>
      </c>
      <c r="AZ33" s="10">
        <v>5.7168337071999997E-4</v>
      </c>
      <c r="BA33" s="10">
        <v>0.13500000000000001</v>
      </c>
      <c r="BB33" s="10">
        <v>0.13439999999999999</v>
      </c>
    </row>
    <row r="34" spans="1:54" s="7" customFormat="1">
      <c r="A34" s="3" t="s">
        <v>41</v>
      </c>
      <c r="B34" s="23" t="s">
        <v>44</v>
      </c>
      <c r="C34" s="9" t="s">
        <v>26</v>
      </c>
      <c r="D34" s="10" t="s">
        <v>26</v>
      </c>
      <c r="E34" s="9" t="s">
        <v>26</v>
      </c>
      <c r="F34" s="10" t="s">
        <v>26</v>
      </c>
      <c r="G34" s="9">
        <v>200196703.38999999</v>
      </c>
      <c r="H34" s="10">
        <v>1</v>
      </c>
      <c r="I34" s="9" t="s">
        <v>26</v>
      </c>
      <c r="J34" s="10" t="s">
        <v>26</v>
      </c>
      <c r="K34" s="2">
        <v>200302063.43000001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50774517.700000003</v>
      </c>
      <c r="AB34" s="1">
        <v>1</v>
      </c>
      <c r="AC34" s="1" t="s">
        <v>26</v>
      </c>
      <c r="AD34" s="1" t="s">
        <v>26</v>
      </c>
      <c r="AE34" s="2">
        <v>451273284.51999998</v>
      </c>
      <c r="AF34" s="1">
        <v>1</v>
      </c>
      <c r="AG34" s="1" t="s">
        <v>26</v>
      </c>
      <c r="AH34" s="1" t="s">
        <v>26</v>
      </c>
      <c r="AI34" s="2">
        <v>20488546.460000001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20488546.460000001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471761830.98000002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4691844.25</v>
      </c>
      <c r="D35" s="10">
        <v>5.9599718953E-4</v>
      </c>
      <c r="E35" s="10">
        <v>0.13500000000000001</v>
      </c>
      <c r="F35" s="10">
        <v>0.13439999999999999</v>
      </c>
      <c r="G35" s="9">
        <v>831642717.20000005</v>
      </c>
      <c r="H35" s="10">
        <v>4.78452759072E-3</v>
      </c>
      <c r="I35" s="10">
        <v>0.10349999999999999</v>
      </c>
      <c r="J35" s="10">
        <v>9.8699999999999996E-2</v>
      </c>
      <c r="K35" s="2" t="s">
        <v>26</v>
      </c>
      <c r="L35" s="1" t="s">
        <v>26</v>
      </c>
      <c r="M35" s="1" t="s">
        <v>26</v>
      </c>
      <c r="N35" s="1" t="s">
        <v>26</v>
      </c>
      <c r="O35" s="9">
        <v>2297761164.5500002</v>
      </c>
      <c r="P35" s="10">
        <v>9.04391687418E-3</v>
      </c>
      <c r="Q35" s="10">
        <v>0.124</v>
      </c>
      <c r="R35" s="10">
        <v>0.115</v>
      </c>
      <c r="S35" s="9">
        <v>522792106.07999998</v>
      </c>
      <c r="T35" s="10">
        <v>4.1625497776899998E-3</v>
      </c>
      <c r="U35" s="10">
        <v>0.10829999999999999</v>
      </c>
      <c r="V35" s="10">
        <v>0.1041</v>
      </c>
      <c r="W35" s="2" t="s">
        <v>26</v>
      </c>
      <c r="X35" s="1" t="s">
        <v>26</v>
      </c>
      <c r="Y35" s="1" t="s">
        <v>26</v>
      </c>
      <c r="Z35" s="1" t="s">
        <v>26</v>
      </c>
      <c r="AA35" s="9">
        <v>645951329.75</v>
      </c>
      <c r="AB35" s="10">
        <v>4.1270223557700004E-3</v>
      </c>
      <c r="AC35" s="10">
        <v>9.5799999999999996E-2</v>
      </c>
      <c r="AD35" s="10">
        <v>9.1700000000000004E-2</v>
      </c>
      <c r="AE35" s="9">
        <v>4302839161.8299999</v>
      </c>
      <c r="AF35" s="10">
        <v>5.9001874214900003E-3</v>
      </c>
      <c r="AG35" s="10">
        <v>0.1139</v>
      </c>
      <c r="AH35" s="10">
        <v>0.108</v>
      </c>
      <c r="AI35" s="9">
        <v>240707892.83000001</v>
      </c>
      <c r="AJ35" s="10">
        <v>1.3054435161350001E-2</v>
      </c>
      <c r="AK35" s="10">
        <v>0.12559999999999999</v>
      </c>
      <c r="AL35" s="10">
        <v>0.1125</v>
      </c>
      <c r="AM35" s="2" t="s">
        <v>26</v>
      </c>
      <c r="AN35" s="1" t="s">
        <v>26</v>
      </c>
      <c r="AO35" s="1" t="s">
        <v>26</v>
      </c>
      <c r="AP35" s="1" t="s">
        <v>26</v>
      </c>
      <c r="AQ35" s="9">
        <v>240707892.83000001</v>
      </c>
      <c r="AR35" s="10">
        <v>5.5243369676500004E-3</v>
      </c>
      <c r="AS35" s="10">
        <v>0.12559999999999999</v>
      </c>
      <c r="AT35" s="10">
        <v>0.1201</v>
      </c>
      <c r="AU35" s="9">
        <v>202182464.34</v>
      </c>
      <c r="AV35" s="10">
        <v>3.8605535390799999E-3</v>
      </c>
      <c r="AW35" s="10">
        <v>0.13500000000000001</v>
      </c>
      <c r="AX35" s="10">
        <v>0.13109999999999999</v>
      </c>
      <c r="AY35" s="9">
        <v>4745729519</v>
      </c>
      <c r="AZ35" s="10">
        <v>5.7508990125899996E-3</v>
      </c>
      <c r="BA35" s="10">
        <v>0.1154</v>
      </c>
      <c r="BB35" s="10">
        <v>0.1096</v>
      </c>
    </row>
    <row r="36" spans="1:54" s="7" customFormat="1">
      <c r="A36" s="3" t="s">
        <v>39</v>
      </c>
      <c r="B36" s="23" t="s">
        <v>47</v>
      </c>
      <c r="C36" s="9" t="s">
        <v>26</v>
      </c>
      <c r="D36" s="10" t="s">
        <v>26</v>
      </c>
      <c r="E36" s="9" t="s">
        <v>26</v>
      </c>
      <c r="F36" s="10" t="s">
        <v>26</v>
      </c>
      <c r="G36" s="2">
        <v>581494892.52999997</v>
      </c>
      <c r="H36" s="1">
        <v>0.69921239073408004</v>
      </c>
      <c r="I36" s="9" t="s">
        <v>26</v>
      </c>
      <c r="J36" s="10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562581560.67999995</v>
      </c>
      <c r="P36" s="1">
        <v>0.24483900649012</v>
      </c>
      <c r="Q36" s="1" t="s">
        <v>26</v>
      </c>
      <c r="R36" s="1" t="s">
        <v>26</v>
      </c>
      <c r="S36" s="2">
        <v>310374987</v>
      </c>
      <c r="T36" s="1">
        <v>0.59368721025122995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562581560.67999995</v>
      </c>
      <c r="AB36" s="1">
        <v>0.87093490603654999</v>
      </c>
      <c r="AC36" s="1" t="s">
        <v>26</v>
      </c>
      <c r="AD36" s="1" t="s">
        <v>26</v>
      </c>
      <c r="AE36" s="2">
        <v>2017033000.8900001</v>
      </c>
      <c r="AF36" s="1">
        <v>0.46876792857675997</v>
      </c>
      <c r="AG36" s="1" t="s">
        <v>26</v>
      </c>
      <c r="AH36" s="1" t="s">
        <v>26</v>
      </c>
      <c r="AI36" s="2">
        <v>50272088.5</v>
      </c>
      <c r="AJ36" s="1">
        <v>0.20885101817373999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50272088.5</v>
      </c>
      <c r="AR36" s="1">
        <v>0.20885101817373999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2067305089.3900001</v>
      </c>
      <c r="AZ36" s="1">
        <v>0.43561376203876001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4691844.25</v>
      </c>
      <c r="D37" s="1">
        <v>1</v>
      </c>
      <c r="E37" s="9" t="s">
        <v>26</v>
      </c>
      <c r="F37" s="10" t="s">
        <v>26</v>
      </c>
      <c r="G37" s="9">
        <v>250147824.66999999</v>
      </c>
      <c r="H37" s="10">
        <v>0.30078760926592002</v>
      </c>
      <c r="I37" s="9" t="s">
        <v>26</v>
      </c>
      <c r="J37" s="10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1735179603.8699999</v>
      </c>
      <c r="P37" s="1">
        <v>0.75516099350987997</v>
      </c>
      <c r="Q37" s="1" t="s">
        <v>26</v>
      </c>
      <c r="R37" s="1" t="s">
        <v>26</v>
      </c>
      <c r="S37" s="2">
        <v>212417119.08000001</v>
      </c>
      <c r="T37" s="1">
        <v>0.40631278974877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83369769.069999993</v>
      </c>
      <c r="AB37" s="1">
        <v>0.12906509396345001</v>
      </c>
      <c r="AC37" s="1" t="s">
        <v>26</v>
      </c>
      <c r="AD37" s="1" t="s">
        <v>26</v>
      </c>
      <c r="AE37" s="2">
        <v>2285806160.9400001</v>
      </c>
      <c r="AF37" s="1">
        <v>0.53123207142324003</v>
      </c>
      <c r="AG37" s="1" t="s">
        <v>26</v>
      </c>
      <c r="AH37" s="1" t="s">
        <v>26</v>
      </c>
      <c r="AI37" s="2">
        <v>190435804.33000001</v>
      </c>
      <c r="AJ37" s="1">
        <v>0.79114898182626003</v>
      </c>
      <c r="AK37" s="1" t="s">
        <v>26</v>
      </c>
      <c r="AL37" s="1" t="s">
        <v>26</v>
      </c>
      <c r="AM37" s="1" t="s">
        <v>26</v>
      </c>
      <c r="AN37" s="1" t="s">
        <v>26</v>
      </c>
      <c r="AO37" s="1" t="s">
        <v>26</v>
      </c>
      <c r="AP37" s="1" t="s">
        <v>26</v>
      </c>
      <c r="AQ37" s="2">
        <v>190435804.33000001</v>
      </c>
      <c r="AR37" s="1">
        <v>0.79114898182626003</v>
      </c>
      <c r="AS37" s="1" t="s">
        <v>26</v>
      </c>
      <c r="AT37" s="1" t="s">
        <v>26</v>
      </c>
      <c r="AU37" s="2">
        <v>202182464.34</v>
      </c>
      <c r="AV37" s="1">
        <v>1</v>
      </c>
      <c r="AW37" s="1" t="s">
        <v>26</v>
      </c>
      <c r="AX37" s="1" t="s">
        <v>26</v>
      </c>
      <c r="AY37" s="2">
        <v>2678424429.6100001</v>
      </c>
      <c r="AZ37" s="1">
        <v>0.56438623796123999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9" t="s">
        <v>26</v>
      </c>
      <c r="F38" s="10" t="s">
        <v>26</v>
      </c>
      <c r="G38" s="2" t="s">
        <v>26</v>
      </c>
      <c r="H38" s="1" t="s">
        <v>26</v>
      </c>
      <c r="I38" s="1" t="s">
        <v>26</v>
      </c>
      <c r="J38" s="1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9">
        <v>100307653.31999999</v>
      </c>
      <c r="P38" s="10">
        <v>3.9480782096000002E-4</v>
      </c>
      <c r="Q38" s="10">
        <v>0.13500000000000001</v>
      </c>
      <c r="R38" s="10">
        <v>0.1346</v>
      </c>
      <c r="S38" s="9">
        <v>164928247.47</v>
      </c>
      <c r="T38" s="10">
        <v>1.3131836381200001E-3</v>
      </c>
      <c r="U38" s="10">
        <v>0.13500000000000001</v>
      </c>
      <c r="V38" s="10">
        <v>0.13370000000000001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9">
        <v>265235900.78999999</v>
      </c>
      <c r="AF38" s="10">
        <v>3.6369974955999999E-4</v>
      </c>
      <c r="AG38" s="10">
        <v>0.13500000000000001</v>
      </c>
      <c r="AH38" s="10">
        <v>0.1346</v>
      </c>
      <c r="AI38" s="9">
        <v>5168826.29</v>
      </c>
      <c r="AJ38" s="10">
        <v>2.8032361910000002E-4</v>
      </c>
      <c r="AK38" s="10">
        <v>0.13500000000000001</v>
      </c>
      <c r="AL38" s="10">
        <v>0.13469999999999999</v>
      </c>
      <c r="AM38" s="2" t="s">
        <v>26</v>
      </c>
      <c r="AN38" s="1" t="s">
        <v>26</v>
      </c>
      <c r="AO38" s="1" t="s">
        <v>26</v>
      </c>
      <c r="AP38" s="1" t="s">
        <v>26</v>
      </c>
      <c r="AQ38" s="9">
        <v>5168826.29</v>
      </c>
      <c r="AR38" s="10">
        <v>1.1862651373E-4</v>
      </c>
      <c r="AS38" s="10">
        <v>0.13500000000000001</v>
      </c>
      <c r="AT38" s="10">
        <v>0.13489999999999999</v>
      </c>
      <c r="AU38" s="9">
        <v>40028307.259999998</v>
      </c>
      <c r="AV38" s="10">
        <v>7.6431664714999995E-4</v>
      </c>
      <c r="AW38" s="10">
        <v>0.13500000000000001</v>
      </c>
      <c r="AX38" s="10">
        <v>0.13420000000000001</v>
      </c>
      <c r="AY38" s="9">
        <v>310433034.33999997</v>
      </c>
      <c r="AZ38" s="10">
        <v>3.7618431971999999E-4</v>
      </c>
      <c r="BA38" s="10">
        <v>0.13500000000000001</v>
      </c>
      <c r="BB38" s="10">
        <v>0.1346</v>
      </c>
    </row>
    <row r="39" spans="1:54" s="7" customFormat="1">
      <c r="A39" s="3" t="s">
        <v>41</v>
      </c>
      <c r="B39" s="23" t="s">
        <v>44</v>
      </c>
      <c r="C39" s="9" t="s">
        <v>26</v>
      </c>
      <c r="D39" s="10" t="s">
        <v>26</v>
      </c>
      <c r="E39" s="9" t="s">
        <v>26</v>
      </c>
      <c r="F39" s="10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100307653.31999999</v>
      </c>
      <c r="P39" s="1">
        <v>1</v>
      </c>
      <c r="Q39" s="1" t="s">
        <v>26</v>
      </c>
      <c r="R39" s="1" t="s">
        <v>26</v>
      </c>
      <c r="S39" s="2">
        <v>164928247.47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265235900.78999999</v>
      </c>
      <c r="AF39" s="1">
        <v>1</v>
      </c>
      <c r="AG39" s="1" t="s">
        <v>26</v>
      </c>
      <c r="AH39" s="1" t="s">
        <v>26</v>
      </c>
      <c r="AI39" s="2">
        <v>5168826.29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5168826.29</v>
      </c>
      <c r="AR39" s="1">
        <v>1</v>
      </c>
      <c r="AS39" s="1" t="s">
        <v>26</v>
      </c>
      <c r="AT39" s="1" t="s">
        <v>26</v>
      </c>
      <c r="AU39" s="2">
        <v>40028307.259999998</v>
      </c>
      <c r="AV39" s="1">
        <v>1</v>
      </c>
      <c r="AW39" s="1" t="s">
        <v>26</v>
      </c>
      <c r="AX39" s="1" t="s">
        <v>26</v>
      </c>
      <c r="AY39" s="2">
        <v>310433034.33999997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24642870.91</v>
      </c>
      <c r="D40" s="10">
        <v>3.13034299983E-3</v>
      </c>
      <c r="E40" s="10">
        <v>0.13500000000000001</v>
      </c>
      <c r="F40" s="10">
        <v>0.13189999999999999</v>
      </c>
      <c r="G40" s="9">
        <v>2704359792</v>
      </c>
      <c r="H40" s="10">
        <v>1.555846491823E-2</v>
      </c>
      <c r="I40" s="10">
        <v>0.13500000000000001</v>
      </c>
      <c r="J40" s="10">
        <v>0.11940000000000001</v>
      </c>
      <c r="K40" s="2" t="s">
        <v>26</v>
      </c>
      <c r="L40" s="1" t="s">
        <v>26</v>
      </c>
      <c r="M40" s="1" t="s">
        <v>26</v>
      </c>
      <c r="N40" s="1" t="s">
        <v>26</v>
      </c>
      <c r="O40" s="9">
        <v>5314615593.3999996</v>
      </c>
      <c r="P40" s="10">
        <v>2.0918162595170001E-2</v>
      </c>
      <c r="Q40" s="10">
        <v>0.05</v>
      </c>
      <c r="R40" s="10">
        <v>2.9100000000000001E-2</v>
      </c>
      <c r="S40" s="9">
        <v>2163961623.6500001</v>
      </c>
      <c r="T40" s="10">
        <v>1.7229789567790001E-2</v>
      </c>
      <c r="U40" s="10">
        <v>0.13500000000000001</v>
      </c>
      <c r="V40" s="10">
        <v>0.1178</v>
      </c>
      <c r="W40" s="9">
        <v>1069955276.85</v>
      </c>
      <c r="X40" s="10">
        <v>0.14617544301036001</v>
      </c>
      <c r="Y40" s="10">
        <v>0.15</v>
      </c>
      <c r="Z40" s="10">
        <v>3.8E-3</v>
      </c>
      <c r="AA40" s="9">
        <v>5475031313.2200003</v>
      </c>
      <c r="AB40" s="10">
        <v>3.49803082485E-2</v>
      </c>
      <c r="AC40" s="10">
        <v>0.13919999999999999</v>
      </c>
      <c r="AD40" s="10">
        <v>0.1042</v>
      </c>
      <c r="AE40" s="9">
        <v>16752566470.030001</v>
      </c>
      <c r="AF40" s="10">
        <v>2.2971642268449999E-2</v>
      </c>
      <c r="AG40" s="10">
        <v>0.13789999999999999</v>
      </c>
      <c r="AH40" s="10">
        <v>0.1149</v>
      </c>
      <c r="AI40" s="9">
        <v>240055919.59999999</v>
      </c>
      <c r="AJ40" s="10">
        <v>1.301907636128E-2</v>
      </c>
      <c r="AK40" s="10">
        <v>0.13500000000000001</v>
      </c>
      <c r="AL40" s="10">
        <v>0.122</v>
      </c>
      <c r="AM40" s="2" t="s">
        <v>26</v>
      </c>
      <c r="AN40" s="1" t="s">
        <v>26</v>
      </c>
      <c r="AO40" s="1" t="s">
        <v>26</v>
      </c>
      <c r="AP40" s="1" t="s">
        <v>26</v>
      </c>
      <c r="AQ40" s="9">
        <v>240055919.59999999</v>
      </c>
      <c r="AR40" s="10">
        <v>5.5093739360100001E-3</v>
      </c>
      <c r="AS40" s="10">
        <v>0.13500000000000001</v>
      </c>
      <c r="AT40" s="10">
        <v>0.1295</v>
      </c>
      <c r="AU40" s="9">
        <v>1109976486.6500001</v>
      </c>
      <c r="AV40" s="10">
        <v>2.119433882568E-2</v>
      </c>
      <c r="AW40" s="10">
        <v>0.13500000000000001</v>
      </c>
      <c r="AX40" s="10">
        <v>0.1138</v>
      </c>
      <c r="AY40" s="9">
        <v>18102598876.279999</v>
      </c>
      <c r="AZ40" s="10">
        <v>2.193682079565E-2</v>
      </c>
      <c r="BA40" s="10">
        <v>0.13769999999999999</v>
      </c>
      <c r="BB40" s="10">
        <v>0.1158</v>
      </c>
    </row>
    <row r="41" spans="1:54" s="7" customFormat="1">
      <c r="A41" s="3" t="s">
        <v>39</v>
      </c>
      <c r="B41" s="23" t="s">
        <v>40</v>
      </c>
      <c r="C41" s="2">
        <v>24642870.91</v>
      </c>
      <c r="D41" s="1">
        <v>1</v>
      </c>
      <c r="E41" s="9" t="s">
        <v>26</v>
      </c>
      <c r="F41" s="10" t="s">
        <v>26</v>
      </c>
      <c r="G41" s="2">
        <v>2704359792</v>
      </c>
      <c r="H41" s="1">
        <v>1</v>
      </c>
      <c r="I41" s="9" t="s">
        <v>25</v>
      </c>
      <c r="J41" s="10" t="s">
        <v>25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4698310002.3299999</v>
      </c>
      <c r="P41" s="1">
        <v>0.88403571617947996</v>
      </c>
      <c r="Q41" s="1" t="s">
        <v>26</v>
      </c>
      <c r="R41" s="1" t="s">
        <v>26</v>
      </c>
      <c r="S41" s="2">
        <v>2163961623.6500001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3954857409.5</v>
      </c>
      <c r="AB41" s="1">
        <v>0.72234425398639002</v>
      </c>
      <c r="AC41" s="1" t="s">
        <v>26</v>
      </c>
      <c r="AD41" s="1" t="s">
        <v>26</v>
      </c>
      <c r="AE41" s="2">
        <v>13546131698.389999</v>
      </c>
      <c r="AF41" s="1">
        <v>0.80860038505884002</v>
      </c>
      <c r="AG41" s="1" t="s">
        <v>26</v>
      </c>
      <c r="AH41" s="1" t="s">
        <v>26</v>
      </c>
      <c r="AI41" s="2">
        <v>240055919.59999999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240055919.59999999</v>
      </c>
      <c r="AR41" s="1">
        <v>1</v>
      </c>
      <c r="AS41" s="1" t="s">
        <v>26</v>
      </c>
      <c r="AT41" s="1" t="s">
        <v>26</v>
      </c>
      <c r="AU41" s="2">
        <v>1109976486.6500001</v>
      </c>
      <c r="AV41" s="1">
        <v>1</v>
      </c>
      <c r="AW41" s="1" t="s">
        <v>26</v>
      </c>
      <c r="AX41" s="1" t="s">
        <v>26</v>
      </c>
      <c r="AY41" s="2">
        <v>14896164104.639999</v>
      </c>
      <c r="AZ41" s="1">
        <v>0.82287434011249005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9" t="s">
        <v>26</v>
      </c>
      <c r="D42" s="10" t="s">
        <v>26</v>
      </c>
      <c r="E42" s="9" t="s">
        <v>26</v>
      </c>
      <c r="F42" s="10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616305591.07000005</v>
      </c>
      <c r="P42" s="1">
        <v>0.11596428382052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1069955276.85</v>
      </c>
      <c r="X42" s="1">
        <v>1</v>
      </c>
      <c r="Y42" s="1" t="s">
        <v>26</v>
      </c>
      <c r="Z42" s="1" t="s">
        <v>26</v>
      </c>
      <c r="AA42" s="2">
        <v>1520173903.72</v>
      </c>
      <c r="AB42" s="1">
        <v>0.27765574601360998</v>
      </c>
      <c r="AC42" s="1" t="s">
        <v>26</v>
      </c>
      <c r="AD42" s="1" t="s">
        <v>26</v>
      </c>
      <c r="AE42" s="2">
        <v>3206434771.6399999</v>
      </c>
      <c r="AF42" s="1">
        <v>0.19139961494116001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1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3206434771.6399999</v>
      </c>
      <c r="AZ42" s="1">
        <v>0.17712565988751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9" t="s">
        <v>26</v>
      </c>
      <c r="F43" s="10" t="s">
        <v>26</v>
      </c>
      <c r="G43" s="2" t="s">
        <v>26</v>
      </c>
      <c r="H43" s="1" t="s">
        <v>26</v>
      </c>
      <c r="I43" s="1" t="s">
        <v>26</v>
      </c>
      <c r="J43" s="1" t="s">
        <v>26</v>
      </c>
      <c r="K43" s="9">
        <v>123611109.25</v>
      </c>
      <c r="L43" s="10">
        <v>3.0284008249240001E-2</v>
      </c>
      <c r="M43" s="10">
        <v>0.15</v>
      </c>
      <c r="N43" s="10">
        <v>0.1197</v>
      </c>
      <c r="O43" s="2" t="s">
        <v>26</v>
      </c>
      <c r="P43" s="1" t="s">
        <v>26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 t="s">
        <v>26</v>
      </c>
      <c r="X43" s="1" t="s">
        <v>26</v>
      </c>
      <c r="Y43" s="1" t="s">
        <v>26</v>
      </c>
      <c r="Z43" s="1" t="s">
        <v>26</v>
      </c>
      <c r="AA43" s="9">
        <v>145302058</v>
      </c>
      <c r="AB43" s="10">
        <v>9.2834369106000001E-4</v>
      </c>
      <c r="AC43" s="10">
        <v>0.15</v>
      </c>
      <c r="AD43" s="10">
        <v>0.14910000000000001</v>
      </c>
      <c r="AE43" s="9">
        <v>268913167.25</v>
      </c>
      <c r="AF43" s="10">
        <v>3.6874213215999999E-4</v>
      </c>
      <c r="AG43" s="10">
        <v>0.15</v>
      </c>
      <c r="AH43" s="10">
        <v>0.14960000000000001</v>
      </c>
      <c r="AI43" s="2" t="s">
        <v>26</v>
      </c>
      <c r="AJ43" s="1" t="s">
        <v>26</v>
      </c>
      <c r="AK43" s="1" t="s">
        <v>26</v>
      </c>
      <c r="AL43" s="1" t="s">
        <v>26</v>
      </c>
      <c r="AM43" s="9">
        <v>988491962.79999995</v>
      </c>
      <c r="AN43" s="10">
        <v>3.932968054153E-2</v>
      </c>
      <c r="AO43" s="10">
        <v>0.15</v>
      </c>
      <c r="AP43" s="10">
        <v>0.11070000000000001</v>
      </c>
      <c r="AQ43" s="9">
        <v>988491962.79999995</v>
      </c>
      <c r="AR43" s="10">
        <v>2.2686263537589998E-2</v>
      </c>
      <c r="AS43" s="10">
        <v>0.15</v>
      </c>
      <c r="AT43" s="10">
        <v>0.1273</v>
      </c>
      <c r="AU43" s="2" t="s">
        <v>26</v>
      </c>
      <c r="AV43" s="1" t="s">
        <v>26</v>
      </c>
      <c r="AW43" s="1" t="s">
        <v>26</v>
      </c>
      <c r="AX43" s="1" t="s">
        <v>26</v>
      </c>
      <c r="AY43" s="9">
        <v>1257405130.05</v>
      </c>
      <c r="AZ43" s="10">
        <v>1.52372989061E-3</v>
      </c>
      <c r="BA43" s="10">
        <v>0.15</v>
      </c>
      <c r="BB43" s="10">
        <v>0.14849999999999999</v>
      </c>
    </row>
    <row r="44" spans="1:54" s="7" customFormat="1">
      <c r="A44" s="3" t="s">
        <v>41</v>
      </c>
      <c r="B44" s="23" t="s">
        <v>35</v>
      </c>
      <c r="C44" s="9" t="s">
        <v>26</v>
      </c>
      <c r="D44" s="10" t="s">
        <v>26</v>
      </c>
      <c r="E44" s="9" t="s">
        <v>26</v>
      </c>
      <c r="F44" s="10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123611109.25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145302058</v>
      </c>
      <c r="AB44" s="1">
        <v>1</v>
      </c>
      <c r="AC44" s="1" t="s">
        <v>26</v>
      </c>
      <c r="AD44" s="1" t="s">
        <v>26</v>
      </c>
      <c r="AE44" s="2">
        <v>268913167.25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988491962.79999995</v>
      </c>
      <c r="AN44" s="1">
        <v>1</v>
      </c>
      <c r="AO44" s="1" t="s">
        <v>26</v>
      </c>
      <c r="AP44" s="1" t="s">
        <v>26</v>
      </c>
      <c r="AQ44" s="2">
        <v>988491962.79999995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1257405130.05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9" t="s">
        <v>26</v>
      </c>
      <c r="F45" s="10" t="s">
        <v>26</v>
      </c>
      <c r="G45" s="2" t="s">
        <v>26</v>
      </c>
      <c r="H45" s="1" t="s">
        <v>26</v>
      </c>
      <c r="I45" s="1" t="s">
        <v>26</v>
      </c>
      <c r="J45" s="1" t="s">
        <v>26</v>
      </c>
      <c r="K45" s="2" t="s">
        <v>26</v>
      </c>
      <c r="L45" s="1" t="s">
        <v>26</v>
      </c>
      <c r="M45" s="1" t="s">
        <v>26</v>
      </c>
      <c r="N45" s="1" t="s">
        <v>26</v>
      </c>
      <c r="O45" s="9">
        <v>1700675984.99</v>
      </c>
      <c r="P45" s="10">
        <v>6.6938080752100004E-3</v>
      </c>
      <c r="Q45" s="10">
        <v>0.15</v>
      </c>
      <c r="R45" s="10">
        <v>0.14330000000000001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 t="s">
        <v>26</v>
      </c>
      <c r="AB45" s="1" t="s">
        <v>26</v>
      </c>
      <c r="AC45" s="1" t="s">
        <v>26</v>
      </c>
      <c r="AD45" s="1" t="s">
        <v>26</v>
      </c>
      <c r="AE45" s="9">
        <v>1700675984.99</v>
      </c>
      <c r="AF45" s="10">
        <v>2.3320200168499999E-3</v>
      </c>
      <c r="AG45" s="10">
        <v>0.15</v>
      </c>
      <c r="AH45" s="10">
        <v>0.1477</v>
      </c>
      <c r="AI45" s="2" t="s">
        <v>26</v>
      </c>
      <c r="AJ45" s="1" t="s">
        <v>26</v>
      </c>
      <c r="AK45" s="1" t="s">
        <v>26</v>
      </c>
      <c r="AL45" s="1" t="s">
        <v>26</v>
      </c>
      <c r="AM45" s="2" t="s">
        <v>26</v>
      </c>
      <c r="AN45" s="1" t="s">
        <v>26</v>
      </c>
      <c r="AO45" s="1" t="s">
        <v>26</v>
      </c>
      <c r="AP45" s="1" t="s">
        <v>26</v>
      </c>
      <c r="AQ45" s="2" t="s">
        <v>26</v>
      </c>
      <c r="AR45" s="1" t="s">
        <v>26</v>
      </c>
      <c r="AS45" s="1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9">
        <v>1700675984.99</v>
      </c>
      <c r="AZ45" s="10">
        <v>2.0608877525899998E-3</v>
      </c>
      <c r="BA45" s="10">
        <v>0.15</v>
      </c>
      <c r="BB45" s="10">
        <v>0.1479</v>
      </c>
    </row>
    <row r="46" spans="1:54" s="7" customFormat="1">
      <c r="A46" s="3" t="s">
        <v>41</v>
      </c>
      <c r="B46" s="23" t="s">
        <v>35</v>
      </c>
      <c r="C46" s="9" t="s">
        <v>26</v>
      </c>
      <c r="D46" s="10" t="s">
        <v>26</v>
      </c>
      <c r="E46" s="9" t="s">
        <v>26</v>
      </c>
      <c r="F46" s="10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1700675984.99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1700675984.99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1700675984.99</v>
      </c>
      <c r="AZ46" s="1">
        <v>1</v>
      </c>
      <c r="BA46" s="1" t="s">
        <v>26</v>
      </c>
      <c r="BB46" s="1" t="s">
        <v>26</v>
      </c>
    </row>
    <row r="47" spans="1:54" s="7" customFormat="1">
      <c r="A47" s="5" t="s">
        <v>128</v>
      </c>
      <c r="B47" s="20" t="s">
        <v>25</v>
      </c>
      <c r="C47" s="9" t="s">
        <v>26</v>
      </c>
      <c r="D47" s="10" t="s">
        <v>26</v>
      </c>
      <c r="E47" s="9" t="s">
        <v>26</v>
      </c>
      <c r="F47" s="10" t="s">
        <v>26</v>
      </c>
      <c r="G47" s="9">
        <v>13801073.289999999</v>
      </c>
      <c r="H47" s="10">
        <v>7.9399019039999994E-5</v>
      </c>
      <c r="I47" s="49">
        <v>0.15</v>
      </c>
      <c r="J47" s="10">
        <f>+I47-H47</f>
        <v>0.14992060098095999</v>
      </c>
      <c r="K47" s="2" t="s">
        <v>26</v>
      </c>
      <c r="L47" s="1" t="s">
        <v>26</v>
      </c>
      <c r="M47" s="1" t="s">
        <v>26</v>
      </c>
      <c r="N47" s="1" t="s">
        <v>26</v>
      </c>
      <c r="O47" s="2" t="s">
        <v>26</v>
      </c>
      <c r="P47" s="1" t="s">
        <v>26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9">
        <v>13801073.289999999</v>
      </c>
      <c r="AF47" s="10">
        <v>1.8924462659999999E-5</v>
      </c>
      <c r="AG47" s="10">
        <v>0.15</v>
      </c>
      <c r="AH47" s="10">
        <v>0.15</v>
      </c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1" t="s">
        <v>26</v>
      </c>
      <c r="AT47" s="1" t="s">
        <v>26</v>
      </c>
      <c r="AU47" s="2" t="s">
        <v>26</v>
      </c>
      <c r="AV47" s="1" t="s">
        <v>26</v>
      </c>
      <c r="AW47" s="1" t="s">
        <v>26</v>
      </c>
      <c r="AX47" s="1" t="s">
        <v>26</v>
      </c>
      <c r="AY47" s="9">
        <v>13801073.289999999</v>
      </c>
      <c r="AZ47" s="10">
        <v>1.672421035E-5</v>
      </c>
      <c r="BA47" s="10">
        <v>0.15</v>
      </c>
      <c r="BB47" s="10">
        <v>0.15</v>
      </c>
    </row>
    <row r="48" spans="1:54" s="7" customFormat="1">
      <c r="A48" s="3" t="s">
        <v>41</v>
      </c>
      <c r="B48" s="23" t="s">
        <v>35</v>
      </c>
      <c r="C48" s="9" t="s">
        <v>26</v>
      </c>
      <c r="D48" s="10" t="s">
        <v>26</v>
      </c>
      <c r="E48" s="9" t="s">
        <v>26</v>
      </c>
      <c r="F48" s="10" t="s">
        <v>26</v>
      </c>
      <c r="G48" s="22">
        <v>13801073.289999999</v>
      </c>
      <c r="H48" s="44">
        <v>1</v>
      </c>
      <c r="I48" s="9" t="s">
        <v>26</v>
      </c>
      <c r="J48" s="10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 t="s">
        <v>26</v>
      </c>
      <c r="P48" s="1" t="s">
        <v>26</v>
      </c>
      <c r="Q48" s="1" t="s">
        <v>26</v>
      </c>
      <c r="R48" s="1" t="s">
        <v>26</v>
      </c>
      <c r="S48" s="2" t="s">
        <v>26</v>
      </c>
      <c r="T48" s="1" t="s">
        <v>26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>
        <v>13801073.289999999</v>
      </c>
      <c r="AF48" s="1">
        <v>1</v>
      </c>
      <c r="AG48" s="1" t="s">
        <v>26</v>
      </c>
      <c r="AH48" s="1" t="s">
        <v>26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1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>
        <v>13801073.289999999</v>
      </c>
      <c r="AZ48" s="1">
        <v>1</v>
      </c>
      <c r="BA48" s="1" t="s">
        <v>26</v>
      </c>
      <c r="BB48" s="1" t="s">
        <v>26</v>
      </c>
    </row>
    <row r="49" spans="1:54" s="7" customFormat="1">
      <c r="A49" s="12" t="s">
        <v>55</v>
      </c>
      <c r="B49" s="40" t="s">
        <v>25</v>
      </c>
      <c r="C49" s="42">
        <v>68619111.760000005</v>
      </c>
      <c r="D49" s="43">
        <v>8.7165719017599994E-3</v>
      </c>
      <c r="E49" s="43" t="s">
        <v>26</v>
      </c>
      <c r="F49" s="43" t="s">
        <v>26</v>
      </c>
      <c r="G49" s="42">
        <v>300883434</v>
      </c>
      <c r="H49" s="43">
        <v>1.73101388588E-3</v>
      </c>
      <c r="I49" s="43" t="s">
        <v>26</v>
      </c>
      <c r="J49" s="43" t="s">
        <v>26</v>
      </c>
      <c r="K49" s="42">
        <v>99184027.310000002</v>
      </c>
      <c r="L49" s="43">
        <v>2.4299514173720001E-2</v>
      </c>
      <c r="M49" s="43" t="s">
        <v>26</v>
      </c>
      <c r="N49" s="43" t="s">
        <v>26</v>
      </c>
      <c r="O49" s="42">
        <v>4533904103.1099997</v>
      </c>
      <c r="P49" s="43">
        <v>1.7845306316700001E-2</v>
      </c>
      <c r="Q49" s="43" t="s">
        <v>26</v>
      </c>
      <c r="R49" s="43" t="s">
        <v>26</v>
      </c>
      <c r="S49" s="42">
        <v>1257271944.52</v>
      </c>
      <c r="T49" s="43">
        <v>1.00105892807E-2</v>
      </c>
      <c r="U49" s="43" t="s">
        <v>26</v>
      </c>
      <c r="V49" s="43" t="s">
        <v>26</v>
      </c>
      <c r="W49" s="42">
        <v>165706933.88</v>
      </c>
      <c r="X49" s="43">
        <v>2.2638595270180001E-2</v>
      </c>
      <c r="Y49" s="43" t="s">
        <v>26</v>
      </c>
      <c r="Z49" s="43" t="s">
        <v>26</v>
      </c>
      <c r="AA49" s="42">
        <v>3936010968.52</v>
      </c>
      <c r="AB49" s="43">
        <v>2.5147413607629999E-2</v>
      </c>
      <c r="AC49" s="43" t="s">
        <v>26</v>
      </c>
      <c r="AD49" s="43" t="s">
        <v>26</v>
      </c>
      <c r="AE49" s="42">
        <v>10361580523.1</v>
      </c>
      <c r="AF49" s="43">
        <v>1.420812276962E-2</v>
      </c>
      <c r="AG49" s="43" t="s">
        <v>26</v>
      </c>
      <c r="AH49" s="43" t="s">
        <v>26</v>
      </c>
      <c r="AI49" s="42">
        <v>212281317.12</v>
      </c>
      <c r="AJ49" s="43">
        <v>1.151276203588E-2</v>
      </c>
      <c r="AK49" s="43" t="s">
        <v>26</v>
      </c>
      <c r="AL49" s="43" t="s">
        <v>26</v>
      </c>
      <c r="AM49" s="42">
        <v>225444525.44</v>
      </c>
      <c r="AN49" s="43">
        <v>8.9698869581899994E-3</v>
      </c>
      <c r="AO49" s="43" t="s">
        <v>26</v>
      </c>
      <c r="AP49" s="43" t="s">
        <v>26</v>
      </c>
      <c r="AQ49" s="42">
        <v>437725842.56</v>
      </c>
      <c r="AR49" s="43">
        <v>1.004597325546E-2</v>
      </c>
      <c r="AS49" s="43" t="s">
        <v>26</v>
      </c>
      <c r="AT49" s="43" t="s">
        <v>26</v>
      </c>
      <c r="AU49" s="42">
        <v>556478234.59000003</v>
      </c>
      <c r="AV49" s="43">
        <v>1.062561990715E-2</v>
      </c>
      <c r="AW49" s="43" t="s">
        <v>26</v>
      </c>
      <c r="AX49" s="43" t="s">
        <v>26</v>
      </c>
      <c r="AY49" s="42">
        <v>11355784600.25</v>
      </c>
      <c r="AZ49" s="43">
        <v>1.3760997162460001E-2</v>
      </c>
      <c r="BA49" s="43" t="s">
        <v>26</v>
      </c>
      <c r="BB49" s="43" t="s">
        <v>26</v>
      </c>
    </row>
    <row r="50" spans="1:54" s="7" customFormat="1">
      <c r="A50" s="5" t="s">
        <v>56</v>
      </c>
      <c r="B50" s="20" t="s">
        <v>25</v>
      </c>
      <c r="C50" s="9">
        <v>36354406.200000003</v>
      </c>
      <c r="D50" s="10">
        <v>4.6180398938500001E-3</v>
      </c>
      <c r="E50" s="10">
        <v>0.12</v>
      </c>
      <c r="F50" s="10">
        <v>0.1154</v>
      </c>
      <c r="G50" s="2" t="s">
        <v>26</v>
      </c>
      <c r="H50" s="1" t="s">
        <v>26</v>
      </c>
      <c r="I50" s="1" t="s">
        <v>26</v>
      </c>
      <c r="J50" s="1" t="s">
        <v>26</v>
      </c>
      <c r="K50" s="9">
        <v>31160919.600000001</v>
      </c>
      <c r="L50" s="10">
        <v>7.6342454326799999E-3</v>
      </c>
      <c r="M50" s="10">
        <v>0.12</v>
      </c>
      <c r="N50" s="10">
        <v>0.1124</v>
      </c>
      <c r="O50" s="9">
        <v>834073947.96000004</v>
      </c>
      <c r="P50" s="10">
        <v>3.2828892613599998E-3</v>
      </c>
      <c r="Q50" s="10">
        <v>0.12</v>
      </c>
      <c r="R50" s="10">
        <v>0.1167</v>
      </c>
      <c r="S50" s="9">
        <v>311609196</v>
      </c>
      <c r="T50" s="10">
        <v>2.4810795236800002E-3</v>
      </c>
      <c r="U50" s="10">
        <v>0.12</v>
      </c>
      <c r="V50" s="10">
        <v>0.11749999999999999</v>
      </c>
      <c r="W50" s="2" t="s">
        <v>26</v>
      </c>
      <c r="X50" s="1" t="s">
        <v>26</v>
      </c>
      <c r="Y50" s="1" t="s">
        <v>26</v>
      </c>
      <c r="Z50" s="1" t="s">
        <v>26</v>
      </c>
      <c r="AA50" s="9">
        <v>914053641.60000002</v>
      </c>
      <c r="AB50" s="10">
        <v>5.8399443418000003E-3</v>
      </c>
      <c r="AC50" s="10">
        <v>0.12</v>
      </c>
      <c r="AD50" s="10">
        <v>0.1142</v>
      </c>
      <c r="AE50" s="9">
        <v>2127252111.3599999</v>
      </c>
      <c r="AF50" s="10">
        <v>2.91695452183E-3</v>
      </c>
      <c r="AG50" s="10">
        <v>0.12</v>
      </c>
      <c r="AH50" s="10">
        <v>0.1171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9">
        <v>207739464</v>
      </c>
      <c r="AV50" s="10">
        <v>3.9666611324100003E-3</v>
      </c>
      <c r="AW50" s="10">
        <v>0.12</v>
      </c>
      <c r="AX50" s="10">
        <v>0.11600000000000001</v>
      </c>
      <c r="AY50" s="9">
        <v>2334991575.3600001</v>
      </c>
      <c r="AZ50" s="10">
        <v>2.82955459037E-3</v>
      </c>
      <c r="BA50" s="10">
        <v>0.12</v>
      </c>
      <c r="BB50" s="10">
        <v>0.1172</v>
      </c>
    </row>
    <row r="51" spans="1:54" s="7" customFormat="1">
      <c r="A51" s="3" t="s">
        <v>39</v>
      </c>
      <c r="B51" s="23" t="s">
        <v>57</v>
      </c>
      <c r="C51" s="2">
        <v>36354406.200000003</v>
      </c>
      <c r="D51" s="1">
        <v>1</v>
      </c>
      <c r="E51" s="9" t="s">
        <v>25</v>
      </c>
      <c r="F51" s="10" t="s">
        <v>25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31160919.600000001</v>
      </c>
      <c r="L51" s="1">
        <v>1</v>
      </c>
      <c r="M51" s="1" t="s">
        <v>26</v>
      </c>
      <c r="N51" s="1" t="s">
        <v>26</v>
      </c>
      <c r="O51" s="2">
        <v>834073947.96000004</v>
      </c>
      <c r="P51" s="1">
        <v>1</v>
      </c>
      <c r="Q51" s="1" t="s">
        <v>26</v>
      </c>
      <c r="R51" s="1" t="s">
        <v>26</v>
      </c>
      <c r="S51" s="2">
        <v>311609196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914053641.60000002</v>
      </c>
      <c r="AB51" s="1">
        <v>1</v>
      </c>
      <c r="AC51" s="1" t="s">
        <v>26</v>
      </c>
      <c r="AD51" s="1" t="s">
        <v>26</v>
      </c>
      <c r="AE51" s="2">
        <v>2127252111.3599999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>
        <v>207739464</v>
      </c>
      <c r="AV51" s="1">
        <v>1</v>
      </c>
      <c r="AW51" s="1" t="s">
        <v>26</v>
      </c>
      <c r="AX51" s="1" t="s">
        <v>26</v>
      </c>
      <c r="AY51" s="2">
        <v>2334991575.3600001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0" t="s">
        <v>25</v>
      </c>
      <c r="C52" s="9">
        <v>32264705.559999999</v>
      </c>
      <c r="D52" s="10">
        <v>4.0985320079100001E-3</v>
      </c>
      <c r="E52" s="49">
        <v>0.09</v>
      </c>
      <c r="F52" s="10">
        <v>8.5900000000000004E-2</v>
      </c>
      <c r="G52" s="2" t="s">
        <v>26</v>
      </c>
      <c r="H52" s="1" t="s">
        <v>26</v>
      </c>
      <c r="I52" s="1" t="s">
        <v>26</v>
      </c>
      <c r="J52" s="1" t="s">
        <v>26</v>
      </c>
      <c r="K52" s="9">
        <v>16005450.710000001</v>
      </c>
      <c r="L52" s="10">
        <v>3.9212430361299996E-3</v>
      </c>
      <c r="M52" s="10">
        <v>0.09</v>
      </c>
      <c r="N52" s="10">
        <v>8.6099999999999996E-2</v>
      </c>
      <c r="O52" s="9">
        <v>373360692.83999997</v>
      </c>
      <c r="P52" s="10">
        <v>1.4695361390099999E-3</v>
      </c>
      <c r="Q52" s="10">
        <v>0.09</v>
      </c>
      <c r="R52" s="10">
        <v>8.8499999999999995E-2</v>
      </c>
      <c r="S52" s="9">
        <v>282619672.44999999</v>
      </c>
      <c r="T52" s="10">
        <v>2.2502605549099999E-3</v>
      </c>
      <c r="U52" s="10">
        <v>0.09</v>
      </c>
      <c r="V52" s="10">
        <v>8.77E-2</v>
      </c>
      <c r="W52" s="2" t="s">
        <v>26</v>
      </c>
      <c r="X52" s="1" t="s">
        <v>26</v>
      </c>
      <c r="Y52" s="1" t="s">
        <v>26</v>
      </c>
      <c r="Z52" s="1" t="s">
        <v>26</v>
      </c>
      <c r="AA52" s="9">
        <v>102113098.48999999</v>
      </c>
      <c r="AB52" s="10">
        <v>6.5240680044E-4</v>
      </c>
      <c r="AC52" s="10">
        <v>0.09</v>
      </c>
      <c r="AD52" s="10">
        <v>8.9300000000000004E-2</v>
      </c>
      <c r="AE52" s="9">
        <v>806363620.04999995</v>
      </c>
      <c r="AF52" s="10">
        <v>1.1057109757599999E-3</v>
      </c>
      <c r="AG52" s="10">
        <v>0.09</v>
      </c>
      <c r="AH52" s="10">
        <v>8.8900000000000007E-2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9">
        <v>806363620.04999995</v>
      </c>
      <c r="AZ52" s="10">
        <v>9.7715550955000002E-4</v>
      </c>
      <c r="BA52" s="10">
        <v>0.09</v>
      </c>
      <c r="BB52" s="10">
        <v>8.8999999999999996E-2</v>
      </c>
    </row>
    <row r="53" spans="1:54" s="28" customFormat="1">
      <c r="A53" s="3" t="s">
        <v>39</v>
      </c>
      <c r="B53" s="23" t="s">
        <v>47</v>
      </c>
      <c r="C53" s="2">
        <v>32264705.559999999</v>
      </c>
      <c r="D53" s="1">
        <v>1</v>
      </c>
      <c r="E53" s="9" t="s">
        <v>25</v>
      </c>
      <c r="F53" s="10" t="s">
        <v>25</v>
      </c>
      <c r="G53" s="2" t="s">
        <v>26</v>
      </c>
      <c r="H53" s="1" t="s">
        <v>26</v>
      </c>
      <c r="I53" s="1" t="s">
        <v>26</v>
      </c>
      <c r="J53" s="1" t="s">
        <v>26</v>
      </c>
      <c r="K53" s="2">
        <v>16005450.710000001</v>
      </c>
      <c r="L53" s="1">
        <v>1</v>
      </c>
      <c r="M53" s="1" t="s">
        <v>26</v>
      </c>
      <c r="N53" s="1" t="s">
        <v>26</v>
      </c>
      <c r="O53" s="2">
        <v>373360692.83999997</v>
      </c>
      <c r="P53" s="1">
        <v>1</v>
      </c>
      <c r="Q53" s="1" t="s">
        <v>26</v>
      </c>
      <c r="R53" s="1" t="s">
        <v>26</v>
      </c>
      <c r="S53" s="2">
        <v>282619672.44999999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102113098.48999999</v>
      </c>
      <c r="AB53" s="1">
        <v>1</v>
      </c>
      <c r="AC53" s="1" t="s">
        <v>26</v>
      </c>
      <c r="AD53" s="1" t="s">
        <v>26</v>
      </c>
      <c r="AE53" s="2">
        <v>806363620.04999995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806363620.04999995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60</v>
      </c>
      <c r="B54" s="20" t="s">
        <v>25</v>
      </c>
      <c r="C54" s="9" t="s">
        <v>26</v>
      </c>
      <c r="D54" s="10" t="s">
        <v>26</v>
      </c>
      <c r="E54" s="9" t="s">
        <v>26</v>
      </c>
      <c r="F54" s="10" t="s">
        <v>26</v>
      </c>
      <c r="G54" s="9">
        <v>300883434</v>
      </c>
      <c r="H54" s="10">
        <v>1.73101388588E-3</v>
      </c>
      <c r="I54" s="10">
        <v>0.12</v>
      </c>
      <c r="J54" s="10">
        <v>0.1183</v>
      </c>
      <c r="K54" s="9">
        <v>52017657</v>
      </c>
      <c r="L54" s="10">
        <v>1.2744025704909999E-2</v>
      </c>
      <c r="M54" s="10">
        <v>0.12</v>
      </c>
      <c r="N54" s="10">
        <v>0.10730000000000001</v>
      </c>
      <c r="O54" s="9">
        <v>3326469462.3099999</v>
      </c>
      <c r="P54" s="10">
        <v>1.3092880916329999E-2</v>
      </c>
      <c r="Q54" s="10">
        <v>0.1298</v>
      </c>
      <c r="R54" s="10">
        <v>0.1167</v>
      </c>
      <c r="S54" s="9">
        <v>663043076.07000005</v>
      </c>
      <c r="T54" s="10">
        <v>5.2792492021200002E-3</v>
      </c>
      <c r="U54" s="10">
        <v>0.1246</v>
      </c>
      <c r="V54" s="10">
        <v>0.1193</v>
      </c>
      <c r="W54" s="9">
        <v>165706933.88</v>
      </c>
      <c r="X54" s="10">
        <v>2.2638595270180001E-2</v>
      </c>
      <c r="Y54" s="10">
        <v>0.14119999999999999</v>
      </c>
      <c r="Z54" s="10">
        <v>0.1186</v>
      </c>
      <c r="AA54" s="9">
        <v>2919844228.4299998</v>
      </c>
      <c r="AB54" s="10">
        <v>1.8655062465390001E-2</v>
      </c>
      <c r="AC54" s="10">
        <v>0.1353</v>
      </c>
      <c r="AD54" s="10">
        <v>0.1166</v>
      </c>
      <c r="AE54" s="9">
        <v>7427964791.6899996</v>
      </c>
      <c r="AF54" s="10">
        <v>1.0185457272029999E-2</v>
      </c>
      <c r="AG54" s="10">
        <v>0.1313</v>
      </c>
      <c r="AH54" s="10">
        <v>0.1211</v>
      </c>
      <c r="AI54" s="9">
        <v>212281317.12</v>
      </c>
      <c r="AJ54" s="10">
        <v>1.151276203588E-2</v>
      </c>
      <c r="AK54" s="10">
        <v>0.1206</v>
      </c>
      <c r="AL54" s="10">
        <v>0.1091</v>
      </c>
      <c r="AM54" s="9">
        <v>225444525.44</v>
      </c>
      <c r="AN54" s="10">
        <v>8.9698869581899994E-3</v>
      </c>
      <c r="AO54" s="10">
        <v>0.12</v>
      </c>
      <c r="AP54" s="10">
        <v>0.111</v>
      </c>
      <c r="AQ54" s="9">
        <v>437725842.56</v>
      </c>
      <c r="AR54" s="10">
        <v>1.004597325546E-2</v>
      </c>
      <c r="AS54" s="10">
        <v>0.1203</v>
      </c>
      <c r="AT54" s="10">
        <v>0.1103</v>
      </c>
      <c r="AU54" s="9">
        <v>348738770.58999997</v>
      </c>
      <c r="AV54" s="10">
        <v>6.65895877474E-3</v>
      </c>
      <c r="AW54" s="10">
        <v>0.1232</v>
      </c>
      <c r="AX54" s="10">
        <v>0.11650000000000001</v>
      </c>
      <c r="AY54" s="9">
        <v>8214429404.8400002</v>
      </c>
      <c r="AZ54" s="10">
        <v>9.9542870625400001E-3</v>
      </c>
      <c r="BA54" s="10">
        <v>0.1303</v>
      </c>
      <c r="BB54" s="10">
        <v>0.1203</v>
      </c>
    </row>
    <row r="55" spans="1:54" s="28" customFormat="1">
      <c r="A55" s="3" t="s">
        <v>39</v>
      </c>
      <c r="B55" s="23" t="s">
        <v>57</v>
      </c>
      <c r="C55" s="9" t="s">
        <v>26</v>
      </c>
      <c r="D55" s="10" t="s">
        <v>26</v>
      </c>
      <c r="E55" s="9" t="s">
        <v>26</v>
      </c>
      <c r="F55" s="10" t="s">
        <v>26</v>
      </c>
      <c r="G55" s="2">
        <v>300883434</v>
      </c>
      <c r="H55" s="1">
        <v>1</v>
      </c>
      <c r="I55" s="9" t="s">
        <v>26</v>
      </c>
      <c r="J55" s="10" t="s">
        <v>26</v>
      </c>
      <c r="K55" s="2">
        <v>52017657</v>
      </c>
      <c r="L55" s="1">
        <v>1</v>
      </c>
      <c r="M55" s="1" t="s">
        <v>26</v>
      </c>
      <c r="N55" s="1" t="s">
        <v>26</v>
      </c>
      <c r="O55" s="2">
        <v>2243043702</v>
      </c>
      <c r="P55" s="1">
        <v>0.67430160637710002</v>
      </c>
      <c r="Q55" s="1" t="s">
        <v>26</v>
      </c>
      <c r="R55" s="1" t="s">
        <v>26</v>
      </c>
      <c r="S55" s="2">
        <v>561790695.60000002</v>
      </c>
      <c r="T55" s="1">
        <v>0.84729139911972995</v>
      </c>
      <c r="U55" s="1" t="s">
        <v>26</v>
      </c>
      <c r="V55" s="1" t="s">
        <v>26</v>
      </c>
      <c r="W55" s="2">
        <v>48487897.969999999</v>
      </c>
      <c r="X55" s="1">
        <v>0.29261236590807999</v>
      </c>
      <c r="Y55" s="1" t="s">
        <v>26</v>
      </c>
      <c r="Z55" s="1" t="s">
        <v>26</v>
      </c>
      <c r="AA55" s="2">
        <v>1431405511.4000001</v>
      </c>
      <c r="AB55" s="1">
        <v>0.49023351912497998</v>
      </c>
      <c r="AC55" s="1" t="s">
        <v>26</v>
      </c>
      <c r="AD55" s="1" t="s">
        <v>26</v>
      </c>
      <c r="AE55" s="2">
        <v>4637628897.9700003</v>
      </c>
      <c r="AF55" s="1">
        <v>0.62434718365362996</v>
      </c>
      <c r="AG55" s="1" t="s">
        <v>26</v>
      </c>
      <c r="AH55" s="1" t="s">
        <v>26</v>
      </c>
      <c r="AI55" s="2">
        <v>208070628</v>
      </c>
      <c r="AJ55" s="1">
        <v>0.98016457982677996</v>
      </c>
      <c r="AK55" s="1" t="s">
        <v>26</v>
      </c>
      <c r="AL55" s="1" t="s">
        <v>26</v>
      </c>
      <c r="AM55" s="2">
        <v>225444525.44</v>
      </c>
      <c r="AN55" s="1">
        <v>1</v>
      </c>
      <c r="AO55" s="1" t="s">
        <v>26</v>
      </c>
      <c r="AP55" s="1" t="s">
        <v>26</v>
      </c>
      <c r="AQ55" s="2">
        <v>433515153.44</v>
      </c>
      <c r="AR55" s="1">
        <v>0.99038053340563004</v>
      </c>
      <c r="AS55" s="1" t="s">
        <v>26</v>
      </c>
      <c r="AT55" s="1" t="s">
        <v>26</v>
      </c>
      <c r="AU55" s="2">
        <v>312105942</v>
      </c>
      <c r="AV55" s="1">
        <v>0.89495624897678006</v>
      </c>
      <c r="AW55" s="1" t="s">
        <v>26</v>
      </c>
      <c r="AX55" s="1" t="s">
        <v>26</v>
      </c>
      <c r="AY55" s="2">
        <v>5383249993.4099998</v>
      </c>
      <c r="AZ55" s="1">
        <v>0.65534070939097999</v>
      </c>
      <c r="BA55" s="1" t="s">
        <v>26</v>
      </c>
      <c r="BB55" s="1" t="s">
        <v>26</v>
      </c>
    </row>
    <row r="56" spans="1:54" s="7" customFormat="1">
      <c r="A56" s="3" t="s">
        <v>41</v>
      </c>
      <c r="B56" s="23" t="s">
        <v>35</v>
      </c>
      <c r="C56" s="9" t="s">
        <v>26</v>
      </c>
      <c r="D56" s="10" t="s">
        <v>26</v>
      </c>
      <c r="E56" s="9" t="s">
        <v>26</v>
      </c>
      <c r="F56" s="10" t="s">
        <v>26</v>
      </c>
      <c r="G56" s="9" t="s">
        <v>26</v>
      </c>
      <c r="H56" s="10" t="s">
        <v>26</v>
      </c>
      <c r="I56" s="9" t="s">
        <v>26</v>
      </c>
      <c r="J56" s="10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>
        <v>1083425760.3099999</v>
      </c>
      <c r="P56" s="1">
        <v>0.32569839362289998</v>
      </c>
      <c r="Q56" s="1" t="s">
        <v>26</v>
      </c>
      <c r="R56" s="1" t="s">
        <v>26</v>
      </c>
      <c r="S56" s="2">
        <v>101252380.47</v>
      </c>
      <c r="T56" s="1">
        <v>0.15270860088027</v>
      </c>
      <c r="U56" s="1" t="s">
        <v>26</v>
      </c>
      <c r="V56" s="1" t="s">
        <v>26</v>
      </c>
      <c r="W56" s="2">
        <v>117219035.91</v>
      </c>
      <c r="X56" s="1">
        <v>0.70738763409191996</v>
      </c>
      <c r="Y56" s="1" t="s">
        <v>26</v>
      </c>
      <c r="Z56" s="1" t="s">
        <v>26</v>
      </c>
      <c r="AA56" s="2">
        <v>1488438717.03</v>
      </c>
      <c r="AB56" s="1">
        <v>0.50976648087501997</v>
      </c>
      <c r="AC56" s="1" t="s">
        <v>26</v>
      </c>
      <c r="AD56" s="1" t="s">
        <v>26</v>
      </c>
      <c r="AE56" s="2">
        <v>2790335893.7199998</v>
      </c>
      <c r="AF56" s="1">
        <v>0.37565281634636999</v>
      </c>
      <c r="AG56" s="1" t="s">
        <v>26</v>
      </c>
      <c r="AH56" s="1" t="s">
        <v>26</v>
      </c>
      <c r="AI56" s="2">
        <v>4210689.12</v>
      </c>
      <c r="AJ56" s="1">
        <v>1.983542017322E-2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>
        <v>4210689.12</v>
      </c>
      <c r="AR56" s="1">
        <v>9.6194665943699995E-3</v>
      </c>
      <c r="AS56" s="1" t="s">
        <v>26</v>
      </c>
      <c r="AT56" s="1" t="s">
        <v>26</v>
      </c>
      <c r="AU56" s="2">
        <v>36632828.590000004</v>
      </c>
      <c r="AV56" s="1">
        <v>0.10504375102322</v>
      </c>
      <c r="AW56" s="1" t="s">
        <v>26</v>
      </c>
      <c r="AX56" s="1" t="s">
        <v>26</v>
      </c>
      <c r="AY56" s="2">
        <v>2831179411.4299998</v>
      </c>
      <c r="AZ56" s="1">
        <v>0.34465929060902001</v>
      </c>
      <c r="BA56" s="1" t="s">
        <v>26</v>
      </c>
      <c r="BB56" s="1" t="s">
        <v>26</v>
      </c>
    </row>
    <row r="57" spans="1:54" s="7" customFormat="1">
      <c r="A57" s="12" t="s">
        <v>61</v>
      </c>
      <c r="B57" s="40" t="s">
        <v>25</v>
      </c>
      <c r="C57" s="42" t="s">
        <v>26</v>
      </c>
      <c r="D57" s="43" t="s">
        <v>26</v>
      </c>
      <c r="E57" s="43" t="s">
        <v>26</v>
      </c>
      <c r="F57" s="43" t="s">
        <v>26</v>
      </c>
      <c r="G57" s="43" t="s">
        <v>26</v>
      </c>
      <c r="H57" s="43" t="s">
        <v>26</v>
      </c>
      <c r="I57" s="43" t="s">
        <v>26</v>
      </c>
      <c r="J57" s="43" t="s">
        <v>26</v>
      </c>
      <c r="K57" s="42">
        <v>119842506.52</v>
      </c>
      <c r="L57" s="43">
        <v>2.93607223338E-2</v>
      </c>
      <c r="M57" s="43" t="s">
        <v>26</v>
      </c>
      <c r="N57" s="43" t="s">
        <v>26</v>
      </c>
      <c r="O57" s="42">
        <v>100670572.48999999</v>
      </c>
      <c r="P57" s="43">
        <v>3.9623625959E-4</v>
      </c>
      <c r="Q57" s="43" t="s">
        <v>26</v>
      </c>
      <c r="R57" s="43" t="s">
        <v>26</v>
      </c>
      <c r="S57" s="43">
        <v>8511202.6699999999</v>
      </c>
      <c r="T57" s="43">
        <v>6.7767482269999994E-5</v>
      </c>
      <c r="U57" s="43" t="s">
        <v>26</v>
      </c>
      <c r="V57" s="43" t="s">
        <v>26</v>
      </c>
      <c r="W57" s="43" t="s">
        <v>26</v>
      </c>
      <c r="X57" s="43" t="s">
        <v>26</v>
      </c>
      <c r="Y57" s="43" t="s">
        <v>26</v>
      </c>
      <c r="Z57" s="43" t="s">
        <v>26</v>
      </c>
      <c r="AA57" s="42">
        <v>146352824.56</v>
      </c>
      <c r="AB57" s="43">
        <v>9.3505710255999998E-4</v>
      </c>
      <c r="AC57" s="43" t="s">
        <v>26</v>
      </c>
      <c r="AD57" s="43" t="s">
        <v>26</v>
      </c>
      <c r="AE57" s="42">
        <v>375377106.24000001</v>
      </c>
      <c r="AF57" s="43">
        <v>5.1472880980999998E-4</v>
      </c>
      <c r="AG57" s="43" t="s">
        <v>26</v>
      </c>
      <c r="AH57" s="43" t="s">
        <v>26</v>
      </c>
      <c r="AI57" s="42">
        <v>48580385.869999997</v>
      </c>
      <c r="AJ57" s="43">
        <v>2.63468509486E-3</v>
      </c>
      <c r="AK57" s="43" t="s">
        <v>26</v>
      </c>
      <c r="AL57" s="43" t="s">
        <v>26</v>
      </c>
      <c r="AM57" s="43" t="s">
        <v>26</v>
      </c>
      <c r="AN57" s="43" t="s">
        <v>26</v>
      </c>
      <c r="AO57" s="43" t="s">
        <v>26</v>
      </c>
      <c r="AP57" s="43" t="s">
        <v>26</v>
      </c>
      <c r="AQ57" s="42">
        <v>48580385.869999997</v>
      </c>
      <c r="AR57" s="43">
        <v>1.1149381867299999E-3</v>
      </c>
      <c r="AS57" s="43" t="s">
        <v>26</v>
      </c>
      <c r="AT57" s="43" t="s">
        <v>26</v>
      </c>
      <c r="AU57" s="48">
        <v>6034203.2199999997</v>
      </c>
      <c r="AV57" s="43">
        <v>1.1521951062E-4</v>
      </c>
      <c r="AW57" s="43" t="s">
        <v>26</v>
      </c>
      <c r="AX57" s="43" t="s">
        <v>26</v>
      </c>
      <c r="AY57" s="42">
        <v>429991695.32999998</v>
      </c>
      <c r="AZ57" s="43">
        <v>5.2106610926999999E-4</v>
      </c>
      <c r="BA57" s="43" t="s">
        <v>26</v>
      </c>
      <c r="BB57" s="43" t="s">
        <v>26</v>
      </c>
    </row>
    <row r="58" spans="1:54" s="7" customFormat="1">
      <c r="A58" s="5" t="s">
        <v>63</v>
      </c>
      <c r="B58" s="20" t="s">
        <v>25</v>
      </c>
      <c r="C58" s="9" t="s">
        <v>26</v>
      </c>
      <c r="D58" s="10" t="s">
        <v>26</v>
      </c>
      <c r="E58" s="9" t="s">
        <v>26</v>
      </c>
      <c r="F58" s="10" t="s">
        <v>26</v>
      </c>
      <c r="G58" s="9" t="s">
        <v>26</v>
      </c>
      <c r="H58" s="10" t="s">
        <v>26</v>
      </c>
      <c r="I58" s="9" t="s">
        <v>26</v>
      </c>
      <c r="J58" s="10" t="s">
        <v>26</v>
      </c>
      <c r="K58" s="2" t="s">
        <v>26</v>
      </c>
      <c r="L58" s="1" t="s">
        <v>26</v>
      </c>
      <c r="M58" s="1" t="s">
        <v>26</v>
      </c>
      <c r="N58" s="1" t="s">
        <v>26</v>
      </c>
      <c r="O58" s="2" t="s">
        <v>26</v>
      </c>
      <c r="P58" s="1" t="s">
        <v>26</v>
      </c>
      <c r="Q58" s="1" t="s">
        <v>26</v>
      </c>
      <c r="R58" s="1" t="s">
        <v>26</v>
      </c>
      <c r="S58" s="2" t="s">
        <v>26</v>
      </c>
      <c r="T58" s="1" t="s">
        <v>26</v>
      </c>
      <c r="U58" s="1" t="s">
        <v>26</v>
      </c>
      <c r="V58" s="1" t="s">
        <v>26</v>
      </c>
      <c r="W58" s="2" t="s">
        <v>26</v>
      </c>
      <c r="X58" s="1" t="s">
        <v>26</v>
      </c>
      <c r="Y58" s="1" t="s">
        <v>26</v>
      </c>
      <c r="Z58" s="1" t="s">
        <v>26</v>
      </c>
      <c r="AA58" s="9">
        <v>95985634.260000005</v>
      </c>
      <c r="AB58" s="10">
        <v>6.1325805859000003E-4</v>
      </c>
      <c r="AC58" s="10">
        <v>0.13500000000000001</v>
      </c>
      <c r="AD58" s="10">
        <v>0.13439999999999999</v>
      </c>
      <c r="AE58" s="9">
        <v>95985634.260000005</v>
      </c>
      <c r="AF58" s="10">
        <v>1.31618499E-4</v>
      </c>
      <c r="AG58" s="10">
        <v>0.13500000000000001</v>
      </c>
      <c r="AH58" s="10">
        <v>0.13489999999999999</v>
      </c>
      <c r="AI58" s="2" t="s">
        <v>26</v>
      </c>
      <c r="AJ58" s="1" t="s">
        <v>26</v>
      </c>
      <c r="AK58" s="1" t="s">
        <v>26</v>
      </c>
      <c r="AL58" s="1" t="s">
        <v>26</v>
      </c>
      <c r="AM58" s="2" t="s">
        <v>26</v>
      </c>
      <c r="AN58" s="1" t="s">
        <v>26</v>
      </c>
      <c r="AO58" s="1" t="s">
        <v>26</v>
      </c>
      <c r="AP58" s="1" t="s">
        <v>26</v>
      </c>
      <c r="AQ58" s="2" t="s">
        <v>26</v>
      </c>
      <c r="AR58" s="1" t="s">
        <v>26</v>
      </c>
      <c r="AS58" s="1" t="s">
        <v>26</v>
      </c>
      <c r="AT58" s="1" t="s">
        <v>26</v>
      </c>
      <c r="AU58" s="2" t="s">
        <v>26</v>
      </c>
      <c r="AV58" s="1" t="s">
        <v>26</v>
      </c>
      <c r="AW58" s="1" t="s">
        <v>26</v>
      </c>
      <c r="AX58" s="1" t="s">
        <v>26</v>
      </c>
      <c r="AY58" s="9">
        <v>95985634.260000005</v>
      </c>
      <c r="AZ58" s="10">
        <v>1.1631587664E-4</v>
      </c>
      <c r="BA58" s="10">
        <v>0.13500000000000001</v>
      </c>
      <c r="BB58" s="10">
        <v>0.13489999999999999</v>
      </c>
    </row>
    <row r="59" spans="1:54" s="7" customFormat="1">
      <c r="A59" s="3" t="s">
        <v>41</v>
      </c>
      <c r="B59" s="23" t="s">
        <v>44</v>
      </c>
      <c r="C59" s="9" t="s">
        <v>26</v>
      </c>
      <c r="D59" s="10" t="s">
        <v>26</v>
      </c>
      <c r="E59" s="9" t="s">
        <v>26</v>
      </c>
      <c r="F59" s="10" t="s">
        <v>26</v>
      </c>
      <c r="G59" s="9" t="s">
        <v>26</v>
      </c>
      <c r="H59" s="10" t="s">
        <v>26</v>
      </c>
      <c r="I59" s="9" t="s">
        <v>26</v>
      </c>
      <c r="J59" s="10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>
        <v>95985634.260000005</v>
      </c>
      <c r="AB59" s="1">
        <v>1</v>
      </c>
      <c r="AC59" s="1" t="s">
        <v>26</v>
      </c>
      <c r="AD59" s="1" t="s">
        <v>26</v>
      </c>
      <c r="AE59" s="2">
        <v>95985634.260000005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95985634.260000005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65</v>
      </c>
      <c r="B60" s="20" t="s">
        <v>25</v>
      </c>
      <c r="C60" s="9" t="s">
        <v>26</v>
      </c>
      <c r="D60" s="10" t="s">
        <v>26</v>
      </c>
      <c r="E60" s="9" t="s">
        <v>26</v>
      </c>
      <c r="F60" s="10" t="s">
        <v>26</v>
      </c>
      <c r="G60" s="9" t="s">
        <v>26</v>
      </c>
      <c r="H60" s="10" t="s">
        <v>26</v>
      </c>
      <c r="I60" s="9" t="s">
        <v>26</v>
      </c>
      <c r="J60" s="10" t="s">
        <v>26</v>
      </c>
      <c r="K60" s="9">
        <v>119842506.52</v>
      </c>
      <c r="L60" s="10">
        <v>2.93607223338E-2</v>
      </c>
      <c r="M60" s="10">
        <v>0.13500000000000001</v>
      </c>
      <c r="N60" s="10">
        <v>0.1056</v>
      </c>
      <c r="O60" s="9">
        <v>100670572.48999999</v>
      </c>
      <c r="P60" s="10">
        <v>3.9623625959E-4</v>
      </c>
      <c r="Q60" s="10">
        <v>0.13500000000000001</v>
      </c>
      <c r="R60" s="10">
        <v>0.1346</v>
      </c>
      <c r="S60" s="9">
        <v>8511202.6699999999</v>
      </c>
      <c r="T60" s="10">
        <v>6.7767482269999994E-5</v>
      </c>
      <c r="U60" s="10">
        <v>0.13500000000000001</v>
      </c>
      <c r="V60" s="10">
        <v>0.13489999999999999</v>
      </c>
      <c r="W60" s="2" t="s">
        <v>26</v>
      </c>
      <c r="X60" s="1" t="s">
        <v>26</v>
      </c>
      <c r="Y60" s="1" t="s">
        <v>26</v>
      </c>
      <c r="Z60" s="1" t="s">
        <v>26</v>
      </c>
      <c r="AA60" s="9">
        <v>50367190.299999997</v>
      </c>
      <c r="AB60" s="10">
        <v>3.2179904397E-4</v>
      </c>
      <c r="AC60" s="10">
        <v>0.13500000000000001</v>
      </c>
      <c r="AD60" s="10">
        <v>0.13469999999999999</v>
      </c>
      <c r="AE60" s="9">
        <v>279391471.98000002</v>
      </c>
      <c r="AF60" s="10">
        <v>3.8311031081000001E-4</v>
      </c>
      <c r="AG60" s="10">
        <v>0.13500000000000001</v>
      </c>
      <c r="AH60" s="10">
        <v>0.1346</v>
      </c>
      <c r="AI60" s="9">
        <v>48580385.869999997</v>
      </c>
      <c r="AJ60" s="10">
        <v>2.63468509486E-3</v>
      </c>
      <c r="AK60" s="10">
        <v>0.13500000000000001</v>
      </c>
      <c r="AL60" s="10">
        <v>0.13239999999999999</v>
      </c>
      <c r="AM60" s="2" t="s">
        <v>26</v>
      </c>
      <c r="AN60" s="1" t="s">
        <v>26</v>
      </c>
      <c r="AO60" s="1" t="s">
        <v>26</v>
      </c>
      <c r="AP60" s="1" t="s">
        <v>26</v>
      </c>
      <c r="AQ60" s="9">
        <v>48580385.869999997</v>
      </c>
      <c r="AR60" s="10">
        <v>1.1149381867299999E-3</v>
      </c>
      <c r="AS60" s="10">
        <v>0.13500000000000001</v>
      </c>
      <c r="AT60" s="10">
        <v>0.13389999999999999</v>
      </c>
      <c r="AU60" s="9">
        <v>6034203.2199999997</v>
      </c>
      <c r="AV60" s="10">
        <v>1.1521951062E-4</v>
      </c>
      <c r="AW60" s="10">
        <v>0.13500000000000001</v>
      </c>
      <c r="AX60" s="10">
        <v>0.13489999999999999</v>
      </c>
      <c r="AY60" s="9">
        <v>334006061.06999999</v>
      </c>
      <c r="AZ60" s="10">
        <v>4.0475023263000001E-4</v>
      </c>
      <c r="BA60" s="10">
        <v>0.13500000000000001</v>
      </c>
      <c r="BB60" s="10">
        <v>0.1346</v>
      </c>
    </row>
    <row r="61" spans="1:54" s="28" customFormat="1">
      <c r="A61" s="3" t="s">
        <v>41</v>
      </c>
      <c r="B61" s="23" t="s">
        <v>44</v>
      </c>
      <c r="C61" s="9" t="s">
        <v>26</v>
      </c>
      <c r="D61" s="10" t="s">
        <v>26</v>
      </c>
      <c r="E61" s="9" t="s">
        <v>26</v>
      </c>
      <c r="F61" s="10" t="s">
        <v>26</v>
      </c>
      <c r="G61" s="9" t="s">
        <v>26</v>
      </c>
      <c r="H61" s="10" t="s">
        <v>26</v>
      </c>
      <c r="I61" s="9" t="s">
        <v>26</v>
      </c>
      <c r="J61" s="10" t="s">
        <v>26</v>
      </c>
      <c r="K61" s="2">
        <v>119842506.52</v>
      </c>
      <c r="L61" s="1">
        <v>1</v>
      </c>
      <c r="M61" s="1" t="s">
        <v>26</v>
      </c>
      <c r="N61" s="1" t="s">
        <v>26</v>
      </c>
      <c r="O61" s="2">
        <v>100670572.48999999</v>
      </c>
      <c r="P61" s="1">
        <v>1</v>
      </c>
      <c r="Q61" s="1" t="s">
        <v>26</v>
      </c>
      <c r="R61" s="1" t="s">
        <v>26</v>
      </c>
      <c r="S61" s="2">
        <v>8511202.6699999999</v>
      </c>
      <c r="T61" s="1">
        <v>1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>
        <v>50367190.299999997</v>
      </c>
      <c r="AB61" s="1">
        <v>1</v>
      </c>
      <c r="AC61" s="1" t="s">
        <v>26</v>
      </c>
      <c r="AD61" s="1" t="s">
        <v>26</v>
      </c>
      <c r="AE61" s="2">
        <v>279391471.98000002</v>
      </c>
      <c r="AF61" s="1">
        <v>1</v>
      </c>
      <c r="AG61" s="1" t="s">
        <v>26</v>
      </c>
      <c r="AH61" s="1" t="s">
        <v>26</v>
      </c>
      <c r="AI61" s="2">
        <v>48580385.869999997</v>
      </c>
      <c r="AJ61" s="1">
        <v>1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>
        <v>48580385.869999997</v>
      </c>
      <c r="AR61" s="1">
        <v>1</v>
      </c>
      <c r="AS61" s="1" t="s">
        <v>26</v>
      </c>
      <c r="AT61" s="1" t="s">
        <v>26</v>
      </c>
      <c r="AU61" s="2">
        <v>6034203.2199999997</v>
      </c>
      <c r="AV61" s="1">
        <v>1</v>
      </c>
      <c r="AW61" s="1" t="s">
        <v>26</v>
      </c>
      <c r="AX61" s="1" t="s">
        <v>26</v>
      </c>
      <c r="AY61" s="2">
        <v>334006061.06999999</v>
      </c>
      <c r="AZ61" s="1">
        <v>1</v>
      </c>
      <c r="BA61" s="1" t="s">
        <v>26</v>
      </c>
      <c r="BB61" s="1" t="s">
        <v>26</v>
      </c>
    </row>
    <row r="62" spans="1:54" s="7" customFormat="1">
      <c r="A62" s="12" t="s">
        <v>66</v>
      </c>
      <c r="B62" s="40" t="s">
        <v>25</v>
      </c>
      <c r="C62" s="42">
        <v>1146869476.9100001</v>
      </c>
      <c r="D62" s="43">
        <v>0.14568492656070001</v>
      </c>
      <c r="E62" s="43" t="s">
        <v>26</v>
      </c>
      <c r="F62" s="43" t="s">
        <v>26</v>
      </c>
      <c r="G62" s="42">
        <v>6614294958.5</v>
      </c>
      <c r="H62" s="43">
        <v>3.8052731139950002E-2</v>
      </c>
      <c r="I62" s="43" t="s">
        <v>26</v>
      </c>
      <c r="J62" s="43" t="s">
        <v>26</v>
      </c>
      <c r="K62" s="42">
        <v>656706200.90999997</v>
      </c>
      <c r="L62" s="43">
        <v>0.16088922853581</v>
      </c>
      <c r="M62" s="43" t="s">
        <v>26</v>
      </c>
      <c r="N62" s="43" t="s">
        <v>26</v>
      </c>
      <c r="O62" s="42">
        <v>10506405109</v>
      </c>
      <c r="P62" s="43">
        <v>4.1352885547110002E-2</v>
      </c>
      <c r="Q62" s="43" t="s">
        <v>26</v>
      </c>
      <c r="R62" s="43" t="s">
        <v>26</v>
      </c>
      <c r="S62" s="42">
        <v>6147188484.8500004</v>
      </c>
      <c r="T62" s="43">
        <v>4.8944843970409997E-2</v>
      </c>
      <c r="U62" s="43" t="s">
        <v>26</v>
      </c>
      <c r="V62" s="43" t="s">
        <v>26</v>
      </c>
      <c r="W62" s="43" t="s">
        <v>26</v>
      </c>
      <c r="X62" s="43" t="s">
        <v>26</v>
      </c>
      <c r="Y62" s="43" t="s">
        <v>26</v>
      </c>
      <c r="Z62" s="43" t="s">
        <v>26</v>
      </c>
      <c r="AA62" s="42">
        <v>5020587931.46</v>
      </c>
      <c r="AB62" s="43">
        <v>3.2076841826840001E-2</v>
      </c>
      <c r="AC62" s="43" t="s">
        <v>26</v>
      </c>
      <c r="AD62" s="43" t="s">
        <v>26</v>
      </c>
      <c r="AE62" s="42">
        <v>30092052161.630001</v>
      </c>
      <c r="AF62" s="43">
        <v>4.1263161594790002E-2</v>
      </c>
      <c r="AG62" s="43" t="s">
        <v>26</v>
      </c>
      <c r="AH62" s="43" t="s">
        <v>26</v>
      </c>
      <c r="AI62" s="42">
        <v>900885781.99000001</v>
      </c>
      <c r="AJ62" s="43">
        <v>4.8858202739039999E-2</v>
      </c>
      <c r="AK62" s="43" t="s">
        <v>26</v>
      </c>
      <c r="AL62" s="43" t="s">
        <v>26</v>
      </c>
      <c r="AM62" s="42">
        <v>2183246161.8200002</v>
      </c>
      <c r="AN62" s="43">
        <v>8.68660316111E-2</v>
      </c>
      <c r="AO62" s="43" t="s">
        <v>26</v>
      </c>
      <c r="AP62" s="43" t="s">
        <v>26</v>
      </c>
      <c r="AQ62" s="42">
        <v>3084131943.8099999</v>
      </c>
      <c r="AR62" s="43">
        <v>7.0781991857349999E-2</v>
      </c>
      <c r="AS62" s="43" t="s">
        <v>26</v>
      </c>
      <c r="AT62" s="43" t="s">
        <v>26</v>
      </c>
      <c r="AU62" s="42">
        <v>1453960083.04</v>
      </c>
      <c r="AV62" s="43">
        <v>2.7762500385899998E-2</v>
      </c>
      <c r="AW62" s="43" t="s">
        <v>26</v>
      </c>
      <c r="AX62" s="43" t="s">
        <v>26</v>
      </c>
      <c r="AY62" s="42">
        <v>34630144188.480003</v>
      </c>
      <c r="AZ62" s="43">
        <v>4.196498372317E-2</v>
      </c>
      <c r="BA62" s="43" t="s">
        <v>26</v>
      </c>
      <c r="BB62" s="43" t="s">
        <v>26</v>
      </c>
    </row>
    <row r="63" spans="1:54" s="28" customFormat="1">
      <c r="A63" s="5" t="s">
        <v>67</v>
      </c>
      <c r="B63" s="20" t="s">
        <v>25</v>
      </c>
      <c r="C63" s="9">
        <v>291816609.04000002</v>
      </c>
      <c r="D63" s="10">
        <v>3.7068979611990002E-2</v>
      </c>
      <c r="E63" s="10">
        <v>0.08</v>
      </c>
      <c r="F63" s="10">
        <v>4.2900000000000001E-2</v>
      </c>
      <c r="G63" s="9" t="s">
        <v>26</v>
      </c>
      <c r="H63" s="10" t="s">
        <v>26</v>
      </c>
      <c r="I63" s="9" t="s">
        <v>26</v>
      </c>
      <c r="J63" s="10" t="s">
        <v>26</v>
      </c>
      <c r="K63" s="9">
        <v>191698558.03</v>
      </c>
      <c r="L63" s="10">
        <v>4.6965040181040002E-2</v>
      </c>
      <c r="M63" s="10">
        <v>0.08</v>
      </c>
      <c r="N63" s="10">
        <v>3.3000000000000002E-2</v>
      </c>
      <c r="O63" s="2" t="s">
        <v>26</v>
      </c>
      <c r="P63" s="1" t="s">
        <v>26</v>
      </c>
      <c r="Q63" s="1" t="s">
        <v>26</v>
      </c>
      <c r="R63" s="1" t="s">
        <v>26</v>
      </c>
      <c r="S63" s="9">
        <v>491604252.31999999</v>
      </c>
      <c r="T63" s="10">
        <v>3.9142273714699999E-3</v>
      </c>
      <c r="U63" s="10">
        <v>0.08</v>
      </c>
      <c r="V63" s="10">
        <v>7.6100000000000001E-2</v>
      </c>
      <c r="W63" s="2" t="s">
        <v>26</v>
      </c>
      <c r="X63" s="1" t="s">
        <v>26</v>
      </c>
      <c r="Y63" s="1" t="s">
        <v>26</v>
      </c>
      <c r="Z63" s="1" t="s">
        <v>26</v>
      </c>
      <c r="AA63" s="2" t="s">
        <v>26</v>
      </c>
      <c r="AB63" s="1" t="s">
        <v>26</v>
      </c>
      <c r="AC63" s="1" t="s">
        <v>26</v>
      </c>
      <c r="AD63" s="1" t="s">
        <v>26</v>
      </c>
      <c r="AE63" s="9">
        <v>975119419.38999999</v>
      </c>
      <c r="AF63" s="10">
        <v>1.3371141974799999E-3</v>
      </c>
      <c r="AG63" s="10">
        <v>0.08</v>
      </c>
      <c r="AH63" s="10">
        <v>7.8700000000000006E-2</v>
      </c>
      <c r="AI63" s="2" t="s">
        <v>26</v>
      </c>
      <c r="AJ63" s="1" t="s">
        <v>26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 t="s">
        <v>26</v>
      </c>
      <c r="AR63" s="1" t="s">
        <v>26</v>
      </c>
      <c r="AS63" s="1" t="s">
        <v>26</v>
      </c>
      <c r="AT63" s="1" t="s">
        <v>26</v>
      </c>
      <c r="AU63" s="2" t="s">
        <v>26</v>
      </c>
      <c r="AV63" s="1" t="s">
        <v>26</v>
      </c>
      <c r="AW63" s="1" t="s">
        <v>26</v>
      </c>
      <c r="AX63" s="1" t="s">
        <v>26</v>
      </c>
      <c r="AY63" s="9">
        <v>975119419.38999999</v>
      </c>
      <c r="AZ63" s="10">
        <v>1.18165463996E-3</v>
      </c>
      <c r="BA63" s="10">
        <v>0.08</v>
      </c>
      <c r="BB63" s="10">
        <v>7.8799999999999995E-2</v>
      </c>
    </row>
    <row r="64" spans="1:54" s="7" customFormat="1">
      <c r="A64" s="3" t="s">
        <v>68</v>
      </c>
      <c r="B64" s="23" t="s">
        <v>57</v>
      </c>
      <c r="C64" s="2">
        <v>291816609.04000002</v>
      </c>
      <c r="D64" s="1">
        <v>1</v>
      </c>
      <c r="E64" s="9" t="s">
        <v>26</v>
      </c>
      <c r="F64" s="10" t="s">
        <v>26</v>
      </c>
      <c r="G64" s="9" t="s">
        <v>26</v>
      </c>
      <c r="H64" s="10" t="s">
        <v>26</v>
      </c>
      <c r="I64" s="9" t="s">
        <v>26</v>
      </c>
      <c r="J64" s="10" t="s">
        <v>26</v>
      </c>
      <c r="K64" s="2">
        <v>191698558.03</v>
      </c>
      <c r="L64" s="1">
        <v>1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>
        <v>491604252.31999999</v>
      </c>
      <c r="T64" s="1">
        <v>1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975119419.38999999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975119419.38999999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69</v>
      </c>
      <c r="B65" s="20" t="s">
        <v>25</v>
      </c>
      <c r="C65" s="9" t="s">
        <v>26</v>
      </c>
      <c r="D65" s="10" t="s">
        <v>26</v>
      </c>
      <c r="E65" s="9" t="s">
        <v>26</v>
      </c>
      <c r="F65" s="10" t="s">
        <v>26</v>
      </c>
      <c r="G65" s="9">
        <v>446360733.33999997</v>
      </c>
      <c r="H65" s="10">
        <v>2.56796001445E-3</v>
      </c>
      <c r="I65" s="10">
        <v>0.08</v>
      </c>
      <c r="J65" s="10">
        <v>7.7399999999999997E-2</v>
      </c>
      <c r="K65" s="2" t="s">
        <v>26</v>
      </c>
      <c r="L65" s="1" t="s">
        <v>26</v>
      </c>
      <c r="M65" s="1" t="s">
        <v>26</v>
      </c>
      <c r="N65" s="1" t="s">
        <v>26</v>
      </c>
      <c r="O65" s="9">
        <v>402583148.63</v>
      </c>
      <c r="P65" s="10">
        <v>1.58455482116E-3</v>
      </c>
      <c r="Q65" s="10">
        <v>0.08</v>
      </c>
      <c r="R65" s="10">
        <v>7.8399999999999997E-2</v>
      </c>
      <c r="S65" s="9">
        <v>102143832</v>
      </c>
      <c r="T65" s="10">
        <v>8.1328463118999995E-4</v>
      </c>
      <c r="U65" s="10">
        <v>0.08</v>
      </c>
      <c r="V65" s="10">
        <v>7.9200000000000007E-2</v>
      </c>
      <c r="W65" s="2" t="s">
        <v>26</v>
      </c>
      <c r="X65" s="1" t="s">
        <v>26</v>
      </c>
      <c r="Y65" s="1" t="s">
        <v>26</v>
      </c>
      <c r="Z65" s="1" t="s">
        <v>26</v>
      </c>
      <c r="AA65" s="2" t="s">
        <v>26</v>
      </c>
      <c r="AB65" s="1" t="s">
        <v>26</v>
      </c>
      <c r="AC65" s="1" t="s">
        <v>26</v>
      </c>
      <c r="AD65" s="1" t="s">
        <v>26</v>
      </c>
      <c r="AE65" s="9">
        <v>951087713.97000003</v>
      </c>
      <c r="AF65" s="10">
        <v>1.3041611725800001E-3</v>
      </c>
      <c r="AG65" s="10">
        <v>0.08</v>
      </c>
      <c r="AH65" s="10">
        <v>7.8700000000000006E-2</v>
      </c>
      <c r="AI65" s="2" t="s">
        <v>26</v>
      </c>
      <c r="AJ65" s="1" t="s">
        <v>26</v>
      </c>
      <c r="AK65" s="1" t="s">
        <v>26</v>
      </c>
      <c r="AL65" s="1" t="s">
        <v>26</v>
      </c>
      <c r="AM65" s="2" t="s">
        <v>26</v>
      </c>
      <c r="AN65" s="1" t="s">
        <v>26</v>
      </c>
      <c r="AO65" s="1" t="s">
        <v>26</v>
      </c>
      <c r="AP65" s="1" t="s">
        <v>26</v>
      </c>
      <c r="AQ65" s="2" t="s">
        <v>26</v>
      </c>
      <c r="AR65" s="1" t="s">
        <v>26</v>
      </c>
      <c r="AS65" s="1" t="s">
        <v>26</v>
      </c>
      <c r="AT65" s="1" t="s">
        <v>26</v>
      </c>
      <c r="AU65" s="9">
        <v>102143832</v>
      </c>
      <c r="AV65" s="10">
        <v>1.95037553534E-3</v>
      </c>
      <c r="AW65" s="10">
        <v>0.08</v>
      </c>
      <c r="AX65" s="10">
        <v>7.8E-2</v>
      </c>
      <c r="AY65" s="9">
        <v>1053231545.97</v>
      </c>
      <c r="AZ65" s="10">
        <v>1.27631130967E-3</v>
      </c>
      <c r="BA65" s="10">
        <v>0.08</v>
      </c>
      <c r="BB65" s="10">
        <v>7.8700000000000006E-2</v>
      </c>
    </row>
    <row r="66" spans="1:54" s="7" customFormat="1">
      <c r="A66" s="3" t="s">
        <v>68</v>
      </c>
      <c r="B66" s="23" t="s">
        <v>57</v>
      </c>
      <c r="C66" s="9" t="s">
        <v>26</v>
      </c>
      <c r="D66" s="10" t="s">
        <v>26</v>
      </c>
      <c r="E66" s="9" t="s">
        <v>26</v>
      </c>
      <c r="F66" s="10" t="s">
        <v>26</v>
      </c>
      <c r="G66" s="2">
        <v>446360733.33999997</v>
      </c>
      <c r="H66" s="1">
        <v>1</v>
      </c>
      <c r="I66" s="9" t="s">
        <v>26</v>
      </c>
      <c r="J66" s="10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402583148.63</v>
      </c>
      <c r="P66" s="1">
        <v>1</v>
      </c>
      <c r="Q66" s="1" t="s">
        <v>26</v>
      </c>
      <c r="R66" s="1" t="s">
        <v>26</v>
      </c>
      <c r="S66" s="2">
        <v>102143832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951087713.97000003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102143832</v>
      </c>
      <c r="AV66" s="1">
        <v>1</v>
      </c>
      <c r="AW66" s="1" t="s">
        <v>26</v>
      </c>
      <c r="AX66" s="1" t="s">
        <v>26</v>
      </c>
      <c r="AY66" s="2">
        <v>1053231545.97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70</v>
      </c>
      <c r="B67" s="20" t="s">
        <v>25</v>
      </c>
      <c r="C67" s="9" t="s">
        <v>26</v>
      </c>
      <c r="D67" s="10" t="s">
        <v>26</v>
      </c>
      <c r="E67" s="9" t="s">
        <v>26</v>
      </c>
      <c r="F67" s="10" t="s">
        <v>26</v>
      </c>
      <c r="G67" s="9">
        <v>507730894.04000002</v>
      </c>
      <c r="H67" s="10">
        <v>2.9210289718800001E-3</v>
      </c>
      <c r="I67" s="10">
        <v>0.09</v>
      </c>
      <c r="J67" s="10">
        <v>8.7099999999999997E-2</v>
      </c>
      <c r="K67" s="2" t="s">
        <v>26</v>
      </c>
      <c r="L67" s="1" t="s">
        <v>26</v>
      </c>
      <c r="M67" s="1" t="s">
        <v>26</v>
      </c>
      <c r="N67" s="1" t="s">
        <v>26</v>
      </c>
      <c r="O67" s="9">
        <v>1116713292.27</v>
      </c>
      <c r="P67" s="10">
        <v>4.3953489785599998E-3</v>
      </c>
      <c r="Q67" s="10">
        <v>0.09</v>
      </c>
      <c r="R67" s="10">
        <v>8.5599999999999996E-2</v>
      </c>
      <c r="S67" s="9">
        <v>510836135.64999998</v>
      </c>
      <c r="T67" s="10">
        <v>4.0673545337799998E-3</v>
      </c>
      <c r="U67" s="10">
        <v>0.09</v>
      </c>
      <c r="V67" s="10">
        <v>8.5900000000000004E-2</v>
      </c>
      <c r="W67" s="2" t="s">
        <v>26</v>
      </c>
      <c r="X67" s="1" t="s">
        <v>26</v>
      </c>
      <c r="Y67" s="1" t="s">
        <v>26</v>
      </c>
      <c r="Z67" s="1" t="s">
        <v>26</v>
      </c>
      <c r="AA67" s="9">
        <v>1357639179.3399999</v>
      </c>
      <c r="AB67" s="10">
        <v>8.6740393372500002E-3</v>
      </c>
      <c r="AC67" s="10">
        <v>0.09</v>
      </c>
      <c r="AD67" s="10">
        <v>8.1299999999999997E-2</v>
      </c>
      <c r="AE67" s="9">
        <v>3492919501.3000002</v>
      </c>
      <c r="AF67" s="10">
        <v>4.7896002919799998E-3</v>
      </c>
      <c r="AG67" s="10">
        <v>0.09</v>
      </c>
      <c r="AH67" s="10">
        <v>8.5199999999999998E-2</v>
      </c>
      <c r="AI67" s="9">
        <v>94989719.239999995</v>
      </c>
      <c r="AJ67" s="10">
        <v>5.1516263809799996E-3</v>
      </c>
      <c r="AK67" s="10">
        <v>0.09</v>
      </c>
      <c r="AL67" s="10">
        <v>8.48E-2</v>
      </c>
      <c r="AM67" s="9">
        <v>13353900.789999999</v>
      </c>
      <c r="AN67" s="10">
        <v>5.3131909193E-4</v>
      </c>
      <c r="AO67" s="10">
        <v>0.09</v>
      </c>
      <c r="AP67" s="10">
        <v>8.9499999999999996E-2</v>
      </c>
      <c r="AQ67" s="9">
        <v>108343620.03</v>
      </c>
      <c r="AR67" s="10">
        <v>2.4865269613899999E-3</v>
      </c>
      <c r="AS67" s="10">
        <v>0.09</v>
      </c>
      <c r="AT67" s="10">
        <v>8.7499999999999994E-2</v>
      </c>
      <c r="AU67" s="9">
        <v>184011326.09999999</v>
      </c>
      <c r="AV67" s="10">
        <v>3.5135864948799998E-3</v>
      </c>
      <c r="AW67" s="10">
        <v>0.09</v>
      </c>
      <c r="AX67" s="10">
        <v>8.6499999999999994E-2</v>
      </c>
      <c r="AY67" s="9">
        <v>3785274447.4299998</v>
      </c>
      <c r="AZ67" s="10">
        <v>4.5870147034199997E-3</v>
      </c>
      <c r="BA67" s="10">
        <v>0.09</v>
      </c>
      <c r="BB67" s="10">
        <v>8.5400000000000004E-2</v>
      </c>
    </row>
    <row r="68" spans="1:54" s="7" customFormat="1">
      <c r="A68" s="3" t="s">
        <v>68</v>
      </c>
      <c r="B68" s="23" t="s">
        <v>40</v>
      </c>
      <c r="C68" s="9" t="s">
        <v>26</v>
      </c>
      <c r="D68" s="10" t="s">
        <v>26</v>
      </c>
      <c r="E68" s="9" t="s">
        <v>26</v>
      </c>
      <c r="F68" s="10" t="s">
        <v>26</v>
      </c>
      <c r="G68" s="2">
        <v>507730894.04000002</v>
      </c>
      <c r="H68" s="1">
        <v>1</v>
      </c>
      <c r="I68" s="9" t="s">
        <v>26</v>
      </c>
      <c r="J68" s="10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1116713292.27</v>
      </c>
      <c r="P68" s="1">
        <v>1</v>
      </c>
      <c r="Q68" s="1" t="s">
        <v>26</v>
      </c>
      <c r="R68" s="1" t="s">
        <v>26</v>
      </c>
      <c r="S68" s="2">
        <v>510836135.64999998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1357639179.3399999</v>
      </c>
      <c r="AB68" s="1">
        <v>1</v>
      </c>
      <c r="AC68" s="1" t="s">
        <v>26</v>
      </c>
      <c r="AD68" s="1" t="s">
        <v>26</v>
      </c>
      <c r="AE68" s="2">
        <v>3492919501.3000002</v>
      </c>
      <c r="AF68" s="1">
        <v>1</v>
      </c>
      <c r="AG68" s="1" t="s">
        <v>26</v>
      </c>
      <c r="AH68" s="1" t="s">
        <v>26</v>
      </c>
      <c r="AI68" s="2">
        <v>94989719.239999995</v>
      </c>
      <c r="AJ68" s="1">
        <v>1</v>
      </c>
      <c r="AK68" s="1" t="s">
        <v>26</v>
      </c>
      <c r="AL68" s="1" t="s">
        <v>26</v>
      </c>
      <c r="AM68" s="2">
        <v>13353900.789999999</v>
      </c>
      <c r="AN68" s="1">
        <v>1</v>
      </c>
      <c r="AO68" s="1" t="s">
        <v>26</v>
      </c>
      <c r="AP68" s="1" t="s">
        <v>26</v>
      </c>
      <c r="AQ68" s="2">
        <v>108343620.03</v>
      </c>
      <c r="AR68" s="1">
        <v>1</v>
      </c>
      <c r="AS68" s="1" t="s">
        <v>26</v>
      </c>
      <c r="AT68" s="1" t="s">
        <v>26</v>
      </c>
      <c r="AU68" s="2">
        <v>184011326.09999999</v>
      </c>
      <c r="AV68" s="1">
        <v>1</v>
      </c>
      <c r="AW68" s="1" t="s">
        <v>26</v>
      </c>
      <c r="AX68" s="1" t="s">
        <v>26</v>
      </c>
      <c r="AY68" s="2">
        <v>3785274447.4299998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71</v>
      </c>
      <c r="B69" s="20" t="s">
        <v>25</v>
      </c>
      <c r="C69" s="9">
        <v>351352663.48000002</v>
      </c>
      <c r="D69" s="10">
        <v>4.4631745814619997E-2</v>
      </c>
      <c r="E69" s="10">
        <v>0.08</v>
      </c>
      <c r="F69" s="10">
        <v>3.5400000000000001E-2</v>
      </c>
      <c r="G69" s="9">
        <v>468672660.76999998</v>
      </c>
      <c r="H69" s="10">
        <v>2.6963228680900002E-3</v>
      </c>
      <c r="I69" s="10">
        <v>0.08</v>
      </c>
      <c r="J69" s="10">
        <v>7.7299999999999994E-2</v>
      </c>
      <c r="K69" s="9">
        <v>164680984.21000001</v>
      </c>
      <c r="L69" s="10">
        <v>4.0345890547930002E-2</v>
      </c>
      <c r="M69" s="10">
        <v>0.08</v>
      </c>
      <c r="N69" s="10">
        <v>3.9699999999999999E-2</v>
      </c>
      <c r="O69" s="9">
        <v>1443629799.01</v>
      </c>
      <c r="P69" s="10">
        <v>5.6820822376000002E-3</v>
      </c>
      <c r="Q69" s="10">
        <v>0.08</v>
      </c>
      <c r="R69" s="10">
        <v>7.4300000000000005E-2</v>
      </c>
      <c r="S69" s="9">
        <v>311138903.49000001</v>
      </c>
      <c r="T69" s="10">
        <v>2.47733498362E-3</v>
      </c>
      <c r="U69" s="10">
        <v>0.08</v>
      </c>
      <c r="V69" s="10">
        <v>7.7499999999999999E-2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9">
        <v>2739475010.96</v>
      </c>
      <c r="AF69" s="10">
        <v>3.75645367936E-3</v>
      </c>
      <c r="AG69" s="10">
        <v>0.08</v>
      </c>
      <c r="AH69" s="10">
        <v>7.6200000000000004E-2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9">
        <v>2739475010.96</v>
      </c>
      <c r="AZ69" s="10">
        <v>3.3197096616000002E-3</v>
      </c>
      <c r="BA69" s="10">
        <v>0.08</v>
      </c>
      <c r="BB69" s="10">
        <v>7.6700000000000004E-2</v>
      </c>
    </row>
    <row r="70" spans="1:54" s="28" customFormat="1">
      <c r="A70" s="3" t="s">
        <v>68</v>
      </c>
      <c r="B70" s="23" t="s">
        <v>57</v>
      </c>
      <c r="C70" s="2">
        <v>351352663.48000002</v>
      </c>
      <c r="D70" s="1">
        <v>1</v>
      </c>
      <c r="E70" s="9" t="s">
        <v>26</v>
      </c>
      <c r="F70" s="10" t="s">
        <v>26</v>
      </c>
      <c r="G70" s="2">
        <v>468672660.76999998</v>
      </c>
      <c r="H70" s="1">
        <v>1</v>
      </c>
      <c r="I70" s="9" t="s">
        <v>26</v>
      </c>
      <c r="J70" s="10" t="s">
        <v>26</v>
      </c>
      <c r="K70" s="2">
        <v>164680984.21000001</v>
      </c>
      <c r="L70" s="1">
        <v>1</v>
      </c>
      <c r="M70" s="1" t="s">
        <v>26</v>
      </c>
      <c r="N70" s="1" t="s">
        <v>26</v>
      </c>
      <c r="O70" s="2">
        <v>1443629799.01</v>
      </c>
      <c r="P70" s="1">
        <v>1</v>
      </c>
      <c r="Q70" s="1" t="s">
        <v>26</v>
      </c>
      <c r="R70" s="1" t="s">
        <v>26</v>
      </c>
      <c r="S70" s="2">
        <v>311138903.49000001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2739475010.96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2739475010.96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72</v>
      </c>
      <c r="B71" s="20" t="s">
        <v>25</v>
      </c>
      <c r="C71" s="9" t="s">
        <v>26</v>
      </c>
      <c r="D71" s="10" t="s">
        <v>26</v>
      </c>
      <c r="E71" s="9" t="s">
        <v>26</v>
      </c>
      <c r="F71" s="10" t="s">
        <v>26</v>
      </c>
      <c r="G71" s="9">
        <v>2548885828.6999998</v>
      </c>
      <c r="H71" s="10">
        <v>1.4664006935659999E-2</v>
      </c>
      <c r="I71" s="10">
        <v>0.09</v>
      </c>
      <c r="J71" s="10">
        <v>7.5300000000000006E-2</v>
      </c>
      <c r="K71" s="2" t="s">
        <v>26</v>
      </c>
      <c r="L71" s="1" t="s">
        <v>26</v>
      </c>
      <c r="M71" s="1" t="s">
        <v>26</v>
      </c>
      <c r="N71" s="1" t="s">
        <v>26</v>
      </c>
      <c r="O71" s="9">
        <v>2145380015.71</v>
      </c>
      <c r="P71" s="10">
        <v>8.4441493854800001E-3</v>
      </c>
      <c r="Q71" s="10">
        <v>0.09</v>
      </c>
      <c r="R71" s="10">
        <v>8.1600000000000006E-2</v>
      </c>
      <c r="S71" s="9">
        <v>1343101267.8499999</v>
      </c>
      <c r="T71" s="10">
        <v>1.0693975327650001E-2</v>
      </c>
      <c r="U71" s="10">
        <v>0.09</v>
      </c>
      <c r="V71" s="10">
        <v>7.9299999999999995E-2</v>
      </c>
      <c r="W71" s="2" t="s">
        <v>26</v>
      </c>
      <c r="X71" s="1" t="s">
        <v>26</v>
      </c>
      <c r="Y71" s="1" t="s">
        <v>26</v>
      </c>
      <c r="Z71" s="1" t="s">
        <v>26</v>
      </c>
      <c r="AA71" s="9">
        <v>1787999900.47</v>
      </c>
      <c r="AB71" s="10">
        <v>1.142364017457E-2</v>
      </c>
      <c r="AC71" s="10">
        <v>0.09</v>
      </c>
      <c r="AD71" s="10">
        <v>7.8600000000000003E-2</v>
      </c>
      <c r="AE71" s="9">
        <v>7825367012.7299995</v>
      </c>
      <c r="AF71" s="10">
        <v>1.0730387607019999E-2</v>
      </c>
      <c r="AG71" s="10">
        <v>0.09</v>
      </c>
      <c r="AH71" s="10">
        <v>7.9299999999999995E-2</v>
      </c>
      <c r="AI71" s="9">
        <v>15954065.470000001</v>
      </c>
      <c r="AJ71" s="10">
        <v>8.6524505196000005E-4</v>
      </c>
      <c r="AK71" s="10">
        <v>0.09</v>
      </c>
      <c r="AL71" s="10">
        <v>8.9099999999999999E-2</v>
      </c>
      <c r="AM71" s="9">
        <v>113890931.03</v>
      </c>
      <c r="AN71" s="10">
        <v>4.5314419363599997E-3</v>
      </c>
      <c r="AO71" s="10">
        <v>0.09</v>
      </c>
      <c r="AP71" s="10">
        <v>8.5500000000000007E-2</v>
      </c>
      <c r="AQ71" s="9">
        <v>129844996.5</v>
      </c>
      <c r="AR71" s="10">
        <v>2.9799916645700001E-3</v>
      </c>
      <c r="AS71" s="10">
        <v>0.09</v>
      </c>
      <c r="AT71" s="10">
        <v>8.6999999999999994E-2</v>
      </c>
      <c r="AU71" s="9">
        <v>471567917.63</v>
      </c>
      <c r="AV71" s="10">
        <v>9.0043080603800004E-3</v>
      </c>
      <c r="AW71" s="10">
        <v>0.09</v>
      </c>
      <c r="AX71" s="10">
        <v>8.1000000000000003E-2</v>
      </c>
      <c r="AY71" s="9">
        <v>8426779926.8599997</v>
      </c>
      <c r="AZ71" s="10">
        <v>1.021161449819E-2</v>
      </c>
      <c r="BA71" s="10">
        <v>0.09</v>
      </c>
      <c r="BB71" s="10">
        <v>7.9799999999999996E-2</v>
      </c>
    </row>
    <row r="72" spans="1:54" s="28" customFormat="1">
      <c r="A72" s="3" t="s">
        <v>68</v>
      </c>
      <c r="B72" s="23" t="s">
        <v>40</v>
      </c>
      <c r="C72" s="9" t="s">
        <v>26</v>
      </c>
      <c r="D72" s="10" t="s">
        <v>26</v>
      </c>
      <c r="E72" s="9" t="s">
        <v>26</v>
      </c>
      <c r="F72" s="10" t="s">
        <v>26</v>
      </c>
      <c r="G72" s="2">
        <v>2548885828.6999998</v>
      </c>
      <c r="H72" s="1">
        <v>1</v>
      </c>
      <c r="I72" s="9" t="s">
        <v>26</v>
      </c>
      <c r="J72" s="10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2145380015.71</v>
      </c>
      <c r="P72" s="1">
        <v>1</v>
      </c>
      <c r="Q72" s="1" t="s">
        <v>26</v>
      </c>
      <c r="R72" s="1" t="s">
        <v>26</v>
      </c>
      <c r="S72" s="2">
        <v>1343101267.8499999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1787999900.47</v>
      </c>
      <c r="AB72" s="1">
        <v>1</v>
      </c>
      <c r="AC72" s="1" t="s">
        <v>26</v>
      </c>
      <c r="AD72" s="1" t="s">
        <v>26</v>
      </c>
      <c r="AE72" s="2">
        <v>7825367012.7299995</v>
      </c>
      <c r="AF72" s="1">
        <v>1</v>
      </c>
      <c r="AG72" s="1" t="s">
        <v>26</v>
      </c>
      <c r="AH72" s="1" t="s">
        <v>26</v>
      </c>
      <c r="AI72" s="2">
        <v>15954065.470000001</v>
      </c>
      <c r="AJ72" s="1">
        <v>1</v>
      </c>
      <c r="AK72" s="1" t="s">
        <v>25</v>
      </c>
      <c r="AL72" s="1" t="s">
        <v>25</v>
      </c>
      <c r="AM72" s="2">
        <v>113890931.03</v>
      </c>
      <c r="AN72" s="1">
        <v>1</v>
      </c>
      <c r="AO72" s="1" t="s">
        <v>26</v>
      </c>
      <c r="AP72" s="1" t="s">
        <v>26</v>
      </c>
      <c r="AQ72" s="2">
        <v>129844996.5</v>
      </c>
      <c r="AR72" s="1">
        <v>1</v>
      </c>
      <c r="AS72" s="1" t="s">
        <v>26</v>
      </c>
      <c r="AT72" s="1" t="s">
        <v>26</v>
      </c>
      <c r="AU72" s="2">
        <v>471567917.63</v>
      </c>
      <c r="AV72" s="1">
        <v>1</v>
      </c>
      <c r="AW72" s="1" t="s">
        <v>26</v>
      </c>
      <c r="AX72" s="1" t="s">
        <v>26</v>
      </c>
      <c r="AY72" s="2">
        <v>8426779926.8599997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73</v>
      </c>
      <c r="B73" s="20" t="s">
        <v>25</v>
      </c>
      <c r="C73" s="9">
        <v>87429386.349999994</v>
      </c>
      <c r="D73" s="10">
        <v>1.110600986955E-2</v>
      </c>
      <c r="E73" s="10">
        <v>0.08</v>
      </c>
      <c r="F73" s="10">
        <v>6.8900000000000003E-2</v>
      </c>
      <c r="G73" s="9">
        <v>219354299.05000001</v>
      </c>
      <c r="H73" s="10">
        <v>1.2619682397799999E-3</v>
      </c>
      <c r="I73" s="10">
        <v>0.08</v>
      </c>
      <c r="J73" s="10">
        <v>7.8700000000000006E-2</v>
      </c>
      <c r="K73" s="9">
        <v>105192055.62</v>
      </c>
      <c r="L73" s="10">
        <v>2.5771446429689999E-2</v>
      </c>
      <c r="M73" s="10">
        <v>0.08</v>
      </c>
      <c r="N73" s="10">
        <v>5.4199999999999998E-2</v>
      </c>
      <c r="O73" s="9">
        <v>2704215940.5100002</v>
      </c>
      <c r="P73" s="10">
        <v>1.0643710300759999E-2</v>
      </c>
      <c r="Q73" s="10">
        <v>0.08</v>
      </c>
      <c r="R73" s="10">
        <v>6.9400000000000003E-2</v>
      </c>
      <c r="S73" s="9">
        <v>2849490508.1399999</v>
      </c>
      <c r="T73" s="10">
        <v>2.2688074175659999E-2</v>
      </c>
      <c r="U73" s="10">
        <v>0.08</v>
      </c>
      <c r="V73" s="10">
        <v>5.7299999999999997E-2</v>
      </c>
      <c r="W73" s="2" t="s">
        <v>26</v>
      </c>
      <c r="X73" s="1" t="s">
        <v>26</v>
      </c>
      <c r="Y73" s="1" t="s">
        <v>26</v>
      </c>
      <c r="Z73" s="1" t="s">
        <v>26</v>
      </c>
      <c r="AA73" s="9">
        <v>1874948851.6500001</v>
      </c>
      <c r="AB73" s="10">
        <v>1.1979162315019999E-2</v>
      </c>
      <c r="AC73" s="10">
        <v>0.08</v>
      </c>
      <c r="AD73" s="10">
        <v>6.8000000000000005E-2</v>
      </c>
      <c r="AE73" s="9">
        <v>7840631041.3199997</v>
      </c>
      <c r="AF73" s="10">
        <v>1.075131811966E-2</v>
      </c>
      <c r="AG73" s="10">
        <v>0.08</v>
      </c>
      <c r="AH73" s="10">
        <v>6.9199999999999998E-2</v>
      </c>
      <c r="AI73" s="9">
        <v>601200666.27999997</v>
      </c>
      <c r="AJ73" s="10">
        <v>3.2605225464949997E-2</v>
      </c>
      <c r="AK73" s="10">
        <v>0.08</v>
      </c>
      <c r="AL73" s="10">
        <v>4.7399999999999998E-2</v>
      </c>
      <c r="AM73" s="9">
        <v>1682953943.8199999</v>
      </c>
      <c r="AN73" s="10">
        <v>6.6960626355580005E-2</v>
      </c>
      <c r="AO73" s="10">
        <v>0.08</v>
      </c>
      <c r="AP73" s="10">
        <v>1.2999999999999999E-2</v>
      </c>
      <c r="AQ73" s="9">
        <v>2284154610.0999999</v>
      </c>
      <c r="AR73" s="10">
        <v>5.2422210190300002E-2</v>
      </c>
      <c r="AS73" s="10">
        <v>0.08</v>
      </c>
      <c r="AT73" s="10">
        <v>2.76E-2</v>
      </c>
      <c r="AU73" s="9">
        <v>696237007.30999994</v>
      </c>
      <c r="AV73" s="10">
        <v>1.3294230295309999E-2</v>
      </c>
      <c r="AW73" s="10">
        <v>0.08</v>
      </c>
      <c r="AX73" s="10">
        <v>6.6699999999999995E-2</v>
      </c>
      <c r="AY73" s="9">
        <v>10821022658.73</v>
      </c>
      <c r="AZ73" s="10">
        <v>1.3112969939429999E-2</v>
      </c>
      <c r="BA73" s="10">
        <v>0.08</v>
      </c>
      <c r="BB73" s="10">
        <v>6.6900000000000001E-2</v>
      </c>
    </row>
    <row r="74" spans="1:54" s="7" customFormat="1">
      <c r="A74" s="3" t="s">
        <v>68</v>
      </c>
      <c r="B74" s="23" t="s">
        <v>57</v>
      </c>
      <c r="C74" s="2">
        <v>87429386.349999994</v>
      </c>
      <c r="D74" s="1">
        <v>1</v>
      </c>
      <c r="E74" s="9" t="s">
        <v>26</v>
      </c>
      <c r="F74" s="10" t="s">
        <v>26</v>
      </c>
      <c r="G74" s="2">
        <v>219354299.05000001</v>
      </c>
      <c r="H74" s="1">
        <v>1</v>
      </c>
      <c r="I74" s="9" t="s">
        <v>26</v>
      </c>
      <c r="J74" s="10" t="s">
        <v>26</v>
      </c>
      <c r="K74" s="2">
        <v>105192055.62</v>
      </c>
      <c r="L74" s="1">
        <v>1</v>
      </c>
      <c r="M74" s="1" t="s">
        <v>26</v>
      </c>
      <c r="N74" s="1" t="s">
        <v>26</v>
      </c>
      <c r="O74" s="2">
        <v>2704215940.5100002</v>
      </c>
      <c r="P74" s="1">
        <v>1</v>
      </c>
      <c r="Q74" s="1" t="s">
        <v>26</v>
      </c>
      <c r="R74" s="1" t="s">
        <v>26</v>
      </c>
      <c r="S74" s="2">
        <v>2849490508.1399999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1874948851.6500001</v>
      </c>
      <c r="AB74" s="1">
        <v>1</v>
      </c>
      <c r="AC74" s="1" t="s">
        <v>26</v>
      </c>
      <c r="AD74" s="1" t="s">
        <v>26</v>
      </c>
      <c r="AE74" s="2">
        <v>7840631041.3199997</v>
      </c>
      <c r="AF74" s="1">
        <v>1</v>
      </c>
      <c r="AG74" s="1" t="s">
        <v>26</v>
      </c>
      <c r="AH74" s="1" t="s">
        <v>26</v>
      </c>
      <c r="AI74" s="2">
        <v>601200666.27999997</v>
      </c>
      <c r="AJ74" s="1">
        <v>1</v>
      </c>
      <c r="AK74" s="1" t="s">
        <v>26</v>
      </c>
      <c r="AL74" s="1" t="s">
        <v>26</v>
      </c>
      <c r="AM74" s="2">
        <v>1682953943.8199999</v>
      </c>
      <c r="AN74" s="1">
        <v>1</v>
      </c>
      <c r="AO74" s="1" t="s">
        <v>26</v>
      </c>
      <c r="AP74" s="1" t="s">
        <v>26</v>
      </c>
      <c r="AQ74" s="2">
        <v>2284154610.0999999</v>
      </c>
      <c r="AR74" s="1">
        <v>1</v>
      </c>
      <c r="AS74" s="1" t="s">
        <v>26</v>
      </c>
      <c r="AT74" s="1" t="s">
        <v>26</v>
      </c>
      <c r="AU74" s="2">
        <v>696237007.30999994</v>
      </c>
      <c r="AV74" s="1">
        <v>1</v>
      </c>
      <c r="AW74" s="1" t="s">
        <v>26</v>
      </c>
      <c r="AX74" s="1" t="s">
        <v>26</v>
      </c>
      <c r="AY74" s="2">
        <v>10821022658.73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74</v>
      </c>
      <c r="B75" s="20" t="s">
        <v>25</v>
      </c>
      <c r="C75" s="9">
        <v>267322406.77000001</v>
      </c>
      <c r="D75" s="10">
        <v>3.3957521742790001E-2</v>
      </c>
      <c r="E75" s="10">
        <v>0.08</v>
      </c>
      <c r="F75" s="10">
        <v>4.5999999999999999E-2</v>
      </c>
      <c r="G75" s="9">
        <v>919724220.74000001</v>
      </c>
      <c r="H75" s="10">
        <v>5.2912696990899998E-3</v>
      </c>
      <c r="I75" s="10">
        <v>0.08</v>
      </c>
      <c r="J75" s="10">
        <v>7.4700000000000003E-2</v>
      </c>
      <c r="K75" s="9">
        <v>110285408.01000001</v>
      </c>
      <c r="L75" s="10">
        <v>2.7019288365019999E-2</v>
      </c>
      <c r="M75" s="10">
        <v>0.08</v>
      </c>
      <c r="N75" s="10">
        <v>5.2999999999999999E-2</v>
      </c>
      <c r="O75" s="9">
        <v>1952378788.3800001</v>
      </c>
      <c r="P75" s="10">
        <v>7.6845025242100002E-3</v>
      </c>
      <c r="Q75" s="10">
        <v>0.08</v>
      </c>
      <c r="R75" s="10">
        <v>7.2300000000000003E-2</v>
      </c>
      <c r="S75" s="2" t="s">
        <v>26</v>
      </c>
      <c r="T75" s="1" t="s">
        <v>26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 t="s">
        <v>26</v>
      </c>
      <c r="AB75" s="1" t="s">
        <v>26</v>
      </c>
      <c r="AC75" s="1" t="s">
        <v>26</v>
      </c>
      <c r="AD75" s="1" t="s">
        <v>26</v>
      </c>
      <c r="AE75" s="9">
        <v>3249710823.9000001</v>
      </c>
      <c r="AF75" s="10">
        <v>4.4561049589700004E-3</v>
      </c>
      <c r="AG75" s="10">
        <v>0.08</v>
      </c>
      <c r="AH75" s="10">
        <v>7.5499999999999998E-2</v>
      </c>
      <c r="AI75" s="2" t="s">
        <v>26</v>
      </c>
      <c r="AJ75" s="1" t="s">
        <v>26</v>
      </c>
      <c r="AK75" s="1" t="s">
        <v>26</v>
      </c>
      <c r="AL75" s="1" t="s">
        <v>26</v>
      </c>
      <c r="AM75" s="9">
        <v>373047386.18000001</v>
      </c>
      <c r="AN75" s="10">
        <v>1.484264422722E-2</v>
      </c>
      <c r="AO75" s="10">
        <v>0.08</v>
      </c>
      <c r="AP75" s="10">
        <v>6.5199999999999994E-2</v>
      </c>
      <c r="AQ75" s="9">
        <v>373047386.18000001</v>
      </c>
      <c r="AR75" s="10">
        <v>8.5615782761799993E-3</v>
      </c>
      <c r="AS75" s="10">
        <v>0.08</v>
      </c>
      <c r="AT75" s="10">
        <v>7.1400000000000005E-2</v>
      </c>
      <c r="AU75" s="2" t="s">
        <v>26</v>
      </c>
      <c r="AV75" s="1" t="s">
        <v>26</v>
      </c>
      <c r="AW75" s="1" t="s">
        <v>26</v>
      </c>
      <c r="AX75" s="1" t="s">
        <v>26</v>
      </c>
      <c r="AY75" s="9">
        <v>3622758210.0799999</v>
      </c>
      <c r="AZ75" s="10">
        <v>4.3900767057599996E-3</v>
      </c>
      <c r="BA75" s="10">
        <v>0.08</v>
      </c>
      <c r="BB75" s="10">
        <v>7.5600000000000001E-2</v>
      </c>
    </row>
    <row r="76" spans="1:54" s="7" customFormat="1">
      <c r="A76" s="3" t="s">
        <v>68</v>
      </c>
      <c r="B76" s="23" t="s">
        <v>57</v>
      </c>
      <c r="C76" s="2">
        <v>267322406.77000001</v>
      </c>
      <c r="D76" s="1">
        <v>1</v>
      </c>
      <c r="E76" s="9" t="s">
        <v>26</v>
      </c>
      <c r="F76" s="10" t="s">
        <v>26</v>
      </c>
      <c r="G76" s="2">
        <v>919724220.74000001</v>
      </c>
      <c r="H76" s="1">
        <v>1</v>
      </c>
      <c r="I76" s="9" t="s">
        <v>26</v>
      </c>
      <c r="J76" s="10" t="s">
        <v>26</v>
      </c>
      <c r="K76" s="2">
        <v>110285408.01000001</v>
      </c>
      <c r="L76" s="1">
        <v>1</v>
      </c>
      <c r="M76" s="1" t="s">
        <v>26</v>
      </c>
      <c r="N76" s="1" t="s">
        <v>26</v>
      </c>
      <c r="O76" s="2">
        <v>1952378788.3800001</v>
      </c>
      <c r="P76" s="1">
        <v>1</v>
      </c>
      <c r="Q76" s="1" t="s">
        <v>26</v>
      </c>
      <c r="R76" s="1" t="s">
        <v>26</v>
      </c>
      <c r="S76" s="2" t="s">
        <v>26</v>
      </c>
      <c r="T76" s="1" t="s">
        <v>26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3249710823.9000001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>
        <v>373047386.18000001</v>
      </c>
      <c r="AN76" s="1">
        <v>1</v>
      </c>
      <c r="AO76" s="1" t="s">
        <v>26</v>
      </c>
      <c r="AP76" s="1" t="s">
        <v>26</v>
      </c>
      <c r="AQ76" s="2">
        <v>373047386.18000001</v>
      </c>
      <c r="AR76" s="1">
        <v>1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3622758210.0799999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75</v>
      </c>
      <c r="B77" s="20" t="s">
        <v>25</v>
      </c>
      <c r="C77" s="9">
        <v>110968129.02</v>
      </c>
      <c r="D77" s="10">
        <v>1.409609729122E-2</v>
      </c>
      <c r="E77" s="10">
        <v>0.06</v>
      </c>
      <c r="F77" s="10">
        <v>4.5900000000000003E-2</v>
      </c>
      <c r="G77" s="9">
        <v>658468304.62</v>
      </c>
      <c r="H77" s="10">
        <v>3.78823707093E-3</v>
      </c>
      <c r="I77" s="10">
        <v>0.06</v>
      </c>
      <c r="J77" s="10">
        <v>5.62E-2</v>
      </c>
      <c r="K77" s="9">
        <v>33710743.789999999</v>
      </c>
      <c r="L77" s="10">
        <v>8.2589376409500006E-3</v>
      </c>
      <c r="M77" s="10">
        <v>0.06</v>
      </c>
      <c r="N77" s="10">
        <v>5.1700000000000003E-2</v>
      </c>
      <c r="O77" s="9">
        <v>299758001.37</v>
      </c>
      <c r="P77" s="10">
        <v>1.17983822191E-3</v>
      </c>
      <c r="Q77" s="10">
        <v>0.06</v>
      </c>
      <c r="R77" s="10">
        <v>5.8799999999999998E-2</v>
      </c>
      <c r="S77" s="9">
        <v>330553675.39999998</v>
      </c>
      <c r="T77" s="10">
        <v>2.6319183324499998E-3</v>
      </c>
      <c r="U77" s="10">
        <v>0.06</v>
      </c>
      <c r="V77" s="10">
        <v>5.74E-2</v>
      </c>
      <c r="W77" s="2" t="s">
        <v>26</v>
      </c>
      <c r="X77" s="1" t="s">
        <v>26</v>
      </c>
      <c r="Y77" s="1" t="s">
        <v>26</v>
      </c>
      <c r="Z77" s="1" t="s">
        <v>26</v>
      </c>
      <c r="AA77" s="2" t="s">
        <v>26</v>
      </c>
      <c r="AB77" s="1" t="s">
        <v>26</v>
      </c>
      <c r="AC77" s="1" t="s">
        <v>26</v>
      </c>
      <c r="AD77" s="1" t="s">
        <v>26</v>
      </c>
      <c r="AE77" s="9">
        <v>1433458854.2</v>
      </c>
      <c r="AF77" s="10">
        <v>1.9656035428400002E-3</v>
      </c>
      <c r="AG77" s="10">
        <v>0.06</v>
      </c>
      <c r="AH77" s="10">
        <v>5.8000000000000003E-2</v>
      </c>
      <c r="AI77" s="9">
        <v>50329311</v>
      </c>
      <c r="AJ77" s="10">
        <v>2.7295354524500002E-3</v>
      </c>
      <c r="AK77" s="10">
        <v>0.06</v>
      </c>
      <c r="AL77" s="10">
        <v>5.7299999999999997E-2</v>
      </c>
      <c r="AM77" s="2" t="s">
        <v>26</v>
      </c>
      <c r="AN77" s="1" t="s">
        <v>26</v>
      </c>
      <c r="AO77" s="1" t="s">
        <v>26</v>
      </c>
      <c r="AP77" s="1" t="s">
        <v>26</v>
      </c>
      <c r="AQ77" s="9">
        <v>50329311</v>
      </c>
      <c r="AR77" s="10">
        <v>1.1550766783900001E-3</v>
      </c>
      <c r="AS77" s="10">
        <v>0.06</v>
      </c>
      <c r="AT77" s="10">
        <v>5.8799999999999998E-2</v>
      </c>
      <c r="AU77" s="2" t="s">
        <v>26</v>
      </c>
      <c r="AV77" s="1" t="s">
        <v>26</v>
      </c>
      <c r="AW77" s="1" t="s">
        <v>26</v>
      </c>
      <c r="AX77" s="1" t="s">
        <v>26</v>
      </c>
      <c r="AY77" s="9">
        <v>1483788165.2</v>
      </c>
      <c r="AZ77" s="10">
        <v>1.7980619965800001E-3</v>
      </c>
      <c r="BA77" s="10">
        <v>0.06</v>
      </c>
      <c r="BB77" s="10">
        <v>5.8200000000000002E-2</v>
      </c>
    </row>
    <row r="78" spans="1:54" s="7" customFormat="1">
      <c r="A78" s="3" t="s">
        <v>68</v>
      </c>
      <c r="B78" s="23" t="s">
        <v>47</v>
      </c>
      <c r="C78" s="2">
        <v>110968129.02</v>
      </c>
      <c r="D78" s="1">
        <v>1</v>
      </c>
      <c r="E78" s="9" t="s">
        <v>26</v>
      </c>
      <c r="F78" s="10" t="s">
        <v>26</v>
      </c>
      <c r="G78" s="2">
        <v>658468304.62</v>
      </c>
      <c r="H78" s="1">
        <v>1</v>
      </c>
      <c r="I78" s="9" t="s">
        <v>26</v>
      </c>
      <c r="J78" s="10" t="s">
        <v>26</v>
      </c>
      <c r="K78" s="2">
        <v>33710743.789999999</v>
      </c>
      <c r="L78" s="1">
        <v>1</v>
      </c>
      <c r="M78" s="1" t="s">
        <v>26</v>
      </c>
      <c r="N78" s="1" t="s">
        <v>26</v>
      </c>
      <c r="O78" s="2">
        <v>299758001.37</v>
      </c>
      <c r="P78" s="1">
        <v>1</v>
      </c>
      <c r="Q78" s="1" t="s">
        <v>26</v>
      </c>
      <c r="R78" s="1" t="s">
        <v>26</v>
      </c>
      <c r="S78" s="2">
        <v>330553675.39999998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1433458854.2</v>
      </c>
      <c r="AF78" s="1">
        <v>1</v>
      </c>
      <c r="AG78" s="1" t="s">
        <v>26</v>
      </c>
      <c r="AH78" s="1" t="s">
        <v>26</v>
      </c>
      <c r="AI78" s="2">
        <v>50329311</v>
      </c>
      <c r="AJ78" s="1">
        <v>1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>
        <v>50329311</v>
      </c>
      <c r="AR78" s="1">
        <v>1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1483788165.2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76</v>
      </c>
      <c r="B79" s="20" t="s">
        <v>25</v>
      </c>
      <c r="C79" s="9">
        <v>37980282.25</v>
      </c>
      <c r="D79" s="10">
        <v>4.8245722305299997E-3</v>
      </c>
      <c r="E79" s="10">
        <v>0.06</v>
      </c>
      <c r="F79" s="10">
        <v>5.5199999999999999E-2</v>
      </c>
      <c r="G79" s="9">
        <v>845098017.24000001</v>
      </c>
      <c r="H79" s="10">
        <v>4.8619373400700001E-3</v>
      </c>
      <c r="I79" s="10">
        <v>0.06</v>
      </c>
      <c r="J79" s="10">
        <v>5.5100000000000003E-2</v>
      </c>
      <c r="K79" s="9">
        <v>51138451.25</v>
      </c>
      <c r="L79" s="10">
        <v>1.2528625371170001E-2</v>
      </c>
      <c r="M79" s="10">
        <v>0.06</v>
      </c>
      <c r="N79" s="10">
        <v>4.7500000000000001E-2</v>
      </c>
      <c r="O79" s="9">
        <v>441746123.12</v>
      </c>
      <c r="P79" s="10">
        <v>1.73869907744E-3</v>
      </c>
      <c r="Q79" s="10">
        <v>0.06</v>
      </c>
      <c r="R79" s="10">
        <v>5.8299999999999998E-2</v>
      </c>
      <c r="S79" s="9">
        <v>208319910</v>
      </c>
      <c r="T79" s="10">
        <v>1.6586746145799999E-3</v>
      </c>
      <c r="U79" s="10">
        <v>0.06</v>
      </c>
      <c r="V79" s="10">
        <v>5.8299999999999998E-2</v>
      </c>
      <c r="W79" s="2" t="s">
        <v>26</v>
      </c>
      <c r="X79" s="1" t="s">
        <v>26</v>
      </c>
      <c r="Y79" s="1" t="s">
        <v>26</v>
      </c>
      <c r="Z79" s="1" t="s">
        <v>26</v>
      </c>
      <c r="AA79" s="2" t="s">
        <v>26</v>
      </c>
      <c r="AB79" s="1" t="s">
        <v>26</v>
      </c>
      <c r="AC79" s="1" t="s">
        <v>26</v>
      </c>
      <c r="AD79" s="1" t="s">
        <v>26</v>
      </c>
      <c r="AE79" s="9">
        <v>1584282783.8599999</v>
      </c>
      <c r="AF79" s="10">
        <v>2.1724180249000002E-3</v>
      </c>
      <c r="AG79" s="10">
        <v>0.06</v>
      </c>
      <c r="AH79" s="10">
        <v>5.7799999999999997E-2</v>
      </c>
      <c r="AI79" s="9">
        <v>138412020</v>
      </c>
      <c r="AJ79" s="10">
        <v>7.5065703886900001E-3</v>
      </c>
      <c r="AK79" s="10">
        <v>0.06</v>
      </c>
      <c r="AL79" s="10">
        <v>5.2499999999999998E-2</v>
      </c>
      <c r="AM79" s="2" t="s">
        <v>26</v>
      </c>
      <c r="AN79" s="1" t="s">
        <v>26</v>
      </c>
      <c r="AO79" s="1" t="s">
        <v>26</v>
      </c>
      <c r="AP79" s="1" t="s">
        <v>26</v>
      </c>
      <c r="AQ79" s="9">
        <v>138412020</v>
      </c>
      <c r="AR79" s="10">
        <v>3.17660808652E-3</v>
      </c>
      <c r="AS79" s="10">
        <v>0.06</v>
      </c>
      <c r="AT79" s="10">
        <v>5.6800000000000003E-2</v>
      </c>
      <c r="AU79" s="2" t="s">
        <v>26</v>
      </c>
      <c r="AV79" s="1" t="s">
        <v>26</v>
      </c>
      <c r="AW79" s="1" t="s">
        <v>26</v>
      </c>
      <c r="AX79" s="1" t="s">
        <v>26</v>
      </c>
      <c r="AY79" s="9">
        <v>1722694803.8599999</v>
      </c>
      <c r="AZ79" s="10">
        <v>2.0875702685600002E-3</v>
      </c>
      <c r="BA79" s="10">
        <v>0.06</v>
      </c>
      <c r="BB79" s="10">
        <v>5.79E-2</v>
      </c>
    </row>
    <row r="80" spans="1:54" s="7" customFormat="1">
      <c r="A80" s="3" t="s">
        <v>68</v>
      </c>
      <c r="B80" s="23" t="s">
        <v>47</v>
      </c>
      <c r="C80" s="2">
        <v>37980282.25</v>
      </c>
      <c r="D80" s="1">
        <v>1</v>
      </c>
      <c r="E80" s="9" t="s">
        <v>26</v>
      </c>
      <c r="F80" s="10" t="s">
        <v>26</v>
      </c>
      <c r="G80" s="2">
        <v>845098017.24000001</v>
      </c>
      <c r="H80" s="1">
        <v>1</v>
      </c>
      <c r="I80" s="9" t="s">
        <v>26</v>
      </c>
      <c r="J80" s="10" t="s">
        <v>26</v>
      </c>
      <c r="K80" s="2">
        <v>51138451.25</v>
      </c>
      <c r="L80" s="1">
        <v>1</v>
      </c>
      <c r="M80" s="1" t="s">
        <v>26</v>
      </c>
      <c r="N80" s="1" t="s">
        <v>26</v>
      </c>
      <c r="O80" s="2">
        <v>441746123.12</v>
      </c>
      <c r="P80" s="1">
        <v>1</v>
      </c>
      <c r="Q80" s="1" t="s">
        <v>26</v>
      </c>
      <c r="R80" s="1" t="s">
        <v>26</v>
      </c>
      <c r="S80" s="2">
        <v>208319910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1584282783.8599999</v>
      </c>
      <c r="AF80" s="1">
        <v>1</v>
      </c>
      <c r="AG80" s="1" t="s">
        <v>26</v>
      </c>
      <c r="AH80" s="1" t="s">
        <v>26</v>
      </c>
      <c r="AI80" s="2">
        <v>138412020</v>
      </c>
      <c r="AJ80" s="1">
        <v>1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>
        <v>138412020</v>
      </c>
      <c r="AR80" s="1">
        <v>1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1722694803.8599999</v>
      </c>
      <c r="AZ80" s="1">
        <v>1</v>
      </c>
      <c r="BA80" s="1" t="s">
        <v>26</v>
      </c>
      <c r="BB80" s="1" t="s">
        <v>26</v>
      </c>
    </row>
    <row r="81" spans="1:54" s="7" customFormat="1">
      <c r="A81" s="12" t="s">
        <v>77</v>
      </c>
      <c r="B81" s="40" t="s">
        <v>25</v>
      </c>
      <c r="C81" s="42" t="s">
        <v>26</v>
      </c>
      <c r="D81" s="43" t="s">
        <v>26</v>
      </c>
      <c r="E81" s="43" t="s">
        <v>26</v>
      </c>
      <c r="F81" s="43" t="s">
        <v>26</v>
      </c>
      <c r="G81" s="42" t="s">
        <v>26</v>
      </c>
      <c r="H81" s="43" t="s">
        <v>26</v>
      </c>
      <c r="I81" s="43" t="s">
        <v>26</v>
      </c>
      <c r="J81" s="43" t="s">
        <v>26</v>
      </c>
      <c r="K81" s="42" t="s">
        <v>26</v>
      </c>
      <c r="L81" s="43" t="s">
        <v>26</v>
      </c>
      <c r="M81" s="43" t="s">
        <v>26</v>
      </c>
      <c r="N81" s="43" t="s">
        <v>26</v>
      </c>
      <c r="O81" s="42">
        <v>130568401.25</v>
      </c>
      <c r="P81" s="43">
        <v>5.1391318885000005E-4</v>
      </c>
      <c r="Q81" s="43" t="s">
        <v>26</v>
      </c>
      <c r="R81" s="43" t="s">
        <v>26</v>
      </c>
      <c r="S81" s="42">
        <v>208986210.84</v>
      </c>
      <c r="T81" s="43">
        <v>1.66397980259E-3</v>
      </c>
      <c r="U81" s="43" t="s">
        <v>25</v>
      </c>
      <c r="V81" s="43" t="s">
        <v>25</v>
      </c>
      <c r="W81" s="43" t="s">
        <v>26</v>
      </c>
      <c r="X81" s="43" t="s">
        <v>26</v>
      </c>
      <c r="Y81" s="43" t="s">
        <v>26</v>
      </c>
      <c r="Z81" s="43" t="s">
        <v>26</v>
      </c>
      <c r="AA81" s="42">
        <v>145192062.19</v>
      </c>
      <c r="AB81" s="43">
        <v>9.2764092113999997E-4</v>
      </c>
      <c r="AC81" s="43" t="s">
        <v>26</v>
      </c>
      <c r="AD81" s="43" t="s">
        <v>26</v>
      </c>
      <c r="AE81" s="42">
        <v>484746674.27999997</v>
      </c>
      <c r="AF81" s="43">
        <v>6.6469977674000005E-4</v>
      </c>
      <c r="AG81" s="43" t="s">
        <v>26</v>
      </c>
      <c r="AH81" s="43" t="s">
        <v>26</v>
      </c>
      <c r="AI81" s="42">
        <v>6538016.1699999999</v>
      </c>
      <c r="AJ81" s="43">
        <v>3.5457959924999999E-4</v>
      </c>
      <c r="AK81" s="43" t="s">
        <v>26</v>
      </c>
      <c r="AL81" s="43" t="s">
        <v>26</v>
      </c>
      <c r="AM81" s="43" t="s">
        <v>26</v>
      </c>
      <c r="AN81" s="43" t="s">
        <v>26</v>
      </c>
      <c r="AO81" s="43" t="s">
        <v>26</v>
      </c>
      <c r="AP81" s="43" t="s">
        <v>26</v>
      </c>
      <c r="AQ81" s="42">
        <v>6538016.1699999999</v>
      </c>
      <c r="AR81" s="43">
        <v>1.5004993812E-4</v>
      </c>
      <c r="AS81" s="43" t="s">
        <v>26</v>
      </c>
      <c r="AT81" s="43" t="s">
        <v>26</v>
      </c>
      <c r="AU81" s="42">
        <v>19614048.5</v>
      </c>
      <c r="AV81" s="43">
        <v>3.7451855480999998E-4</v>
      </c>
      <c r="AW81" s="43" t="s">
        <v>26</v>
      </c>
      <c r="AX81" s="43" t="s">
        <v>26</v>
      </c>
      <c r="AY81" s="42">
        <v>510898738.94999999</v>
      </c>
      <c r="AZ81" s="43">
        <v>6.1910967356999997E-4</v>
      </c>
      <c r="BA81" s="43" t="s">
        <v>26</v>
      </c>
      <c r="BB81" s="43" t="s">
        <v>26</v>
      </c>
    </row>
    <row r="82" spans="1:54" s="7" customFormat="1">
      <c r="A82" s="5" t="s">
        <v>78</v>
      </c>
      <c r="B82" s="20" t="s">
        <v>25</v>
      </c>
      <c r="C82" s="9" t="s">
        <v>26</v>
      </c>
      <c r="D82" s="10" t="s">
        <v>26</v>
      </c>
      <c r="E82" s="9" t="s">
        <v>26</v>
      </c>
      <c r="F82" s="10" t="s">
        <v>26</v>
      </c>
      <c r="G82" s="9" t="s">
        <v>26</v>
      </c>
      <c r="H82" s="10" t="s">
        <v>26</v>
      </c>
      <c r="I82" s="9" t="s">
        <v>26</v>
      </c>
      <c r="J82" s="10" t="s">
        <v>26</v>
      </c>
      <c r="K82" s="2" t="s">
        <v>26</v>
      </c>
      <c r="L82" s="1" t="s">
        <v>26</v>
      </c>
      <c r="M82" s="1" t="s">
        <v>26</v>
      </c>
      <c r="N82" s="1" t="s">
        <v>26</v>
      </c>
      <c r="O82" s="2" t="s">
        <v>26</v>
      </c>
      <c r="P82" s="1" t="s">
        <v>26</v>
      </c>
      <c r="Q82" s="1" t="s">
        <v>26</v>
      </c>
      <c r="R82" s="1" t="s">
        <v>26</v>
      </c>
      <c r="S82" s="9">
        <v>52304129.340000004</v>
      </c>
      <c r="T82" s="10">
        <v>4.1645338447999998E-4</v>
      </c>
      <c r="U82" s="10">
        <v>0.1</v>
      </c>
      <c r="V82" s="10">
        <v>9.9599999999999994E-2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9">
        <v>52304129.340000004</v>
      </c>
      <c r="AF82" s="10">
        <v>7.172105543E-5</v>
      </c>
      <c r="AG82" s="10">
        <v>0.1</v>
      </c>
      <c r="AH82" s="10">
        <v>9.9900000000000003E-2</v>
      </c>
      <c r="AI82" s="9">
        <v>6538016.1699999999</v>
      </c>
      <c r="AJ82" s="10">
        <v>3.5457959924999999E-4</v>
      </c>
      <c r="AK82" s="10">
        <v>0.1</v>
      </c>
      <c r="AL82" s="10">
        <v>9.9599999999999994E-2</v>
      </c>
      <c r="AM82" s="2" t="s">
        <v>26</v>
      </c>
      <c r="AN82" s="1" t="s">
        <v>26</v>
      </c>
      <c r="AO82" s="1" t="s">
        <v>26</v>
      </c>
      <c r="AP82" s="1" t="s">
        <v>26</v>
      </c>
      <c r="AQ82" s="9">
        <v>6538016.1699999999</v>
      </c>
      <c r="AR82" s="10">
        <v>1.5004993812E-4</v>
      </c>
      <c r="AS82" s="10">
        <v>0.1</v>
      </c>
      <c r="AT82" s="10">
        <v>9.98E-2</v>
      </c>
      <c r="AU82" s="9">
        <v>19614048.5</v>
      </c>
      <c r="AV82" s="10">
        <v>3.7451855480999998E-4</v>
      </c>
      <c r="AW82" s="10">
        <v>0.1</v>
      </c>
      <c r="AX82" s="10">
        <v>9.9599999999999994E-2</v>
      </c>
      <c r="AY82" s="9">
        <v>78456194.010000005</v>
      </c>
      <c r="AZ82" s="10">
        <v>9.5073612360000004E-5</v>
      </c>
      <c r="BA82" s="10">
        <v>0.1</v>
      </c>
      <c r="BB82" s="10">
        <v>9.9900000000000003E-2</v>
      </c>
    </row>
    <row r="83" spans="1:54" s="7" customFormat="1">
      <c r="A83" s="3" t="s">
        <v>79</v>
      </c>
      <c r="B83" s="23" t="s">
        <v>29</v>
      </c>
      <c r="C83" s="9" t="s">
        <v>26</v>
      </c>
      <c r="D83" s="10" t="s">
        <v>26</v>
      </c>
      <c r="E83" s="9" t="s">
        <v>26</v>
      </c>
      <c r="F83" s="10" t="s">
        <v>26</v>
      </c>
      <c r="G83" s="9" t="s">
        <v>26</v>
      </c>
      <c r="H83" s="10" t="s">
        <v>26</v>
      </c>
      <c r="I83" s="9" t="s">
        <v>26</v>
      </c>
      <c r="J83" s="10" t="s">
        <v>26</v>
      </c>
      <c r="K83" s="2" t="s">
        <v>26</v>
      </c>
      <c r="L83" s="1" t="s">
        <v>26</v>
      </c>
      <c r="M83" s="1" t="s">
        <v>26</v>
      </c>
      <c r="N83" s="1" t="s">
        <v>26</v>
      </c>
      <c r="O83" s="2" t="s">
        <v>26</v>
      </c>
      <c r="P83" s="1" t="s">
        <v>26</v>
      </c>
      <c r="Q83" s="1" t="s">
        <v>26</v>
      </c>
      <c r="R83" s="1" t="s">
        <v>26</v>
      </c>
      <c r="S83" s="2">
        <v>52304129.340000004</v>
      </c>
      <c r="T83" s="1">
        <v>1</v>
      </c>
      <c r="U83" s="1" t="s">
        <v>25</v>
      </c>
      <c r="V83" s="1" t="s">
        <v>25</v>
      </c>
      <c r="W83" s="2" t="s">
        <v>26</v>
      </c>
      <c r="X83" s="1" t="s">
        <v>26</v>
      </c>
      <c r="Y83" s="1" t="s">
        <v>26</v>
      </c>
      <c r="Z83" s="1" t="s">
        <v>26</v>
      </c>
      <c r="AA83" s="2" t="s">
        <v>26</v>
      </c>
      <c r="AB83" s="1" t="s">
        <v>26</v>
      </c>
      <c r="AC83" s="1" t="s">
        <v>26</v>
      </c>
      <c r="AD83" s="1" t="s">
        <v>26</v>
      </c>
      <c r="AE83" s="2">
        <v>52304129.340000004</v>
      </c>
      <c r="AF83" s="1">
        <v>1</v>
      </c>
      <c r="AG83" s="1" t="s">
        <v>26</v>
      </c>
      <c r="AH83" s="1" t="s">
        <v>26</v>
      </c>
      <c r="AI83" s="2">
        <v>6538016.1699999999</v>
      </c>
      <c r="AJ83" s="1">
        <v>1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>
        <v>6538016.1699999999</v>
      </c>
      <c r="AR83" s="1">
        <v>1</v>
      </c>
      <c r="AS83" s="1" t="s">
        <v>26</v>
      </c>
      <c r="AT83" s="1" t="s">
        <v>26</v>
      </c>
      <c r="AU83" s="2">
        <v>19614048.5</v>
      </c>
      <c r="AV83" s="1">
        <v>1</v>
      </c>
      <c r="AW83" s="1" t="s">
        <v>26</v>
      </c>
      <c r="AX83" s="1" t="s">
        <v>26</v>
      </c>
      <c r="AY83" s="2">
        <v>78456194.010000005</v>
      </c>
      <c r="AZ83" s="1">
        <v>1</v>
      </c>
      <c r="BA83" s="1" t="s">
        <v>26</v>
      </c>
      <c r="BB83" s="1" t="s">
        <v>26</v>
      </c>
    </row>
    <row r="84" spans="1:54" s="7" customFormat="1">
      <c r="A84" s="5" t="s">
        <v>80</v>
      </c>
      <c r="B84" s="20" t="s">
        <v>25</v>
      </c>
      <c r="C84" s="9" t="s">
        <v>26</v>
      </c>
      <c r="D84" s="10" t="s">
        <v>26</v>
      </c>
      <c r="E84" s="9" t="s">
        <v>26</v>
      </c>
      <c r="F84" s="10" t="s">
        <v>26</v>
      </c>
      <c r="G84" s="9" t="s">
        <v>26</v>
      </c>
      <c r="H84" s="10" t="s">
        <v>26</v>
      </c>
      <c r="I84" s="9" t="s">
        <v>26</v>
      </c>
      <c r="J84" s="10" t="s">
        <v>26</v>
      </c>
      <c r="K84" s="2" t="s">
        <v>26</v>
      </c>
      <c r="L84" s="1" t="s">
        <v>26</v>
      </c>
      <c r="M84" s="1" t="s">
        <v>26</v>
      </c>
      <c r="N84" s="1" t="s">
        <v>26</v>
      </c>
      <c r="O84" s="9">
        <v>130568401.25</v>
      </c>
      <c r="P84" s="10">
        <v>5.1391318885000005E-4</v>
      </c>
      <c r="Q84" s="10">
        <v>0.09</v>
      </c>
      <c r="R84" s="10">
        <v>8.9499999999999996E-2</v>
      </c>
      <c r="S84" s="9">
        <v>156682081.5</v>
      </c>
      <c r="T84" s="10">
        <v>1.2475264181100001E-3</v>
      </c>
      <c r="U84" s="10">
        <v>0.09</v>
      </c>
      <c r="V84" s="10">
        <v>8.8800000000000004E-2</v>
      </c>
      <c r="W84" s="2" t="s">
        <v>26</v>
      </c>
      <c r="X84" s="1" t="s">
        <v>26</v>
      </c>
      <c r="Y84" s="1" t="s">
        <v>26</v>
      </c>
      <c r="Z84" s="1" t="s">
        <v>26</v>
      </c>
      <c r="AA84" s="9">
        <v>145192062.19</v>
      </c>
      <c r="AB84" s="10">
        <v>9.2764092113999997E-4</v>
      </c>
      <c r="AC84" s="10">
        <v>0.09</v>
      </c>
      <c r="AD84" s="10">
        <v>8.9099999999999999E-2</v>
      </c>
      <c r="AE84" s="9">
        <v>432442544.94</v>
      </c>
      <c r="AF84" s="10">
        <v>5.9297872130999998E-4</v>
      </c>
      <c r="AG84" s="10">
        <v>0.09</v>
      </c>
      <c r="AH84" s="10">
        <v>8.9399999999999993E-2</v>
      </c>
      <c r="AI84" s="2" t="s">
        <v>26</v>
      </c>
      <c r="AJ84" s="1" t="s">
        <v>26</v>
      </c>
      <c r="AK84" s="1" t="s">
        <v>26</v>
      </c>
      <c r="AL84" s="1" t="s">
        <v>26</v>
      </c>
      <c r="AM84" s="2" t="s">
        <v>26</v>
      </c>
      <c r="AN84" s="1" t="s">
        <v>26</v>
      </c>
      <c r="AO84" s="1" t="s">
        <v>26</v>
      </c>
      <c r="AP84" s="1" t="s">
        <v>26</v>
      </c>
      <c r="AQ84" s="2" t="s">
        <v>26</v>
      </c>
      <c r="AR84" s="1" t="s">
        <v>26</v>
      </c>
      <c r="AS84" s="1" t="s">
        <v>26</v>
      </c>
      <c r="AT84" s="1" t="s">
        <v>26</v>
      </c>
      <c r="AU84" s="2" t="s">
        <v>26</v>
      </c>
      <c r="AV84" s="1" t="s">
        <v>26</v>
      </c>
      <c r="AW84" s="1" t="s">
        <v>26</v>
      </c>
      <c r="AX84" s="1" t="s">
        <v>26</v>
      </c>
      <c r="AY84" s="9">
        <v>432442544.94</v>
      </c>
      <c r="AZ84" s="10">
        <v>5.2403606121000004E-4</v>
      </c>
      <c r="BA84" s="10">
        <v>0.09</v>
      </c>
      <c r="BB84" s="10">
        <v>8.9499999999999996E-2</v>
      </c>
    </row>
    <row r="85" spans="1:54" s="7" customFormat="1">
      <c r="A85" s="3" t="s">
        <v>79</v>
      </c>
      <c r="B85" s="23" t="s">
        <v>40</v>
      </c>
      <c r="C85" s="9" t="s">
        <v>26</v>
      </c>
      <c r="D85" s="10" t="s">
        <v>26</v>
      </c>
      <c r="E85" s="9" t="s">
        <v>26</v>
      </c>
      <c r="F85" s="10" t="s">
        <v>26</v>
      </c>
      <c r="G85" s="9" t="s">
        <v>26</v>
      </c>
      <c r="H85" s="10" t="s">
        <v>26</v>
      </c>
      <c r="I85" s="9" t="s">
        <v>26</v>
      </c>
      <c r="J85" s="10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>
        <v>130568401.25</v>
      </c>
      <c r="P85" s="1">
        <v>1</v>
      </c>
      <c r="Q85" s="1" t="s">
        <v>26</v>
      </c>
      <c r="R85" s="1" t="s">
        <v>26</v>
      </c>
      <c r="S85" s="2">
        <v>156682081.5</v>
      </c>
      <c r="T85" s="1">
        <v>1</v>
      </c>
      <c r="U85" s="1" t="s">
        <v>25</v>
      </c>
      <c r="V85" s="1" t="s">
        <v>25</v>
      </c>
      <c r="W85" s="2" t="s">
        <v>26</v>
      </c>
      <c r="X85" s="1" t="s">
        <v>26</v>
      </c>
      <c r="Y85" s="1" t="s">
        <v>26</v>
      </c>
      <c r="Z85" s="1" t="s">
        <v>26</v>
      </c>
      <c r="AA85" s="2">
        <v>145192062.19</v>
      </c>
      <c r="AB85" s="1">
        <v>1</v>
      </c>
      <c r="AC85" s="1" t="s">
        <v>26</v>
      </c>
      <c r="AD85" s="1" t="s">
        <v>26</v>
      </c>
      <c r="AE85" s="2">
        <v>432442544.94</v>
      </c>
      <c r="AF85" s="1">
        <v>1</v>
      </c>
      <c r="AG85" s="1" t="s">
        <v>26</v>
      </c>
      <c r="AH85" s="1" t="s">
        <v>26</v>
      </c>
      <c r="AI85" s="2" t="s">
        <v>26</v>
      </c>
      <c r="AJ85" s="1" t="s">
        <v>26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 t="s">
        <v>26</v>
      </c>
      <c r="AR85" s="1" t="s">
        <v>26</v>
      </c>
      <c r="AS85" s="1" t="s">
        <v>26</v>
      </c>
      <c r="AT85" s="1" t="s">
        <v>26</v>
      </c>
      <c r="AU85" s="2" t="s">
        <v>26</v>
      </c>
      <c r="AV85" s="1" t="s">
        <v>26</v>
      </c>
      <c r="AW85" s="1" t="s">
        <v>26</v>
      </c>
      <c r="AX85" s="1" t="s">
        <v>26</v>
      </c>
      <c r="AY85" s="2">
        <v>432442544.94</v>
      </c>
      <c r="AZ85" s="1">
        <v>1</v>
      </c>
      <c r="BA85" s="1" t="s">
        <v>26</v>
      </c>
      <c r="BB85" s="1" t="s">
        <v>26</v>
      </c>
    </row>
    <row r="86" spans="1:54" s="7" customFormat="1">
      <c r="A86" s="12" t="s">
        <v>81</v>
      </c>
      <c r="B86" s="40" t="s">
        <v>25</v>
      </c>
      <c r="C86" s="42" t="s">
        <v>26</v>
      </c>
      <c r="D86" s="43" t="s">
        <v>26</v>
      </c>
      <c r="E86" s="43" t="s">
        <v>26</v>
      </c>
      <c r="F86" s="43" t="s">
        <v>26</v>
      </c>
      <c r="G86" s="42">
        <v>3084200270.52</v>
      </c>
      <c r="H86" s="43">
        <v>1.7743726944779999E-2</v>
      </c>
      <c r="I86" s="43">
        <v>0.05</v>
      </c>
      <c r="J86" s="43">
        <f>+I86-H86</f>
        <v>3.2256273055220004E-2</v>
      </c>
      <c r="K86" s="42">
        <v>25799976.079999998</v>
      </c>
      <c r="L86" s="43">
        <v>6.3208452151100004E-3</v>
      </c>
      <c r="M86" s="43">
        <v>0.05</v>
      </c>
      <c r="N86" s="43">
        <f>+M86-L86</f>
        <v>4.3679154784890005E-2</v>
      </c>
      <c r="O86" s="42">
        <v>1999025490.79</v>
      </c>
      <c r="P86" s="43">
        <v>7.8681025021200002E-3</v>
      </c>
      <c r="Q86" s="43">
        <v>0.05</v>
      </c>
      <c r="R86" s="43">
        <f>+Q86-P86</f>
        <v>4.2131897497880003E-2</v>
      </c>
      <c r="S86" s="42">
        <v>1688214231.95</v>
      </c>
      <c r="T86" s="43">
        <v>1.3441816917610001E-2</v>
      </c>
      <c r="U86" s="43">
        <v>0.05</v>
      </c>
      <c r="V86" s="43">
        <f>+U86-T86</f>
        <v>3.6558183082390006E-2</v>
      </c>
      <c r="W86" s="43" t="s">
        <v>26</v>
      </c>
      <c r="X86" s="43" t="s">
        <v>26</v>
      </c>
      <c r="Y86" s="43" t="s">
        <v>26</v>
      </c>
      <c r="Z86" s="43" t="s">
        <v>26</v>
      </c>
      <c r="AA86" s="42">
        <v>406359685.27999997</v>
      </c>
      <c r="AB86" s="43">
        <v>2.59625675867E-3</v>
      </c>
      <c r="AC86" s="43">
        <v>0.05</v>
      </c>
      <c r="AD86" s="43">
        <f>+AC86-AB86</f>
        <v>4.7403743241330003E-2</v>
      </c>
      <c r="AE86" s="42">
        <v>7203599654.6199999</v>
      </c>
      <c r="AF86" s="43">
        <v>9.8778007899300007E-3</v>
      </c>
      <c r="AG86" s="43">
        <v>0.05</v>
      </c>
      <c r="AH86" s="43">
        <f>+AG86-AF86</f>
        <v>4.012219921007E-2</v>
      </c>
      <c r="AI86" s="43" t="s">
        <v>26</v>
      </c>
      <c r="AJ86" s="43" t="s">
        <v>26</v>
      </c>
      <c r="AK86" s="43" t="s">
        <v>26</v>
      </c>
      <c r="AL86" s="43" t="s">
        <v>26</v>
      </c>
      <c r="AM86" s="43" t="s">
        <v>26</v>
      </c>
      <c r="AN86" s="43" t="s">
        <v>26</v>
      </c>
      <c r="AO86" s="43" t="s">
        <v>26</v>
      </c>
      <c r="AP86" s="43" t="s">
        <v>26</v>
      </c>
      <c r="AQ86" s="43" t="s">
        <v>26</v>
      </c>
      <c r="AR86" s="43" t="s">
        <v>26</v>
      </c>
      <c r="AS86" s="43" t="s">
        <v>26</v>
      </c>
      <c r="AT86" s="43" t="s">
        <v>26</v>
      </c>
      <c r="AU86" s="42">
        <v>623382300</v>
      </c>
      <c r="AV86" s="43">
        <v>1.1903113122699999E-2</v>
      </c>
      <c r="AW86" s="43">
        <v>0.05</v>
      </c>
      <c r="AX86" s="43">
        <f>+AW86-AV86</f>
        <v>3.8096886877300007E-2</v>
      </c>
      <c r="AY86" s="42">
        <v>7826981954.6199999</v>
      </c>
      <c r="AZ86" s="43">
        <v>9.4847762844800006E-3</v>
      </c>
      <c r="BA86" s="43">
        <v>0.05</v>
      </c>
      <c r="BB86" s="43">
        <f>+BA86-AZ86</f>
        <v>4.051522371552E-2</v>
      </c>
    </row>
    <row r="87" spans="1:54" s="7" customFormat="1">
      <c r="A87" s="5" t="s">
        <v>82</v>
      </c>
      <c r="B87" s="20" t="s">
        <v>25</v>
      </c>
      <c r="C87" s="9" t="s">
        <v>26</v>
      </c>
      <c r="D87" s="10" t="s">
        <v>26</v>
      </c>
      <c r="E87" s="9" t="s">
        <v>26</v>
      </c>
      <c r="F87" s="10" t="s">
        <v>26</v>
      </c>
      <c r="G87" s="9">
        <v>2316917753.8299999</v>
      </c>
      <c r="H87" s="10">
        <v>1.3329470323450001E-2</v>
      </c>
      <c r="I87" s="9" t="s">
        <v>26</v>
      </c>
      <c r="J87" s="10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 t="s">
        <v>26</v>
      </c>
      <c r="P87" s="1" t="s">
        <v>26</v>
      </c>
      <c r="Q87" s="1" t="s">
        <v>26</v>
      </c>
      <c r="R87" s="1" t="s">
        <v>26</v>
      </c>
      <c r="S87" s="9">
        <v>690915382.5</v>
      </c>
      <c r="T87" s="10">
        <v>5.5011727192900003E-3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 t="s">
        <v>26</v>
      </c>
      <c r="AB87" s="1" t="s">
        <v>26</v>
      </c>
      <c r="AC87" s="1" t="s">
        <v>26</v>
      </c>
      <c r="AD87" s="1" t="s">
        <v>26</v>
      </c>
      <c r="AE87" s="9">
        <v>3007833136.3299999</v>
      </c>
      <c r="AF87" s="10">
        <v>4.1244347207699998E-3</v>
      </c>
      <c r="AG87" s="1" t="s">
        <v>26</v>
      </c>
      <c r="AH87" s="1" t="s">
        <v>26</v>
      </c>
      <c r="AI87" s="2" t="s">
        <v>26</v>
      </c>
      <c r="AJ87" s="1" t="s">
        <v>26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 t="s">
        <v>26</v>
      </c>
      <c r="AR87" s="1" t="s">
        <v>26</v>
      </c>
      <c r="AS87" s="1" t="s">
        <v>26</v>
      </c>
      <c r="AT87" s="1" t="s">
        <v>26</v>
      </c>
      <c r="AU87" s="9">
        <v>623382300</v>
      </c>
      <c r="AV87" s="10">
        <v>1.1903113122699999E-2</v>
      </c>
      <c r="AW87" s="1" t="s">
        <v>26</v>
      </c>
      <c r="AX87" s="1" t="s">
        <v>26</v>
      </c>
      <c r="AY87" s="9">
        <v>3631215436.3299999</v>
      </c>
      <c r="AZ87" s="10">
        <v>4.4003252152699998E-3</v>
      </c>
      <c r="BA87" s="1" t="s">
        <v>26</v>
      </c>
      <c r="BB87" s="1" t="s">
        <v>26</v>
      </c>
    </row>
    <row r="88" spans="1:54" s="7" customFormat="1">
      <c r="A88" s="3" t="s">
        <v>83</v>
      </c>
      <c r="B88" s="23" t="s">
        <v>40</v>
      </c>
      <c r="C88" s="9" t="s">
        <v>26</v>
      </c>
      <c r="D88" s="10" t="s">
        <v>26</v>
      </c>
      <c r="E88" s="9" t="s">
        <v>26</v>
      </c>
      <c r="F88" s="10" t="s">
        <v>26</v>
      </c>
      <c r="G88" s="9">
        <v>2316917753.8299999</v>
      </c>
      <c r="H88" s="10">
        <v>1</v>
      </c>
      <c r="I88" s="9" t="s">
        <v>26</v>
      </c>
      <c r="J88" s="10" t="s">
        <v>26</v>
      </c>
      <c r="K88" s="2" t="s">
        <v>26</v>
      </c>
      <c r="L88" s="1" t="s">
        <v>26</v>
      </c>
      <c r="M88" s="1" t="s">
        <v>26</v>
      </c>
      <c r="N88" s="1" t="s">
        <v>26</v>
      </c>
      <c r="O88" s="2" t="s">
        <v>26</v>
      </c>
      <c r="P88" s="1" t="s">
        <v>26</v>
      </c>
      <c r="Q88" s="1" t="s">
        <v>26</v>
      </c>
      <c r="R88" s="1" t="s">
        <v>26</v>
      </c>
      <c r="S88" s="2">
        <v>690915382.5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 t="s">
        <v>26</v>
      </c>
      <c r="AB88" s="1" t="s">
        <v>26</v>
      </c>
      <c r="AC88" s="1" t="s">
        <v>26</v>
      </c>
      <c r="AD88" s="1" t="s">
        <v>26</v>
      </c>
      <c r="AE88" s="2">
        <v>3007833136.3299999</v>
      </c>
      <c r="AF88" s="1">
        <v>1</v>
      </c>
      <c r="AG88" s="1" t="s">
        <v>26</v>
      </c>
      <c r="AH88" s="1" t="s">
        <v>26</v>
      </c>
      <c r="AI88" s="2" t="s">
        <v>26</v>
      </c>
      <c r="AJ88" s="1" t="s">
        <v>26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 t="s">
        <v>26</v>
      </c>
      <c r="AR88" s="1" t="s">
        <v>26</v>
      </c>
      <c r="AS88" s="1" t="s">
        <v>26</v>
      </c>
      <c r="AT88" s="1" t="s">
        <v>26</v>
      </c>
      <c r="AU88" s="2">
        <v>623382300</v>
      </c>
      <c r="AV88" s="1">
        <v>1</v>
      </c>
      <c r="AW88" s="1" t="s">
        <v>26</v>
      </c>
      <c r="AX88" s="1" t="s">
        <v>26</v>
      </c>
      <c r="AY88" s="2">
        <v>3631215436.3299999</v>
      </c>
      <c r="AZ88" s="1">
        <v>1</v>
      </c>
      <c r="BA88" s="1" t="s">
        <v>26</v>
      </c>
      <c r="BB88" s="1" t="s">
        <v>26</v>
      </c>
    </row>
    <row r="89" spans="1:54" s="7" customFormat="1">
      <c r="A89" s="5" t="s">
        <v>84</v>
      </c>
      <c r="B89" s="20" t="s">
        <v>25</v>
      </c>
      <c r="C89" s="9" t="s">
        <v>26</v>
      </c>
      <c r="D89" s="10" t="s">
        <v>26</v>
      </c>
      <c r="E89" s="9" t="s">
        <v>26</v>
      </c>
      <c r="F89" s="10" t="s">
        <v>26</v>
      </c>
      <c r="G89" s="9">
        <v>767282516.69000006</v>
      </c>
      <c r="H89" s="10">
        <v>4.4142566213299997E-3</v>
      </c>
      <c r="I89" s="9" t="s">
        <v>26</v>
      </c>
      <c r="J89" s="10" t="s">
        <v>26</v>
      </c>
      <c r="K89" s="9">
        <v>25799976.079999998</v>
      </c>
      <c r="L89" s="10">
        <v>6.3208452151100004E-3</v>
      </c>
      <c r="M89" s="1" t="s">
        <v>26</v>
      </c>
      <c r="N89" s="1" t="s">
        <v>26</v>
      </c>
      <c r="O89" s="9">
        <v>1999025490.79</v>
      </c>
      <c r="P89" s="10">
        <v>7.8681025021200002E-3</v>
      </c>
      <c r="Q89" s="1" t="s">
        <v>26</v>
      </c>
      <c r="R89" s="1" t="s">
        <v>26</v>
      </c>
      <c r="S89" s="9">
        <v>997298849.45000005</v>
      </c>
      <c r="T89" s="10">
        <v>7.9406441983199995E-3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9">
        <v>406359685.27999997</v>
      </c>
      <c r="AB89" s="10">
        <v>2.59625675867E-3</v>
      </c>
      <c r="AC89" s="1" t="s">
        <v>26</v>
      </c>
      <c r="AD89" s="1" t="s">
        <v>26</v>
      </c>
      <c r="AE89" s="9">
        <v>4195766518.29</v>
      </c>
      <c r="AF89" s="10">
        <v>5.75336606916E-3</v>
      </c>
      <c r="AG89" s="1" t="s">
        <v>26</v>
      </c>
      <c r="AH89" s="1" t="s">
        <v>26</v>
      </c>
      <c r="AI89" s="2" t="s">
        <v>26</v>
      </c>
      <c r="AJ89" s="1" t="s">
        <v>26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 t="s">
        <v>26</v>
      </c>
      <c r="AR89" s="1" t="s">
        <v>26</v>
      </c>
      <c r="AS89" s="1" t="s">
        <v>26</v>
      </c>
      <c r="AT89" s="1" t="s">
        <v>26</v>
      </c>
      <c r="AU89" s="2" t="s">
        <v>26</v>
      </c>
      <c r="AV89" s="1" t="s">
        <v>26</v>
      </c>
      <c r="AW89" s="1" t="s">
        <v>26</v>
      </c>
      <c r="AX89" s="1" t="s">
        <v>26</v>
      </c>
      <c r="AY89" s="9">
        <v>4195766518.29</v>
      </c>
      <c r="AZ89" s="10">
        <v>5.0844510692199998E-3</v>
      </c>
      <c r="BA89" s="1" t="s">
        <v>26</v>
      </c>
      <c r="BB89" s="1" t="s">
        <v>26</v>
      </c>
    </row>
    <row r="90" spans="1:54" s="28" customFormat="1">
      <c r="A90" s="3" t="s">
        <v>85</v>
      </c>
      <c r="B90" s="23" t="s">
        <v>40</v>
      </c>
      <c r="C90" s="9" t="s">
        <v>26</v>
      </c>
      <c r="D90" s="10" t="s">
        <v>26</v>
      </c>
      <c r="E90" s="9" t="s">
        <v>26</v>
      </c>
      <c r="F90" s="10" t="s">
        <v>26</v>
      </c>
      <c r="G90" s="2">
        <v>767282516.69000006</v>
      </c>
      <c r="H90" s="1">
        <v>1</v>
      </c>
      <c r="I90" s="9" t="s">
        <v>26</v>
      </c>
      <c r="J90" s="10" t="s">
        <v>26</v>
      </c>
      <c r="K90" s="2">
        <v>25799976.079999998</v>
      </c>
      <c r="L90" s="1">
        <v>1</v>
      </c>
      <c r="M90" s="1" t="s">
        <v>26</v>
      </c>
      <c r="N90" s="1" t="s">
        <v>26</v>
      </c>
      <c r="O90" s="2">
        <v>1999025490.79</v>
      </c>
      <c r="P90" s="1">
        <v>1</v>
      </c>
      <c r="Q90" s="1" t="s">
        <v>26</v>
      </c>
      <c r="R90" s="1" t="s">
        <v>26</v>
      </c>
      <c r="S90" s="2">
        <v>997298849.45000005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>
        <v>406359685.27999997</v>
      </c>
      <c r="AB90" s="1">
        <v>1</v>
      </c>
      <c r="AC90" s="1" t="s">
        <v>26</v>
      </c>
      <c r="AD90" s="1" t="s">
        <v>26</v>
      </c>
      <c r="AE90" s="2">
        <v>4195766518.29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 t="s">
        <v>26</v>
      </c>
      <c r="AV90" s="1" t="s">
        <v>26</v>
      </c>
      <c r="AW90" s="1" t="s">
        <v>26</v>
      </c>
      <c r="AX90" s="1" t="s">
        <v>26</v>
      </c>
      <c r="AY90" s="2">
        <v>4195766518.29</v>
      </c>
      <c r="AZ90" s="1">
        <v>1</v>
      </c>
      <c r="BA90" s="1" t="s">
        <v>26</v>
      </c>
      <c r="BB90" s="1" t="s">
        <v>26</v>
      </c>
    </row>
    <row r="91" spans="1:54" s="7" customFormat="1">
      <c r="A91" s="12" t="s">
        <v>86</v>
      </c>
      <c r="B91" s="40" t="s">
        <v>25</v>
      </c>
      <c r="C91" s="42">
        <v>166331490.75999999</v>
      </c>
      <c r="D91" s="43">
        <v>2.112881326425E-2</v>
      </c>
      <c r="E91" s="43">
        <v>0.15</v>
      </c>
      <c r="F91" s="43">
        <f>+E91-D91</f>
        <v>0.12887118673574999</v>
      </c>
      <c r="G91" s="42">
        <v>10340890899.74</v>
      </c>
      <c r="H91" s="43">
        <v>5.9492227610699999E-2</v>
      </c>
      <c r="I91" s="43">
        <v>0.15</v>
      </c>
      <c r="J91" s="43">
        <f>+I91-H91</f>
        <v>9.0507772389299995E-2</v>
      </c>
      <c r="K91" s="42">
        <v>342397625.41000003</v>
      </c>
      <c r="L91" s="43">
        <v>8.3885441813049993E-2</v>
      </c>
      <c r="M91" s="43">
        <v>0.15</v>
      </c>
      <c r="N91" s="43">
        <f>+M91-L91</f>
        <v>6.6114558186950001E-2</v>
      </c>
      <c r="O91" s="42">
        <v>27235757436.490002</v>
      </c>
      <c r="P91" s="43">
        <v>0.10719909887115001</v>
      </c>
      <c r="Q91" s="43">
        <v>0.15</v>
      </c>
      <c r="R91" s="43">
        <f>+Q91-P91</f>
        <v>4.2800901128849989E-2</v>
      </c>
      <c r="S91" s="42">
        <v>6559094570.7299995</v>
      </c>
      <c r="T91" s="43">
        <v>5.2224502492920002E-2</v>
      </c>
      <c r="U91" s="43">
        <v>0.15</v>
      </c>
      <c r="V91" s="43">
        <f>+U91-T91</f>
        <v>9.7775497507079992E-2</v>
      </c>
      <c r="W91" s="43" t="s">
        <v>26</v>
      </c>
      <c r="X91" s="43" t="s">
        <v>26</v>
      </c>
      <c r="Y91" s="43" t="s">
        <v>26</v>
      </c>
      <c r="Z91" s="43" t="s">
        <v>26</v>
      </c>
      <c r="AA91" s="42">
        <v>6135109644.0699997</v>
      </c>
      <c r="AB91" s="43">
        <v>3.9197588874000003E-2</v>
      </c>
      <c r="AC91" s="43">
        <v>0.15</v>
      </c>
      <c r="AD91" s="43">
        <f>+AC91-AB91</f>
        <v>0.11080241112599999</v>
      </c>
      <c r="AE91" s="42">
        <v>50779581667.199997</v>
      </c>
      <c r="AF91" s="43">
        <v>6.9630548052859995E-2</v>
      </c>
      <c r="AG91" s="43">
        <v>0.15</v>
      </c>
      <c r="AH91" s="43">
        <f>+AG91-AF91</f>
        <v>8.036945194714E-2</v>
      </c>
      <c r="AI91" s="43" t="s">
        <v>26</v>
      </c>
      <c r="AJ91" s="43" t="s">
        <v>26</v>
      </c>
      <c r="AK91" s="43" t="s">
        <v>26</v>
      </c>
      <c r="AL91" s="43" t="s">
        <v>26</v>
      </c>
      <c r="AM91" s="43" t="s">
        <v>26</v>
      </c>
      <c r="AN91" s="43" t="s">
        <v>26</v>
      </c>
      <c r="AO91" s="43" t="s">
        <v>26</v>
      </c>
      <c r="AP91" s="43" t="s">
        <v>26</v>
      </c>
      <c r="AQ91" s="43" t="s">
        <v>26</v>
      </c>
      <c r="AR91" s="43" t="s">
        <v>26</v>
      </c>
      <c r="AS91" s="43" t="s">
        <v>26</v>
      </c>
      <c r="AT91" s="43" t="s">
        <v>26</v>
      </c>
      <c r="AU91" s="42">
        <v>1855995428.5899999</v>
      </c>
      <c r="AV91" s="43">
        <v>3.5439125463980002E-2</v>
      </c>
      <c r="AW91" s="43">
        <v>0.15</v>
      </c>
      <c r="AX91" s="43">
        <f>+AW91-AV91</f>
        <v>0.11456087453601999</v>
      </c>
      <c r="AY91" s="42">
        <v>52635577095.790001</v>
      </c>
      <c r="AZ91" s="43">
        <v>6.3784058306610006E-2</v>
      </c>
      <c r="BA91" s="43">
        <v>0.15</v>
      </c>
      <c r="BB91" s="43">
        <f>+BA91-AZ91</f>
        <v>8.6215941693389989E-2</v>
      </c>
    </row>
    <row r="92" spans="1:54" s="28" customFormat="1">
      <c r="A92" s="5" t="s">
        <v>124</v>
      </c>
      <c r="B92" s="20" t="s">
        <v>25</v>
      </c>
      <c r="C92" s="9" t="s">
        <v>26</v>
      </c>
      <c r="D92" s="10" t="s">
        <v>26</v>
      </c>
      <c r="E92" s="9" t="s">
        <v>26</v>
      </c>
      <c r="F92" s="10" t="s">
        <v>26</v>
      </c>
      <c r="G92" s="9">
        <v>578793747.00999999</v>
      </c>
      <c r="H92" s="10">
        <v>3.32986100237E-3</v>
      </c>
      <c r="I92" s="9" t="s">
        <v>26</v>
      </c>
      <c r="J92" s="10" t="s">
        <v>26</v>
      </c>
      <c r="K92" s="9">
        <v>68093382</v>
      </c>
      <c r="L92" s="10">
        <v>1.668248553644E-2</v>
      </c>
      <c r="M92" s="1" t="s">
        <v>26</v>
      </c>
      <c r="N92" s="1" t="s">
        <v>26</v>
      </c>
      <c r="O92" s="2" t="s">
        <v>26</v>
      </c>
      <c r="P92" s="1" t="s">
        <v>26</v>
      </c>
      <c r="Q92" s="1" t="s">
        <v>26</v>
      </c>
      <c r="R92" s="1" t="s">
        <v>26</v>
      </c>
      <c r="S92" s="9">
        <v>728908702.77999997</v>
      </c>
      <c r="T92" s="10">
        <v>5.8036812787100002E-3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9">
        <v>451892444.18000001</v>
      </c>
      <c r="AB92" s="10">
        <v>2.8871683262200001E-3</v>
      </c>
      <c r="AC92" s="1" t="s">
        <v>26</v>
      </c>
      <c r="AD92" s="1" t="s">
        <v>26</v>
      </c>
      <c r="AE92" s="9">
        <v>1827688275.97</v>
      </c>
      <c r="AF92" s="10">
        <v>2.5061832364000002E-3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9">
        <v>1827688275.97</v>
      </c>
      <c r="AZ92" s="10">
        <v>2.2148018886300001E-3</v>
      </c>
      <c r="BA92" s="1" t="s">
        <v>26</v>
      </c>
      <c r="BB92" s="1" t="s">
        <v>26</v>
      </c>
    </row>
    <row r="93" spans="1:54" s="7" customFormat="1">
      <c r="A93" s="3" t="s">
        <v>88</v>
      </c>
      <c r="B93" s="23" t="s">
        <v>47</v>
      </c>
      <c r="C93" s="9" t="s">
        <v>26</v>
      </c>
      <c r="D93" s="10" t="s">
        <v>26</v>
      </c>
      <c r="E93" s="9" t="s">
        <v>26</v>
      </c>
      <c r="F93" s="10" t="s">
        <v>26</v>
      </c>
      <c r="G93" s="2">
        <v>578793747.00999999</v>
      </c>
      <c r="H93" s="1">
        <v>1</v>
      </c>
      <c r="I93" s="9" t="s">
        <v>26</v>
      </c>
      <c r="J93" s="10" t="s">
        <v>26</v>
      </c>
      <c r="K93" s="2">
        <v>68093382</v>
      </c>
      <c r="L93" s="1">
        <v>1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728908702.77999997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>
        <v>451892444.18000001</v>
      </c>
      <c r="AB93" s="1">
        <v>1</v>
      </c>
      <c r="AC93" s="1" t="s">
        <v>26</v>
      </c>
      <c r="AD93" s="1" t="s">
        <v>26</v>
      </c>
      <c r="AE93" s="2">
        <v>1827688275.97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 t="s">
        <v>26</v>
      </c>
      <c r="AV93" s="1" t="s">
        <v>26</v>
      </c>
      <c r="AW93" s="1" t="s">
        <v>26</v>
      </c>
      <c r="AX93" s="1" t="s">
        <v>26</v>
      </c>
      <c r="AY93" s="2">
        <v>1827688275.97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125</v>
      </c>
      <c r="B94" s="20" t="s">
        <v>25</v>
      </c>
      <c r="C94" s="9" t="s">
        <v>26</v>
      </c>
      <c r="D94" s="10" t="s">
        <v>26</v>
      </c>
      <c r="E94" s="9" t="s">
        <v>26</v>
      </c>
      <c r="F94" s="10" t="s">
        <v>26</v>
      </c>
      <c r="G94" s="9">
        <v>17123250.98</v>
      </c>
      <c r="H94" s="10">
        <v>9.8511854990000002E-5</v>
      </c>
      <c r="I94" s="9" t="s">
        <v>26</v>
      </c>
      <c r="J94" s="10" t="s">
        <v>26</v>
      </c>
      <c r="K94" s="2" t="s">
        <v>26</v>
      </c>
      <c r="L94" s="1" t="s">
        <v>26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9">
        <v>17123250.98</v>
      </c>
      <c r="T94" s="10">
        <v>1.3633791277999999E-4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2" t="s">
        <v>26</v>
      </c>
      <c r="AB94" s="1" t="s">
        <v>26</v>
      </c>
      <c r="AC94" s="1" t="s">
        <v>26</v>
      </c>
      <c r="AD94" s="1" t="s">
        <v>26</v>
      </c>
      <c r="AE94" s="9">
        <v>34246501.960000001</v>
      </c>
      <c r="AF94" s="10">
        <v>4.6959872890000002E-5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 t="s">
        <v>26</v>
      </c>
      <c r="AV94" s="1" t="s">
        <v>26</v>
      </c>
      <c r="AW94" s="1" t="s">
        <v>26</v>
      </c>
      <c r="AX94" s="1" t="s">
        <v>26</v>
      </c>
      <c r="AY94" s="9">
        <v>34246501.960000001</v>
      </c>
      <c r="AZ94" s="10">
        <v>4.1500084130000003E-5</v>
      </c>
      <c r="BA94" s="1" t="s">
        <v>26</v>
      </c>
      <c r="BB94" s="1" t="s">
        <v>26</v>
      </c>
    </row>
    <row r="95" spans="1:54" s="28" customFormat="1">
      <c r="A95" s="3" t="s">
        <v>88</v>
      </c>
      <c r="B95" s="23" t="s">
        <v>47</v>
      </c>
      <c r="C95" s="9" t="s">
        <v>26</v>
      </c>
      <c r="D95" s="10" t="s">
        <v>26</v>
      </c>
      <c r="E95" s="9" t="s">
        <v>26</v>
      </c>
      <c r="F95" s="10" t="s">
        <v>26</v>
      </c>
      <c r="G95" s="2">
        <v>17123250.98</v>
      </c>
      <c r="H95" s="1">
        <v>1</v>
      </c>
      <c r="I95" s="9" t="s">
        <v>26</v>
      </c>
      <c r="J95" s="10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17123250.98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 t="s">
        <v>26</v>
      </c>
      <c r="AB95" s="1" t="s">
        <v>26</v>
      </c>
      <c r="AC95" s="1" t="s">
        <v>26</v>
      </c>
      <c r="AD95" s="1" t="s">
        <v>26</v>
      </c>
      <c r="AE95" s="2">
        <v>34246501.960000001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34246501.960000001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89</v>
      </c>
      <c r="B96" s="20" t="s">
        <v>25</v>
      </c>
      <c r="C96" s="9" t="s">
        <v>26</v>
      </c>
      <c r="D96" s="10" t="s">
        <v>26</v>
      </c>
      <c r="E96" s="9" t="s">
        <v>26</v>
      </c>
      <c r="F96" s="10" t="s">
        <v>26</v>
      </c>
      <c r="G96" s="9">
        <v>2758435858.8800001</v>
      </c>
      <c r="H96" s="10">
        <v>1.5869570190530001E-2</v>
      </c>
      <c r="I96" s="9" t="s">
        <v>26</v>
      </c>
      <c r="J96" s="10" t="s">
        <v>26</v>
      </c>
      <c r="K96" s="2" t="s">
        <v>26</v>
      </c>
      <c r="L96" s="1" t="s">
        <v>26</v>
      </c>
      <c r="M96" s="1" t="s">
        <v>26</v>
      </c>
      <c r="N96" s="1" t="s">
        <v>26</v>
      </c>
      <c r="O96" s="9">
        <v>3501441811.1900001</v>
      </c>
      <c r="P96" s="10">
        <v>1.3781566669650001E-2</v>
      </c>
      <c r="Q96" s="1" t="s">
        <v>26</v>
      </c>
      <c r="R96" s="1" t="s">
        <v>26</v>
      </c>
      <c r="S96" s="9">
        <v>1276081015.6300001</v>
      </c>
      <c r="T96" s="10">
        <v>1.01603499482E-2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9">
        <v>1951314616.47</v>
      </c>
      <c r="AB96" s="10">
        <v>1.2467067833769999E-2</v>
      </c>
      <c r="AC96" s="1" t="s">
        <v>26</v>
      </c>
      <c r="AD96" s="1" t="s">
        <v>26</v>
      </c>
      <c r="AE96" s="9">
        <v>9487273302.1700001</v>
      </c>
      <c r="AF96" s="10">
        <v>1.300924540668E-2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9">
        <v>320109591.37</v>
      </c>
      <c r="AV96" s="10">
        <v>6.1123016770599998E-3</v>
      </c>
      <c r="AW96" s="1" t="s">
        <v>26</v>
      </c>
      <c r="AX96" s="1" t="s">
        <v>26</v>
      </c>
      <c r="AY96" s="9">
        <v>9807382893.5400009</v>
      </c>
      <c r="AZ96" s="10">
        <v>1.1884636149770001E-2</v>
      </c>
      <c r="BA96" s="1" t="s">
        <v>26</v>
      </c>
      <c r="BB96" s="1" t="s">
        <v>26</v>
      </c>
    </row>
    <row r="97" spans="1:54" s="28" customFormat="1">
      <c r="A97" s="3" t="s">
        <v>88</v>
      </c>
      <c r="B97" s="23" t="s">
        <v>47</v>
      </c>
      <c r="C97" s="9" t="s">
        <v>26</v>
      </c>
      <c r="D97" s="10" t="s">
        <v>26</v>
      </c>
      <c r="E97" s="9" t="s">
        <v>26</v>
      </c>
      <c r="F97" s="10" t="s">
        <v>26</v>
      </c>
      <c r="G97" s="2">
        <v>2758435858.8800001</v>
      </c>
      <c r="H97" s="1">
        <v>1</v>
      </c>
      <c r="I97" s="9" t="s">
        <v>26</v>
      </c>
      <c r="J97" s="10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>
        <v>3501441811.1900001</v>
      </c>
      <c r="P97" s="1">
        <v>1</v>
      </c>
      <c r="Q97" s="1" t="s">
        <v>26</v>
      </c>
      <c r="R97" s="1" t="s">
        <v>26</v>
      </c>
      <c r="S97" s="2">
        <v>1276081015.6300001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>
        <v>1951314616.47</v>
      </c>
      <c r="AB97" s="1">
        <v>1</v>
      </c>
      <c r="AC97" s="1" t="s">
        <v>26</v>
      </c>
      <c r="AD97" s="1" t="s">
        <v>26</v>
      </c>
      <c r="AE97" s="2">
        <v>9487273302.1700001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>
        <v>320109591.37</v>
      </c>
      <c r="AV97" s="1">
        <v>1</v>
      </c>
      <c r="AW97" s="1" t="s">
        <v>26</v>
      </c>
      <c r="AX97" s="1" t="s">
        <v>26</v>
      </c>
      <c r="AY97" s="2">
        <v>9807382893.5400009</v>
      </c>
      <c r="AZ97" s="1">
        <v>1</v>
      </c>
      <c r="BA97" s="1" t="s">
        <v>26</v>
      </c>
      <c r="BB97" s="1" t="s">
        <v>26</v>
      </c>
    </row>
    <row r="98" spans="1:54" s="7" customFormat="1">
      <c r="A98" s="5" t="s">
        <v>90</v>
      </c>
      <c r="B98" s="20" t="s">
        <v>25</v>
      </c>
      <c r="C98" s="9" t="s">
        <v>26</v>
      </c>
      <c r="D98" s="10" t="s">
        <v>26</v>
      </c>
      <c r="E98" s="9" t="s">
        <v>26</v>
      </c>
      <c r="F98" s="10" t="s">
        <v>26</v>
      </c>
      <c r="G98" s="9">
        <v>1991714238.47</v>
      </c>
      <c r="H98" s="10">
        <v>1.1458540464199999E-2</v>
      </c>
      <c r="I98" s="9" t="s">
        <v>26</v>
      </c>
      <c r="J98" s="10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9">
        <v>1296688957.3299999</v>
      </c>
      <c r="P98" s="10">
        <v>5.1037276296100002E-3</v>
      </c>
      <c r="Q98" s="1" t="s">
        <v>26</v>
      </c>
      <c r="R98" s="1" t="s">
        <v>26</v>
      </c>
      <c r="S98" s="9">
        <v>1296688957.3299999</v>
      </c>
      <c r="T98" s="10">
        <v>1.0324433495260001E-2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9">
        <v>1244043385.6600001</v>
      </c>
      <c r="AB98" s="10">
        <v>7.9482688984499998E-3</v>
      </c>
      <c r="AC98" s="1" t="s">
        <v>26</v>
      </c>
      <c r="AD98" s="1" t="s">
        <v>26</v>
      </c>
      <c r="AE98" s="9">
        <v>5829135538.79</v>
      </c>
      <c r="AF98" s="10">
        <v>7.9930926745400005E-3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2" t="s">
        <v>26</v>
      </c>
      <c r="AV98" s="1" t="s">
        <v>26</v>
      </c>
      <c r="AW98" s="1" t="s">
        <v>26</v>
      </c>
      <c r="AX98" s="1" t="s">
        <v>26</v>
      </c>
      <c r="AY98" s="9">
        <v>5829135538.79</v>
      </c>
      <c r="AZ98" s="10">
        <v>7.0637759021199998E-3</v>
      </c>
      <c r="BA98" s="1" t="s">
        <v>26</v>
      </c>
      <c r="BB98" s="1" t="s">
        <v>26</v>
      </c>
    </row>
    <row r="99" spans="1:54" s="7" customFormat="1">
      <c r="A99" s="3" t="s">
        <v>88</v>
      </c>
      <c r="B99" s="23" t="s">
        <v>47</v>
      </c>
      <c r="C99" s="9" t="s">
        <v>26</v>
      </c>
      <c r="D99" s="10" t="s">
        <v>26</v>
      </c>
      <c r="E99" s="9" t="s">
        <v>26</v>
      </c>
      <c r="F99" s="10" t="s">
        <v>26</v>
      </c>
      <c r="G99" s="2">
        <v>1991714238.47</v>
      </c>
      <c r="H99" s="1">
        <v>1</v>
      </c>
      <c r="I99" s="9" t="s">
        <v>26</v>
      </c>
      <c r="J99" s="10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1296688957.3299999</v>
      </c>
      <c r="P99" s="1">
        <v>1</v>
      </c>
      <c r="Q99" s="1" t="s">
        <v>26</v>
      </c>
      <c r="R99" s="1" t="s">
        <v>26</v>
      </c>
      <c r="S99" s="2">
        <v>1296688957.3299999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1244043385.6600001</v>
      </c>
      <c r="AB99" s="1">
        <v>1</v>
      </c>
      <c r="AC99" s="1" t="s">
        <v>26</v>
      </c>
      <c r="AD99" s="1" t="s">
        <v>26</v>
      </c>
      <c r="AE99" s="2">
        <v>5829135538.79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 t="s">
        <v>26</v>
      </c>
      <c r="AV99" s="1" t="s">
        <v>26</v>
      </c>
      <c r="AW99" s="1" t="s">
        <v>26</v>
      </c>
      <c r="AX99" s="1" t="s">
        <v>26</v>
      </c>
      <c r="AY99" s="2">
        <v>5829135538.79</v>
      </c>
      <c r="AZ99" s="1">
        <v>1</v>
      </c>
      <c r="BA99" s="1" t="s">
        <v>26</v>
      </c>
      <c r="BB99" s="1" t="s">
        <v>26</v>
      </c>
    </row>
    <row r="100" spans="1:54" s="28" customFormat="1">
      <c r="A100" s="5" t="s">
        <v>91</v>
      </c>
      <c r="B100" s="20" t="s">
        <v>25</v>
      </c>
      <c r="C100" s="9" t="s">
        <v>26</v>
      </c>
      <c r="D100" s="10" t="s">
        <v>26</v>
      </c>
      <c r="E100" s="9" t="s">
        <v>26</v>
      </c>
      <c r="F100" s="10" t="s">
        <v>26</v>
      </c>
      <c r="G100" s="9">
        <v>490848518.38999999</v>
      </c>
      <c r="H100" s="10">
        <v>2.82390289788E-3</v>
      </c>
      <c r="I100" s="9" t="s">
        <v>26</v>
      </c>
      <c r="J100" s="10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9">
        <v>4244987093.6300001</v>
      </c>
      <c r="P100" s="10">
        <v>1.6708137903559999E-2</v>
      </c>
      <c r="Q100" s="1" t="s">
        <v>26</v>
      </c>
      <c r="R100" s="1" t="s">
        <v>26</v>
      </c>
      <c r="S100" s="9">
        <v>956691776.03999996</v>
      </c>
      <c r="T100" s="10">
        <v>7.61732454137E-3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9">
        <v>1315084273.6500001</v>
      </c>
      <c r="AB100" s="10">
        <v>8.4021534550800005E-3</v>
      </c>
      <c r="AC100" s="1" t="s">
        <v>26</v>
      </c>
      <c r="AD100" s="1" t="s">
        <v>26</v>
      </c>
      <c r="AE100" s="9">
        <v>7007611661.71</v>
      </c>
      <c r="AF100" s="10">
        <v>9.6090559340200003E-3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9">
        <v>365395919.39999998</v>
      </c>
      <c r="AV100" s="10">
        <v>6.9770170939900001E-3</v>
      </c>
      <c r="AW100" s="1" t="s">
        <v>26</v>
      </c>
      <c r="AX100" s="1" t="s">
        <v>26</v>
      </c>
      <c r="AY100" s="9">
        <v>7373007581.1099997</v>
      </c>
      <c r="AZ100" s="10">
        <v>8.9346478446100004E-3</v>
      </c>
      <c r="BA100" s="1" t="s">
        <v>26</v>
      </c>
      <c r="BB100" s="1" t="s">
        <v>26</v>
      </c>
    </row>
    <row r="101" spans="1:54" s="28" customFormat="1">
      <c r="A101" s="3" t="s">
        <v>88</v>
      </c>
      <c r="B101" s="23" t="s">
        <v>47</v>
      </c>
      <c r="C101" s="9" t="s">
        <v>26</v>
      </c>
      <c r="D101" s="10" t="s">
        <v>26</v>
      </c>
      <c r="E101" s="9" t="s">
        <v>26</v>
      </c>
      <c r="F101" s="10" t="s">
        <v>26</v>
      </c>
      <c r="G101" s="2">
        <v>490848518.38999999</v>
      </c>
      <c r="H101" s="1">
        <v>1</v>
      </c>
      <c r="I101" s="9" t="s">
        <v>26</v>
      </c>
      <c r="J101" s="10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4244987093.6300001</v>
      </c>
      <c r="P101" s="1">
        <v>1</v>
      </c>
      <c r="Q101" s="1" t="s">
        <v>26</v>
      </c>
      <c r="R101" s="1" t="s">
        <v>26</v>
      </c>
      <c r="S101" s="2">
        <v>956691776.03999996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1315084273.6500001</v>
      </c>
      <c r="AB101" s="1">
        <v>1</v>
      </c>
      <c r="AC101" s="1" t="s">
        <v>26</v>
      </c>
      <c r="AD101" s="1" t="s">
        <v>26</v>
      </c>
      <c r="AE101" s="2">
        <v>7007611661.71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>
        <v>365395919.39999998</v>
      </c>
      <c r="AV101" s="1">
        <v>1</v>
      </c>
      <c r="AW101" s="1" t="s">
        <v>26</v>
      </c>
      <c r="AX101" s="1" t="s">
        <v>26</v>
      </c>
      <c r="AY101" s="2">
        <v>7373007581.1099997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92</v>
      </c>
      <c r="B102" s="20" t="s">
        <v>25</v>
      </c>
      <c r="C102" s="9" t="s">
        <v>26</v>
      </c>
      <c r="D102" s="10" t="s">
        <v>26</v>
      </c>
      <c r="E102" s="9" t="s">
        <v>26</v>
      </c>
      <c r="F102" s="10" t="s">
        <v>26</v>
      </c>
      <c r="G102" s="9" t="s">
        <v>26</v>
      </c>
      <c r="H102" s="10" t="s">
        <v>26</v>
      </c>
      <c r="I102" s="9" t="s">
        <v>26</v>
      </c>
      <c r="J102" s="10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9">
        <v>2416564552.2800002</v>
      </c>
      <c r="P102" s="10">
        <v>9.5115233337099998E-3</v>
      </c>
      <c r="Q102" s="1" t="s">
        <v>26</v>
      </c>
      <c r="R102" s="1" t="s">
        <v>26</v>
      </c>
      <c r="S102" s="2" t="s">
        <v>26</v>
      </c>
      <c r="T102" s="1" t="s">
        <v>26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2" t="s">
        <v>26</v>
      </c>
      <c r="AB102" s="1" t="s">
        <v>26</v>
      </c>
      <c r="AC102" s="1" t="s">
        <v>26</v>
      </c>
      <c r="AD102" s="1" t="s">
        <v>26</v>
      </c>
      <c r="AE102" s="9">
        <v>2416564552.2800002</v>
      </c>
      <c r="AF102" s="10">
        <v>3.3136687750400001E-3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2" t="s">
        <v>26</v>
      </c>
      <c r="AV102" s="1" t="s">
        <v>26</v>
      </c>
      <c r="AW102" s="1" t="s">
        <v>26</v>
      </c>
      <c r="AX102" s="1" t="s">
        <v>26</v>
      </c>
      <c r="AY102" s="9">
        <v>2416564552.2800002</v>
      </c>
      <c r="AZ102" s="10">
        <v>2.9284051360099999E-3</v>
      </c>
      <c r="BA102" s="1" t="s">
        <v>26</v>
      </c>
      <c r="BB102" s="1" t="s">
        <v>26</v>
      </c>
    </row>
    <row r="103" spans="1:54" s="7" customFormat="1">
      <c r="A103" s="3" t="s">
        <v>88</v>
      </c>
      <c r="B103" s="23" t="s">
        <v>47</v>
      </c>
      <c r="C103" s="9" t="s">
        <v>26</v>
      </c>
      <c r="D103" s="10" t="s">
        <v>26</v>
      </c>
      <c r="E103" s="9" t="s">
        <v>26</v>
      </c>
      <c r="F103" s="10" t="s">
        <v>26</v>
      </c>
      <c r="G103" s="9" t="s">
        <v>26</v>
      </c>
      <c r="H103" s="10" t="s">
        <v>26</v>
      </c>
      <c r="I103" s="9" t="s">
        <v>26</v>
      </c>
      <c r="J103" s="10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2416564552.2800002</v>
      </c>
      <c r="P103" s="1">
        <v>1</v>
      </c>
      <c r="Q103" s="1" t="s">
        <v>26</v>
      </c>
      <c r="R103" s="1" t="s">
        <v>26</v>
      </c>
      <c r="S103" s="2" t="s">
        <v>26</v>
      </c>
      <c r="T103" s="1" t="s">
        <v>26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 t="s">
        <v>26</v>
      </c>
      <c r="AB103" s="1" t="s">
        <v>26</v>
      </c>
      <c r="AC103" s="1" t="s">
        <v>26</v>
      </c>
      <c r="AD103" s="1" t="s">
        <v>26</v>
      </c>
      <c r="AE103" s="2">
        <v>2416564552.2800002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v>2416564552.2800002</v>
      </c>
      <c r="AZ103" s="1">
        <v>1</v>
      </c>
      <c r="BA103" s="1" t="s">
        <v>26</v>
      </c>
      <c r="BB103" s="1" t="s">
        <v>26</v>
      </c>
    </row>
    <row r="104" spans="1:54" s="28" customFormat="1">
      <c r="A104" s="5" t="s">
        <v>93</v>
      </c>
      <c r="B104" s="20" t="s">
        <v>25</v>
      </c>
      <c r="C104" s="9" t="s">
        <v>26</v>
      </c>
      <c r="D104" s="10" t="s">
        <v>26</v>
      </c>
      <c r="E104" s="9" t="s">
        <v>26</v>
      </c>
      <c r="F104" s="10" t="s">
        <v>26</v>
      </c>
      <c r="G104" s="9" t="s">
        <v>26</v>
      </c>
      <c r="H104" s="10" t="s">
        <v>26</v>
      </c>
      <c r="I104" s="9" t="s">
        <v>26</v>
      </c>
      <c r="J104" s="10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9">
        <v>324959701.36000001</v>
      </c>
      <c r="P104" s="10">
        <v>1.2790313335899999E-3</v>
      </c>
      <c r="Q104" s="1" t="s">
        <v>26</v>
      </c>
      <c r="R104" s="1" t="s">
        <v>26</v>
      </c>
      <c r="S104" s="2" t="s">
        <v>26</v>
      </c>
      <c r="T104" s="1" t="s">
        <v>26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9">
        <v>324959701.36000001</v>
      </c>
      <c r="AB104" s="10">
        <v>2.0761873077300001E-3</v>
      </c>
      <c r="AC104" s="1" t="s">
        <v>26</v>
      </c>
      <c r="AD104" s="1" t="s">
        <v>26</v>
      </c>
      <c r="AE104" s="9">
        <v>649919402.72000003</v>
      </c>
      <c r="AF104" s="10">
        <v>8.9118977975000005E-4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9">
        <v>649919402.72000003</v>
      </c>
      <c r="AZ104" s="10">
        <v>7.8757561643999995E-4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9" t="s">
        <v>26</v>
      </c>
      <c r="D105" s="10" t="s">
        <v>26</v>
      </c>
      <c r="E105" s="9" t="s">
        <v>26</v>
      </c>
      <c r="F105" s="10" t="s">
        <v>26</v>
      </c>
      <c r="G105" s="9" t="s">
        <v>26</v>
      </c>
      <c r="H105" s="10" t="s">
        <v>26</v>
      </c>
      <c r="I105" s="9" t="s">
        <v>26</v>
      </c>
      <c r="J105" s="10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324959701.36000001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>
        <v>324959701.36000001</v>
      </c>
      <c r="AB105" s="1">
        <v>1</v>
      </c>
      <c r="AC105" s="1" t="s">
        <v>26</v>
      </c>
      <c r="AD105" s="1" t="s">
        <v>26</v>
      </c>
      <c r="AE105" s="2">
        <v>649919402.72000003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649919402.72000003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94</v>
      </c>
      <c r="B106" s="20" t="s">
        <v>25</v>
      </c>
      <c r="C106" s="9" t="s">
        <v>26</v>
      </c>
      <c r="D106" s="10" t="s">
        <v>26</v>
      </c>
      <c r="E106" s="9" t="s">
        <v>26</v>
      </c>
      <c r="F106" s="10" t="s">
        <v>26</v>
      </c>
      <c r="G106" s="9" t="s">
        <v>26</v>
      </c>
      <c r="H106" s="10" t="s">
        <v>26</v>
      </c>
      <c r="I106" s="9" t="s">
        <v>26</v>
      </c>
      <c r="J106" s="10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9">
        <v>6137123723.5</v>
      </c>
      <c r="P106" s="10">
        <v>2.4155529155160001E-2</v>
      </c>
      <c r="Q106" s="1" t="s">
        <v>26</v>
      </c>
      <c r="R106" s="1" t="s">
        <v>26</v>
      </c>
      <c r="S106" s="2" t="s">
        <v>26</v>
      </c>
      <c r="T106" s="1" t="s">
        <v>26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2" t="s">
        <v>26</v>
      </c>
      <c r="AB106" s="1" t="s">
        <v>26</v>
      </c>
      <c r="AC106" s="1" t="s">
        <v>26</v>
      </c>
      <c r="AD106" s="1" t="s">
        <v>26</v>
      </c>
      <c r="AE106" s="9">
        <v>6137123723.5</v>
      </c>
      <c r="AF106" s="10">
        <v>8.4154156908199992E-3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9">
        <v>6137123723.5</v>
      </c>
      <c r="AZ106" s="10">
        <v>7.4369975407000003E-3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9" t="s">
        <v>26</v>
      </c>
      <c r="D107" s="10" t="s">
        <v>26</v>
      </c>
      <c r="E107" s="9" t="s">
        <v>26</v>
      </c>
      <c r="F107" s="10" t="s">
        <v>26</v>
      </c>
      <c r="G107" s="9" t="s">
        <v>26</v>
      </c>
      <c r="H107" s="10" t="s">
        <v>26</v>
      </c>
      <c r="I107" s="9" t="s">
        <v>26</v>
      </c>
      <c r="J107" s="10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6137123723.5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6137123723.5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6137123723.5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95</v>
      </c>
      <c r="B108" s="20" t="s">
        <v>25</v>
      </c>
      <c r="C108" s="9" t="s">
        <v>26</v>
      </c>
      <c r="D108" s="10" t="s">
        <v>26</v>
      </c>
      <c r="E108" s="9" t="s">
        <v>26</v>
      </c>
      <c r="F108" s="10" t="s">
        <v>26</v>
      </c>
      <c r="G108" s="9" t="s">
        <v>26</v>
      </c>
      <c r="H108" s="10" t="s">
        <v>26</v>
      </c>
      <c r="I108" s="9" t="s">
        <v>26</v>
      </c>
      <c r="J108" s="10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2" t="s">
        <v>26</v>
      </c>
      <c r="P108" s="1" t="s">
        <v>26</v>
      </c>
      <c r="Q108" s="1" t="s">
        <v>26</v>
      </c>
      <c r="R108" s="1" t="s">
        <v>26</v>
      </c>
      <c r="S108" s="9">
        <v>137227609.97</v>
      </c>
      <c r="T108" s="10">
        <v>1.0926269749099999E-3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9">
        <v>137227609.97</v>
      </c>
      <c r="AF108" s="10">
        <v>1.8817078393E-4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9">
        <v>175791573.34999999</v>
      </c>
      <c r="AV108" s="10">
        <v>3.3566352198400001E-3</v>
      </c>
      <c r="AW108" s="1" t="s">
        <v>26</v>
      </c>
      <c r="AX108" s="1" t="s">
        <v>26</v>
      </c>
      <c r="AY108" s="9">
        <v>313019183.31999999</v>
      </c>
      <c r="AZ108" s="10">
        <v>3.7931822812000001E-4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9" t="s">
        <v>26</v>
      </c>
      <c r="D109" s="10" t="s">
        <v>26</v>
      </c>
      <c r="E109" s="9" t="s">
        <v>26</v>
      </c>
      <c r="F109" s="10" t="s">
        <v>26</v>
      </c>
      <c r="G109" s="9" t="s">
        <v>26</v>
      </c>
      <c r="H109" s="10" t="s">
        <v>26</v>
      </c>
      <c r="I109" s="9" t="s">
        <v>26</v>
      </c>
      <c r="J109" s="10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 t="s">
        <v>26</v>
      </c>
      <c r="P109" s="1" t="s">
        <v>26</v>
      </c>
      <c r="Q109" s="1" t="s">
        <v>26</v>
      </c>
      <c r="R109" s="1" t="s">
        <v>26</v>
      </c>
      <c r="S109" s="2">
        <v>137227609.97</v>
      </c>
      <c r="T109" s="1">
        <v>1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137227609.97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>
        <v>175791573.34999999</v>
      </c>
      <c r="AV109" s="1">
        <v>1</v>
      </c>
      <c r="AW109" s="1" t="s">
        <v>26</v>
      </c>
      <c r="AX109" s="1" t="s">
        <v>26</v>
      </c>
      <c r="AY109" s="2">
        <v>313019183.31999999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96</v>
      </c>
      <c r="B110" s="20" t="s">
        <v>25</v>
      </c>
      <c r="C110" s="9">
        <v>58173386.060000002</v>
      </c>
      <c r="D110" s="10">
        <v>7.3896686994999999E-3</v>
      </c>
      <c r="E110" s="9" t="s">
        <v>26</v>
      </c>
      <c r="F110" s="10" t="s">
        <v>26</v>
      </c>
      <c r="G110" s="9" t="s">
        <v>26</v>
      </c>
      <c r="H110" s="10" t="s">
        <v>26</v>
      </c>
      <c r="I110" s="9" t="s">
        <v>26</v>
      </c>
      <c r="J110" s="10" t="s">
        <v>26</v>
      </c>
      <c r="K110" s="9">
        <v>147693170.63999999</v>
      </c>
      <c r="L110" s="10">
        <v>3.6183974281569997E-2</v>
      </c>
      <c r="M110" s="1" t="s">
        <v>26</v>
      </c>
      <c r="N110" s="1" t="s">
        <v>26</v>
      </c>
      <c r="O110" s="2" t="s">
        <v>26</v>
      </c>
      <c r="P110" s="1" t="s">
        <v>26</v>
      </c>
      <c r="Q110" s="1" t="s">
        <v>26</v>
      </c>
      <c r="R110" s="1" t="s">
        <v>26</v>
      </c>
      <c r="S110" s="9">
        <v>284303445.79000002</v>
      </c>
      <c r="T110" s="10">
        <v>2.2636670127699999E-3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9">
        <v>490170002.49000001</v>
      </c>
      <c r="AF110" s="10">
        <v>6.7213641372999996E-4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2" t="s">
        <v>26</v>
      </c>
      <c r="AV110" s="1" t="s">
        <v>26</v>
      </c>
      <c r="AW110" s="1" t="s">
        <v>26</v>
      </c>
      <c r="AX110" s="1" t="s">
        <v>26</v>
      </c>
      <c r="AY110" s="9">
        <v>490170002.49000001</v>
      </c>
      <c r="AZ110" s="10">
        <v>5.9399048598000003E-4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2">
        <v>58173386.060000002</v>
      </c>
      <c r="D111" s="1">
        <v>1</v>
      </c>
      <c r="E111" s="9" t="s">
        <v>26</v>
      </c>
      <c r="F111" s="10" t="s">
        <v>26</v>
      </c>
      <c r="G111" s="9" t="s">
        <v>26</v>
      </c>
      <c r="H111" s="10" t="s">
        <v>26</v>
      </c>
      <c r="I111" s="9" t="s">
        <v>26</v>
      </c>
      <c r="J111" s="10" t="s">
        <v>26</v>
      </c>
      <c r="K111" s="2">
        <v>147693170.63999999</v>
      </c>
      <c r="L111" s="1">
        <v>1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>
        <v>284303445.79000002</v>
      </c>
      <c r="T111" s="1">
        <v>1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490170002.49000001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490170002.49000001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117</v>
      </c>
      <c r="B112" s="20" t="s">
        <v>25</v>
      </c>
      <c r="C112" s="9" t="s">
        <v>26</v>
      </c>
      <c r="D112" s="10" t="s">
        <v>26</v>
      </c>
      <c r="E112" s="9" t="s">
        <v>26</v>
      </c>
      <c r="F112" s="10" t="s">
        <v>26</v>
      </c>
      <c r="G112" s="9">
        <v>979308570.76999998</v>
      </c>
      <c r="H112" s="10">
        <v>5.6340647008300002E-3</v>
      </c>
      <c r="I112" s="9" t="s">
        <v>26</v>
      </c>
      <c r="J112" s="10" t="s">
        <v>26</v>
      </c>
      <c r="K112" s="2" t="s">
        <v>26</v>
      </c>
      <c r="L112" s="1" t="s">
        <v>26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2" t="s">
        <v>26</v>
      </c>
      <c r="T112" s="1" t="s">
        <v>26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9">
        <v>979308570.76999998</v>
      </c>
      <c r="AF112" s="10">
        <v>1.34285849266E-3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 t="s">
        <v>26</v>
      </c>
      <c r="AV112" s="1" t="s">
        <v>26</v>
      </c>
      <c r="AW112" s="1" t="s">
        <v>26</v>
      </c>
      <c r="AX112" s="1" t="s">
        <v>26</v>
      </c>
      <c r="AY112" s="9">
        <v>979308570.76999998</v>
      </c>
      <c r="AZ112" s="10">
        <v>1.18673107477E-3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9" t="s">
        <v>26</v>
      </c>
      <c r="D113" s="10" t="s">
        <v>26</v>
      </c>
      <c r="E113" s="9" t="s">
        <v>26</v>
      </c>
      <c r="F113" s="10" t="s">
        <v>26</v>
      </c>
      <c r="G113" s="2">
        <v>979308570.76999998</v>
      </c>
      <c r="H113" s="1">
        <v>1</v>
      </c>
      <c r="I113" s="9" t="s">
        <v>26</v>
      </c>
      <c r="J113" s="10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 t="s">
        <v>26</v>
      </c>
      <c r="T113" s="1" t="s">
        <v>26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979308570.76999998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979308570.76999998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97</v>
      </c>
      <c r="B114" s="20" t="s">
        <v>25</v>
      </c>
      <c r="C114" s="9" t="s">
        <v>26</v>
      </c>
      <c r="D114" s="10" t="s">
        <v>26</v>
      </c>
      <c r="E114" s="9" t="s">
        <v>26</v>
      </c>
      <c r="F114" s="10" t="s">
        <v>26</v>
      </c>
      <c r="G114" s="9">
        <v>724574531.19000006</v>
      </c>
      <c r="H114" s="10">
        <v>4.1685531109900004E-3</v>
      </c>
      <c r="I114" s="9" t="s">
        <v>26</v>
      </c>
      <c r="J114" s="10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9">
        <v>2088374204.8099999</v>
      </c>
      <c r="P114" s="10">
        <v>8.2197762769599999E-3</v>
      </c>
      <c r="Q114" s="1" t="s">
        <v>26</v>
      </c>
      <c r="R114" s="1" t="s">
        <v>26</v>
      </c>
      <c r="S114" s="9">
        <v>110118616.97</v>
      </c>
      <c r="T114" s="10">
        <v>8.7678107465000003E-4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9">
        <v>2923067352.9699998</v>
      </c>
      <c r="AF114" s="10">
        <v>4.0082012316800001E-3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9">
        <v>2923067352.9699998</v>
      </c>
      <c r="AZ114" s="10">
        <v>3.54218778939E-3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9" t="s">
        <v>26</v>
      </c>
      <c r="D115" s="10" t="s">
        <v>26</v>
      </c>
      <c r="E115" s="9" t="s">
        <v>26</v>
      </c>
      <c r="F115" s="10" t="s">
        <v>26</v>
      </c>
      <c r="G115" s="2">
        <v>724574531.19000006</v>
      </c>
      <c r="H115" s="1">
        <v>1</v>
      </c>
      <c r="I115" s="9" t="s">
        <v>26</v>
      </c>
      <c r="J115" s="10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2088374204.8099999</v>
      </c>
      <c r="P115" s="1">
        <v>1</v>
      </c>
      <c r="Q115" s="1" t="s">
        <v>26</v>
      </c>
      <c r="R115" s="1" t="s">
        <v>26</v>
      </c>
      <c r="S115" s="2">
        <v>110118616.97</v>
      </c>
      <c r="T115" s="1">
        <v>1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2923067352.9699998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2923067352.9699998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98</v>
      </c>
      <c r="B116" s="20" t="s">
        <v>25</v>
      </c>
      <c r="C116" s="9" t="s">
        <v>26</v>
      </c>
      <c r="D116" s="10" t="s">
        <v>26</v>
      </c>
      <c r="E116" s="9" t="s">
        <v>26</v>
      </c>
      <c r="F116" s="10" t="s">
        <v>26</v>
      </c>
      <c r="G116" s="9">
        <v>1491032518.4000001</v>
      </c>
      <c r="H116" s="10">
        <v>8.5780661279199998E-3</v>
      </c>
      <c r="I116" s="9" t="s">
        <v>26</v>
      </c>
      <c r="J116" s="10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9">
        <v>3552494087.4099998</v>
      </c>
      <c r="P116" s="10">
        <v>1.3982506849810001E-2</v>
      </c>
      <c r="Q116" s="1" t="s">
        <v>26</v>
      </c>
      <c r="R116" s="1" t="s">
        <v>26</v>
      </c>
      <c r="S116" s="9">
        <v>994698344.47000003</v>
      </c>
      <c r="T116" s="10">
        <v>7.9199385845600007E-3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9">
        <v>6038224950.2799997</v>
      </c>
      <c r="AF116" s="10">
        <v>8.2798026047200008E-3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9">
        <v>994698344.47000003</v>
      </c>
      <c r="AV116" s="10">
        <v>1.8993171473090001E-2</v>
      </c>
      <c r="AW116" s="1" t="s">
        <v>26</v>
      </c>
      <c r="AX116" s="1" t="s">
        <v>26</v>
      </c>
      <c r="AY116" s="9">
        <v>7032923294.75</v>
      </c>
      <c r="AZ116" s="10">
        <v>8.5225319878600003E-3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40</v>
      </c>
      <c r="C117" s="9" t="s">
        <v>26</v>
      </c>
      <c r="D117" s="10" t="s">
        <v>26</v>
      </c>
      <c r="E117" s="9" t="s">
        <v>26</v>
      </c>
      <c r="F117" s="10" t="s">
        <v>26</v>
      </c>
      <c r="G117" s="2">
        <v>1491032518.4000001</v>
      </c>
      <c r="H117" s="1">
        <v>1</v>
      </c>
      <c r="I117" s="9" t="s">
        <v>26</v>
      </c>
      <c r="J117" s="10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3552494087.4099998</v>
      </c>
      <c r="P117" s="1">
        <v>1</v>
      </c>
      <c r="Q117" s="1" t="s">
        <v>26</v>
      </c>
      <c r="R117" s="1" t="s">
        <v>26</v>
      </c>
      <c r="S117" s="2">
        <v>994698344.47000003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6038224950.2799997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>
        <v>994698344.47000003</v>
      </c>
      <c r="AV117" s="1">
        <v>1</v>
      </c>
      <c r="AW117" s="1" t="s">
        <v>26</v>
      </c>
      <c r="AX117" s="1" t="s">
        <v>26</v>
      </c>
      <c r="AY117" s="2">
        <v>7032923294.75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99</v>
      </c>
      <c r="B118" s="20" t="s">
        <v>25</v>
      </c>
      <c r="C118" s="9" t="s">
        <v>26</v>
      </c>
      <c r="D118" s="10" t="s">
        <v>26</v>
      </c>
      <c r="E118" s="9" t="s">
        <v>26</v>
      </c>
      <c r="F118" s="10" t="s">
        <v>26</v>
      </c>
      <c r="G118" s="9">
        <v>565210148.5</v>
      </c>
      <c r="H118" s="10">
        <v>3.2517131384999999E-3</v>
      </c>
      <c r="I118" s="9" t="s">
        <v>26</v>
      </c>
      <c r="J118" s="10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9">
        <v>783709087.71000004</v>
      </c>
      <c r="P118" s="10">
        <v>3.0846547291900001E-3</v>
      </c>
      <c r="Q118" s="1" t="s">
        <v>26</v>
      </c>
      <c r="R118" s="1" t="s">
        <v>26</v>
      </c>
      <c r="S118" s="9">
        <v>261353172.66999999</v>
      </c>
      <c r="T118" s="10">
        <v>2.08093346886E-3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9">
        <v>847815222.75</v>
      </c>
      <c r="AB118" s="10">
        <v>5.4167430527700001E-3</v>
      </c>
      <c r="AC118" s="1" t="s">
        <v>26</v>
      </c>
      <c r="AD118" s="1" t="s">
        <v>26</v>
      </c>
      <c r="AE118" s="9">
        <v>2458087631.6300001</v>
      </c>
      <c r="AF118" s="10">
        <v>3.37060651807E-3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2" t="s">
        <v>26</v>
      </c>
      <c r="AV118" s="1" t="s">
        <v>26</v>
      </c>
      <c r="AW118" s="1" t="s">
        <v>26</v>
      </c>
      <c r="AX118" s="1" t="s">
        <v>26</v>
      </c>
      <c r="AY118" s="9">
        <v>2458087631.6300001</v>
      </c>
      <c r="AZ118" s="10">
        <v>2.9787230133999998E-3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47</v>
      </c>
      <c r="C119" s="9" t="s">
        <v>26</v>
      </c>
      <c r="D119" s="10" t="s">
        <v>26</v>
      </c>
      <c r="E119" s="9" t="s">
        <v>26</v>
      </c>
      <c r="F119" s="10" t="s">
        <v>26</v>
      </c>
      <c r="G119" s="2">
        <v>565210148.5</v>
      </c>
      <c r="H119" s="1">
        <v>1</v>
      </c>
      <c r="I119" s="9" t="s">
        <v>26</v>
      </c>
      <c r="J119" s="10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783709087.71000004</v>
      </c>
      <c r="P119" s="1">
        <v>1</v>
      </c>
      <c r="Q119" s="1" t="s">
        <v>26</v>
      </c>
      <c r="R119" s="1" t="s">
        <v>26</v>
      </c>
      <c r="S119" s="2">
        <v>261353172.66999999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>
        <v>847815222.75</v>
      </c>
      <c r="AB119" s="1">
        <v>1</v>
      </c>
      <c r="AC119" s="1" t="s">
        <v>26</v>
      </c>
      <c r="AD119" s="1" t="s">
        <v>26</v>
      </c>
      <c r="AE119" s="2">
        <v>2458087631.6300001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" t="s">
        <v>26</v>
      </c>
      <c r="AX119" s="1" t="s">
        <v>26</v>
      </c>
      <c r="AY119" s="2">
        <v>2458087631.6300001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100</v>
      </c>
      <c r="B120" s="20" t="s">
        <v>25</v>
      </c>
      <c r="C120" s="9" t="s">
        <v>26</v>
      </c>
      <c r="D120" s="10" t="s">
        <v>26</v>
      </c>
      <c r="E120" s="9" t="s">
        <v>26</v>
      </c>
      <c r="F120" s="10" t="s">
        <v>26</v>
      </c>
      <c r="G120" s="9" t="s">
        <v>26</v>
      </c>
      <c r="H120" s="10" t="s">
        <v>26</v>
      </c>
      <c r="I120" s="9" t="s">
        <v>26</v>
      </c>
      <c r="J120" s="10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9">
        <v>387425483.04000002</v>
      </c>
      <c r="P120" s="10">
        <v>1.5248947182199999E-3</v>
      </c>
      <c r="Q120" s="1" t="s">
        <v>26</v>
      </c>
      <c r="R120" s="1" t="s">
        <v>26</v>
      </c>
      <c r="S120" s="2" t="s">
        <v>26</v>
      </c>
      <c r="T120" s="1" t="s">
        <v>26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2" t="s">
        <v>26</v>
      </c>
      <c r="AB120" s="1" t="s">
        <v>26</v>
      </c>
      <c r="AC120" s="1" t="s">
        <v>26</v>
      </c>
      <c r="AD120" s="1" t="s">
        <v>26</v>
      </c>
      <c r="AE120" s="9">
        <v>387425483.04000002</v>
      </c>
      <c r="AF120" s="10">
        <v>5.3124992029999997E-4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9">
        <v>387425483.04000002</v>
      </c>
      <c r="AZ120" s="10">
        <v>4.6948415811000002E-4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57</v>
      </c>
      <c r="C121" s="9" t="s">
        <v>26</v>
      </c>
      <c r="D121" s="10" t="s">
        <v>26</v>
      </c>
      <c r="E121" s="9" t="s">
        <v>26</v>
      </c>
      <c r="F121" s="10" t="s">
        <v>26</v>
      </c>
      <c r="G121" s="9" t="s">
        <v>26</v>
      </c>
      <c r="H121" s="10" t="s">
        <v>26</v>
      </c>
      <c r="I121" s="9" t="s">
        <v>26</v>
      </c>
      <c r="J121" s="10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387425483.04000002</v>
      </c>
      <c r="P121" s="1">
        <v>1</v>
      </c>
      <c r="Q121" s="1" t="s">
        <v>26</v>
      </c>
      <c r="R121" s="1" t="s">
        <v>26</v>
      </c>
      <c r="S121" s="2" t="s">
        <v>26</v>
      </c>
      <c r="T121" s="1" t="s">
        <v>26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387425483.04000002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387425483.04000002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101</v>
      </c>
      <c r="B122" s="20" t="s">
        <v>25</v>
      </c>
      <c r="C122" s="9" t="s">
        <v>26</v>
      </c>
      <c r="D122" s="10" t="s">
        <v>26</v>
      </c>
      <c r="E122" s="9" t="s">
        <v>26</v>
      </c>
      <c r="F122" s="10" t="s">
        <v>26</v>
      </c>
      <c r="G122" s="9" t="s">
        <v>26</v>
      </c>
      <c r="H122" s="10" t="s">
        <v>26</v>
      </c>
      <c r="I122" s="9" t="s">
        <v>26</v>
      </c>
      <c r="J122" s="10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9">
        <v>32947137.140000001</v>
      </c>
      <c r="P122" s="10">
        <v>1.2967891272999999E-4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9">
        <v>32947137.140000001</v>
      </c>
      <c r="AF122" s="10">
        <v>4.5178143270000003E-5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9">
        <v>32947137.140000001</v>
      </c>
      <c r="AZ122" s="10">
        <v>3.9925507279999997E-5</v>
      </c>
      <c r="BA122" s="1" t="s">
        <v>26</v>
      </c>
      <c r="BB122" s="1" t="s">
        <v>26</v>
      </c>
    </row>
    <row r="123" spans="1:54" s="28" customFormat="1">
      <c r="A123" s="3" t="s">
        <v>88</v>
      </c>
      <c r="B123" s="23" t="s">
        <v>57</v>
      </c>
      <c r="C123" s="9" t="s">
        <v>26</v>
      </c>
      <c r="D123" s="10" t="s">
        <v>26</v>
      </c>
      <c r="E123" s="9" t="s">
        <v>26</v>
      </c>
      <c r="F123" s="10" t="s">
        <v>26</v>
      </c>
      <c r="G123" s="9" t="s">
        <v>26</v>
      </c>
      <c r="H123" s="10" t="s">
        <v>26</v>
      </c>
      <c r="I123" s="9" t="s">
        <v>26</v>
      </c>
      <c r="J123" s="10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32947137.140000001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32947137.140000001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32947137.140000001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102</v>
      </c>
      <c r="B124" s="20" t="s">
        <v>25</v>
      </c>
      <c r="C124" s="9" t="s">
        <v>26</v>
      </c>
      <c r="D124" s="10" t="s">
        <v>26</v>
      </c>
      <c r="E124" s="9" t="s">
        <v>26</v>
      </c>
      <c r="F124" s="10" t="s">
        <v>26</v>
      </c>
      <c r="G124" s="9" t="s">
        <v>26</v>
      </c>
      <c r="H124" s="10" t="s">
        <v>26</v>
      </c>
      <c r="I124" s="9" t="s">
        <v>26</v>
      </c>
      <c r="J124" s="10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9">
        <v>1820303745.0899999</v>
      </c>
      <c r="P124" s="10">
        <v>7.1646592388900001E-3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9">
        <v>1820303745.0899999</v>
      </c>
      <c r="AF124" s="10">
        <v>2.49605733706E-3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9">
        <v>1820303745.0899999</v>
      </c>
      <c r="AZ124" s="10">
        <v>2.20585327679E-3</v>
      </c>
      <c r="BA124" s="1" t="s">
        <v>26</v>
      </c>
      <c r="BB124" s="1" t="s">
        <v>26</v>
      </c>
    </row>
    <row r="125" spans="1:54" s="7" customFormat="1">
      <c r="A125" s="3" t="s">
        <v>88</v>
      </c>
      <c r="B125" s="23" t="s">
        <v>47</v>
      </c>
      <c r="C125" s="9" t="s">
        <v>26</v>
      </c>
      <c r="D125" s="10" t="s">
        <v>26</v>
      </c>
      <c r="E125" s="9" t="s">
        <v>26</v>
      </c>
      <c r="F125" s="10" t="s">
        <v>26</v>
      </c>
      <c r="G125" s="9" t="s">
        <v>26</v>
      </c>
      <c r="H125" s="10" t="s">
        <v>26</v>
      </c>
      <c r="I125" s="9" t="s">
        <v>26</v>
      </c>
      <c r="J125" s="10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1820303745.0899999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1820303745.0899999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1820303745.0899999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132</v>
      </c>
      <c r="B126" s="20" t="s">
        <v>25</v>
      </c>
      <c r="C126" s="9">
        <v>49589967.82</v>
      </c>
      <c r="D126" s="10">
        <v>6.2993313236199997E-3</v>
      </c>
      <c r="E126" s="9" t="s">
        <v>26</v>
      </c>
      <c r="F126" s="10" t="s">
        <v>26</v>
      </c>
      <c r="G126" s="9">
        <v>743849517.14999998</v>
      </c>
      <c r="H126" s="10">
        <v>4.2794441225099998E-3</v>
      </c>
      <c r="I126" s="9" t="s">
        <v>26</v>
      </c>
      <c r="J126" s="10" t="s">
        <v>26</v>
      </c>
      <c r="K126" s="9">
        <v>18348288.09</v>
      </c>
      <c r="L126" s="10">
        <v>4.4952246707300001E-3</v>
      </c>
      <c r="M126" s="1" t="s">
        <v>26</v>
      </c>
      <c r="N126" s="1" t="s">
        <v>26</v>
      </c>
      <c r="O126" s="2" t="s">
        <v>26</v>
      </c>
      <c r="P126" s="1" t="s">
        <v>26</v>
      </c>
      <c r="Q126" s="1" t="s">
        <v>26</v>
      </c>
      <c r="R126" s="1" t="s">
        <v>26</v>
      </c>
      <c r="S126" s="9">
        <v>495899678.10000002</v>
      </c>
      <c r="T126" s="10">
        <v>3.94842820086E-3</v>
      </c>
      <c r="U126" s="10">
        <v>0.15</v>
      </c>
      <c r="V126" s="10">
        <v>0.14605157179914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9">
        <v>1307687451.1600001</v>
      </c>
      <c r="AF126" s="10">
        <v>1.7931418675900001E-3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9" t="s">
        <v>25</v>
      </c>
      <c r="AN126" s="10" t="s">
        <v>25</v>
      </c>
      <c r="AO126" s="10" t="s">
        <v>25</v>
      </c>
      <c r="AP126" s="10" t="s">
        <v>25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9">
        <v>1307687451.1600001</v>
      </c>
      <c r="AZ126" s="10">
        <v>1.5846622614199999E-3</v>
      </c>
      <c r="BA126" s="10" t="s">
        <v>25</v>
      </c>
      <c r="BB126" s="10" t="s">
        <v>25</v>
      </c>
    </row>
    <row r="127" spans="1:54">
      <c r="A127" s="3" t="s">
        <v>88</v>
      </c>
      <c r="B127" s="21" t="s">
        <v>47</v>
      </c>
      <c r="C127" s="22">
        <v>49589967.82</v>
      </c>
      <c r="D127" s="44">
        <v>1</v>
      </c>
      <c r="E127" s="9" t="s">
        <v>26</v>
      </c>
      <c r="F127" s="10" t="s">
        <v>26</v>
      </c>
      <c r="G127" s="22">
        <v>743849517.14999998</v>
      </c>
      <c r="H127" s="44">
        <v>1</v>
      </c>
      <c r="I127" s="9" t="s">
        <v>26</v>
      </c>
      <c r="J127" s="10" t="s">
        <v>26</v>
      </c>
      <c r="K127" s="22">
        <v>18348288.09</v>
      </c>
      <c r="L127" s="44">
        <v>1</v>
      </c>
      <c r="M127" s="1" t="s">
        <v>26</v>
      </c>
      <c r="N127" s="1" t="s">
        <v>26</v>
      </c>
      <c r="O127" s="2" t="s">
        <v>26</v>
      </c>
      <c r="P127" s="1" t="s">
        <v>26</v>
      </c>
      <c r="Q127" s="1" t="s">
        <v>26</v>
      </c>
      <c r="R127" s="1" t="s">
        <v>26</v>
      </c>
      <c r="S127" s="22">
        <v>495899678.10000002</v>
      </c>
      <c r="T127" s="44">
        <v>1</v>
      </c>
      <c r="U127" s="44" t="s">
        <v>25</v>
      </c>
      <c r="V127" s="44" t="s">
        <v>25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2">
        <v>1307687451.1600001</v>
      </c>
      <c r="AF127" s="44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2" t="s">
        <v>25</v>
      </c>
      <c r="AN127" s="44" t="s">
        <v>25</v>
      </c>
      <c r="AO127" s="44" t="s">
        <v>25</v>
      </c>
      <c r="AP127" s="44" t="s">
        <v>25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2">
        <v>1307687451.1600001</v>
      </c>
      <c r="AZ127" s="44">
        <v>1</v>
      </c>
      <c r="BA127" s="44" t="s">
        <v>25</v>
      </c>
      <c r="BB127" s="44" t="s">
        <v>25</v>
      </c>
    </row>
    <row r="128" spans="1:54" s="7" customFormat="1">
      <c r="A128" s="5" t="s">
        <v>103</v>
      </c>
      <c r="B128" s="20" t="s">
        <v>25</v>
      </c>
      <c r="C128" s="9" t="s">
        <v>26</v>
      </c>
      <c r="D128" s="10" t="s">
        <v>26</v>
      </c>
      <c r="E128" s="9" t="s">
        <v>26</v>
      </c>
      <c r="F128" s="10" t="s">
        <v>26</v>
      </c>
      <c r="G128" s="9" t="s">
        <v>26</v>
      </c>
      <c r="H128" s="10" t="s">
        <v>26</v>
      </c>
      <c r="I128" s="9" t="s">
        <v>26</v>
      </c>
      <c r="J128" s="10" t="s">
        <v>26</v>
      </c>
      <c r="K128" s="2" t="s">
        <v>26</v>
      </c>
      <c r="L128" s="1" t="s">
        <v>26</v>
      </c>
      <c r="M128" s="1" t="s">
        <v>26</v>
      </c>
      <c r="N128" s="1" t="s">
        <v>26</v>
      </c>
      <c r="O128" s="9">
        <v>648737852</v>
      </c>
      <c r="P128" s="10">
        <v>2.5534121200799999E-3</v>
      </c>
      <c r="Q128" s="1" t="s">
        <v>26</v>
      </c>
      <c r="R128" s="1" t="s">
        <v>26</v>
      </c>
      <c r="S128" s="2" t="s">
        <v>26</v>
      </c>
      <c r="T128" s="1" t="s">
        <v>26</v>
      </c>
      <c r="U128" s="1" t="s">
        <v>26</v>
      </c>
      <c r="V128" s="1" t="s">
        <v>26</v>
      </c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" t="s">
        <v>26</v>
      </c>
      <c r="AD128" s="1" t="s">
        <v>26</v>
      </c>
      <c r="AE128" s="9">
        <v>648737852</v>
      </c>
      <c r="AF128" s="10">
        <v>8.8956960049999998E-4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9">
        <v>648737852</v>
      </c>
      <c r="AZ128" s="10">
        <v>7.8614380729999996E-4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104</v>
      </c>
      <c r="C129" s="9" t="s">
        <v>26</v>
      </c>
      <c r="D129" s="10" t="s">
        <v>26</v>
      </c>
      <c r="E129" s="9" t="s">
        <v>26</v>
      </c>
      <c r="F129" s="10" t="s">
        <v>26</v>
      </c>
      <c r="G129" s="9" t="s">
        <v>26</v>
      </c>
      <c r="H129" s="10" t="s">
        <v>26</v>
      </c>
      <c r="I129" s="9" t="s">
        <v>26</v>
      </c>
      <c r="J129" s="10" t="s">
        <v>26</v>
      </c>
      <c r="K129" s="2" t="s">
        <v>26</v>
      </c>
      <c r="L129" s="1" t="s">
        <v>26</v>
      </c>
      <c r="M129" s="1" t="s">
        <v>26</v>
      </c>
      <c r="N129" s="1" t="s">
        <v>26</v>
      </c>
      <c r="O129" s="2">
        <v>648737852</v>
      </c>
      <c r="P129" s="1">
        <v>1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648737852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648737852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121</v>
      </c>
      <c r="B130" s="20" t="s">
        <v>25</v>
      </c>
      <c r="C130" s="9">
        <v>58568136.879999995</v>
      </c>
      <c r="D130" s="10">
        <v>7.441587613760057E-3</v>
      </c>
      <c r="E130" s="9" t="s">
        <v>26</v>
      </c>
      <c r="F130" s="10" t="s">
        <v>26</v>
      </c>
      <c r="G130" s="9" t="s">
        <v>26</v>
      </c>
      <c r="H130" s="10" t="s">
        <v>26</v>
      </c>
      <c r="I130" s="9" t="s">
        <v>26</v>
      </c>
      <c r="J130" s="10" t="s">
        <v>26</v>
      </c>
      <c r="K130" s="9">
        <v>46238002.799999997</v>
      </c>
      <c r="L130" s="10">
        <v>1.132804378765E-2</v>
      </c>
      <c r="M130" s="1" t="s">
        <v>26</v>
      </c>
      <c r="N130" s="1" t="s">
        <v>26</v>
      </c>
      <c r="O130" s="2" t="s">
        <v>26</v>
      </c>
      <c r="P130" s="1" t="s">
        <v>26</v>
      </c>
      <c r="Q130" s="1" t="s">
        <v>26</v>
      </c>
      <c r="R130" s="1" t="s">
        <v>26</v>
      </c>
      <c r="S130" s="2" t="s">
        <v>26</v>
      </c>
      <c r="T130" s="1" t="s">
        <v>26</v>
      </c>
      <c r="U130" s="1" t="s">
        <v>26</v>
      </c>
      <c r="V130" s="1" t="s">
        <v>26</v>
      </c>
      <c r="W130" s="2" t="s">
        <v>26</v>
      </c>
      <c r="X130" s="1" t="s">
        <v>26</v>
      </c>
      <c r="Y130" s="1" t="s">
        <v>26</v>
      </c>
      <c r="Z130" s="1" t="s">
        <v>26</v>
      </c>
      <c r="AA130" s="2" t="s">
        <v>26</v>
      </c>
      <c r="AB130" s="1" t="s">
        <v>26</v>
      </c>
      <c r="AC130" s="1" t="s">
        <v>26</v>
      </c>
      <c r="AD130" s="1" t="s">
        <v>26</v>
      </c>
      <c r="AE130" s="9">
        <v>104806139.68000001</v>
      </c>
      <c r="AF130" s="10">
        <v>1.4371345146000001E-4</v>
      </c>
      <c r="AG130" s="1" t="s">
        <v>26</v>
      </c>
      <c r="AH130" s="1" t="s">
        <v>26</v>
      </c>
      <c r="AI130" s="2" t="s">
        <v>26</v>
      </c>
      <c r="AJ130" s="1" t="s">
        <v>26</v>
      </c>
      <c r="AK130" s="1" t="s">
        <v>26</v>
      </c>
      <c r="AL130" s="1" t="s">
        <v>26</v>
      </c>
      <c r="AM130" s="2" t="s">
        <v>26</v>
      </c>
      <c r="AN130" s="1" t="s">
        <v>26</v>
      </c>
      <c r="AO130" s="1" t="s">
        <v>26</v>
      </c>
      <c r="AP130" s="1" t="s">
        <v>26</v>
      </c>
      <c r="AQ130" s="2" t="s">
        <v>26</v>
      </c>
      <c r="AR130" s="1" t="s">
        <v>26</v>
      </c>
      <c r="AS130" s="1" t="s">
        <v>26</v>
      </c>
      <c r="AT130" s="1" t="s">
        <v>26</v>
      </c>
      <c r="AU130" s="2" t="s">
        <v>26</v>
      </c>
      <c r="AV130" s="1" t="s">
        <v>26</v>
      </c>
      <c r="AW130" s="1" t="s">
        <v>26</v>
      </c>
      <c r="AX130" s="1" t="s">
        <v>26</v>
      </c>
      <c r="AY130" s="9">
        <v>104806139.68000001</v>
      </c>
      <c r="AZ130" s="10">
        <v>1.2700460968000001E-4</v>
      </c>
      <c r="BA130" s="1" t="s">
        <v>26</v>
      </c>
      <c r="BB130" s="1" t="s">
        <v>26</v>
      </c>
    </row>
    <row r="131" spans="1:54" s="7" customFormat="1">
      <c r="A131" s="3" t="s">
        <v>88</v>
      </c>
      <c r="B131" s="23" t="s">
        <v>47</v>
      </c>
      <c r="C131" s="22">
        <v>58568136.879999995</v>
      </c>
      <c r="D131" s="44">
        <v>1</v>
      </c>
      <c r="E131" s="9" t="s">
        <v>26</v>
      </c>
      <c r="F131" s="10" t="s">
        <v>26</v>
      </c>
      <c r="G131" s="9" t="s">
        <v>26</v>
      </c>
      <c r="H131" s="10" t="s">
        <v>26</v>
      </c>
      <c r="I131" s="9" t="s">
        <v>26</v>
      </c>
      <c r="J131" s="10" t="s">
        <v>26</v>
      </c>
      <c r="K131" s="2">
        <v>46238002.799999997</v>
      </c>
      <c r="L131" s="1">
        <v>1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104806139.68000001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104806139.68000001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133</v>
      </c>
      <c r="B132" s="20" t="s">
        <v>25</v>
      </c>
      <c r="C132" s="9" t="s">
        <v>26</v>
      </c>
      <c r="D132" s="10" t="s">
        <v>26</v>
      </c>
      <c r="E132" s="9" t="s">
        <v>26</v>
      </c>
      <c r="F132" s="10" t="s">
        <v>26</v>
      </c>
      <c r="G132" s="9" t="s">
        <v>26</v>
      </c>
      <c r="H132" s="10" t="s">
        <v>26</v>
      </c>
      <c r="I132" s="9" t="s">
        <v>26</v>
      </c>
      <c r="J132" s="10" t="s">
        <v>26</v>
      </c>
      <c r="K132" s="9">
        <v>19832430.16</v>
      </c>
      <c r="L132" s="10">
        <v>4.8588309110099998E-3</v>
      </c>
      <c r="M132" s="1" t="s">
        <v>26</v>
      </c>
      <c r="N132" s="1" t="s">
        <v>26</v>
      </c>
      <c r="O132" s="2" t="s">
        <v>26</v>
      </c>
      <c r="P132" s="1" t="s">
        <v>26</v>
      </c>
      <c r="Q132" s="1" t="s">
        <v>26</v>
      </c>
      <c r="R132" s="1" t="s">
        <v>26</v>
      </c>
      <c r="S132" s="2" t="s">
        <v>26</v>
      </c>
      <c r="T132" s="1" t="s">
        <v>26</v>
      </c>
      <c r="U132" s="1" t="s">
        <v>26</v>
      </c>
      <c r="V132" s="1" t="s">
        <v>26</v>
      </c>
      <c r="W132" s="2" t="s">
        <v>26</v>
      </c>
      <c r="X132" s="1" t="s">
        <v>26</v>
      </c>
      <c r="Y132" s="1" t="s">
        <v>26</v>
      </c>
      <c r="Z132" s="1" t="s">
        <v>26</v>
      </c>
      <c r="AA132" s="2" t="s">
        <v>26</v>
      </c>
      <c r="AB132" s="1" t="s">
        <v>26</v>
      </c>
      <c r="AC132" s="1" t="s">
        <v>26</v>
      </c>
      <c r="AD132" s="1" t="s">
        <v>26</v>
      </c>
      <c r="AE132" s="9">
        <v>19832430.16</v>
      </c>
      <c r="AF132" s="10">
        <v>2.7194847529999999E-5</v>
      </c>
      <c r="AG132" s="1" t="s">
        <v>26</v>
      </c>
      <c r="AH132" s="1" t="s">
        <v>26</v>
      </c>
      <c r="AI132" s="2" t="s">
        <v>26</v>
      </c>
      <c r="AJ132" s="1" t="s">
        <v>26</v>
      </c>
      <c r="AK132" s="1" t="s">
        <v>26</v>
      </c>
      <c r="AL132" s="1" t="s">
        <v>26</v>
      </c>
      <c r="AM132" s="2" t="s">
        <v>25</v>
      </c>
      <c r="AN132" s="1" t="s">
        <v>25</v>
      </c>
      <c r="AO132" s="1" t="s">
        <v>25</v>
      </c>
      <c r="AP132" s="1" t="s">
        <v>25</v>
      </c>
      <c r="AQ132" s="2" t="s">
        <v>26</v>
      </c>
      <c r="AR132" s="1" t="s">
        <v>26</v>
      </c>
      <c r="AS132" s="1" t="s">
        <v>26</v>
      </c>
      <c r="AT132" s="1" t="s">
        <v>26</v>
      </c>
      <c r="AU132" s="2" t="s">
        <v>26</v>
      </c>
      <c r="AV132" s="1" t="s">
        <v>26</v>
      </c>
      <c r="AW132" s="1" t="s">
        <v>26</v>
      </c>
      <c r="AX132" s="1" t="s">
        <v>26</v>
      </c>
      <c r="AY132" s="9">
        <v>19832430.16</v>
      </c>
      <c r="AZ132" s="10">
        <v>2.403303909E-5</v>
      </c>
      <c r="BA132" s="1" t="s">
        <v>25</v>
      </c>
      <c r="BB132" s="1" t="s">
        <v>25</v>
      </c>
    </row>
    <row r="133" spans="1:54" s="7" customFormat="1">
      <c r="A133" s="3" t="s">
        <v>88</v>
      </c>
      <c r="B133" s="23" t="s">
        <v>47</v>
      </c>
      <c r="C133" s="9" t="s">
        <v>26</v>
      </c>
      <c r="D133" s="10" t="s">
        <v>26</v>
      </c>
      <c r="E133" s="9" t="s">
        <v>26</v>
      </c>
      <c r="F133" s="10" t="s">
        <v>26</v>
      </c>
      <c r="G133" s="9" t="s">
        <v>26</v>
      </c>
      <c r="H133" s="10" t="s">
        <v>26</v>
      </c>
      <c r="I133" s="9" t="s">
        <v>26</v>
      </c>
      <c r="J133" s="10" t="s">
        <v>26</v>
      </c>
      <c r="K133" s="2">
        <v>19832430.16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19832430.16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25</v>
      </c>
      <c r="AN133" s="1" t="s">
        <v>25</v>
      </c>
      <c r="AO133" s="1" t="s">
        <v>25</v>
      </c>
      <c r="AP133" s="1" t="s">
        <v>25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19832430.16</v>
      </c>
      <c r="AZ133" s="1">
        <v>1</v>
      </c>
      <c r="BA133" s="1" t="s">
        <v>25</v>
      </c>
      <c r="BB133" s="1" t="s">
        <v>25</v>
      </c>
    </row>
    <row r="134" spans="1:54" s="7" customFormat="1">
      <c r="A134" s="5" t="s">
        <v>126</v>
      </c>
      <c r="B134" s="20" t="s">
        <v>25</v>
      </c>
      <c r="C134" s="9" t="s">
        <v>26</v>
      </c>
      <c r="D134" s="10" t="s">
        <v>26</v>
      </c>
      <c r="E134" s="9" t="s">
        <v>26</v>
      </c>
      <c r="F134" s="10" t="s">
        <v>26</v>
      </c>
      <c r="G134" s="9" t="s">
        <v>26</v>
      </c>
      <c r="H134" s="10" t="s">
        <v>26</v>
      </c>
      <c r="I134" s="9" t="s">
        <v>26</v>
      </c>
      <c r="J134" s="10" t="s">
        <v>26</v>
      </c>
      <c r="K134" s="9">
        <v>42192351.719999999</v>
      </c>
      <c r="L134" s="10">
        <v>1.0336882625649999E-2</v>
      </c>
      <c r="M134" s="1" t="s">
        <v>26</v>
      </c>
      <c r="N134" s="1" t="s">
        <v>26</v>
      </c>
      <c r="O134" s="2" t="s">
        <v>26</v>
      </c>
      <c r="P134" s="1" t="s">
        <v>26</v>
      </c>
      <c r="Q134" s="1" t="s">
        <v>26</v>
      </c>
      <c r="R134" s="1" t="s">
        <v>26</v>
      </c>
      <c r="S134" s="2" t="s">
        <v>26</v>
      </c>
      <c r="T134" s="1" t="s">
        <v>26</v>
      </c>
      <c r="U134" s="1" t="s">
        <v>26</v>
      </c>
      <c r="V134" s="1" t="s">
        <v>26</v>
      </c>
      <c r="W134" s="2" t="s">
        <v>26</v>
      </c>
      <c r="X134" s="1" t="s">
        <v>26</v>
      </c>
      <c r="Y134" s="1" t="s">
        <v>26</v>
      </c>
      <c r="Z134" s="1" t="s">
        <v>26</v>
      </c>
      <c r="AA134" s="2" t="s">
        <v>26</v>
      </c>
      <c r="AB134" s="1" t="s">
        <v>26</v>
      </c>
      <c r="AC134" s="1" t="s">
        <v>26</v>
      </c>
      <c r="AD134" s="1" t="s">
        <v>26</v>
      </c>
      <c r="AE134" s="9">
        <v>42192351.719999999</v>
      </c>
      <c r="AF134" s="10">
        <v>5.7855470200000003E-5</v>
      </c>
      <c r="AG134" s="1" t="s">
        <v>26</v>
      </c>
      <c r="AH134" s="1" t="s">
        <v>26</v>
      </c>
      <c r="AI134" s="2" t="s">
        <v>26</v>
      </c>
      <c r="AJ134" s="1" t="s">
        <v>26</v>
      </c>
      <c r="AK134" s="1" t="s">
        <v>26</v>
      </c>
      <c r="AL134" s="1" t="s">
        <v>26</v>
      </c>
      <c r="AM134" s="2" t="s">
        <v>26</v>
      </c>
      <c r="AN134" s="1" t="s">
        <v>26</v>
      </c>
      <c r="AO134" s="1" t="s">
        <v>26</v>
      </c>
      <c r="AP134" s="1" t="s">
        <v>26</v>
      </c>
      <c r="AQ134" s="2" t="s">
        <v>26</v>
      </c>
      <c r="AR134" s="1" t="s">
        <v>26</v>
      </c>
      <c r="AS134" s="1" t="s">
        <v>26</v>
      </c>
      <c r="AT134" s="1" t="s">
        <v>26</v>
      </c>
      <c r="AU134" s="2" t="s">
        <v>26</v>
      </c>
      <c r="AV134" s="1" t="s">
        <v>26</v>
      </c>
      <c r="AW134" s="1" t="s">
        <v>26</v>
      </c>
      <c r="AX134" s="1" t="s">
        <v>26</v>
      </c>
      <c r="AY134" s="9">
        <v>42192351.719999999</v>
      </c>
      <c r="AZ134" s="10">
        <v>5.1128905019999998E-5</v>
      </c>
      <c r="BA134" s="1" t="s">
        <v>26</v>
      </c>
      <c r="BB134" s="1" t="s">
        <v>26</v>
      </c>
    </row>
    <row r="135" spans="1:54" s="25" customFormat="1">
      <c r="A135" s="3" t="s">
        <v>88</v>
      </c>
      <c r="B135" s="23" t="s">
        <v>47</v>
      </c>
      <c r="C135" s="9" t="s">
        <v>26</v>
      </c>
      <c r="D135" s="10" t="s">
        <v>26</v>
      </c>
      <c r="E135" s="9" t="s">
        <v>26</v>
      </c>
      <c r="F135" s="10" t="s">
        <v>26</v>
      </c>
      <c r="G135" s="9" t="s">
        <v>26</v>
      </c>
      <c r="H135" s="10" t="s">
        <v>26</v>
      </c>
      <c r="I135" s="9" t="s">
        <v>26</v>
      </c>
      <c r="J135" s="10" t="s">
        <v>26</v>
      </c>
      <c r="K135" s="2">
        <v>42192351.719999999</v>
      </c>
      <c r="L135" s="1">
        <v>1</v>
      </c>
      <c r="M135" s="1" t="s">
        <v>26</v>
      </c>
      <c r="N135" s="1" t="s">
        <v>26</v>
      </c>
      <c r="O135" s="2" t="s">
        <v>26</v>
      </c>
      <c r="P135" s="1" t="s">
        <v>26</v>
      </c>
      <c r="Q135" s="1" t="s">
        <v>26</v>
      </c>
      <c r="R135" s="1" t="s">
        <v>26</v>
      </c>
      <c r="S135" s="2" t="s">
        <v>26</v>
      </c>
      <c r="T135" s="1" t="s">
        <v>26</v>
      </c>
      <c r="U135" s="1" t="s">
        <v>26</v>
      </c>
      <c r="V135" s="1" t="s">
        <v>26</v>
      </c>
      <c r="W135" s="2" t="s">
        <v>26</v>
      </c>
      <c r="X135" s="1" t="s">
        <v>26</v>
      </c>
      <c r="Y135" s="1" t="s">
        <v>26</v>
      </c>
      <c r="Z135" s="1" t="s">
        <v>26</v>
      </c>
      <c r="AA135" s="2" t="s">
        <v>26</v>
      </c>
      <c r="AB135" s="1" t="s">
        <v>26</v>
      </c>
      <c r="AC135" s="1" t="s">
        <v>26</v>
      </c>
      <c r="AD135" s="1" t="s">
        <v>26</v>
      </c>
      <c r="AE135" s="2">
        <v>42192351.719999999</v>
      </c>
      <c r="AF135" s="1">
        <v>1</v>
      </c>
      <c r="AG135" s="1" t="s">
        <v>26</v>
      </c>
      <c r="AH135" s="1" t="s">
        <v>26</v>
      </c>
      <c r="AI135" s="2" t="s">
        <v>26</v>
      </c>
      <c r="AJ135" s="1" t="s">
        <v>26</v>
      </c>
      <c r="AK135" s="1" t="s">
        <v>26</v>
      </c>
      <c r="AL135" s="1" t="s">
        <v>26</v>
      </c>
      <c r="AM135" s="2" t="s">
        <v>26</v>
      </c>
      <c r="AN135" s="1" t="s">
        <v>26</v>
      </c>
      <c r="AO135" s="1" t="s">
        <v>26</v>
      </c>
      <c r="AP135" s="1" t="s">
        <v>26</v>
      </c>
      <c r="AQ135" s="2" t="s">
        <v>26</v>
      </c>
      <c r="AR135" s="1" t="s">
        <v>26</v>
      </c>
      <c r="AS135" s="1" t="s">
        <v>26</v>
      </c>
      <c r="AT135" s="1" t="s">
        <v>26</v>
      </c>
      <c r="AU135" s="2" t="s">
        <v>26</v>
      </c>
      <c r="AV135" s="1" t="s">
        <v>26</v>
      </c>
      <c r="AW135" s="1" t="s">
        <v>26</v>
      </c>
      <c r="AX135" s="1" t="s">
        <v>26</v>
      </c>
      <c r="AY135" s="2">
        <v>42192351.719999999</v>
      </c>
      <c r="AZ135" s="1">
        <v>1</v>
      </c>
      <c r="BA135" s="1" t="s">
        <v>26</v>
      </c>
      <c r="BB135" s="1" t="s">
        <v>26</v>
      </c>
    </row>
    <row r="136" spans="1:54" s="7" customFormat="1">
      <c r="A136" s="12" t="s">
        <v>106</v>
      </c>
      <c r="B136" s="40" t="s">
        <v>25</v>
      </c>
      <c r="C136" s="42" t="s">
        <v>26</v>
      </c>
      <c r="D136" s="43" t="s">
        <v>26</v>
      </c>
      <c r="E136" s="43" t="s">
        <v>26</v>
      </c>
      <c r="F136" s="43" t="s">
        <v>26</v>
      </c>
      <c r="G136" s="42">
        <v>135589797.77000001</v>
      </c>
      <c r="H136" s="43">
        <v>7.8006229723000004E-4</v>
      </c>
      <c r="I136" s="43">
        <v>0.05</v>
      </c>
      <c r="J136" s="43">
        <f>+I136-H136</f>
        <v>4.921993770277E-2</v>
      </c>
      <c r="K136" s="42" t="s">
        <v>26</v>
      </c>
      <c r="L136" s="43" t="s">
        <v>26</v>
      </c>
      <c r="M136" s="43" t="s">
        <v>26</v>
      </c>
      <c r="N136" s="43" t="s">
        <v>26</v>
      </c>
      <c r="O136" s="42" t="s">
        <v>26</v>
      </c>
      <c r="P136" s="43" t="s">
        <v>26</v>
      </c>
      <c r="Q136" s="43" t="s">
        <v>26</v>
      </c>
      <c r="R136" s="43" t="s">
        <v>26</v>
      </c>
      <c r="S136" s="42">
        <v>135589797.77000001</v>
      </c>
      <c r="T136" s="43">
        <v>1.0795864665899999E-3</v>
      </c>
      <c r="U136" s="43">
        <v>0.05</v>
      </c>
      <c r="V136" s="43">
        <f>+U136-T136</f>
        <v>4.892041353341E-2</v>
      </c>
      <c r="W136" s="42" t="s">
        <v>26</v>
      </c>
      <c r="X136" s="43" t="s">
        <v>26</v>
      </c>
      <c r="Y136" s="43" t="s">
        <v>26</v>
      </c>
      <c r="Z136" s="43" t="s">
        <v>26</v>
      </c>
      <c r="AA136" s="42">
        <v>135589796.77000001</v>
      </c>
      <c r="AB136" s="43">
        <v>8.6629146300999996E-4</v>
      </c>
      <c r="AC136" s="43">
        <v>0.05</v>
      </c>
      <c r="AD136" s="47">
        <f>+AC136-AB136</f>
        <v>4.9133708536990006E-2</v>
      </c>
      <c r="AE136" s="42">
        <v>406769392.31</v>
      </c>
      <c r="AF136" s="43">
        <v>5.5777489274000001E-4</v>
      </c>
      <c r="AG136" s="43">
        <v>0.05</v>
      </c>
      <c r="AH136" s="43">
        <f>+AG136-AF136</f>
        <v>4.9442225107260006E-2</v>
      </c>
      <c r="AI136" s="42" t="s">
        <v>26</v>
      </c>
      <c r="AJ136" s="43" t="s">
        <v>26</v>
      </c>
      <c r="AK136" s="43" t="s">
        <v>26</v>
      </c>
      <c r="AL136" s="43" t="s">
        <v>26</v>
      </c>
      <c r="AM136" s="42" t="s">
        <v>26</v>
      </c>
      <c r="AN136" s="43" t="s">
        <v>26</v>
      </c>
      <c r="AO136" s="43" t="s">
        <v>26</v>
      </c>
      <c r="AP136" s="43" t="s">
        <v>26</v>
      </c>
      <c r="AQ136" s="42" t="s">
        <v>26</v>
      </c>
      <c r="AR136" s="43" t="s">
        <v>26</v>
      </c>
      <c r="AS136" s="43" t="s">
        <v>26</v>
      </c>
      <c r="AT136" s="43" t="s">
        <v>26</v>
      </c>
      <c r="AU136" s="42" t="s">
        <v>26</v>
      </c>
      <c r="AV136" s="43" t="s">
        <v>26</v>
      </c>
      <c r="AW136" s="43" t="s">
        <v>26</v>
      </c>
      <c r="AX136" s="43" t="s">
        <v>26</v>
      </c>
      <c r="AY136" s="42">
        <v>406769392.31</v>
      </c>
      <c r="AZ136" s="43">
        <v>4.9292520512000005E-4</v>
      </c>
      <c r="BA136" s="43">
        <v>0.05</v>
      </c>
      <c r="BB136" s="43">
        <f>+BA136-AZ136</f>
        <v>4.950707479488E-2</v>
      </c>
    </row>
    <row r="137" spans="1:54" s="7" customFormat="1">
      <c r="A137" s="5" t="s">
        <v>107</v>
      </c>
      <c r="B137" s="20" t="s">
        <v>25</v>
      </c>
      <c r="C137" s="9" t="s">
        <v>26</v>
      </c>
      <c r="D137" s="10" t="s">
        <v>26</v>
      </c>
      <c r="E137" s="10" t="s">
        <v>26</v>
      </c>
      <c r="F137" s="10" t="s">
        <v>26</v>
      </c>
      <c r="G137" s="9">
        <v>135589797.77000001</v>
      </c>
      <c r="H137" s="10">
        <v>7.8006229723000004E-4</v>
      </c>
      <c r="I137" s="9" t="s">
        <v>26</v>
      </c>
      <c r="J137" s="10" t="s">
        <v>26</v>
      </c>
      <c r="K137" s="2" t="s">
        <v>26</v>
      </c>
      <c r="L137" s="1" t="s">
        <v>26</v>
      </c>
      <c r="M137" s="1" t="s">
        <v>26</v>
      </c>
      <c r="N137" s="1" t="s">
        <v>26</v>
      </c>
      <c r="O137" s="2" t="s">
        <v>26</v>
      </c>
      <c r="P137" s="1" t="s">
        <v>26</v>
      </c>
      <c r="Q137" s="1" t="s">
        <v>26</v>
      </c>
      <c r="R137" s="1" t="s">
        <v>26</v>
      </c>
      <c r="S137" s="9">
        <v>135589797.77000001</v>
      </c>
      <c r="T137" s="10">
        <v>1.0795864665899999E-3</v>
      </c>
      <c r="U137" s="1" t="s">
        <v>26</v>
      </c>
      <c r="V137" s="1" t="s">
        <v>26</v>
      </c>
      <c r="W137" s="2" t="s">
        <v>26</v>
      </c>
      <c r="X137" s="1" t="s">
        <v>26</v>
      </c>
      <c r="Y137" s="1" t="s">
        <v>26</v>
      </c>
      <c r="Z137" s="1" t="s">
        <v>26</v>
      </c>
      <c r="AA137" s="9">
        <v>135589796.77000001</v>
      </c>
      <c r="AB137" s="10">
        <v>8.6629146300999996E-4</v>
      </c>
      <c r="AC137" s="1" t="s">
        <v>26</v>
      </c>
      <c r="AD137" s="1" t="s">
        <v>26</v>
      </c>
      <c r="AE137" s="9">
        <v>406769392.31</v>
      </c>
      <c r="AF137" s="10">
        <v>5.5777489274000001E-4</v>
      </c>
      <c r="AG137" s="10" t="s">
        <v>26</v>
      </c>
      <c r="AH137" s="10" t="s">
        <v>26</v>
      </c>
      <c r="AI137" s="2" t="s">
        <v>26</v>
      </c>
      <c r="AJ137" s="1" t="s">
        <v>26</v>
      </c>
      <c r="AK137" s="1" t="s">
        <v>26</v>
      </c>
      <c r="AL137" s="1" t="s">
        <v>26</v>
      </c>
      <c r="AM137" s="2" t="s">
        <v>26</v>
      </c>
      <c r="AN137" s="1" t="s">
        <v>26</v>
      </c>
      <c r="AO137" s="1" t="s">
        <v>26</v>
      </c>
      <c r="AP137" s="1" t="s">
        <v>26</v>
      </c>
      <c r="AQ137" s="2" t="s">
        <v>26</v>
      </c>
      <c r="AR137" s="1" t="s">
        <v>26</v>
      </c>
      <c r="AS137" s="1" t="s">
        <v>26</v>
      </c>
      <c r="AT137" s="1" t="s">
        <v>26</v>
      </c>
      <c r="AU137" s="2" t="s">
        <v>26</v>
      </c>
      <c r="AV137" s="1" t="s">
        <v>26</v>
      </c>
      <c r="AW137" s="1" t="s">
        <v>26</v>
      </c>
      <c r="AX137" s="1" t="s">
        <v>26</v>
      </c>
      <c r="AY137" s="9">
        <v>406769392.31</v>
      </c>
      <c r="AZ137" s="10">
        <v>4.9292520512000005E-4</v>
      </c>
      <c r="BA137" s="1" t="s">
        <v>26</v>
      </c>
      <c r="BB137" s="1" t="s">
        <v>26</v>
      </c>
    </row>
    <row r="138" spans="1:54" s="25" customFormat="1">
      <c r="A138" s="3" t="s">
        <v>108</v>
      </c>
      <c r="B138" s="23" t="s">
        <v>40</v>
      </c>
      <c r="C138" s="2" t="s">
        <v>26</v>
      </c>
      <c r="D138" s="1" t="s">
        <v>26</v>
      </c>
      <c r="E138" s="1" t="s">
        <v>26</v>
      </c>
      <c r="F138" s="1" t="s">
        <v>26</v>
      </c>
      <c r="G138" s="2">
        <v>135589797.77000001</v>
      </c>
      <c r="H138" s="1">
        <v>1</v>
      </c>
      <c r="I138" s="9" t="s">
        <v>26</v>
      </c>
      <c r="J138" s="10" t="s">
        <v>26</v>
      </c>
      <c r="K138" s="2" t="s">
        <v>26</v>
      </c>
      <c r="L138" s="1" t="s">
        <v>26</v>
      </c>
      <c r="M138" s="1" t="s">
        <v>26</v>
      </c>
      <c r="N138" s="1" t="s">
        <v>26</v>
      </c>
      <c r="O138" s="2" t="s">
        <v>26</v>
      </c>
      <c r="P138" s="1" t="s">
        <v>26</v>
      </c>
      <c r="Q138" s="1" t="s">
        <v>26</v>
      </c>
      <c r="R138" s="1" t="s">
        <v>26</v>
      </c>
      <c r="S138" s="2">
        <v>135589797.77000001</v>
      </c>
      <c r="T138" s="1">
        <v>1</v>
      </c>
      <c r="U138" s="1" t="s">
        <v>26</v>
      </c>
      <c r="V138" s="1" t="s">
        <v>26</v>
      </c>
      <c r="W138" s="2" t="s">
        <v>26</v>
      </c>
      <c r="X138" s="1" t="s">
        <v>26</v>
      </c>
      <c r="Y138" s="1" t="s">
        <v>26</v>
      </c>
      <c r="Z138" s="1" t="s">
        <v>26</v>
      </c>
      <c r="AA138" s="2">
        <v>135589796.77000001</v>
      </c>
      <c r="AB138" s="1">
        <v>1</v>
      </c>
      <c r="AC138" s="1" t="s">
        <v>26</v>
      </c>
      <c r="AD138" s="1" t="s">
        <v>26</v>
      </c>
      <c r="AE138" s="2">
        <v>406769392.31</v>
      </c>
      <c r="AF138" s="1">
        <v>1</v>
      </c>
      <c r="AG138" s="1" t="s">
        <v>26</v>
      </c>
      <c r="AH138" s="1" t="s">
        <v>26</v>
      </c>
      <c r="AI138" s="2" t="s">
        <v>26</v>
      </c>
      <c r="AJ138" s="1" t="s">
        <v>26</v>
      </c>
      <c r="AK138" s="1" t="s">
        <v>26</v>
      </c>
      <c r="AL138" s="1" t="s">
        <v>26</v>
      </c>
      <c r="AM138" s="2" t="s">
        <v>26</v>
      </c>
      <c r="AN138" s="1" t="s">
        <v>26</v>
      </c>
      <c r="AO138" s="1" t="s">
        <v>26</v>
      </c>
      <c r="AP138" s="1" t="s">
        <v>26</v>
      </c>
      <c r="AQ138" s="2" t="s">
        <v>26</v>
      </c>
      <c r="AR138" s="1" t="s">
        <v>26</v>
      </c>
      <c r="AS138" s="1" t="s">
        <v>26</v>
      </c>
      <c r="AT138" s="1" t="s">
        <v>26</v>
      </c>
      <c r="AU138" s="2" t="s">
        <v>26</v>
      </c>
      <c r="AV138" s="1" t="s">
        <v>26</v>
      </c>
      <c r="AW138" s="1" t="s">
        <v>26</v>
      </c>
      <c r="AX138" s="1" t="s">
        <v>26</v>
      </c>
      <c r="AY138" s="2">
        <v>406769392.31</v>
      </c>
      <c r="AZ138" s="1">
        <v>1</v>
      </c>
      <c r="BA138" s="1" t="s">
        <v>26</v>
      </c>
      <c r="BB138" s="1" t="s">
        <v>26</v>
      </c>
    </row>
    <row r="139" spans="1:54" s="7" customFormat="1">
      <c r="A139" s="12" t="s">
        <v>109</v>
      </c>
      <c r="B139" s="40" t="s">
        <v>25</v>
      </c>
      <c r="C139" s="42">
        <v>7870381956.0900002</v>
      </c>
      <c r="D139" s="43">
        <v>0.99980000000000002</v>
      </c>
      <c r="E139" s="43" t="s">
        <v>26</v>
      </c>
      <c r="F139" s="43" t="s">
        <v>26</v>
      </c>
      <c r="G139" s="42">
        <v>173818020964.45001</v>
      </c>
      <c r="H139" s="43">
        <v>1</v>
      </c>
      <c r="I139" s="43" t="s">
        <v>26</v>
      </c>
      <c r="J139" s="43" t="s">
        <v>26</v>
      </c>
      <c r="K139" s="42">
        <v>3958812776.4400001</v>
      </c>
      <c r="L139" s="43">
        <v>0.96989999999999998</v>
      </c>
      <c r="M139" s="43" t="s">
        <v>26</v>
      </c>
      <c r="N139" s="43" t="s">
        <v>26</v>
      </c>
      <c r="O139" s="42">
        <v>254066834475.70001</v>
      </c>
      <c r="P139" s="43">
        <v>1</v>
      </c>
      <c r="Q139" s="43" t="s">
        <v>26</v>
      </c>
      <c r="R139" s="43" t="s">
        <v>26</v>
      </c>
      <c r="S139" s="42">
        <v>125593955588.67</v>
      </c>
      <c r="T139" s="43">
        <v>1</v>
      </c>
      <c r="U139" s="43" t="s">
        <v>26</v>
      </c>
      <c r="V139" s="43" t="s">
        <v>26</v>
      </c>
      <c r="W139" s="42">
        <v>7310514745.4499998</v>
      </c>
      <c r="X139" s="43">
        <v>0.99870000000000003</v>
      </c>
      <c r="Y139" s="43" t="s">
        <v>26</v>
      </c>
      <c r="Z139" s="43" t="s">
        <v>26</v>
      </c>
      <c r="AA139" s="42">
        <v>156517336779.64999</v>
      </c>
      <c r="AB139" s="43">
        <v>1</v>
      </c>
      <c r="AC139" s="43" t="s">
        <v>26</v>
      </c>
      <c r="AD139" s="43" t="s">
        <v>26</v>
      </c>
      <c r="AE139" s="42">
        <v>729135857286.44995</v>
      </c>
      <c r="AF139" s="43">
        <v>0.99980000000000002</v>
      </c>
      <c r="AG139" s="43" t="s">
        <v>26</v>
      </c>
      <c r="AH139" s="43" t="s">
        <v>26</v>
      </c>
      <c r="AI139" s="42">
        <v>18438677094.580002</v>
      </c>
      <c r="AJ139" s="43">
        <v>1</v>
      </c>
      <c r="AK139" s="43" t="s">
        <v>26</v>
      </c>
      <c r="AL139" s="43" t="s">
        <v>26</v>
      </c>
      <c r="AM139" s="42">
        <v>25132117252.689999</v>
      </c>
      <c r="AN139" s="43">
        <v>0.99990000000000001</v>
      </c>
      <c r="AO139" s="43" t="s">
        <v>26</v>
      </c>
      <c r="AP139" s="43" t="s">
        <v>26</v>
      </c>
      <c r="AQ139" s="42">
        <v>43570794347.269997</v>
      </c>
      <c r="AR139" s="43">
        <v>1</v>
      </c>
      <c r="AS139" s="43" t="s">
        <v>26</v>
      </c>
      <c r="AT139" s="43" t="s">
        <v>26</v>
      </c>
      <c r="AU139" s="42">
        <v>52371224329.139999</v>
      </c>
      <c r="AV139" s="43">
        <v>1</v>
      </c>
      <c r="AW139" s="43" t="s">
        <v>26</v>
      </c>
      <c r="AX139" s="43" t="s">
        <v>26</v>
      </c>
      <c r="AY139" s="42">
        <v>825077875962.85999</v>
      </c>
      <c r="AZ139" s="43">
        <v>0.99980000000000002</v>
      </c>
      <c r="BA139" s="43" t="s">
        <v>26</v>
      </c>
      <c r="BB139" s="43" t="s">
        <v>26</v>
      </c>
    </row>
    <row r="140" spans="1:54" s="41" customFormat="1">
      <c r="A140" s="3" t="s">
        <v>110</v>
      </c>
      <c r="B140" s="23" t="s">
        <v>25</v>
      </c>
      <c r="C140" s="2">
        <v>1877061.95</v>
      </c>
      <c r="D140" s="1">
        <v>2.0000000000000001E-4</v>
      </c>
      <c r="E140" s="1" t="s">
        <v>26</v>
      </c>
      <c r="F140" s="1" t="s">
        <v>26</v>
      </c>
      <c r="G140" s="2">
        <v>1170466.8700000001</v>
      </c>
      <c r="H140" s="1">
        <v>0</v>
      </c>
      <c r="I140" s="9" t="s">
        <v>26</v>
      </c>
      <c r="J140" s="10" t="s">
        <v>26</v>
      </c>
      <c r="K140" s="2">
        <v>122916043.36</v>
      </c>
      <c r="L140" s="1">
        <v>3.0099999999999998E-2</v>
      </c>
      <c r="M140" s="9" t="s">
        <v>26</v>
      </c>
      <c r="N140" s="10" t="s">
        <v>26</v>
      </c>
      <c r="O140" s="2">
        <v>202684.99</v>
      </c>
      <c r="P140" s="1">
        <v>0</v>
      </c>
      <c r="Q140" s="9" t="s">
        <v>26</v>
      </c>
      <c r="R140" s="10" t="s">
        <v>26</v>
      </c>
      <c r="S140" s="2">
        <v>243640.3</v>
      </c>
      <c r="T140" s="1">
        <v>0</v>
      </c>
      <c r="U140" s="9" t="s">
        <v>26</v>
      </c>
      <c r="V140" s="10" t="s">
        <v>26</v>
      </c>
      <c r="W140" s="2">
        <v>9150273.6199999992</v>
      </c>
      <c r="X140" s="1">
        <v>1.2999999999999999E-3</v>
      </c>
      <c r="Y140" s="9" t="s">
        <v>26</v>
      </c>
      <c r="Z140" s="10" t="s">
        <v>26</v>
      </c>
      <c r="AA140" s="2">
        <v>189433.27</v>
      </c>
      <c r="AB140" s="1">
        <v>0</v>
      </c>
      <c r="AC140" s="9" t="s">
        <v>26</v>
      </c>
      <c r="AD140" s="10" t="s">
        <v>26</v>
      </c>
      <c r="AE140" s="2">
        <v>135749604.36000001</v>
      </c>
      <c r="AF140" s="1">
        <v>2.0000000000000001E-4</v>
      </c>
      <c r="AG140" s="9" t="s">
        <v>26</v>
      </c>
      <c r="AH140" s="10" t="s">
        <v>26</v>
      </c>
      <c r="AI140" s="2">
        <v>105576.2</v>
      </c>
      <c r="AJ140" s="1">
        <v>0</v>
      </c>
      <c r="AK140" s="9" t="s">
        <v>26</v>
      </c>
      <c r="AL140" s="10" t="s">
        <v>26</v>
      </c>
      <c r="AM140" s="2">
        <v>1368430.12</v>
      </c>
      <c r="AN140" s="1">
        <v>1E-4</v>
      </c>
      <c r="AO140" s="9" t="s">
        <v>26</v>
      </c>
      <c r="AP140" s="10" t="s">
        <v>26</v>
      </c>
      <c r="AQ140" s="2">
        <v>1474006.32</v>
      </c>
      <c r="AR140" s="1">
        <v>0</v>
      </c>
      <c r="AS140" s="9" t="s">
        <v>26</v>
      </c>
      <c r="AT140" s="10" t="s">
        <v>26</v>
      </c>
      <c r="AU140" s="2">
        <v>142184.31</v>
      </c>
      <c r="AV140" s="1">
        <v>0</v>
      </c>
      <c r="AW140" s="9" t="s">
        <v>26</v>
      </c>
      <c r="AX140" s="10" t="s">
        <v>26</v>
      </c>
      <c r="AY140" s="2">
        <v>137365794.99000001</v>
      </c>
      <c r="AZ140" s="1">
        <v>2.0000000000000001E-4</v>
      </c>
      <c r="BA140" s="9" t="s">
        <v>26</v>
      </c>
      <c r="BB140" s="10" t="s">
        <v>26</v>
      </c>
    </row>
    <row r="141" spans="1:54">
      <c r="A141" s="12" t="s">
        <v>111</v>
      </c>
      <c r="B141" s="40" t="s">
        <v>25</v>
      </c>
      <c r="C141" s="42">
        <v>7872259018.04</v>
      </c>
      <c r="D141" s="43">
        <v>1</v>
      </c>
      <c r="E141" s="43" t="s">
        <v>26</v>
      </c>
      <c r="F141" s="43" t="s">
        <v>26</v>
      </c>
      <c r="G141" s="42">
        <v>173819191431.32001</v>
      </c>
      <c r="H141" s="43">
        <v>1</v>
      </c>
      <c r="I141" s="43" t="s">
        <v>26</v>
      </c>
      <c r="J141" s="43" t="s">
        <v>26</v>
      </c>
      <c r="K141" s="42">
        <v>4081728819.8000002</v>
      </c>
      <c r="L141" s="43">
        <v>1</v>
      </c>
      <c r="M141" s="43" t="s">
        <v>26</v>
      </c>
      <c r="N141" s="43" t="s">
        <v>26</v>
      </c>
      <c r="O141" s="42">
        <v>254067037160.69</v>
      </c>
      <c r="P141" s="43">
        <v>1</v>
      </c>
      <c r="Q141" s="43" t="s">
        <v>26</v>
      </c>
      <c r="R141" s="43" t="s">
        <v>26</v>
      </c>
      <c r="S141" s="42">
        <v>125594199228.97</v>
      </c>
      <c r="T141" s="43">
        <v>1</v>
      </c>
      <c r="U141" s="43" t="s">
        <v>26</v>
      </c>
      <c r="V141" s="43" t="s">
        <v>26</v>
      </c>
      <c r="W141" s="42">
        <v>7319665019.0699997</v>
      </c>
      <c r="X141" s="43">
        <v>1</v>
      </c>
      <c r="Y141" s="43" t="s">
        <v>26</v>
      </c>
      <c r="Z141" s="43" t="s">
        <v>26</v>
      </c>
      <c r="AA141" s="42">
        <v>156517526212.92001</v>
      </c>
      <c r="AB141" s="43">
        <v>1</v>
      </c>
      <c r="AC141" s="43" t="s">
        <v>26</v>
      </c>
      <c r="AD141" s="43" t="s">
        <v>26</v>
      </c>
      <c r="AE141" s="42">
        <v>729271606890.81006</v>
      </c>
      <c r="AF141" s="43">
        <v>1</v>
      </c>
      <c r="AG141" s="43" t="s">
        <v>26</v>
      </c>
      <c r="AH141" s="43" t="s">
        <v>26</v>
      </c>
      <c r="AI141" s="42">
        <v>18438782670.779999</v>
      </c>
      <c r="AJ141" s="43">
        <v>1</v>
      </c>
      <c r="AK141" s="43" t="s">
        <v>26</v>
      </c>
      <c r="AL141" s="43" t="s">
        <v>26</v>
      </c>
      <c r="AM141" s="42">
        <v>25133485682.810001</v>
      </c>
      <c r="AN141" s="43">
        <v>1</v>
      </c>
      <c r="AO141" s="43" t="s">
        <v>26</v>
      </c>
      <c r="AP141" s="43" t="s">
        <v>26</v>
      </c>
      <c r="AQ141" s="42">
        <v>43572268353.589996</v>
      </c>
      <c r="AR141" s="43">
        <v>1</v>
      </c>
      <c r="AS141" s="43" t="s">
        <v>26</v>
      </c>
      <c r="AT141" s="43" t="s">
        <v>26</v>
      </c>
      <c r="AU141" s="42">
        <v>52371366513.449997</v>
      </c>
      <c r="AV141" s="43">
        <v>1</v>
      </c>
      <c r="AW141" s="43" t="s">
        <v>26</v>
      </c>
      <c r="AX141" s="43" t="s">
        <v>26</v>
      </c>
      <c r="AY141" s="42">
        <v>825215241757.84998</v>
      </c>
      <c r="AZ141" s="43">
        <v>1</v>
      </c>
      <c r="BA141" s="43" t="s">
        <v>26</v>
      </c>
      <c r="BB141" s="43" t="s">
        <v>26</v>
      </c>
    </row>
    <row r="142" spans="1:54">
      <c r="A142" s="24"/>
    </row>
    <row r="143" spans="1:54">
      <c r="A143" s="17" t="s">
        <v>112</v>
      </c>
      <c r="AY143" s="39"/>
    </row>
    <row r="144" spans="1:54">
      <c r="A144" s="24" t="s">
        <v>113</v>
      </c>
      <c r="C144" s="39"/>
    </row>
    <row r="145" spans="1:51">
      <c r="A145" s="24" t="s">
        <v>114</v>
      </c>
      <c r="C145" s="39"/>
      <c r="AY145" s="37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7"/>
  <sheetViews>
    <sheetView zoomScaleNormal="100" workbookViewId="0">
      <pane xSplit="2" ySplit="7" topLeftCell="C134" activePane="bottomRight" state="frozen"/>
      <selection pane="topRight" activeCell="C1" sqref="C1"/>
      <selection pane="bottomLeft" activeCell="A8" sqref="A8"/>
      <selection pane="bottomRight" activeCell="A11" sqref="A11:A12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.42578125" style="13" customWidth="1"/>
    <col min="53" max="53" width="9.7109375" style="8" customWidth="1"/>
    <col min="54" max="54" width="10.42578125" style="8" customWidth="1"/>
    <col min="55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12" t="s">
        <v>24</v>
      </c>
      <c r="B8" s="40" t="s">
        <v>25</v>
      </c>
      <c r="C8" s="42">
        <v>3495469725.48</v>
      </c>
      <c r="D8" s="43">
        <v>0.43473289929105002</v>
      </c>
      <c r="E8" s="43" t="s">
        <v>26</v>
      </c>
      <c r="F8" s="43" t="s">
        <v>26</v>
      </c>
      <c r="G8" s="42">
        <f>+G9+G11</f>
        <v>96070731499.979996</v>
      </c>
      <c r="H8" s="43">
        <f>+H9+H11</f>
        <v>0.54089011491097694</v>
      </c>
      <c r="I8" s="43" t="s">
        <v>26</v>
      </c>
      <c r="J8" s="43" t="s">
        <v>26</v>
      </c>
      <c r="K8" s="42">
        <v>1439175293.27</v>
      </c>
      <c r="L8" s="43">
        <v>0.33507698773978001</v>
      </c>
      <c r="M8" s="43" t="s">
        <v>26</v>
      </c>
      <c r="N8" s="43" t="s">
        <v>26</v>
      </c>
      <c r="O8" s="42">
        <f>+O9+O11</f>
        <v>132390628666.45</v>
      </c>
      <c r="P8" s="43">
        <f>+P9+P11</f>
        <v>0.51457046511076232</v>
      </c>
      <c r="Q8" s="43" t="s">
        <v>26</v>
      </c>
      <c r="R8" s="43" t="s">
        <v>26</v>
      </c>
      <c r="S8" s="42">
        <f>+S9+S11</f>
        <v>70870444510.330002</v>
      </c>
      <c r="T8" s="43">
        <f>+T9+T11</f>
        <v>0.55591152181700454</v>
      </c>
      <c r="U8" s="43" t="s">
        <v>26</v>
      </c>
      <c r="V8" s="43" t="s">
        <v>26</v>
      </c>
      <c r="W8" s="42">
        <v>2710301273.4499998</v>
      </c>
      <c r="X8" s="43">
        <v>0.36592045607507001</v>
      </c>
      <c r="Y8" s="43" t="s">
        <v>26</v>
      </c>
      <c r="Z8" s="43" t="s">
        <v>26</v>
      </c>
      <c r="AA8" s="42">
        <f>+AA9+AA11</f>
        <v>80699780496.169998</v>
      </c>
      <c r="AB8" s="43">
        <f>+AB9+AB11</f>
        <v>0.50909075671601578</v>
      </c>
      <c r="AC8" s="43" t="s">
        <v>26</v>
      </c>
      <c r="AD8" s="43" t="s">
        <v>26</v>
      </c>
      <c r="AE8" s="42">
        <f>+AE9+AE11</f>
        <v>387676531465.13</v>
      </c>
      <c r="AF8" s="43">
        <f>+AF9+AF11</f>
        <v>0.52343088162279494</v>
      </c>
      <c r="AG8" s="43" t="s">
        <v>26</v>
      </c>
      <c r="AH8" s="43" t="s">
        <v>26</v>
      </c>
      <c r="AI8" s="42">
        <v>9814359125.0200005</v>
      </c>
      <c r="AJ8" s="43">
        <v>0.51865791487977997</v>
      </c>
      <c r="AK8" s="43" t="s">
        <v>26</v>
      </c>
      <c r="AL8" s="43" t="s">
        <v>26</v>
      </c>
      <c r="AM8" s="42">
        <v>8669452561.9599991</v>
      </c>
      <c r="AN8" s="43">
        <v>0.34383664546589998</v>
      </c>
      <c r="AO8" s="43" t="s">
        <v>26</v>
      </c>
      <c r="AP8" s="43" t="s">
        <v>26</v>
      </c>
      <c r="AQ8" s="42">
        <v>18483811686.98</v>
      </c>
      <c r="AR8" s="43">
        <v>0.41878766638810999</v>
      </c>
      <c r="AS8" s="43" t="s">
        <v>26</v>
      </c>
      <c r="AT8" s="43" t="s">
        <v>26</v>
      </c>
      <c r="AU8" s="42">
        <v>30755249655.639999</v>
      </c>
      <c r="AV8" s="43">
        <v>0.57480053862703995</v>
      </c>
      <c r="AW8" s="43" t="s">
        <v>26</v>
      </c>
      <c r="AX8" s="43" t="s">
        <v>26</v>
      </c>
      <c r="AY8" s="42">
        <f>+AY9+AY11</f>
        <v>436915592807.75</v>
      </c>
      <c r="AZ8" s="43">
        <f>+AZ9+AZ11</f>
        <v>0.52120014306944873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3495469725.48</v>
      </c>
      <c r="D9" s="10">
        <v>0.43473289929105002</v>
      </c>
      <c r="E9" s="10">
        <v>0.6</v>
      </c>
      <c r="F9" s="10">
        <f>E9-D9</f>
        <v>0.16526710070894995</v>
      </c>
      <c r="G9" s="9">
        <f>+G10</f>
        <v>90235910142.179993</v>
      </c>
      <c r="H9" s="10">
        <f>G9/G143</f>
        <v>0.50803934813289608</v>
      </c>
      <c r="I9" s="10">
        <v>0.6</v>
      </c>
      <c r="J9" s="10">
        <f>I9-H9</f>
        <v>9.1960651867103893E-2</v>
      </c>
      <c r="K9" s="9">
        <v>1439175293.27</v>
      </c>
      <c r="L9" s="10">
        <v>0.33507698773978001</v>
      </c>
      <c r="M9" s="10">
        <v>0.6</v>
      </c>
      <c r="N9" s="10">
        <f>M9-L9</f>
        <v>0.26492301226021997</v>
      </c>
      <c r="O9" s="9">
        <f>+O10</f>
        <v>130839600204.25</v>
      </c>
      <c r="P9" s="10">
        <f>+O9/O143</f>
        <v>0.5085419868687262</v>
      </c>
      <c r="Q9" s="10">
        <v>0.6</v>
      </c>
      <c r="R9" s="10">
        <f>Q9-P9</f>
        <v>9.1458013131273774E-2</v>
      </c>
      <c r="S9" s="9">
        <f>+S10</f>
        <v>69342545410.330002</v>
      </c>
      <c r="T9" s="10">
        <f>S9/S141</f>
        <v>0.54392660032070961</v>
      </c>
      <c r="U9" s="10">
        <v>0.6</v>
      </c>
      <c r="V9" s="10">
        <f>U9-T9</f>
        <v>5.607339967929037E-2</v>
      </c>
      <c r="W9" s="9">
        <v>2710301273.4499998</v>
      </c>
      <c r="X9" s="10">
        <v>0.36592045607507001</v>
      </c>
      <c r="Y9" s="10">
        <v>0.6</v>
      </c>
      <c r="Z9" s="10">
        <f>Y9-X9</f>
        <v>0.23407954392492997</v>
      </c>
      <c r="AA9" s="9">
        <f>AA10</f>
        <v>79345708029.169998</v>
      </c>
      <c r="AB9" s="10">
        <f>AA9/AA141</f>
        <v>0.50054865446201935</v>
      </c>
      <c r="AC9" s="10">
        <v>0.6</v>
      </c>
      <c r="AD9" s="10">
        <f>AC9-AB9</f>
        <v>9.9451345537980629E-2</v>
      </c>
      <c r="AE9" s="9">
        <f>+AE10</f>
        <v>377408710078.13</v>
      </c>
      <c r="AF9" s="10">
        <f>+AE9/AE143</f>
        <v>0.50956753327763926</v>
      </c>
      <c r="AG9" s="10">
        <v>0.6</v>
      </c>
      <c r="AH9" s="10">
        <f>AG9-AF9</f>
        <v>9.0432466722360716E-2</v>
      </c>
      <c r="AI9" s="9">
        <v>9814359125.0200005</v>
      </c>
      <c r="AJ9" s="10">
        <v>0.51865791487977997</v>
      </c>
      <c r="AK9" s="10">
        <v>0.6</v>
      </c>
      <c r="AL9" s="10">
        <f>AK9-AJ9</f>
        <v>8.1342085120220009E-2</v>
      </c>
      <c r="AM9" s="9">
        <v>8669452561.9599991</v>
      </c>
      <c r="AN9" s="10">
        <v>0.34383664546589998</v>
      </c>
      <c r="AO9" s="10">
        <v>0.6</v>
      </c>
      <c r="AP9" s="10">
        <f>AO9-AN9</f>
        <v>0.2561633545341</v>
      </c>
      <c r="AQ9" s="9">
        <v>18483811686.98</v>
      </c>
      <c r="AR9" s="10">
        <v>0.41878766638810999</v>
      </c>
      <c r="AS9" s="10">
        <v>0.6</v>
      </c>
      <c r="AT9" s="10">
        <f>AS9-AR9</f>
        <v>0.18121233361188999</v>
      </c>
      <c r="AU9" s="9">
        <v>30755249655.639999</v>
      </c>
      <c r="AV9" s="10">
        <v>0.57480053862703995</v>
      </c>
      <c r="AW9" s="10">
        <v>0.6</v>
      </c>
      <c r="AX9" s="10">
        <f>AW9-AV9</f>
        <v>2.519946137296003E-2</v>
      </c>
      <c r="AY9" s="9">
        <f>+AY10</f>
        <v>426647771420.75</v>
      </c>
      <c r="AZ9" s="10">
        <f>+AY9/AY143</f>
        <v>0.50895157592281748</v>
      </c>
      <c r="BA9" s="10">
        <v>0.6</v>
      </c>
      <c r="BB9" s="10">
        <f>BA9-AZ9</f>
        <v>9.1048424077182499E-2</v>
      </c>
    </row>
    <row r="10" spans="1:54" ht="17.25">
      <c r="A10" s="3" t="s">
        <v>28</v>
      </c>
      <c r="B10" s="23" t="s">
        <v>29</v>
      </c>
      <c r="C10" s="2">
        <v>3495469725.48</v>
      </c>
      <c r="D10" s="1">
        <v>1</v>
      </c>
      <c r="E10" s="1" t="s">
        <v>26</v>
      </c>
      <c r="F10" s="1" t="s">
        <v>26</v>
      </c>
      <c r="G10" s="2">
        <v>90235910142.179993</v>
      </c>
      <c r="H10" s="1">
        <f>+G10/G8</f>
        <v>0.93926535931704425</v>
      </c>
      <c r="I10" s="1" t="s">
        <v>26</v>
      </c>
      <c r="J10" s="1" t="s">
        <v>26</v>
      </c>
      <c r="K10" s="2">
        <v>1439175293.27</v>
      </c>
      <c r="L10" s="1">
        <v>1</v>
      </c>
      <c r="M10" s="1" t="s">
        <v>26</v>
      </c>
      <c r="N10" s="1" t="s">
        <v>26</v>
      </c>
      <c r="O10" s="2">
        <v>130839600204.25</v>
      </c>
      <c r="P10" s="1">
        <f>+O10/O8</f>
        <v>0.98828445428635503</v>
      </c>
      <c r="Q10" s="1" t="s">
        <v>26</v>
      </c>
      <c r="R10" s="1" t="s">
        <v>26</v>
      </c>
      <c r="S10" s="2">
        <v>69342545410.330002</v>
      </c>
      <c r="T10" s="1">
        <f>+S10/S8</f>
        <v>0.97844095503341599</v>
      </c>
      <c r="U10" s="1" t="s">
        <v>26</v>
      </c>
      <c r="V10" s="1" t="s">
        <v>26</v>
      </c>
      <c r="W10" s="2">
        <v>2710301273.4499998</v>
      </c>
      <c r="X10" s="1">
        <v>1</v>
      </c>
      <c r="Y10" s="1" t="s">
        <v>26</v>
      </c>
      <c r="Z10" s="1" t="s">
        <v>26</v>
      </c>
      <c r="AA10" s="2">
        <v>79345708029.169998</v>
      </c>
      <c r="AB10" s="1">
        <f>+AA10/AA8</f>
        <v>0.98322086555038068</v>
      </c>
      <c r="AC10" s="1" t="s">
        <v>26</v>
      </c>
      <c r="AD10" s="1" t="s">
        <v>26</v>
      </c>
      <c r="AE10" s="2">
        <v>377408710078.13</v>
      </c>
      <c r="AF10" s="1">
        <f>+AE10/AE8</f>
        <v>0.97351446230651295</v>
      </c>
      <c r="AG10" s="1" t="s">
        <v>26</v>
      </c>
      <c r="AH10" s="1" t="s">
        <v>26</v>
      </c>
      <c r="AI10" s="2">
        <v>9814359125.0200005</v>
      </c>
      <c r="AJ10" s="1">
        <v>1</v>
      </c>
      <c r="AK10" s="1" t="s">
        <v>26</v>
      </c>
      <c r="AL10" s="1" t="s">
        <v>26</v>
      </c>
      <c r="AM10" s="2">
        <v>8669452561.9599991</v>
      </c>
      <c r="AN10" s="1">
        <v>1</v>
      </c>
      <c r="AO10" s="1" t="s">
        <v>26</v>
      </c>
      <c r="AP10" s="1" t="s">
        <v>26</v>
      </c>
      <c r="AQ10" s="2">
        <v>18483811686.98</v>
      </c>
      <c r="AR10" s="1">
        <v>1</v>
      </c>
      <c r="AS10" s="1" t="s">
        <v>26</v>
      </c>
      <c r="AT10" s="1" t="s">
        <v>26</v>
      </c>
      <c r="AU10" s="2">
        <v>30755249655.639999</v>
      </c>
      <c r="AV10" s="1">
        <v>1</v>
      </c>
      <c r="AW10" s="1" t="s">
        <v>26</v>
      </c>
      <c r="AX10" s="1" t="s">
        <v>26</v>
      </c>
      <c r="AY10" s="2">
        <v>426647771420.75</v>
      </c>
      <c r="AZ10" s="1">
        <f>+AY10/AY8</f>
        <v>0.97649930202532731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2" t="s">
        <v>26</v>
      </c>
      <c r="D11" s="1" t="s">
        <v>26</v>
      </c>
      <c r="E11" s="10" t="s">
        <v>26</v>
      </c>
      <c r="F11" s="10" t="s">
        <v>26</v>
      </c>
      <c r="G11" s="9">
        <f>G12</f>
        <v>5834821357.8000002</v>
      </c>
      <c r="H11" s="10">
        <f>+G11/G143</f>
        <v>3.2850766778080805E-2</v>
      </c>
      <c r="I11" s="10">
        <v>0.1</v>
      </c>
      <c r="J11" s="10">
        <f>I11-H11</f>
        <v>6.7149233221919208E-2</v>
      </c>
      <c r="K11" s="2" t="s">
        <v>26</v>
      </c>
      <c r="L11" s="1" t="s">
        <v>26</v>
      </c>
      <c r="M11" s="1" t="s">
        <v>26</v>
      </c>
      <c r="N11" s="1" t="s">
        <v>26</v>
      </c>
      <c r="O11" s="9">
        <f>O12</f>
        <v>1551028462.2</v>
      </c>
      <c r="P11" s="10">
        <f>O11/O141</f>
        <v>6.0284782420361284E-3</v>
      </c>
      <c r="Q11" s="10">
        <v>0.1</v>
      </c>
      <c r="R11" s="10">
        <f>Q11-P11</f>
        <v>9.3971521757963875E-2</v>
      </c>
      <c r="S11" s="9">
        <f>S12</f>
        <v>1527899100</v>
      </c>
      <c r="T11" s="10">
        <f>S11/S141</f>
        <v>1.1984921496294938E-2</v>
      </c>
      <c r="U11" s="10">
        <v>0.1</v>
      </c>
      <c r="V11" s="10">
        <f>U11-T11</f>
        <v>8.8015078503705074E-2</v>
      </c>
      <c r="W11" s="2" t="s">
        <v>26</v>
      </c>
      <c r="X11" s="1" t="s">
        <v>26</v>
      </c>
      <c r="Y11" s="1" t="s">
        <v>26</v>
      </c>
      <c r="Z11" s="1" t="s">
        <v>26</v>
      </c>
      <c r="AA11" s="9">
        <f>AA12</f>
        <v>1354072467</v>
      </c>
      <c r="AB11" s="10">
        <f>AA11/AA141</f>
        <v>8.5421022539964482E-3</v>
      </c>
      <c r="AC11" s="10">
        <v>0.1</v>
      </c>
      <c r="AD11" s="10">
        <f>AC11-AB11</f>
        <v>9.1457897746003561E-2</v>
      </c>
      <c r="AE11" s="9">
        <f>+AE12</f>
        <v>10267821387</v>
      </c>
      <c r="AF11" s="10">
        <f>+AE11/AE143</f>
        <v>1.3863348345155669E-2</v>
      </c>
      <c r="AG11" s="10">
        <v>0.1</v>
      </c>
      <c r="AH11" s="10">
        <f>AG11-AF11</f>
        <v>8.613665165484434E-2</v>
      </c>
      <c r="AI11" s="2" t="s">
        <v>26</v>
      </c>
      <c r="AJ11" s="1" t="s">
        <v>26</v>
      </c>
      <c r="AK11" s="1" t="s">
        <v>26</v>
      </c>
      <c r="AL11" s="1" t="s">
        <v>26</v>
      </c>
      <c r="AM11" s="2" t="s">
        <v>26</v>
      </c>
      <c r="AN11" s="1" t="s">
        <v>26</v>
      </c>
      <c r="AO11" s="1" t="s">
        <v>26</v>
      </c>
      <c r="AP11" s="1" t="s">
        <v>26</v>
      </c>
      <c r="AQ11" s="2" t="s">
        <v>26</v>
      </c>
      <c r="AR11" s="1" t="s">
        <v>26</v>
      </c>
      <c r="AS11" s="1" t="s">
        <v>26</v>
      </c>
      <c r="AT11" s="1" t="s">
        <v>26</v>
      </c>
      <c r="AU11" s="2" t="s">
        <v>26</v>
      </c>
      <c r="AV11" s="1" t="s">
        <v>26</v>
      </c>
      <c r="AW11" s="1" t="s">
        <v>26</v>
      </c>
      <c r="AX11" s="1" t="s">
        <v>26</v>
      </c>
      <c r="AY11" s="9">
        <f>+AY12</f>
        <v>10267821387</v>
      </c>
      <c r="AZ11" s="10">
        <f>+AY11/AY143</f>
        <v>1.2248567146631301E-2</v>
      </c>
      <c r="BA11" s="10">
        <v>0.1</v>
      </c>
      <c r="BB11" s="10">
        <f>+BA11-AZ11</f>
        <v>8.7751432853368699E-2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5834821357.8000002</v>
      </c>
      <c r="H12" s="1">
        <f>+G12/G8</f>
        <v>6.0734640682955712E-2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1551028462.2</v>
      </c>
      <c r="P12" s="1">
        <f>+O12/O8</f>
        <v>1.1715545713645038E-2</v>
      </c>
      <c r="Q12" s="1" t="s">
        <v>26</v>
      </c>
      <c r="R12" s="1" t="s">
        <v>26</v>
      </c>
      <c r="S12" s="2">
        <v>1527899100</v>
      </c>
      <c r="T12" s="1">
        <f>+S12/S8</f>
        <v>2.1559044966583989E-2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1354072467</v>
      </c>
      <c r="AB12" s="1">
        <f>+AA12/AA8</f>
        <v>1.677913444961928E-2</v>
      </c>
      <c r="AC12" s="1" t="s">
        <v>26</v>
      </c>
      <c r="AD12" s="1" t="s">
        <v>26</v>
      </c>
      <c r="AE12" s="2">
        <v>10267821387</v>
      </c>
      <c r="AF12" s="1">
        <f>+AE12/AE8</f>
        <v>2.6485537693487E-2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10267821387</v>
      </c>
      <c r="AZ12" s="1">
        <f>+AY12/AY8</f>
        <v>2.350069797467267E-2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2247476363.3899999</v>
      </c>
      <c r="D13" s="43">
        <v>0.2795194901625</v>
      </c>
      <c r="E13" s="43" t="s">
        <v>26</v>
      </c>
      <c r="F13" s="43" t="s">
        <v>26</v>
      </c>
      <c r="G13" s="42">
        <v>48993218727.089996</v>
      </c>
      <c r="H13" s="43">
        <v>0.27583788832876999</v>
      </c>
      <c r="I13" s="43" t="s">
        <v>26</v>
      </c>
      <c r="J13" s="43" t="s">
        <v>26</v>
      </c>
      <c r="K13" s="42">
        <v>877429610.82000005</v>
      </c>
      <c r="L13" s="43">
        <v>0.20428815886578999</v>
      </c>
      <c r="M13" s="43" t="s">
        <v>26</v>
      </c>
      <c r="N13" s="43" t="s">
        <v>26</v>
      </c>
      <c r="O13" s="42">
        <v>66110830382.75</v>
      </c>
      <c r="P13" s="43">
        <v>0.25695686156103997</v>
      </c>
      <c r="Q13" s="43" t="s">
        <v>26</v>
      </c>
      <c r="R13" s="43" t="s">
        <v>26</v>
      </c>
      <c r="S13" s="42">
        <v>34469683446.620003</v>
      </c>
      <c r="T13" s="43">
        <v>0.2703815376598</v>
      </c>
      <c r="U13" s="43" t="s">
        <v>26</v>
      </c>
      <c r="V13" s="43" t="s">
        <v>26</v>
      </c>
      <c r="W13" s="42">
        <v>3327411790.5999999</v>
      </c>
      <c r="X13" s="43">
        <v>0.44923715746776</v>
      </c>
      <c r="Y13" s="43" t="s">
        <v>26</v>
      </c>
      <c r="Z13" s="43" t="s">
        <v>26</v>
      </c>
      <c r="AA13" s="42">
        <v>46764297842.470001</v>
      </c>
      <c r="AB13" s="43">
        <v>0.29501001637096003</v>
      </c>
      <c r="AC13" s="43" t="s">
        <v>26</v>
      </c>
      <c r="AD13" s="43" t="s">
        <v>26</v>
      </c>
      <c r="AE13" s="42">
        <v>202790348163.73999</v>
      </c>
      <c r="AF13" s="43">
        <v>0.27380231225960999</v>
      </c>
      <c r="AG13" s="43" t="s">
        <v>26</v>
      </c>
      <c r="AH13" s="43" t="s">
        <v>26</v>
      </c>
      <c r="AI13" s="42">
        <v>6733461363.6700001</v>
      </c>
      <c r="AJ13" s="43">
        <v>0.35584218860521</v>
      </c>
      <c r="AK13" s="43" t="s">
        <v>26</v>
      </c>
      <c r="AL13" s="43" t="s">
        <v>26</v>
      </c>
      <c r="AM13" s="42">
        <v>12509664094.120001</v>
      </c>
      <c r="AN13" s="43">
        <v>0.49614216206693001</v>
      </c>
      <c r="AO13" s="43" t="s">
        <v>26</v>
      </c>
      <c r="AP13" s="43" t="s">
        <v>26</v>
      </c>
      <c r="AQ13" s="42">
        <v>19243125457.790001</v>
      </c>
      <c r="AR13" s="43">
        <v>0.43599143623379999</v>
      </c>
      <c r="AS13" s="43" t="s">
        <v>26</v>
      </c>
      <c r="AT13" s="43" t="s">
        <v>26</v>
      </c>
      <c r="AU13" s="42">
        <v>14370498022.809999</v>
      </c>
      <c r="AV13" s="43">
        <v>0.26857756306118002</v>
      </c>
      <c r="AW13" s="43" t="s">
        <v>26</v>
      </c>
      <c r="AX13" s="43" t="s">
        <v>26</v>
      </c>
      <c r="AY13" s="42">
        <v>236403971644.34</v>
      </c>
      <c r="AZ13" s="43">
        <v>0.28200820907170998</v>
      </c>
      <c r="BA13" s="43" t="s">
        <v>25</v>
      </c>
      <c r="BB13" s="43" t="s">
        <v>25</v>
      </c>
    </row>
    <row r="14" spans="1:54" s="7" customFormat="1">
      <c r="A14" s="5" t="s">
        <v>32</v>
      </c>
      <c r="B14" s="20" t="s">
        <v>25</v>
      </c>
      <c r="C14" s="9">
        <v>2247476363.3899999</v>
      </c>
      <c r="D14" s="10">
        <v>0.2795194901625</v>
      </c>
      <c r="E14" s="49">
        <v>0.5</v>
      </c>
      <c r="F14" s="10">
        <v>0.2205</v>
      </c>
      <c r="G14" s="9">
        <v>48993218727.089996</v>
      </c>
      <c r="H14" s="10">
        <v>0.27583788832876999</v>
      </c>
      <c r="I14" s="10">
        <v>0.5</v>
      </c>
      <c r="J14" s="10">
        <v>0.22420000000000001</v>
      </c>
      <c r="K14" s="9">
        <v>877429610.82000005</v>
      </c>
      <c r="L14" s="10">
        <v>0.20428815886578999</v>
      </c>
      <c r="M14" s="10">
        <v>0.5</v>
      </c>
      <c r="N14" s="10">
        <v>0.29570000000000002</v>
      </c>
      <c r="O14" s="9">
        <v>66110830382.75</v>
      </c>
      <c r="P14" s="10">
        <v>0.25695686156103997</v>
      </c>
      <c r="Q14" s="10">
        <v>0.5</v>
      </c>
      <c r="R14" s="10">
        <v>0.24299999999999999</v>
      </c>
      <c r="S14" s="9">
        <v>34469683446.620003</v>
      </c>
      <c r="T14" s="10">
        <v>0.2703815376598</v>
      </c>
      <c r="U14" s="10">
        <v>0.5</v>
      </c>
      <c r="V14" s="10">
        <v>0.2296</v>
      </c>
      <c r="W14" s="9">
        <v>3327411790.5999999</v>
      </c>
      <c r="X14" s="10">
        <v>0.44923715746776</v>
      </c>
      <c r="Y14" s="10">
        <v>0.5</v>
      </c>
      <c r="Z14" s="10">
        <v>5.0799999999999998E-2</v>
      </c>
      <c r="AA14" s="9">
        <v>46764297842.470001</v>
      </c>
      <c r="AB14" s="10">
        <v>0.29501001637096003</v>
      </c>
      <c r="AC14" s="10">
        <v>0.5</v>
      </c>
      <c r="AD14" s="10">
        <v>0.20499999999999999</v>
      </c>
      <c r="AE14" s="9">
        <v>202790348163.73999</v>
      </c>
      <c r="AF14" s="10">
        <v>0.27380231225960999</v>
      </c>
      <c r="AG14" s="10">
        <v>0.5</v>
      </c>
      <c r="AH14" s="10">
        <v>0.22620000000000001</v>
      </c>
      <c r="AI14" s="9">
        <v>6733461363.6700001</v>
      </c>
      <c r="AJ14" s="10">
        <v>0.35584218860521</v>
      </c>
      <c r="AK14" s="10">
        <v>0.5</v>
      </c>
      <c r="AL14" s="10">
        <v>0.14419999999999999</v>
      </c>
      <c r="AM14" s="9">
        <v>12509664094.120001</v>
      </c>
      <c r="AN14" s="10">
        <v>0.49614216206693001</v>
      </c>
      <c r="AO14" s="10">
        <v>0.5</v>
      </c>
      <c r="AP14" s="10">
        <v>3.8999999999999998E-3</v>
      </c>
      <c r="AQ14" s="9">
        <v>19243125457.790001</v>
      </c>
      <c r="AR14" s="10">
        <v>0.43599143623379999</v>
      </c>
      <c r="AS14" s="10">
        <v>0.5</v>
      </c>
      <c r="AT14" s="10">
        <v>6.4000000000000001E-2</v>
      </c>
      <c r="AU14" s="9">
        <v>14370498022.809999</v>
      </c>
      <c r="AV14" s="10">
        <v>0.26857756306118002</v>
      </c>
      <c r="AW14" s="10">
        <v>0.5</v>
      </c>
      <c r="AX14" s="10">
        <v>0.23139999999999999</v>
      </c>
      <c r="AY14" s="9">
        <v>236403971644.34</v>
      </c>
      <c r="AZ14" s="10">
        <v>0.28200820907170998</v>
      </c>
      <c r="BA14" s="10">
        <v>0.5</v>
      </c>
      <c r="BB14" s="10">
        <v>0.218</v>
      </c>
    </row>
    <row r="15" spans="1:54" s="7" customFormat="1">
      <c r="A15" s="3" t="s">
        <v>33</v>
      </c>
      <c r="B15" s="23" t="s">
        <v>29</v>
      </c>
      <c r="C15" s="2">
        <v>709050402.5</v>
      </c>
      <c r="D15" s="1">
        <v>0.31548736798749</v>
      </c>
      <c r="E15" s="9" t="s">
        <v>26</v>
      </c>
      <c r="F15" s="10" t="s">
        <v>26</v>
      </c>
      <c r="G15" s="2">
        <v>14502576255.01</v>
      </c>
      <c r="H15" s="1">
        <v>0.29601191005218003</v>
      </c>
      <c r="I15" s="9" t="s">
        <v>26</v>
      </c>
      <c r="J15" s="10" t="s">
        <v>26</v>
      </c>
      <c r="K15" s="2">
        <v>221344527.47999999</v>
      </c>
      <c r="L15" s="1">
        <v>0.25226471132327</v>
      </c>
      <c r="M15" s="1" t="s">
        <v>26</v>
      </c>
      <c r="N15" s="1" t="s">
        <v>26</v>
      </c>
      <c r="O15" s="2">
        <v>18492983985.52</v>
      </c>
      <c r="P15" s="1">
        <v>0.27972699599224998</v>
      </c>
      <c r="Q15" s="1" t="s">
        <v>26</v>
      </c>
      <c r="R15" s="1" t="s">
        <v>26</v>
      </c>
      <c r="S15" s="2">
        <v>11069213634.57</v>
      </c>
      <c r="T15" s="1">
        <v>0.32112896109742001</v>
      </c>
      <c r="U15" s="1" t="s">
        <v>26</v>
      </c>
      <c r="V15" s="1" t="s">
        <v>26</v>
      </c>
      <c r="W15" s="2">
        <v>1130108483.45</v>
      </c>
      <c r="X15" s="1">
        <v>0.33963589557583002</v>
      </c>
      <c r="Y15" s="1" t="s">
        <v>26</v>
      </c>
      <c r="Z15" s="1" t="s">
        <v>26</v>
      </c>
      <c r="AA15" s="2">
        <v>18196721970.950001</v>
      </c>
      <c r="AB15" s="1">
        <v>0.38911568890112003</v>
      </c>
      <c r="AC15" s="1" t="s">
        <v>26</v>
      </c>
      <c r="AD15" s="1" t="s">
        <v>26</v>
      </c>
      <c r="AE15" s="2">
        <v>64321999259.480003</v>
      </c>
      <c r="AF15" s="1">
        <v>0.31718471732956999</v>
      </c>
      <c r="AG15" s="1" t="s">
        <v>26</v>
      </c>
      <c r="AH15" s="1" t="s">
        <v>26</v>
      </c>
      <c r="AI15" s="2">
        <v>1593286669.25</v>
      </c>
      <c r="AJ15" s="1">
        <v>0.23662223382561001</v>
      </c>
      <c r="AK15" s="1" t="s">
        <v>26</v>
      </c>
      <c r="AL15" s="1" t="s">
        <v>26</v>
      </c>
      <c r="AM15" s="2">
        <v>6372762882.9899998</v>
      </c>
      <c r="AN15" s="1">
        <v>0.50942717846319996</v>
      </c>
      <c r="AO15" s="1" t="s">
        <v>26</v>
      </c>
      <c r="AP15" s="1" t="s">
        <v>26</v>
      </c>
      <c r="AQ15" s="2">
        <v>7966049552.2399998</v>
      </c>
      <c r="AR15" s="1">
        <v>0.41396859204154002</v>
      </c>
      <c r="AS15" s="1" t="s">
        <v>26</v>
      </c>
      <c r="AT15" s="1" t="s">
        <v>26</v>
      </c>
      <c r="AU15" s="2">
        <v>6176378672.1999998</v>
      </c>
      <c r="AV15" s="1">
        <v>0.4297957288882</v>
      </c>
      <c r="AW15" s="1" t="s">
        <v>26</v>
      </c>
      <c r="AX15" s="1" t="s">
        <v>26</v>
      </c>
      <c r="AY15" s="2">
        <v>78464427483.919998</v>
      </c>
      <c r="AZ15" s="1">
        <v>0.33190824561089</v>
      </c>
      <c r="BA15" s="1" t="s">
        <v>26</v>
      </c>
      <c r="BB15" s="1" t="s">
        <v>26</v>
      </c>
    </row>
    <row r="16" spans="1:54" s="25" customFormat="1">
      <c r="A16" s="3" t="s">
        <v>34</v>
      </c>
      <c r="B16" s="23" t="s">
        <v>35</v>
      </c>
      <c r="C16" s="9" t="s">
        <v>26</v>
      </c>
      <c r="D16" s="10" t="s">
        <v>26</v>
      </c>
      <c r="E16" s="9" t="s">
        <v>26</v>
      </c>
      <c r="F16" s="10" t="s">
        <v>26</v>
      </c>
      <c r="G16" s="2">
        <v>2912595627.3800001</v>
      </c>
      <c r="H16" s="1">
        <v>5.9448954427839998E-2</v>
      </c>
      <c r="I16" s="9" t="s">
        <v>26</v>
      </c>
      <c r="J16" s="10" t="s">
        <v>26</v>
      </c>
      <c r="K16" s="2">
        <v>43690554.460000001</v>
      </c>
      <c r="L16" s="1">
        <v>4.9793799891449997E-2</v>
      </c>
      <c r="M16" s="1" t="s">
        <v>26</v>
      </c>
      <c r="N16" s="1" t="s">
        <v>26</v>
      </c>
      <c r="O16" s="2">
        <v>1920144474.5999999</v>
      </c>
      <c r="P16" s="1">
        <v>2.904432546806E-2</v>
      </c>
      <c r="Q16" s="1" t="s">
        <v>26</v>
      </c>
      <c r="R16" s="1" t="s">
        <v>26</v>
      </c>
      <c r="S16" s="2" t="s">
        <v>26</v>
      </c>
      <c r="T16" s="1" t="s">
        <v>26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6371894024.1499996</v>
      </c>
      <c r="AB16" s="1">
        <v>0.13625552650473999</v>
      </c>
      <c r="AC16" s="1" t="s">
        <v>26</v>
      </c>
      <c r="AD16" s="1" t="s">
        <v>26</v>
      </c>
      <c r="AE16" s="2">
        <v>11248324680.59</v>
      </c>
      <c r="AF16" s="1">
        <v>5.5467751707330003E-2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1224271753.0999999</v>
      </c>
      <c r="AN16" s="1">
        <v>9.7866077289430004E-2</v>
      </c>
      <c r="AO16" s="1" t="s">
        <v>26</v>
      </c>
      <c r="AP16" s="1" t="s">
        <v>26</v>
      </c>
      <c r="AQ16" s="2">
        <v>1224271753.0999999</v>
      </c>
      <c r="AR16" s="1">
        <v>6.3621252991639995E-2</v>
      </c>
      <c r="AS16" s="1" t="s">
        <v>26</v>
      </c>
      <c r="AT16" s="1" t="s">
        <v>26</v>
      </c>
      <c r="AU16" s="2" t="s">
        <v>26</v>
      </c>
      <c r="AV16" s="1" t="s">
        <v>26</v>
      </c>
      <c r="AW16" s="1" t="s">
        <v>26</v>
      </c>
      <c r="AX16" s="1" t="s">
        <v>26</v>
      </c>
      <c r="AY16" s="2">
        <v>12472596433.690001</v>
      </c>
      <c r="AZ16" s="1">
        <v>5.275967381992E-2</v>
      </c>
      <c r="BA16" s="1" t="s">
        <v>26</v>
      </c>
      <c r="BB16" s="1" t="s">
        <v>26</v>
      </c>
    </row>
    <row r="17" spans="1:54" s="7" customFormat="1">
      <c r="A17" s="3" t="s">
        <v>36</v>
      </c>
      <c r="B17" s="23" t="s">
        <v>29</v>
      </c>
      <c r="C17" s="2">
        <v>1538425960.8900001</v>
      </c>
      <c r="D17" s="1">
        <v>0.68451263201251</v>
      </c>
      <c r="E17" s="9" t="s">
        <v>26</v>
      </c>
      <c r="F17" s="10" t="s">
        <v>26</v>
      </c>
      <c r="G17" s="2">
        <v>31578046844.700001</v>
      </c>
      <c r="H17" s="1">
        <v>0.64453913551997999</v>
      </c>
      <c r="I17" s="9" t="s">
        <v>26</v>
      </c>
      <c r="J17" s="10" t="s">
        <v>26</v>
      </c>
      <c r="K17" s="2">
        <v>612394528.88</v>
      </c>
      <c r="L17" s="1">
        <v>0.69794148878527995</v>
      </c>
      <c r="M17" s="1" t="s">
        <v>26</v>
      </c>
      <c r="N17" s="1" t="s">
        <v>26</v>
      </c>
      <c r="O17" s="2">
        <v>45697701922.629997</v>
      </c>
      <c r="P17" s="1">
        <v>0.69122867853968994</v>
      </c>
      <c r="Q17" s="1" t="s">
        <v>26</v>
      </c>
      <c r="R17" s="1" t="s">
        <v>26</v>
      </c>
      <c r="S17" s="2">
        <v>23400469812.049999</v>
      </c>
      <c r="T17" s="1">
        <v>0.67887103890258005</v>
      </c>
      <c r="U17" s="1" t="s">
        <v>26</v>
      </c>
      <c r="V17" s="1" t="s">
        <v>26</v>
      </c>
      <c r="W17" s="2">
        <v>2197303307.1500001</v>
      </c>
      <c r="X17" s="1">
        <v>0.66036410442417004</v>
      </c>
      <c r="Y17" s="1" t="s">
        <v>26</v>
      </c>
      <c r="Z17" s="1" t="s">
        <v>26</v>
      </c>
      <c r="AA17" s="2">
        <v>22195681847.369999</v>
      </c>
      <c r="AB17" s="1">
        <v>0.47462878459413999</v>
      </c>
      <c r="AC17" s="1" t="s">
        <v>26</v>
      </c>
      <c r="AD17" s="1" t="s">
        <v>26</v>
      </c>
      <c r="AE17" s="2">
        <v>127220024223.67</v>
      </c>
      <c r="AF17" s="1">
        <v>0.62734753096310003</v>
      </c>
      <c r="AG17" s="1" t="s">
        <v>26</v>
      </c>
      <c r="AH17" s="1" t="s">
        <v>26</v>
      </c>
      <c r="AI17" s="2">
        <v>5140174694.4200001</v>
      </c>
      <c r="AJ17" s="1">
        <v>0.76337776617439002</v>
      </c>
      <c r="AK17" s="1" t="s">
        <v>26</v>
      </c>
      <c r="AL17" s="1" t="s">
        <v>26</v>
      </c>
      <c r="AM17" s="2">
        <v>4912629458.0299997</v>
      </c>
      <c r="AN17" s="1">
        <v>0.39270674424736002</v>
      </c>
      <c r="AO17" s="1" t="s">
        <v>26</v>
      </c>
      <c r="AP17" s="1" t="s">
        <v>26</v>
      </c>
      <c r="AQ17" s="2">
        <v>10052804152.450001</v>
      </c>
      <c r="AR17" s="1">
        <v>0.52241015496681997</v>
      </c>
      <c r="AS17" s="1" t="s">
        <v>26</v>
      </c>
      <c r="AT17" s="1" t="s">
        <v>26</v>
      </c>
      <c r="AU17" s="2">
        <v>8194119350.6099997</v>
      </c>
      <c r="AV17" s="1">
        <v>0.57020427111180005</v>
      </c>
      <c r="AW17" s="1" t="s">
        <v>26</v>
      </c>
      <c r="AX17" s="1" t="s">
        <v>26</v>
      </c>
      <c r="AY17" s="2">
        <v>145466947726.73001</v>
      </c>
      <c r="AZ17" s="1">
        <v>0.61533208056917998</v>
      </c>
      <c r="BA17" s="1" t="s">
        <v>26</v>
      </c>
      <c r="BB17" s="1" t="s">
        <v>26</v>
      </c>
    </row>
    <row r="18" spans="1:54" s="28" customFormat="1">
      <c r="A18" s="12" t="s">
        <v>37</v>
      </c>
      <c r="B18" s="40" t="s">
        <v>25</v>
      </c>
      <c r="C18" s="42">
        <v>298655777.95999998</v>
      </c>
      <c r="D18" s="43">
        <v>3.7143932701279997E-2</v>
      </c>
      <c r="E18" s="43" t="s">
        <v>26</v>
      </c>
      <c r="F18" s="43" t="s">
        <v>26</v>
      </c>
      <c r="G18" s="42">
        <v>13245907793.379999</v>
      </c>
      <c r="H18" s="43">
        <v>7.4576101135059997E-2</v>
      </c>
      <c r="I18" s="43">
        <v>0.15</v>
      </c>
      <c r="J18" s="43">
        <f>+I18-H18</f>
        <v>7.5423898864939998E-2</v>
      </c>
      <c r="K18" s="42">
        <v>599908850.69000006</v>
      </c>
      <c r="L18" s="43">
        <v>0.1396741950391</v>
      </c>
      <c r="M18" s="43" t="s">
        <v>26</v>
      </c>
      <c r="N18" s="43" t="s">
        <v>26</v>
      </c>
      <c r="O18" s="42">
        <v>15126006315.49</v>
      </c>
      <c r="P18" s="43">
        <v>5.8791140396790002E-2</v>
      </c>
      <c r="Q18" s="43" t="s">
        <v>26</v>
      </c>
      <c r="R18" s="43" t="s">
        <v>26</v>
      </c>
      <c r="S18" s="42">
        <v>5129668427.21</v>
      </c>
      <c r="T18" s="43">
        <v>4.0237318662410003E-2</v>
      </c>
      <c r="U18" s="43" t="s">
        <v>26</v>
      </c>
      <c r="V18" s="43" t="s">
        <v>26</v>
      </c>
      <c r="W18" s="42">
        <v>1162052783.48</v>
      </c>
      <c r="X18" s="43">
        <v>0.15688989585023</v>
      </c>
      <c r="Y18" s="43" t="s">
        <v>26</v>
      </c>
      <c r="Z18" s="43" t="s">
        <v>26</v>
      </c>
      <c r="AA18" s="42">
        <v>15063280271.969999</v>
      </c>
      <c r="AB18" s="43">
        <v>9.5025880097760002E-2</v>
      </c>
      <c r="AC18" s="43" t="s">
        <v>26</v>
      </c>
      <c r="AD18" s="43" t="s">
        <v>26</v>
      </c>
      <c r="AE18" s="42">
        <v>50625480220.18</v>
      </c>
      <c r="AF18" s="43">
        <v>6.8353221290129995E-2</v>
      </c>
      <c r="AG18" s="43" t="s">
        <v>26</v>
      </c>
      <c r="AH18" s="43" t="s">
        <v>26</v>
      </c>
      <c r="AI18" s="42">
        <v>1208402276.6900001</v>
      </c>
      <c r="AJ18" s="43">
        <v>6.3860247743149995E-2</v>
      </c>
      <c r="AK18" s="43" t="s">
        <v>26</v>
      </c>
      <c r="AL18" s="43" t="s">
        <v>26</v>
      </c>
      <c r="AM18" s="42">
        <v>1620048592.8599999</v>
      </c>
      <c r="AN18" s="43">
        <v>6.4252277716459999E-2</v>
      </c>
      <c r="AO18" s="43" t="s">
        <v>26</v>
      </c>
      <c r="AP18" s="43" t="s">
        <v>26</v>
      </c>
      <c r="AQ18" s="42">
        <v>2828450869.5500002</v>
      </c>
      <c r="AR18" s="43">
        <v>6.4084202934539994E-2</v>
      </c>
      <c r="AS18" s="43" t="s">
        <v>26</v>
      </c>
      <c r="AT18" s="43" t="s">
        <v>26</v>
      </c>
      <c r="AU18" s="42">
        <v>3800464082.3000002</v>
      </c>
      <c r="AV18" s="43">
        <v>7.1028810560739994E-2</v>
      </c>
      <c r="AW18" s="43" t="s">
        <v>26</v>
      </c>
      <c r="AX18" s="43" t="s">
        <v>26</v>
      </c>
      <c r="AY18" s="42">
        <v>57254395172.029999</v>
      </c>
      <c r="AZ18" s="43">
        <v>6.8299230895490004E-2</v>
      </c>
      <c r="BA18" s="43" t="s">
        <v>25</v>
      </c>
      <c r="BB18" s="43" t="s">
        <v>25</v>
      </c>
    </row>
    <row r="19" spans="1:54" s="7" customFormat="1">
      <c r="A19" s="5" t="s">
        <v>38</v>
      </c>
      <c r="B19" s="20" t="s">
        <v>25</v>
      </c>
      <c r="C19" s="9">
        <v>11659808.25</v>
      </c>
      <c r="D19" s="10">
        <v>1.45013478696E-3</v>
      </c>
      <c r="E19" s="10">
        <v>0.15</v>
      </c>
      <c r="F19" s="10">
        <v>0.14849999999999999</v>
      </c>
      <c r="G19" s="9">
        <v>7924357770.1400003</v>
      </c>
      <c r="H19" s="10">
        <v>4.4615115529619997E-2</v>
      </c>
      <c r="I19" s="9" t="s">
        <v>26</v>
      </c>
      <c r="J19" s="10" t="s">
        <v>26</v>
      </c>
      <c r="K19" s="2" t="s">
        <v>26</v>
      </c>
      <c r="L19" s="1" t="s">
        <v>26</v>
      </c>
      <c r="M19" s="1" t="s">
        <v>26</v>
      </c>
      <c r="N19" s="1" t="s">
        <v>26</v>
      </c>
      <c r="O19" s="9">
        <v>7498053575.75</v>
      </c>
      <c r="P19" s="10">
        <v>2.9143126829399998E-2</v>
      </c>
      <c r="Q19" s="10">
        <v>0.1419</v>
      </c>
      <c r="R19" s="10">
        <v>0.1128</v>
      </c>
      <c r="S19" s="9">
        <v>1504305279.6300001</v>
      </c>
      <c r="T19" s="10">
        <v>1.1799829123640001E-2</v>
      </c>
      <c r="U19" s="10">
        <v>0.05</v>
      </c>
      <c r="V19" s="10">
        <v>3.8199999999999998E-2</v>
      </c>
      <c r="W19" s="9">
        <v>7807149.3600000003</v>
      </c>
      <c r="X19" s="10">
        <v>1.0540509582599999E-3</v>
      </c>
      <c r="Y19" s="10">
        <v>0.15</v>
      </c>
      <c r="Z19" s="10">
        <v>0.1489</v>
      </c>
      <c r="AA19" s="9">
        <v>5321223662.71</v>
      </c>
      <c r="AB19" s="10">
        <v>3.356864856899E-2</v>
      </c>
      <c r="AC19" s="10">
        <v>0.13850000000000001</v>
      </c>
      <c r="AD19" s="10">
        <v>0.10489999999999999</v>
      </c>
      <c r="AE19" s="9">
        <v>22267407245.84</v>
      </c>
      <c r="AF19" s="10">
        <v>3.006488053867E-2</v>
      </c>
      <c r="AG19" s="10">
        <v>0.14380000000000001</v>
      </c>
      <c r="AH19" s="10">
        <v>0.1137</v>
      </c>
      <c r="AI19" s="9">
        <v>836788033.26999998</v>
      </c>
      <c r="AJ19" s="10">
        <v>4.4221607443089998E-2</v>
      </c>
      <c r="AK19" s="10">
        <v>0.05</v>
      </c>
      <c r="AL19" s="10">
        <v>5.7999999999999996E-3</v>
      </c>
      <c r="AM19" s="2" t="s">
        <v>26</v>
      </c>
      <c r="AN19" s="1" t="s">
        <v>26</v>
      </c>
      <c r="AO19" s="1" t="s">
        <v>26</v>
      </c>
      <c r="AP19" s="1" t="s">
        <v>26</v>
      </c>
      <c r="AQ19" s="9">
        <v>836788033.26999998</v>
      </c>
      <c r="AR19" s="10">
        <v>1.89591039797E-2</v>
      </c>
      <c r="AS19" s="10">
        <v>0.14349999999999999</v>
      </c>
      <c r="AT19" s="10">
        <v>0.1245</v>
      </c>
      <c r="AU19" s="9">
        <v>1340539975.8900001</v>
      </c>
      <c r="AV19" s="10">
        <v>2.5054034963789999E-2</v>
      </c>
      <c r="AW19" s="10">
        <v>0.05</v>
      </c>
      <c r="AX19" s="10">
        <v>2.4899999999999999E-2</v>
      </c>
      <c r="AY19" s="9">
        <v>24444735255</v>
      </c>
      <c r="AZ19" s="10">
        <v>2.9160322318379998E-2</v>
      </c>
      <c r="BA19" s="10">
        <v>0.14380000000000001</v>
      </c>
      <c r="BB19" s="10">
        <v>0.11459999999999999</v>
      </c>
    </row>
    <row r="20" spans="1:54" s="7" customFormat="1">
      <c r="A20" s="3" t="s">
        <v>39</v>
      </c>
      <c r="B20" s="23" t="s">
        <v>40</v>
      </c>
      <c r="C20" s="9" t="s">
        <v>26</v>
      </c>
      <c r="D20" s="10" t="s">
        <v>26</v>
      </c>
      <c r="E20" s="9" t="s">
        <v>26</v>
      </c>
      <c r="F20" s="10" t="s">
        <v>26</v>
      </c>
      <c r="G20" s="9" t="s">
        <v>26</v>
      </c>
      <c r="H20" s="10" t="s">
        <v>26</v>
      </c>
      <c r="I20" s="9" t="s">
        <v>26</v>
      </c>
      <c r="J20" s="10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4070816640</v>
      </c>
      <c r="P20" s="1">
        <v>0.54291645143291001</v>
      </c>
      <c r="Q20" s="1" t="s">
        <v>26</v>
      </c>
      <c r="R20" s="1" t="s">
        <v>26</v>
      </c>
      <c r="S20" s="2">
        <v>1003456301.76</v>
      </c>
      <c r="T20" s="1">
        <v>0.66705629192952998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4070816640</v>
      </c>
      <c r="AB20" s="1">
        <v>0.76501513524556997</v>
      </c>
      <c r="AC20" s="1" t="s">
        <v>26</v>
      </c>
      <c r="AD20" s="1" t="s">
        <v>26</v>
      </c>
      <c r="AE20" s="2">
        <v>9145089581.7600002</v>
      </c>
      <c r="AF20" s="1">
        <v>0.41069395645370999</v>
      </c>
      <c r="AG20" s="1" t="s">
        <v>26</v>
      </c>
      <c r="AH20" s="1" t="s">
        <v>26</v>
      </c>
      <c r="AI20" s="2">
        <v>364338089.27999997</v>
      </c>
      <c r="AJ20" s="1">
        <v>0.43540069264164999</v>
      </c>
      <c r="AK20" s="1" t="s">
        <v>25</v>
      </c>
      <c r="AL20" s="1" t="s">
        <v>25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364338089.27999997</v>
      </c>
      <c r="AR20" s="1">
        <v>0.43540069264164999</v>
      </c>
      <c r="AS20" s="1" t="s">
        <v>26</v>
      </c>
      <c r="AT20" s="1" t="s">
        <v>26</v>
      </c>
      <c r="AU20" s="2">
        <v>650312958.24000001</v>
      </c>
      <c r="AV20" s="1">
        <v>0.48511269334452001</v>
      </c>
      <c r="AW20" s="1" t="s">
        <v>26</v>
      </c>
      <c r="AX20" s="1" t="s">
        <v>26</v>
      </c>
      <c r="AY20" s="2">
        <v>10159740629.280001</v>
      </c>
      <c r="AZ20" s="1">
        <v>0.41562080846026001</v>
      </c>
      <c r="BA20" s="1" t="s">
        <v>26</v>
      </c>
      <c r="BB20" s="1" t="s">
        <v>26</v>
      </c>
    </row>
    <row r="21" spans="1:54" s="25" customFormat="1">
      <c r="A21" s="3" t="s">
        <v>41</v>
      </c>
      <c r="B21" s="23" t="s">
        <v>35</v>
      </c>
      <c r="C21" s="2">
        <v>11659808.25</v>
      </c>
      <c r="D21" s="1">
        <v>1</v>
      </c>
      <c r="E21" s="9" t="s">
        <v>26</v>
      </c>
      <c r="F21" s="10" t="s">
        <v>26</v>
      </c>
      <c r="G21" s="2">
        <v>7924357770.1400003</v>
      </c>
      <c r="H21" s="1">
        <v>1</v>
      </c>
      <c r="I21" s="9" t="s">
        <v>26</v>
      </c>
      <c r="J21" s="10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3427236935.75</v>
      </c>
      <c r="P21" s="1">
        <v>0.45708354856708999</v>
      </c>
      <c r="Q21" s="1" t="s">
        <v>26</v>
      </c>
      <c r="R21" s="1" t="s">
        <v>26</v>
      </c>
      <c r="S21" s="2">
        <v>500848977.87</v>
      </c>
      <c r="T21" s="1">
        <v>0.33294370807047002</v>
      </c>
      <c r="U21" s="1" t="s">
        <v>26</v>
      </c>
      <c r="V21" s="1" t="s">
        <v>26</v>
      </c>
      <c r="W21" s="2">
        <v>7807149.3600000003</v>
      </c>
      <c r="X21" s="1">
        <v>1</v>
      </c>
      <c r="Y21" s="1" t="s">
        <v>26</v>
      </c>
      <c r="Z21" s="1" t="s">
        <v>26</v>
      </c>
      <c r="AA21" s="2">
        <v>1250407022.71</v>
      </c>
      <c r="AB21" s="1">
        <v>0.23498486475443001</v>
      </c>
      <c r="AC21" s="1" t="s">
        <v>26</v>
      </c>
      <c r="AD21" s="1" t="s">
        <v>26</v>
      </c>
      <c r="AE21" s="2">
        <v>13122317664.08</v>
      </c>
      <c r="AF21" s="1">
        <v>0.58930604354629001</v>
      </c>
      <c r="AG21" s="1" t="s">
        <v>26</v>
      </c>
      <c r="AH21" s="1" t="s">
        <v>26</v>
      </c>
      <c r="AI21" s="2">
        <v>472449943.99000001</v>
      </c>
      <c r="AJ21" s="1">
        <v>0.56459930735834996</v>
      </c>
      <c r="AK21" s="1" t="s">
        <v>25</v>
      </c>
      <c r="AL21" s="1" t="s">
        <v>25</v>
      </c>
      <c r="AM21" s="2" t="s">
        <v>26</v>
      </c>
      <c r="AN21" s="1" t="s">
        <v>26</v>
      </c>
      <c r="AO21" s="1" t="s">
        <v>26</v>
      </c>
      <c r="AP21" s="1" t="s">
        <v>26</v>
      </c>
      <c r="AQ21" s="2">
        <v>472449943.99000001</v>
      </c>
      <c r="AR21" s="1">
        <v>0.56459930735834996</v>
      </c>
      <c r="AS21" s="1" t="s">
        <v>26</v>
      </c>
      <c r="AT21" s="1" t="s">
        <v>26</v>
      </c>
      <c r="AU21" s="2">
        <v>690227017.64999998</v>
      </c>
      <c r="AV21" s="1">
        <v>0.51488730665547999</v>
      </c>
      <c r="AW21" s="1" t="s">
        <v>26</v>
      </c>
      <c r="AX21" s="1" t="s">
        <v>26</v>
      </c>
      <c r="AY21" s="2">
        <v>14284994625.719999</v>
      </c>
      <c r="AZ21" s="1">
        <v>0.58437919153974005</v>
      </c>
      <c r="BA21" s="1" t="s">
        <v>26</v>
      </c>
      <c r="BB21" s="1" t="s">
        <v>26</v>
      </c>
    </row>
    <row r="22" spans="1:54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9" t="s">
        <v>26</v>
      </c>
      <c r="F22" s="10" t="s">
        <v>26</v>
      </c>
      <c r="G22" s="9" t="s">
        <v>26</v>
      </c>
      <c r="H22" s="10" t="s">
        <v>26</v>
      </c>
      <c r="I22" s="9" t="s">
        <v>26</v>
      </c>
      <c r="J22" s="10" t="s">
        <v>26</v>
      </c>
      <c r="K22" s="2" t="s">
        <v>26</v>
      </c>
      <c r="L22" s="1" t="s">
        <v>26</v>
      </c>
      <c r="M22" s="1" t="s">
        <v>26</v>
      </c>
      <c r="N22" s="1" t="s">
        <v>26</v>
      </c>
      <c r="O22" s="2" t="s">
        <v>26</v>
      </c>
      <c r="P22" s="1" t="s">
        <v>26</v>
      </c>
      <c r="Q22" s="1" t="s">
        <v>26</v>
      </c>
      <c r="R22" s="1" t="s">
        <v>26</v>
      </c>
      <c r="S22" s="9">
        <v>3925609.11</v>
      </c>
      <c r="T22" s="10">
        <v>3.0792630550000003E-5</v>
      </c>
      <c r="U22" s="10">
        <v>0.15</v>
      </c>
      <c r="V22" s="10">
        <v>0.15</v>
      </c>
      <c r="W22" s="9">
        <v>59476767.659999996</v>
      </c>
      <c r="X22" s="10">
        <v>8.0300172387499993E-3</v>
      </c>
      <c r="Y22" s="10">
        <v>0.15</v>
      </c>
      <c r="Z22" s="10">
        <v>0.14199999999999999</v>
      </c>
      <c r="AA22" s="9">
        <v>155983287.59999999</v>
      </c>
      <c r="AB22" s="10">
        <v>9.8401204234000003E-4</v>
      </c>
      <c r="AC22" s="10">
        <v>0.15</v>
      </c>
      <c r="AD22" s="10">
        <v>0.14899999999999999</v>
      </c>
      <c r="AE22" s="9">
        <v>219385664.37</v>
      </c>
      <c r="AF22" s="10">
        <v>2.9620888136000002E-4</v>
      </c>
      <c r="AG22" s="10">
        <v>0.15</v>
      </c>
      <c r="AH22" s="10">
        <v>0.1497</v>
      </c>
      <c r="AI22" s="2" t="s">
        <v>26</v>
      </c>
      <c r="AJ22" s="1" t="s">
        <v>26</v>
      </c>
      <c r="AK22" s="1" t="s">
        <v>26</v>
      </c>
      <c r="AL22" s="1" t="s">
        <v>26</v>
      </c>
      <c r="AM22" s="2" t="s">
        <v>26</v>
      </c>
      <c r="AN22" s="1" t="s">
        <v>26</v>
      </c>
      <c r="AO22" s="1" t="s">
        <v>26</v>
      </c>
      <c r="AP22" s="1" t="s">
        <v>26</v>
      </c>
      <c r="AQ22" s="2" t="s">
        <v>26</v>
      </c>
      <c r="AR22" s="1" t="s">
        <v>26</v>
      </c>
      <c r="AS22" s="1" t="s">
        <v>26</v>
      </c>
      <c r="AT22" s="1" t="s">
        <v>26</v>
      </c>
      <c r="AU22" s="9">
        <v>74501909.510000005</v>
      </c>
      <c r="AV22" s="10">
        <v>1.39240416497E-3</v>
      </c>
      <c r="AW22" s="10">
        <v>0.15</v>
      </c>
      <c r="AX22" s="10">
        <v>0.14860000000000001</v>
      </c>
      <c r="AY22" s="9">
        <v>293887573.88</v>
      </c>
      <c r="AZ22" s="10">
        <v>3.5058086292999999E-4</v>
      </c>
      <c r="BA22" s="10">
        <v>0.15</v>
      </c>
      <c r="BB22" s="10">
        <v>0.14960000000000001</v>
      </c>
    </row>
    <row r="23" spans="1:54" s="28" customFormat="1">
      <c r="A23" s="3" t="s">
        <v>41</v>
      </c>
      <c r="B23" s="23" t="s">
        <v>35</v>
      </c>
      <c r="C23" s="9" t="s">
        <v>26</v>
      </c>
      <c r="D23" s="10" t="s">
        <v>26</v>
      </c>
      <c r="E23" s="9" t="s">
        <v>26</v>
      </c>
      <c r="F23" s="10" t="s">
        <v>26</v>
      </c>
      <c r="G23" s="9" t="s">
        <v>26</v>
      </c>
      <c r="H23" s="10" t="s">
        <v>26</v>
      </c>
      <c r="I23" s="9" t="s">
        <v>26</v>
      </c>
      <c r="J23" s="10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>
        <v>3925609.11</v>
      </c>
      <c r="T23" s="1">
        <v>1</v>
      </c>
      <c r="U23" s="1" t="s">
        <v>26</v>
      </c>
      <c r="V23" s="1" t="s">
        <v>26</v>
      </c>
      <c r="W23" s="2">
        <v>59476767.659999996</v>
      </c>
      <c r="X23" s="1">
        <v>1</v>
      </c>
      <c r="Y23" s="1" t="s">
        <v>26</v>
      </c>
      <c r="Z23" s="1" t="s">
        <v>26</v>
      </c>
      <c r="AA23" s="2">
        <v>155983287.59999999</v>
      </c>
      <c r="AB23" s="1">
        <v>1</v>
      </c>
      <c r="AC23" s="1" t="s">
        <v>26</v>
      </c>
      <c r="AD23" s="1" t="s">
        <v>26</v>
      </c>
      <c r="AE23" s="2">
        <v>219385664.37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>
        <v>74501909.510000005</v>
      </c>
      <c r="AV23" s="1">
        <v>1</v>
      </c>
      <c r="AW23" s="1" t="s">
        <v>26</v>
      </c>
      <c r="AX23" s="1" t="s">
        <v>26</v>
      </c>
      <c r="AY23" s="2">
        <v>293887573.88</v>
      </c>
      <c r="AZ23" s="1">
        <v>1</v>
      </c>
      <c r="BA23" s="1" t="s">
        <v>26</v>
      </c>
      <c r="BB23" s="1" t="s">
        <v>26</v>
      </c>
    </row>
    <row r="24" spans="1:54" s="7" customFormat="1">
      <c r="A24" s="5" t="s">
        <v>43</v>
      </c>
      <c r="B24" s="20" t="s">
        <v>25</v>
      </c>
      <c r="C24" s="9">
        <v>237195404.09999999</v>
      </c>
      <c r="D24" s="10">
        <v>2.9500082627309999E-2</v>
      </c>
      <c r="E24" s="10">
        <v>0.13500000000000001</v>
      </c>
      <c r="F24" s="10">
        <v>0.1055</v>
      </c>
      <c r="G24" s="9" t="s">
        <v>26</v>
      </c>
      <c r="H24" s="10" t="s">
        <v>26</v>
      </c>
      <c r="I24" s="9" t="s">
        <v>26</v>
      </c>
      <c r="J24" s="10" t="s">
        <v>26</v>
      </c>
      <c r="K24" s="9">
        <v>71408261.540000007</v>
      </c>
      <c r="L24" s="10">
        <v>1.6625678114719999E-2</v>
      </c>
      <c r="M24" s="10">
        <v>0.13500000000000001</v>
      </c>
      <c r="N24" s="10">
        <v>0.11840000000000001</v>
      </c>
      <c r="O24" s="2" t="s">
        <v>26</v>
      </c>
      <c r="P24" s="1" t="s">
        <v>26</v>
      </c>
      <c r="Q24" s="1" t="s">
        <v>26</v>
      </c>
      <c r="R24" s="1" t="s">
        <v>26</v>
      </c>
      <c r="S24" s="2" t="s">
        <v>26</v>
      </c>
      <c r="T24" s="1" t="s">
        <v>26</v>
      </c>
      <c r="U24" s="1" t="s">
        <v>26</v>
      </c>
      <c r="V24" s="1" t="s">
        <v>26</v>
      </c>
      <c r="W24" s="2" t="s">
        <v>26</v>
      </c>
      <c r="X24" s="1" t="s">
        <v>26</v>
      </c>
      <c r="Y24" s="1" t="s">
        <v>26</v>
      </c>
      <c r="Z24" s="1" t="s">
        <v>26</v>
      </c>
      <c r="AA24" s="2" t="s">
        <v>26</v>
      </c>
      <c r="AB24" s="1" t="s">
        <v>26</v>
      </c>
      <c r="AC24" s="1" t="s">
        <v>26</v>
      </c>
      <c r="AD24" s="1" t="s">
        <v>26</v>
      </c>
      <c r="AE24" s="9">
        <v>308603665.63999999</v>
      </c>
      <c r="AF24" s="10">
        <v>4.1666873196000002E-4</v>
      </c>
      <c r="AG24" s="10">
        <v>0.13500000000000001</v>
      </c>
      <c r="AH24" s="10">
        <v>0.1346</v>
      </c>
      <c r="AI24" s="2" t="s">
        <v>26</v>
      </c>
      <c r="AJ24" s="1" t="s">
        <v>26</v>
      </c>
      <c r="AK24" s="1" t="s">
        <v>26</v>
      </c>
      <c r="AL24" s="1" t="s">
        <v>26</v>
      </c>
      <c r="AM24" s="2" t="s">
        <v>26</v>
      </c>
      <c r="AN24" s="1" t="s">
        <v>26</v>
      </c>
      <c r="AO24" s="1" t="s">
        <v>26</v>
      </c>
      <c r="AP24" s="1" t="s">
        <v>26</v>
      </c>
      <c r="AQ24" s="2" t="s">
        <v>26</v>
      </c>
      <c r="AR24" s="1" t="s">
        <v>26</v>
      </c>
      <c r="AS24" s="1" t="s">
        <v>26</v>
      </c>
      <c r="AT24" s="1" t="s">
        <v>26</v>
      </c>
      <c r="AU24" s="2" t="s">
        <v>26</v>
      </c>
      <c r="AV24" s="1" t="s">
        <v>26</v>
      </c>
      <c r="AW24" s="1" t="s">
        <v>26</v>
      </c>
      <c r="AX24" s="1" t="s">
        <v>26</v>
      </c>
      <c r="AY24" s="9">
        <v>308603665.63999999</v>
      </c>
      <c r="AZ24" s="10">
        <v>3.6813580776000001E-4</v>
      </c>
      <c r="BA24" s="10">
        <v>0.13500000000000001</v>
      </c>
      <c r="BB24" s="10">
        <v>0.1346</v>
      </c>
    </row>
    <row r="25" spans="1:54" s="7" customFormat="1">
      <c r="A25" s="3" t="s">
        <v>41</v>
      </c>
      <c r="B25" s="23" t="s">
        <v>44</v>
      </c>
      <c r="C25" s="2">
        <v>237195404.09999999</v>
      </c>
      <c r="D25" s="1">
        <v>1</v>
      </c>
      <c r="E25" s="9" t="s">
        <v>26</v>
      </c>
      <c r="F25" s="10" t="s">
        <v>26</v>
      </c>
      <c r="G25" s="9" t="s">
        <v>26</v>
      </c>
      <c r="H25" s="10" t="s">
        <v>26</v>
      </c>
      <c r="I25" s="9" t="s">
        <v>26</v>
      </c>
      <c r="J25" s="10" t="s">
        <v>26</v>
      </c>
      <c r="K25" s="2">
        <v>71408261.540000007</v>
      </c>
      <c r="L25" s="1">
        <v>1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308603665.63999999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308603665.63999999</v>
      </c>
      <c r="AZ25" s="1">
        <v>1</v>
      </c>
      <c r="BA25" s="1" t="s">
        <v>26</v>
      </c>
      <c r="BB25" s="1" t="s">
        <v>26</v>
      </c>
    </row>
    <row r="26" spans="1:54" s="7" customFormat="1">
      <c r="A26" s="5" t="s">
        <v>45</v>
      </c>
      <c r="B26" s="20" t="s">
        <v>25</v>
      </c>
      <c r="C26" s="9">
        <v>20459943.199999999</v>
      </c>
      <c r="D26" s="10">
        <v>2.5446109179099998E-3</v>
      </c>
      <c r="E26" s="10">
        <v>0.13500000000000001</v>
      </c>
      <c r="F26" s="10">
        <v>0.13250000000000001</v>
      </c>
      <c r="G26" s="9">
        <v>1474182384.9000001</v>
      </c>
      <c r="H26" s="10">
        <v>8.2998293769500006E-3</v>
      </c>
      <c r="I26" s="10">
        <v>0.13500000000000001</v>
      </c>
      <c r="J26" s="10">
        <v>0.12670000000000001</v>
      </c>
      <c r="K26" s="2" t="s">
        <v>26</v>
      </c>
      <c r="L26" s="1" t="s">
        <v>26</v>
      </c>
      <c r="M26" s="1" t="s">
        <v>26</v>
      </c>
      <c r="N26" s="1" t="s">
        <v>26</v>
      </c>
      <c r="O26" s="9">
        <v>1639283896.5</v>
      </c>
      <c r="P26" s="10">
        <v>6.3715013533100001E-3</v>
      </c>
      <c r="Q26" s="10">
        <v>0.13500000000000001</v>
      </c>
      <c r="R26" s="10">
        <v>0.12859999999999999</v>
      </c>
      <c r="S26" s="9">
        <v>910732846.04999995</v>
      </c>
      <c r="T26" s="10">
        <v>7.1438238675299998E-3</v>
      </c>
      <c r="U26" s="10">
        <v>0.13650000000000001</v>
      </c>
      <c r="V26" s="10">
        <v>0.12939999999999999</v>
      </c>
      <c r="W26" s="2" t="s">
        <v>26</v>
      </c>
      <c r="X26" s="1" t="s">
        <v>26</v>
      </c>
      <c r="Y26" s="1" t="s">
        <v>26</v>
      </c>
      <c r="Z26" s="1" t="s">
        <v>26</v>
      </c>
      <c r="AA26" s="9">
        <v>2936592806.0900002</v>
      </c>
      <c r="AB26" s="10">
        <v>1.8525335175939999E-2</v>
      </c>
      <c r="AC26" s="10">
        <v>0.05</v>
      </c>
      <c r="AD26" s="10">
        <v>3.15E-2</v>
      </c>
      <c r="AE26" s="9">
        <v>6981251876.7399998</v>
      </c>
      <c r="AF26" s="10">
        <v>9.4259067240000001E-3</v>
      </c>
      <c r="AG26" s="10">
        <v>0.13789999999999999</v>
      </c>
      <c r="AH26" s="10">
        <v>0.1285</v>
      </c>
      <c r="AI26" s="9">
        <v>21280849</v>
      </c>
      <c r="AJ26" s="10">
        <v>1.12462572733E-3</v>
      </c>
      <c r="AK26" s="10">
        <v>0.15</v>
      </c>
      <c r="AL26" s="10">
        <v>0.1489</v>
      </c>
      <c r="AM26" s="2" t="s">
        <v>26</v>
      </c>
      <c r="AN26" s="1" t="s">
        <v>26</v>
      </c>
      <c r="AO26" s="1" t="s">
        <v>26</v>
      </c>
      <c r="AP26" s="1" t="s">
        <v>26</v>
      </c>
      <c r="AQ26" s="9">
        <v>21280849</v>
      </c>
      <c r="AR26" s="10">
        <v>4.8216013247000001E-4</v>
      </c>
      <c r="AS26" s="10">
        <v>0.15</v>
      </c>
      <c r="AT26" s="10">
        <v>0.14949999999999999</v>
      </c>
      <c r="AU26" s="9">
        <v>1050991579.05</v>
      </c>
      <c r="AV26" s="10">
        <v>1.9642517374900002E-2</v>
      </c>
      <c r="AW26" s="10">
        <v>0.1361</v>
      </c>
      <c r="AX26" s="10">
        <v>0.11650000000000001</v>
      </c>
      <c r="AY26" s="9">
        <v>8053524304.79</v>
      </c>
      <c r="AZ26" s="10">
        <v>9.6071142549399996E-3</v>
      </c>
      <c r="BA26" s="10">
        <v>0.13769999999999999</v>
      </c>
      <c r="BB26" s="10">
        <v>0.12809999999999999</v>
      </c>
    </row>
    <row r="27" spans="1:54" s="7" customFormat="1">
      <c r="A27" s="3" t="s">
        <v>39</v>
      </c>
      <c r="B27" s="23" t="s">
        <v>40</v>
      </c>
      <c r="C27" s="2">
        <v>20459943.199999999</v>
      </c>
      <c r="D27" s="1">
        <v>1</v>
      </c>
      <c r="E27" s="9" t="s">
        <v>26</v>
      </c>
      <c r="F27" s="10" t="s">
        <v>26</v>
      </c>
      <c r="G27" s="2">
        <v>1474182384.9000001</v>
      </c>
      <c r="H27" s="1">
        <v>1</v>
      </c>
      <c r="I27" s="9" t="s">
        <v>26</v>
      </c>
      <c r="J27" s="10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1639283896.5</v>
      </c>
      <c r="P27" s="1">
        <v>1</v>
      </c>
      <c r="Q27" s="1" t="s">
        <v>26</v>
      </c>
      <c r="R27" s="1" t="s">
        <v>26</v>
      </c>
      <c r="S27" s="2">
        <v>819108711</v>
      </c>
      <c r="T27" s="1">
        <v>0.89939515693609995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1664902302.8399999</v>
      </c>
      <c r="AB27" s="1">
        <v>0.56695034442203995</v>
      </c>
      <c r="AC27" s="1" t="s">
        <v>26</v>
      </c>
      <c r="AD27" s="1" t="s">
        <v>26</v>
      </c>
      <c r="AE27" s="2">
        <v>5617937238.4399996</v>
      </c>
      <c r="AF27" s="1">
        <v>0.80471774083351999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974691234</v>
      </c>
      <c r="AV27" s="1">
        <v>0.92740156384604999</v>
      </c>
      <c r="AW27" s="1" t="s">
        <v>26</v>
      </c>
      <c r="AX27" s="1" t="s">
        <v>26</v>
      </c>
      <c r="AY27" s="2">
        <v>6592628472.4399996</v>
      </c>
      <c r="AZ27" s="1">
        <v>0.81860167337161005</v>
      </c>
      <c r="BA27" s="1" t="s">
        <v>26</v>
      </c>
      <c r="BB27" s="1" t="s">
        <v>26</v>
      </c>
    </row>
    <row r="28" spans="1:54" s="7" customFormat="1">
      <c r="A28" s="3" t="s">
        <v>41</v>
      </c>
      <c r="B28" s="23" t="s">
        <v>35</v>
      </c>
      <c r="C28" s="9" t="s">
        <v>26</v>
      </c>
      <c r="D28" s="10" t="s">
        <v>26</v>
      </c>
      <c r="E28" s="9" t="s">
        <v>26</v>
      </c>
      <c r="F28" s="10" t="s">
        <v>26</v>
      </c>
      <c r="G28" s="9" t="s">
        <v>26</v>
      </c>
      <c r="H28" s="10" t="s">
        <v>26</v>
      </c>
      <c r="I28" s="9" t="s">
        <v>26</v>
      </c>
      <c r="J28" s="10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>
        <v>91624135.049999997</v>
      </c>
      <c r="T28" s="1">
        <v>0.1006048430639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1271690503.25</v>
      </c>
      <c r="AB28" s="1">
        <v>0.43304965557795999</v>
      </c>
      <c r="AC28" s="1" t="s">
        <v>26</v>
      </c>
      <c r="AD28" s="1" t="s">
        <v>26</v>
      </c>
      <c r="AE28" s="2">
        <v>1363314638.3</v>
      </c>
      <c r="AF28" s="1">
        <v>0.19528225916648001</v>
      </c>
      <c r="AG28" s="1" t="s">
        <v>26</v>
      </c>
      <c r="AH28" s="1" t="s">
        <v>26</v>
      </c>
      <c r="AI28" s="2">
        <v>21280849</v>
      </c>
      <c r="AJ28" s="1">
        <v>1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>
        <v>21280849</v>
      </c>
      <c r="AR28" s="1">
        <v>1</v>
      </c>
      <c r="AS28" s="1" t="s">
        <v>26</v>
      </c>
      <c r="AT28" s="1" t="s">
        <v>26</v>
      </c>
      <c r="AU28" s="2">
        <v>76300345.049999997</v>
      </c>
      <c r="AV28" s="1">
        <v>7.2598436153949994E-2</v>
      </c>
      <c r="AW28" s="1" t="s">
        <v>26</v>
      </c>
      <c r="AX28" s="1" t="s">
        <v>26</v>
      </c>
      <c r="AY28" s="2">
        <v>1460895832.3499999</v>
      </c>
      <c r="AZ28" s="1">
        <v>0.18139832662839001</v>
      </c>
      <c r="BA28" s="1" t="s">
        <v>26</v>
      </c>
      <c r="BB28" s="1" t="s">
        <v>26</v>
      </c>
    </row>
    <row r="29" spans="1:54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9" t="s">
        <v>26</v>
      </c>
      <c r="F29" s="10" t="s">
        <v>26</v>
      </c>
      <c r="G29" s="9" t="s">
        <v>26</v>
      </c>
      <c r="H29" s="10" t="s">
        <v>26</v>
      </c>
      <c r="I29" s="9" t="s">
        <v>26</v>
      </c>
      <c r="J29" s="10" t="s">
        <v>26</v>
      </c>
      <c r="K29" s="9">
        <v>72173227.900000006</v>
      </c>
      <c r="L29" s="10">
        <v>1.680378193906E-2</v>
      </c>
      <c r="M29" s="10">
        <v>0.13500000000000001</v>
      </c>
      <c r="N29" s="10">
        <v>0.1182</v>
      </c>
      <c r="O29" s="2" t="s">
        <v>26</v>
      </c>
      <c r="P29" s="1" t="s">
        <v>26</v>
      </c>
      <c r="Q29" s="1" t="s">
        <v>26</v>
      </c>
      <c r="R29" s="1" t="s">
        <v>26</v>
      </c>
      <c r="S29" s="9">
        <v>16536909.390000001</v>
      </c>
      <c r="T29" s="10">
        <v>1.2971616046000001E-4</v>
      </c>
      <c r="U29" s="10">
        <v>0.13500000000000001</v>
      </c>
      <c r="V29" s="10">
        <v>0.13489999999999999</v>
      </c>
      <c r="W29" s="2" t="s">
        <v>26</v>
      </c>
      <c r="X29" s="1" t="s">
        <v>26</v>
      </c>
      <c r="Y29" s="1" t="s">
        <v>26</v>
      </c>
      <c r="Z29" s="1" t="s">
        <v>26</v>
      </c>
      <c r="AA29" s="2" t="s">
        <v>26</v>
      </c>
      <c r="AB29" s="1" t="s">
        <v>26</v>
      </c>
      <c r="AC29" s="1" t="s">
        <v>26</v>
      </c>
      <c r="AD29" s="1" t="s">
        <v>26</v>
      </c>
      <c r="AE29" s="9">
        <v>88710137.290000007</v>
      </c>
      <c r="AF29" s="10">
        <v>1.1977414572E-4</v>
      </c>
      <c r="AG29" s="10">
        <v>0.13500000000000001</v>
      </c>
      <c r="AH29" s="10">
        <v>0.13489999999999999</v>
      </c>
      <c r="AI29" s="2" t="s">
        <v>26</v>
      </c>
      <c r="AJ29" s="1" t="s">
        <v>26</v>
      </c>
      <c r="AK29" s="1" t="s">
        <v>26</v>
      </c>
      <c r="AL29" s="1" t="s">
        <v>26</v>
      </c>
      <c r="AM29" s="9">
        <v>676901560.02999997</v>
      </c>
      <c r="AN29" s="10">
        <v>2.6846396591709999E-2</v>
      </c>
      <c r="AO29" s="10">
        <v>0.13500000000000001</v>
      </c>
      <c r="AP29" s="10">
        <v>0.1082</v>
      </c>
      <c r="AQ29" s="9">
        <v>676901560.02999997</v>
      </c>
      <c r="AR29" s="10">
        <v>1.5336556631290001E-2</v>
      </c>
      <c r="AS29" s="10">
        <v>0.13500000000000001</v>
      </c>
      <c r="AT29" s="10">
        <v>0.1197</v>
      </c>
      <c r="AU29" s="9">
        <v>5646749.5499999998</v>
      </c>
      <c r="AV29" s="10">
        <v>1.0553498083000001E-4</v>
      </c>
      <c r="AW29" s="10">
        <v>0.13500000000000001</v>
      </c>
      <c r="AX29" s="10">
        <v>0.13489999999999999</v>
      </c>
      <c r="AY29" s="9">
        <v>771258446.87</v>
      </c>
      <c r="AZ29" s="10">
        <v>9.2004043680000004E-4</v>
      </c>
      <c r="BA29" s="10">
        <v>0.13500000000000001</v>
      </c>
      <c r="BB29" s="10">
        <v>0.1341</v>
      </c>
    </row>
    <row r="30" spans="1:54" s="7" customFormat="1">
      <c r="A30" s="3" t="s">
        <v>41</v>
      </c>
      <c r="B30" s="23" t="s">
        <v>44</v>
      </c>
      <c r="C30" s="9" t="s">
        <v>26</v>
      </c>
      <c r="D30" s="10" t="s">
        <v>26</v>
      </c>
      <c r="E30" s="9" t="s">
        <v>26</v>
      </c>
      <c r="F30" s="10" t="s">
        <v>26</v>
      </c>
      <c r="G30" s="9" t="s">
        <v>26</v>
      </c>
      <c r="H30" s="10" t="s">
        <v>26</v>
      </c>
      <c r="I30" s="9" t="s">
        <v>26</v>
      </c>
      <c r="J30" s="10" t="s">
        <v>26</v>
      </c>
      <c r="K30" s="2">
        <v>72173227.900000006</v>
      </c>
      <c r="L30" s="1">
        <v>1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16536909.390000001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88710137.290000007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676901560.02999997</v>
      </c>
      <c r="AN30" s="1">
        <v>1</v>
      </c>
      <c r="AO30" s="1" t="s">
        <v>26</v>
      </c>
      <c r="AP30" s="1" t="s">
        <v>26</v>
      </c>
      <c r="AQ30" s="2">
        <v>676901560.02999997</v>
      </c>
      <c r="AR30" s="1">
        <v>1</v>
      </c>
      <c r="AS30" s="1" t="s">
        <v>26</v>
      </c>
      <c r="AT30" s="1" t="s">
        <v>26</v>
      </c>
      <c r="AU30" s="2">
        <v>5646749.5499999998</v>
      </c>
      <c r="AV30" s="1">
        <v>1</v>
      </c>
      <c r="AW30" s="1" t="s">
        <v>26</v>
      </c>
      <c r="AX30" s="1" t="s">
        <v>26</v>
      </c>
      <c r="AY30" s="2">
        <v>771258446.87</v>
      </c>
      <c r="AZ30" s="1">
        <v>1</v>
      </c>
      <c r="BA30" s="1" t="s">
        <v>26</v>
      </c>
      <c r="BB30" s="1" t="s">
        <v>26</v>
      </c>
    </row>
    <row r="31" spans="1:54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9" t="s">
        <v>26</v>
      </c>
      <c r="F31" s="10" t="s">
        <v>26</v>
      </c>
      <c r="G31" s="9">
        <v>20074620.41</v>
      </c>
      <c r="H31" s="10">
        <v>1.1302259878000001E-4</v>
      </c>
      <c r="I31" s="10">
        <v>0.13500000000000001</v>
      </c>
      <c r="J31" s="10">
        <v>0.13489999999999999</v>
      </c>
      <c r="K31" s="9">
        <v>214840360.21000001</v>
      </c>
      <c r="L31" s="10">
        <v>5.0020356158649998E-2</v>
      </c>
      <c r="M31" s="10">
        <v>0.13500000000000001</v>
      </c>
      <c r="N31" s="10">
        <v>8.5000000000000006E-2</v>
      </c>
      <c r="O31" s="2" t="s">
        <v>26</v>
      </c>
      <c r="P31" s="1" t="s">
        <v>26</v>
      </c>
      <c r="Q31" s="1" t="s">
        <v>26</v>
      </c>
      <c r="R31" s="1" t="s">
        <v>26</v>
      </c>
      <c r="S31" s="2" t="s">
        <v>26</v>
      </c>
      <c r="T31" s="1" t="s">
        <v>26</v>
      </c>
      <c r="U31" s="1" t="s">
        <v>26</v>
      </c>
      <c r="V31" s="1" t="s">
        <v>26</v>
      </c>
      <c r="W31" s="2" t="s">
        <v>26</v>
      </c>
      <c r="X31" s="1" t="s">
        <v>26</v>
      </c>
      <c r="Y31" s="1" t="s">
        <v>26</v>
      </c>
      <c r="Z31" s="1" t="s">
        <v>26</v>
      </c>
      <c r="AA31" s="2" t="s">
        <v>26</v>
      </c>
      <c r="AB31" s="1" t="s">
        <v>26</v>
      </c>
      <c r="AC31" s="1" t="s">
        <v>26</v>
      </c>
      <c r="AD31" s="1" t="s">
        <v>26</v>
      </c>
      <c r="AE31" s="9">
        <v>234914980.62</v>
      </c>
      <c r="AF31" s="10">
        <v>3.1717616475000001E-4</v>
      </c>
      <c r="AG31" s="10">
        <v>0.13500000000000001</v>
      </c>
      <c r="AH31" s="10">
        <v>0.13469999999999999</v>
      </c>
      <c r="AI31" s="9">
        <v>6135677.0700000003</v>
      </c>
      <c r="AJ31" s="10">
        <v>3.2425117473000001E-4</v>
      </c>
      <c r="AK31" s="10">
        <v>0.13500000000000001</v>
      </c>
      <c r="AL31" s="10">
        <v>0.13469999999999999</v>
      </c>
      <c r="AM31" s="2" t="s">
        <v>26</v>
      </c>
      <c r="AN31" s="1" t="s">
        <v>26</v>
      </c>
      <c r="AO31" s="1" t="s">
        <v>26</v>
      </c>
      <c r="AP31" s="1" t="s">
        <v>26</v>
      </c>
      <c r="AQ31" s="9">
        <v>6135677.0700000003</v>
      </c>
      <c r="AR31" s="10">
        <v>1.3901601712E-4</v>
      </c>
      <c r="AS31" s="10">
        <v>0.13500000000000001</v>
      </c>
      <c r="AT31" s="10">
        <v>0.13489999999999999</v>
      </c>
      <c r="AU31" s="2" t="s">
        <v>26</v>
      </c>
      <c r="AV31" s="1" t="s">
        <v>26</v>
      </c>
      <c r="AW31" s="1" t="s">
        <v>26</v>
      </c>
      <c r="AX31" s="1" t="s">
        <v>26</v>
      </c>
      <c r="AY31" s="9">
        <v>241050657.69</v>
      </c>
      <c r="AZ31" s="10">
        <v>2.8755127841999998E-4</v>
      </c>
      <c r="BA31" s="10">
        <v>0.13500000000000001</v>
      </c>
      <c r="BB31" s="10">
        <v>0.13469999999999999</v>
      </c>
    </row>
    <row r="32" spans="1:54" s="7" customFormat="1">
      <c r="A32" s="3" t="s">
        <v>41</v>
      </c>
      <c r="B32" s="23" t="s">
        <v>44</v>
      </c>
      <c r="C32" s="9" t="s">
        <v>26</v>
      </c>
      <c r="D32" s="10" t="s">
        <v>26</v>
      </c>
      <c r="E32" s="9" t="s">
        <v>26</v>
      </c>
      <c r="F32" s="10" t="s">
        <v>26</v>
      </c>
      <c r="G32" s="2">
        <v>20074620.41</v>
      </c>
      <c r="H32" s="1">
        <v>1</v>
      </c>
      <c r="I32" s="1" t="s">
        <v>26</v>
      </c>
      <c r="J32" s="1" t="s">
        <v>26</v>
      </c>
      <c r="K32" s="2">
        <v>214840360.21000001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234914980.62</v>
      </c>
      <c r="AF32" s="1">
        <v>1</v>
      </c>
      <c r="AG32" s="1" t="s">
        <v>26</v>
      </c>
      <c r="AH32" s="1" t="s">
        <v>26</v>
      </c>
      <c r="AI32" s="2">
        <v>6135677.0700000003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6135677.0700000003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241050657.69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9" t="s">
        <v>26</v>
      </c>
      <c r="F33" s="10" t="s">
        <v>26</v>
      </c>
      <c r="G33" s="9">
        <v>200700320.87</v>
      </c>
      <c r="H33" s="10">
        <v>1.1299676594800001E-3</v>
      </c>
      <c r="I33" s="49">
        <v>0.13500000000000001</v>
      </c>
      <c r="J33" s="10">
        <v>0.13389999999999999</v>
      </c>
      <c r="K33" s="9">
        <v>120168566.37</v>
      </c>
      <c r="L33" s="10">
        <v>2.7978329970339999E-2</v>
      </c>
      <c r="M33" s="10">
        <v>0.13500000000000001</v>
      </c>
      <c r="N33" s="10">
        <v>0.107</v>
      </c>
      <c r="O33" s="2" t="s">
        <v>26</v>
      </c>
      <c r="P33" s="1" t="s">
        <v>26</v>
      </c>
      <c r="Q33" s="1" t="s">
        <v>26</v>
      </c>
      <c r="R33" s="1" t="s">
        <v>26</v>
      </c>
      <c r="S33" s="2" t="s">
        <v>26</v>
      </c>
      <c r="T33" s="1" t="s">
        <v>26</v>
      </c>
      <c r="U33" s="1" t="s">
        <v>26</v>
      </c>
      <c r="V33" s="1" t="s">
        <v>26</v>
      </c>
      <c r="W33" s="2" t="s">
        <v>26</v>
      </c>
      <c r="X33" s="1" t="s">
        <v>26</v>
      </c>
      <c r="Y33" s="1" t="s">
        <v>26</v>
      </c>
      <c r="Z33" s="1" t="s">
        <v>26</v>
      </c>
      <c r="AA33" s="9">
        <v>50912072.32</v>
      </c>
      <c r="AB33" s="10">
        <v>3.2117602491000001E-4</v>
      </c>
      <c r="AC33" s="10">
        <v>0.13500000000000001</v>
      </c>
      <c r="AD33" s="10">
        <v>0.13469999999999999</v>
      </c>
      <c r="AE33" s="9">
        <v>371780959.56</v>
      </c>
      <c r="AF33" s="10">
        <v>5.0196908927999996E-4</v>
      </c>
      <c r="AG33" s="10">
        <v>0.13500000000000001</v>
      </c>
      <c r="AH33" s="10">
        <v>0.13450000000000001</v>
      </c>
      <c r="AI33" s="9">
        <v>20577337.739999998</v>
      </c>
      <c r="AJ33" s="10">
        <v>1.0874473768500001E-3</v>
      </c>
      <c r="AK33" s="10">
        <v>0.13500000000000001</v>
      </c>
      <c r="AL33" s="10">
        <v>0.13389999999999999</v>
      </c>
      <c r="AM33" s="2" t="s">
        <v>26</v>
      </c>
      <c r="AN33" s="1" t="s">
        <v>26</v>
      </c>
      <c r="AO33" s="1" t="s">
        <v>26</v>
      </c>
      <c r="AP33" s="1" t="s">
        <v>26</v>
      </c>
      <c r="AQ33" s="9">
        <v>20577337.739999998</v>
      </c>
      <c r="AR33" s="10">
        <v>4.6622067994000002E-4</v>
      </c>
      <c r="AS33" s="10">
        <v>0.13500000000000001</v>
      </c>
      <c r="AT33" s="10">
        <v>0.13450000000000001</v>
      </c>
      <c r="AU33" s="2" t="s">
        <v>26</v>
      </c>
      <c r="AV33" s="1" t="s">
        <v>26</v>
      </c>
      <c r="AW33" s="1" t="s">
        <v>26</v>
      </c>
      <c r="AX33" s="1" t="s">
        <v>26</v>
      </c>
      <c r="AY33" s="9">
        <v>392358297.30000001</v>
      </c>
      <c r="AZ33" s="10">
        <v>4.6804738502000001E-4</v>
      </c>
      <c r="BA33" s="10">
        <v>0.13500000000000001</v>
      </c>
      <c r="BB33" s="10">
        <v>0.13450000000000001</v>
      </c>
    </row>
    <row r="34" spans="1:54" s="7" customFormat="1">
      <c r="A34" s="3" t="s">
        <v>41</v>
      </c>
      <c r="B34" s="23" t="s">
        <v>44</v>
      </c>
      <c r="C34" s="9" t="s">
        <v>26</v>
      </c>
      <c r="D34" s="10" t="s">
        <v>26</v>
      </c>
      <c r="E34" s="9" t="s">
        <v>26</v>
      </c>
      <c r="F34" s="10" t="s">
        <v>26</v>
      </c>
      <c r="G34" s="9">
        <v>200700320.87</v>
      </c>
      <c r="H34" s="10">
        <v>1</v>
      </c>
      <c r="I34" s="1" t="s">
        <v>26</v>
      </c>
      <c r="J34" s="1" t="s">
        <v>26</v>
      </c>
      <c r="K34" s="2">
        <v>120168566.37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 t="s">
        <v>26</v>
      </c>
      <c r="T34" s="1" t="s">
        <v>26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50912072.32</v>
      </c>
      <c r="AB34" s="1">
        <v>1</v>
      </c>
      <c r="AC34" s="1" t="s">
        <v>26</v>
      </c>
      <c r="AD34" s="1" t="s">
        <v>26</v>
      </c>
      <c r="AE34" s="2">
        <v>371780959.56</v>
      </c>
      <c r="AF34" s="1">
        <v>1</v>
      </c>
      <c r="AG34" s="1" t="s">
        <v>26</v>
      </c>
      <c r="AH34" s="1" t="s">
        <v>26</v>
      </c>
      <c r="AI34" s="2">
        <v>20577337.739999998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20577337.739999998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392358297.30000001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4704920.17</v>
      </c>
      <c r="D35" s="10">
        <v>5.8515271109999998E-4</v>
      </c>
      <c r="E35" s="10">
        <v>0.13500000000000001</v>
      </c>
      <c r="F35" s="10">
        <v>0.13439999999999999</v>
      </c>
      <c r="G35" s="9">
        <v>922959772.05999994</v>
      </c>
      <c r="H35" s="10">
        <v>5.19637780803E-3</v>
      </c>
      <c r="I35" s="10">
        <v>0.1071</v>
      </c>
      <c r="J35" s="10">
        <v>0.1019</v>
      </c>
      <c r="K35" s="2" t="s">
        <v>26</v>
      </c>
      <c r="L35" s="1" t="s">
        <v>26</v>
      </c>
      <c r="M35" s="1" t="s">
        <v>26</v>
      </c>
      <c r="N35" s="1" t="s">
        <v>26</v>
      </c>
      <c r="O35" s="9">
        <v>1155278961.6300001</v>
      </c>
      <c r="P35" s="10">
        <v>4.4902908417499996E-3</v>
      </c>
      <c r="Q35" s="10">
        <v>0.11360000000000001</v>
      </c>
      <c r="R35" s="10">
        <v>0.1091</v>
      </c>
      <c r="S35" s="9">
        <v>521254093.87</v>
      </c>
      <c r="T35" s="10">
        <v>4.0887373865899999E-3</v>
      </c>
      <c r="U35" s="10">
        <v>0.108</v>
      </c>
      <c r="V35" s="10">
        <v>0.10390000000000001</v>
      </c>
      <c r="W35" s="2" t="s">
        <v>26</v>
      </c>
      <c r="X35" s="1" t="s">
        <v>26</v>
      </c>
      <c r="Y35" s="1" t="s">
        <v>26</v>
      </c>
      <c r="Z35" s="1" t="s">
        <v>26</v>
      </c>
      <c r="AA35" s="9">
        <v>772200332.98000002</v>
      </c>
      <c r="AB35" s="10">
        <v>4.8713835849999998E-3</v>
      </c>
      <c r="AC35" s="10">
        <v>0.10299999999999999</v>
      </c>
      <c r="AD35" s="10">
        <v>9.8100000000000007E-2</v>
      </c>
      <c r="AE35" s="9">
        <v>3376398080.71</v>
      </c>
      <c r="AF35" s="10">
        <v>4.5587258465599996E-3</v>
      </c>
      <c r="AG35" s="10">
        <v>0.1086</v>
      </c>
      <c r="AH35" s="10">
        <v>0.104</v>
      </c>
      <c r="AI35" s="9">
        <v>83605862.909999996</v>
      </c>
      <c r="AJ35" s="10">
        <v>4.4183060733999999E-3</v>
      </c>
      <c r="AK35" s="10">
        <v>0.10780000000000001</v>
      </c>
      <c r="AL35" s="10">
        <v>0.10340000000000001</v>
      </c>
      <c r="AM35" s="2" t="s">
        <v>26</v>
      </c>
      <c r="AN35" s="1" t="s">
        <v>26</v>
      </c>
      <c r="AO35" s="1" t="s">
        <v>26</v>
      </c>
      <c r="AP35" s="1" t="s">
        <v>26</v>
      </c>
      <c r="AQ35" s="9">
        <v>83605862.909999996</v>
      </c>
      <c r="AR35" s="10">
        <v>1.89425778716E-3</v>
      </c>
      <c r="AS35" s="10">
        <v>0.10780000000000001</v>
      </c>
      <c r="AT35" s="10">
        <v>0.10589999999999999</v>
      </c>
      <c r="AU35" s="9">
        <v>179126079.63999999</v>
      </c>
      <c r="AV35" s="10">
        <v>3.3477786138E-3</v>
      </c>
      <c r="AW35" s="10">
        <v>0.13500000000000001</v>
      </c>
      <c r="AX35" s="10">
        <v>0.13170000000000001</v>
      </c>
      <c r="AY35" s="9">
        <v>3639130023.2600002</v>
      </c>
      <c r="AZ35" s="10">
        <v>4.3411476266699998E-3</v>
      </c>
      <c r="BA35" s="10">
        <v>0.1099</v>
      </c>
      <c r="BB35" s="10">
        <v>0.1056</v>
      </c>
    </row>
    <row r="36" spans="1:54" s="7" customFormat="1">
      <c r="A36" s="3" t="s">
        <v>39</v>
      </c>
      <c r="B36" s="23" t="s">
        <v>47</v>
      </c>
      <c r="C36" s="9" t="s">
        <v>26</v>
      </c>
      <c r="D36" s="10" t="s">
        <v>26</v>
      </c>
      <c r="E36" s="9" t="s">
        <v>26</v>
      </c>
      <c r="F36" s="10" t="s">
        <v>26</v>
      </c>
      <c r="G36" s="2">
        <v>572581953.45000005</v>
      </c>
      <c r="H36" s="1">
        <v>0.62037585037106002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548674013.92999995</v>
      </c>
      <c r="P36" s="1">
        <v>0.47492772927836002</v>
      </c>
      <c r="Q36" s="1" t="s">
        <v>26</v>
      </c>
      <c r="R36" s="1" t="s">
        <v>26</v>
      </c>
      <c r="S36" s="2">
        <v>312553485</v>
      </c>
      <c r="T36" s="1">
        <v>0.59961828343539003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548674013.92999995</v>
      </c>
      <c r="AB36" s="1">
        <v>0.71053325218420005</v>
      </c>
      <c r="AC36" s="1" t="s">
        <v>26</v>
      </c>
      <c r="AD36" s="1" t="s">
        <v>26</v>
      </c>
      <c r="AE36" s="2">
        <v>1982483466.3099999</v>
      </c>
      <c r="AF36" s="1">
        <v>0.58715928007314</v>
      </c>
      <c r="AG36" s="1" t="s">
        <v>26</v>
      </c>
      <c r="AH36" s="1" t="s">
        <v>26</v>
      </c>
      <c r="AI36" s="2">
        <v>50492347.5</v>
      </c>
      <c r="AJ36" s="1">
        <v>0.60393309443327003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50492347.5</v>
      </c>
      <c r="AR36" s="1">
        <v>0.60393309443327003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2032975813.8099999</v>
      </c>
      <c r="AZ36" s="1">
        <v>0.55864335729032999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4704920.17</v>
      </c>
      <c r="D37" s="1">
        <v>1</v>
      </c>
      <c r="E37" s="9" t="s">
        <v>26</v>
      </c>
      <c r="F37" s="10" t="s">
        <v>26</v>
      </c>
      <c r="G37" s="2">
        <v>350377818.61000001</v>
      </c>
      <c r="H37" s="1">
        <v>0.37962414962893998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606604947.70000005</v>
      </c>
      <c r="P37" s="1">
        <v>0.52507227072163998</v>
      </c>
      <c r="Q37" s="1" t="s">
        <v>26</v>
      </c>
      <c r="R37" s="1" t="s">
        <v>26</v>
      </c>
      <c r="S37" s="2">
        <v>208700608.87</v>
      </c>
      <c r="T37" s="1">
        <v>0.40038171656461002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223526319.05000001</v>
      </c>
      <c r="AB37" s="1">
        <v>0.28946674781580001</v>
      </c>
      <c r="AC37" s="1" t="s">
        <v>26</v>
      </c>
      <c r="AD37" s="1" t="s">
        <v>26</v>
      </c>
      <c r="AE37" s="2">
        <v>1393914614.4000001</v>
      </c>
      <c r="AF37" s="1">
        <v>0.41284071992686</v>
      </c>
      <c r="AG37" s="1" t="s">
        <v>26</v>
      </c>
      <c r="AH37" s="1" t="s">
        <v>26</v>
      </c>
      <c r="AI37" s="2">
        <v>33113515.41</v>
      </c>
      <c r="AJ37" s="1">
        <v>0.39606690556673002</v>
      </c>
      <c r="AK37" s="1" t="s">
        <v>26</v>
      </c>
      <c r="AL37" s="1" t="s">
        <v>26</v>
      </c>
      <c r="AM37" s="1" t="s">
        <v>26</v>
      </c>
      <c r="AN37" s="1" t="s">
        <v>26</v>
      </c>
      <c r="AO37" s="1" t="s">
        <v>26</v>
      </c>
      <c r="AP37" s="1" t="s">
        <v>26</v>
      </c>
      <c r="AQ37" s="2">
        <v>33113515.41</v>
      </c>
      <c r="AR37" s="1">
        <v>0.39606690556673002</v>
      </c>
      <c r="AS37" s="1" t="s">
        <v>26</v>
      </c>
      <c r="AT37" s="1" t="s">
        <v>26</v>
      </c>
      <c r="AU37" s="2">
        <v>179126079.63999999</v>
      </c>
      <c r="AV37" s="1">
        <v>1</v>
      </c>
      <c r="AW37" s="1" t="s">
        <v>26</v>
      </c>
      <c r="AX37" s="1" t="s">
        <v>26</v>
      </c>
      <c r="AY37" s="2">
        <v>1606154209.45</v>
      </c>
      <c r="AZ37" s="1">
        <v>0.44135664270967001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9" t="s">
        <v>26</v>
      </c>
      <c r="F38" s="10" t="s">
        <v>26</v>
      </c>
      <c r="G38" s="9" t="s">
        <v>26</v>
      </c>
      <c r="H38" s="10" t="s">
        <v>26</v>
      </c>
      <c r="I38" s="9" t="s">
        <v>26</v>
      </c>
      <c r="J38" s="10" t="s">
        <v>26</v>
      </c>
      <c r="K38" s="2" t="s">
        <v>26</v>
      </c>
      <c r="L38" s="1" t="s">
        <v>26</v>
      </c>
      <c r="M38" s="1" t="s">
        <v>26</v>
      </c>
      <c r="N38" s="1" t="s">
        <v>26</v>
      </c>
      <c r="O38" s="9">
        <v>100627291.51000001</v>
      </c>
      <c r="P38" s="10">
        <v>3.9111402571000002E-4</v>
      </c>
      <c r="Q38" s="10">
        <v>0.13500000000000001</v>
      </c>
      <c r="R38" s="10">
        <v>0.1346</v>
      </c>
      <c r="S38" s="9">
        <v>8237725.21</v>
      </c>
      <c r="T38" s="10">
        <v>6.4617036959999997E-5</v>
      </c>
      <c r="U38" s="10">
        <v>0.13500000000000001</v>
      </c>
      <c r="V38" s="10">
        <v>0.13489999999999999</v>
      </c>
      <c r="W38" s="2" t="s">
        <v>26</v>
      </c>
      <c r="X38" s="1" t="s">
        <v>26</v>
      </c>
      <c r="Y38" s="1" t="s">
        <v>26</v>
      </c>
      <c r="Z38" s="1" t="s">
        <v>26</v>
      </c>
      <c r="AA38" s="2" t="s">
        <v>26</v>
      </c>
      <c r="AB38" s="1" t="s">
        <v>26</v>
      </c>
      <c r="AC38" s="1" t="s">
        <v>26</v>
      </c>
      <c r="AD38" s="1" t="s">
        <v>26</v>
      </c>
      <c r="AE38" s="9">
        <v>108865016.72</v>
      </c>
      <c r="AF38" s="10">
        <v>1.4698674553E-4</v>
      </c>
      <c r="AG38" s="10">
        <v>0.13500000000000001</v>
      </c>
      <c r="AH38" s="10">
        <v>0.13489999999999999</v>
      </c>
      <c r="AI38" s="2" t="s">
        <v>26</v>
      </c>
      <c r="AJ38" s="1" t="s">
        <v>26</v>
      </c>
      <c r="AK38" s="1" t="s">
        <v>26</v>
      </c>
      <c r="AL38" s="1" t="s">
        <v>26</v>
      </c>
      <c r="AM38" s="2" t="s">
        <v>26</v>
      </c>
      <c r="AN38" s="1" t="s">
        <v>26</v>
      </c>
      <c r="AO38" s="1" t="s">
        <v>26</v>
      </c>
      <c r="AP38" s="1" t="s">
        <v>26</v>
      </c>
      <c r="AQ38" s="2" t="s">
        <v>26</v>
      </c>
      <c r="AR38" s="1" t="s">
        <v>26</v>
      </c>
      <c r="AS38" s="1" t="s">
        <v>26</v>
      </c>
      <c r="AT38" s="1" t="s">
        <v>26</v>
      </c>
      <c r="AU38" s="9">
        <v>39162727.009999998</v>
      </c>
      <c r="AV38" s="10">
        <v>7.3193216869999996E-4</v>
      </c>
      <c r="AW38" s="10">
        <v>0.13500000000000001</v>
      </c>
      <c r="AX38" s="10">
        <v>0.1343</v>
      </c>
      <c r="AY38" s="9">
        <v>148027743.72999999</v>
      </c>
      <c r="AZ38" s="10">
        <v>1.7658349228000001E-4</v>
      </c>
      <c r="BA38" s="10">
        <v>0.13500000000000001</v>
      </c>
      <c r="BB38" s="10">
        <v>0.1348</v>
      </c>
    </row>
    <row r="39" spans="1:54" s="7" customFormat="1">
      <c r="A39" s="3" t="s">
        <v>41</v>
      </c>
      <c r="B39" s="23" t="s">
        <v>44</v>
      </c>
      <c r="C39" s="9" t="s">
        <v>26</v>
      </c>
      <c r="D39" s="10" t="s">
        <v>26</v>
      </c>
      <c r="E39" s="9" t="s">
        <v>26</v>
      </c>
      <c r="F39" s="10" t="s">
        <v>26</v>
      </c>
      <c r="G39" s="9" t="s">
        <v>26</v>
      </c>
      <c r="H39" s="10" t="s">
        <v>26</v>
      </c>
      <c r="I39" s="9" t="s">
        <v>26</v>
      </c>
      <c r="J39" s="10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100627291.51000001</v>
      </c>
      <c r="P39" s="1">
        <v>1</v>
      </c>
      <c r="Q39" s="1" t="s">
        <v>26</v>
      </c>
      <c r="R39" s="1" t="s">
        <v>26</v>
      </c>
      <c r="S39" s="2">
        <v>8237725.21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108865016.72</v>
      </c>
      <c r="AF39" s="1">
        <v>1</v>
      </c>
      <c r="AG39" s="1" t="s">
        <v>26</v>
      </c>
      <c r="AH39" s="1" t="s">
        <v>26</v>
      </c>
      <c r="AI39" s="2" t="s">
        <v>26</v>
      </c>
      <c r="AJ39" s="1" t="s">
        <v>26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 t="s">
        <v>26</v>
      </c>
      <c r="AR39" s="1" t="s">
        <v>26</v>
      </c>
      <c r="AS39" s="1" t="s">
        <v>26</v>
      </c>
      <c r="AT39" s="1" t="s">
        <v>26</v>
      </c>
      <c r="AU39" s="2">
        <v>39162727.009999998</v>
      </c>
      <c r="AV39" s="1">
        <v>1</v>
      </c>
      <c r="AW39" s="1" t="s">
        <v>26</v>
      </c>
      <c r="AX39" s="1" t="s">
        <v>26</v>
      </c>
      <c r="AY39" s="2">
        <v>148027743.72999999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24635702.239999998</v>
      </c>
      <c r="D40" s="10">
        <v>3.0639516580000001E-3</v>
      </c>
      <c r="E40" s="10">
        <v>0.13500000000000001</v>
      </c>
      <c r="F40" s="10">
        <v>0.13189999999999999</v>
      </c>
      <c r="G40" s="9">
        <v>2703632925</v>
      </c>
      <c r="H40" s="10">
        <v>1.52217881622E-2</v>
      </c>
      <c r="I40" s="10">
        <v>0.13500000000000001</v>
      </c>
      <c r="J40" s="10">
        <v>0.1198</v>
      </c>
      <c r="K40" s="2" t="s">
        <v>26</v>
      </c>
      <c r="L40" s="1" t="s">
        <v>26</v>
      </c>
      <c r="M40" s="1" t="s">
        <v>26</v>
      </c>
      <c r="N40" s="1" t="s">
        <v>26</v>
      </c>
      <c r="O40" s="9">
        <v>4732762590.1000004</v>
      </c>
      <c r="P40" s="10">
        <v>1.839510734663E-2</v>
      </c>
      <c r="Q40" s="10">
        <v>0.05</v>
      </c>
      <c r="R40" s="10">
        <v>3.1600000000000003E-2</v>
      </c>
      <c r="S40" s="9">
        <v>2164675963.9499998</v>
      </c>
      <c r="T40" s="10">
        <v>1.6979802456680002E-2</v>
      </c>
      <c r="U40" s="10">
        <v>0.13500000000000001</v>
      </c>
      <c r="V40" s="10">
        <v>0.11799999999999999</v>
      </c>
      <c r="W40" s="9">
        <v>1094768866.46</v>
      </c>
      <c r="X40" s="10">
        <v>0.14780582765320999</v>
      </c>
      <c r="Y40" s="10">
        <v>0.15</v>
      </c>
      <c r="Z40" s="10">
        <v>2.2000000000000001E-3</v>
      </c>
      <c r="AA40" s="9">
        <v>5680593509.96</v>
      </c>
      <c r="AB40" s="10">
        <v>3.5835713603899998E-2</v>
      </c>
      <c r="AC40" s="10">
        <v>0.1396</v>
      </c>
      <c r="AD40" s="10">
        <v>0.1038</v>
      </c>
      <c r="AE40" s="9">
        <v>16401069557.709999</v>
      </c>
      <c r="AF40" s="10">
        <v>2.2144302276189999E-2</v>
      </c>
      <c r="AG40" s="10">
        <v>0.1376</v>
      </c>
      <c r="AH40" s="10">
        <v>0.11550000000000001</v>
      </c>
      <c r="AI40" s="9">
        <v>240014516.69999999</v>
      </c>
      <c r="AJ40" s="10">
        <v>1.268400994775E-2</v>
      </c>
      <c r="AK40" s="10">
        <v>0.13500000000000001</v>
      </c>
      <c r="AL40" s="10">
        <v>0.12230000000000001</v>
      </c>
      <c r="AM40" s="2" t="s">
        <v>26</v>
      </c>
      <c r="AN40" s="1" t="s">
        <v>26</v>
      </c>
      <c r="AO40" s="1" t="s">
        <v>26</v>
      </c>
      <c r="AP40" s="1" t="s">
        <v>26</v>
      </c>
      <c r="AQ40" s="9">
        <v>240014516.69999999</v>
      </c>
      <c r="AR40" s="10">
        <v>5.4380081906399997E-3</v>
      </c>
      <c r="AS40" s="10">
        <v>0.13500000000000001</v>
      </c>
      <c r="AT40" s="10">
        <v>0.12959999999999999</v>
      </c>
      <c r="AU40" s="9">
        <v>1110495061.6500001</v>
      </c>
      <c r="AV40" s="10">
        <v>2.0754608293739998E-2</v>
      </c>
      <c r="AW40" s="10">
        <v>0.13500000000000001</v>
      </c>
      <c r="AX40" s="10">
        <v>0.1142</v>
      </c>
      <c r="AY40" s="9">
        <v>17751579136.060001</v>
      </c>
      <c r="AZ40" s="10">
        <v>2.1176002270750002E-2</v>
      </c>
      <c r="BA40" s="10">
        <v>0.13739999999999999</v>
      </c>
      <c r="BB40" s="10">
        <v>0.1162</v>
      </c>
    </row>
    <row r="41" spans="1:54" s="7" customFormat="1">
      <c r="A41" s="3" t="s">
        <v>39</v>
      </c>
      <c r="B41" s="23" t="s">
        <v>40</v>
      </c>
      <c r="C41" s="2">
        <v>24635702.239999998</v>
      </c>
      <c r="D41" s="1">
        <v>1</v>
      </c>
      <c r="E41" s="9" t="s">
        <v>26</v>
      </c>
      <c r="F41" s="10" t="s">
        <v>26</v>
      </c>
      <c r="G41" s="2">
        <v>2703632925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4697242505.04</v>
      </c>
      <c r="P41" s="1">
        <v>0.99249485171000995</v>
      </c>
      <c r="Q41" s="1" t="s">
        <v>26</v>
      </c>
      <c r="R41" s="1" t="s">
        <v>26</v>
      </c>
      <c r="S41" s="2">
        <v>2163474264.9099998</v>
      </c>
      <c r="T41" s="1">
        <v>0.99944485961870999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3953864030</v>
      </c>
      <c r="AB41" s="1">
        <v>0.69603009317028997</v>
      </c>
      <c r="AC41" s="1" t="s">
        <v>26</v>
      </c>
      <c r="AD41" s="1" t="s">
        <v>26</v>
      </c>
      <c r="AE41" s="2">
        <v>13542849427.190001</v>
      </c>
      <c r="AF41" s="1">
        <v>0.82572965010221999</v>
      </c>
      <c r="AG41" s="1" t="s">
        <v>26</v>
      </c>
      <c r="AH41" s="1" t="s">
        <v>26</v>
      </c>
      <c r="AI41" s="2">
        <v>240014516.69999999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240014516.69999999</v>
      </c>
      <c r="AR41" s="1">
        <v>1</v>
      </c>
      <c r="AS41" s="1" t="s">
        <v>26</v>
      </c>
      <c r="AT41" s="1" t="s">
        <v>26</v>
      </c>
      <c r="AU41" s="2">
        <v>1109708950.1900001</v>
      </c>
      <c r="AV41" s="1">
        <v>0.99929210719871997</v>
      </c>
      <c r="AW41" s="1" t="s">
        <v>26</v>
      </c>
      <c r="AX41" s="1" t="s">
        <v>26</v>
      </c>
      <c r="AY41" s="2">
        <v>14892572894.08</v>
      </c>
      <c r="AZ41" s="1">
        <v>0.83894355425696998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9" t="s">
        <v>26</v>
      </c>
      <c r="D42" s="10" t="s">
        <v>26</v>
      </c>
      <c r="E42" s="9" t="s">
        <v>26</v>
      </c>
      <c r="F42" s="10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35520085.060000002</v>
      </c>
      <c r="P42" s="1">
        <v>7.5051482899899996E-3</v>
      </c>
      <c r="Q42" s="1" t="s">
        <v>26</v>
      </c>
      <c r="R42" s="1" t="s">
        <v>26</v>
      </c>
      <c r="S42" s="2">
        <v>1201699.04</v>
      </c>
      <c r="T42" s="1">
        <v>5.5514038128999998E-4</v>
      </c>
      <c r="U42" s="1" t="s">
        <v>26</v>
      </c>
      <c r="V42" s="1" t="s">
        <v>26</v>
      </c>
      <c r="W42" s="2">
        <v>1094768866.46</v>
      </c>
      <c r="X42" s="1">
        <v>1</v>
      </c>
      <c r="Y42" s="1" t="s">
        <v>26</v>
      </c>
      <c r="Z42" s="1" t="s">
        <v>26</v>
      </c>
      <c r="AA42" s="2">
        <v>1726729479.96</v>
      </c>
      <c r="AB42" s="1">
        <v>0.30396990682970998</v>
      </c>
      <c r="AC42" s="1" t="s">
        <v>26</v>
      </c>
      <c r="AD42" s="1" t="s">
        <v>26</v>
      </c>
      <c r="AE42" s="2">
        <v>2858220130.52</v>
      </c>
      <c r="AF42" s="1">
        <v>0.17427034989778001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 t="s">
        <v>26</v>
      </c>
      <c r="AR42" s="1" t="s">
        <v>26</v>
      </c>
      <c r="AS42" s="1" t="s">
        <v>26</v>
      </c>
      <c r="AT42" s="1" t="s">
        <v>26</v>
      </c>
      <c r="AU42" s="2">
        <v>786111.46</v>
      </c>
      <c r="AV42" s="1">
        <v>7.0789280128000004E-4</v>
      </c>
      <c r="AW42" s="1" t="s">
        <v>26</v>
      </c>
      <c r="AX42" s="1" t="s">
        <v>26</v>
      </c>
      <c r="AY42" s="2">
        <v>2859006241.98</v>
      </c>
      <c r="AZ42" s="1">
        <v>0.16105644574302999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9" t="s">
        <v>26</v>
      </c>
      <c r="F43" s="10" t="s">
        <v>26</v>
      </c>
      <c r="G43" s="2" t="s">
        <v>26</v>
      </c>
      <c r="H43" s="1" t="s">
        <v>26</v>
      </c>
      <c r="I43" s="1" t="s">
        <v>26</v>
      </c>
      <c r="J43" s="1" t="s">
        <v>26</v>
      </c>
      <c r="K43" s="9">
        <v>121318434.67</v>
      </c>
      <c r="L43" s="10">
        <v>2.8246048856329999E-2</v>
      </c>
      <c r="M43" s="10">
        <v>0.15</v>
      </c>
      <c r="N43" s="10">
        <v>0.12180000000000001</v>
      </c>
      <c r="O43" s="2" t="s">
        <v>26</v>
      </c>
      <c r="P43" s="1" t="s">
        <v>26</v>
      </c>
      <c r="Q43" s="1" t="s">
        <v>26</v>
      </c>
      <c r="R43" s="1" t="s">
        <v>26</v>
      </c>
      <c r="S43" s="2" t="s">
        <v>26</v>
      </c>
      <c r="T43" s="1" t="s">
        <v>26</v>
      </c>
      <c r="U43" s="1" t="s">
        <v>26</v>
      </c>
      <c r="V43" s="1" t="s">
        <v>26</v>
      </c>
      <c r="W43" s="2" t="s">
        <v>26</v>
      </c>
      <c r="X43" s="1" t="s">
        <v>26</v>
      </c>
      <c r="Y43" s="1" t="s">
        <v>26</v>
      </c>
      <c r="Z43" s="1" t="s">
        <v>26</v>
      </c>
      <c r="AA43" s="9">
        <v>145774600.31</v>
      </c>
      <c r="AB43" s="10">
        <v>9.1961109667E-4</v>
      </c>
      <c r="AC43" s="10">
        <v>0.15</v>
      </c>
      <c r="AD43" s="10">
        <v>0.14910000000000001</v>
      </c>
      <c r="AE43" s="9">
        <v>267093034.97999999</v>
      </c>
      <c r="AF43" s="10">
        <v>3.6062214611000003E-4</v>
      </c>
      <c r="AG43" s="10">
        <v>0.15</v>
      </c>
      <c r="AH43" s="10">
        <v>0.14960000000000001</v>
      </c>
      <c r="AI43" s="2" t="s">
        <v>26</v>
      </c>
      <c r="AJ43" s="1" t="s">
        <v>26</v>
      </c>
      <c r="AK43" s="1" t="s">
        <v>26</v>
      </c>
      <c r="AL43" s="1" t="s">
        <v>26</v>
      </c>
      <c r="AM43" s="9">
        <v>943147032.83000004</v>
      </c>
      <c r="AN43" s="10">
        <v>3.7405881124760003E-2</v>
      </c>
      <c r="AO43" s="10">
        <v>0.15</v>
      </c>
      <c r="AP43" s="10">
        <v>0.11260000000000001</v>
      </c>
      <c r="AQ43" s="9">
        <v>943147032.83000004</v>
      </c>
      <c r="AR43" s="10">
        <v>2.136887951623E-2</v>
      </c>
      <c r="AS43" s="10">
        <v>0.15</v>
      </c>
      <c r="AT43" s="10">
        <v>0.12859999999999999</v>
      </c>
      <c r="AU43" s="2" t="s">
        <v>26</v>
      </c>
      <c r="AV43" s="1" t="s">
        <v>26</v>
      </c>
      <c r="AW43" s="1" t="s">
        <v>26</v>
      </c>
      <c r="AX43" s="1" t="s">
        <v>26</v>
      </c>
      <c r="AY43" s="9">
        <v>1210240067.8099999</v>
      </c>
      <c r="AZ43" s="10">
        <v>1.4437051615300001E-3</v>
      </c>
      <c r="BA43" s="10">
        <v>0.15</v>
      </c>
      <c r="BB43" s="10">
        <v>0.14860000000000001</v>
      </c>
    </row>
    <row r="44" spans="1:54" s="7" customFormat="1">
      <c r="A44" s="3" t="s">
        <v>41</v>
      </c>
      <c r="B44" s="23" t="s">
        <v>35</v>
      </c>
      <c r="C44" s="9" t="s">
        <v>26</v>
      </c>
      <c r="D44" s="10" t="s">
        <v>26</v>
      </c>
      <c r="E44" s="9" t="s">
        <v>26</v>
      </c>
      <c r="F44" s="10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121318434.67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145774600.31</v>
      </c>
      <c r="AB44" s="1">
        <v>1</v>
      </c>
      <c r="AC44" s="1" t="s">
        <v>26</v>
      </c>
      <c r="AD44" s="1" t="s">
        <v>26</v>
      </c>
      <c r="AE44" s="2">
        <v>267093034.97999999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943147032.83000004</v>
      </c>
      <c r="AN44" s="1">
        <v>1</v>
      </c>
      <c r="AO44" s="1" t="s">
        <v>26</v>
      </c>
      <c r="AP44" s="1" t="s">
        <v>26</v>
      </c>
      <c r="AQ44" s="2">
        <v>943147032.83000004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1210240067.8099999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9" t="s">
        <v>26</v>
      </c>
      <c r="F45" s="10" t="s">
        <v>26</v>
      </c>
      <c r="G45" s="2" t="s">
        <v>26</v>
      </c>
      <c r="H45" s="1" t="s">
        <v>26</v>
      </c>
      <c r="I45" s="1" t="s">
        <v>26</v>
      </c>
      <c r="J45" s="1" t="s">
        <v>26</v>
      </c>
      <c r="K45" s="2" t="s">
        <v>26</v>
      </c>
      <c r="L45" s="1" t="s">
        <v>26</v>
      </c>
      <c r="M45" s="1" t="s">
        <v>26</v>
      </c>
      <c r="N45" s="1" t="s">
        <v>26</v>
      </c>
      <c r="O45" s="2" t="s">
        <v>26</v>
      </c>
      <c r="P45" s="1" t="s">
        <v>26</v>
      </c>
      <c r="Q45" s="1" t="s">
        <v>26</v>
      </c>
      <c r="R45" s="1" t="s">
        <v>26</v>
      </c>
      <c r="S45" s="2" t="s">
        <v>26</v>
      </c>
      <c r="T45" s="1" t="s">
        <v>26</v>
      </c>
      <c r="U45" s="1" t="s">
        <v>26</v>
      </c>
      <c r="V45" s="1" t="s">
        <v>26</v>
      </c>
      <c r="W45" s="2" t="s">
        <v>26</v>
      </c>
      <c r="X45" s="1" t="s">
        <v>26</v>
      </c>
      <c r="Y45" s="1" t="s">
        <v>26</v>
      </c>
      <c r="Z45" s="1" t="s">
        <v>26</v>
      </c>
      <c r="AA45" s="2" t="s">
        <v>26</v>
      </c>
      <c r="AB45" s="1" t="s">
        <v>26</v>
      </c>
      <c r="AC45" s="1" t="s">
        <v>26</v>
      </c>
      <c r="AD45" s="1" t="s">
        <v>26</v>
      </c>
      <c r="AE45" s="2" t="s">
        <v>26</v>
      </c>
      <c r="AF45" s="1" t="s">
        <v>26</v>
      </c>
      <c r="AG45" s="1" t="s">
        <v>26</v>
      </c>
      <c r="AH45" s="1" t="s">
        <v>26</v>
      </c>
      <c r="AI45" s="2" t="s">
        <v>26</v>
      </c>
      <c r="AJ45" s="1" t="s">
        <v>26</v>
      </c>
      <c r="AK45" s="1" t="s">
        <v>26</v>
      </c>
      <c r="AL45" s="1" t="s">
        <v>26</v>
      </c>
      <c r="AM45" s="2" t="s">
        <v>26</v>
      </c>
      <c r="AN45" s="1" t="s">
        <v>26</v>
      </c>
      <c r="AO45" s="1" t="s">
        <v>26</v>
      </c>
      <c r="AP45" s="1" t="s">
        <v>26</v>
      </c>
      <c r="AQ45" s="2" t="s">
        <v>26</v>
      </c>
      <c r="AR45" s="1" t="s">
        <v>26</v>
      </c>
      <c r="AS45" s="1" t="s">
        <v>26</v>
      </c>
      <c r="AT45" s="1" t="s">
        <v>26</v>
      </c>
      <c r="AU45" s="2" t="s">
        <v>26</v>
      </c>
      <c r="AV45" s="1" t="s">
        <v>26</v>
      </c>
      <c r="AW45" s="1" t="s">
        <v>26</v>
      </c>
      <c r="AX45" s="1" t="s">
        <v>26</v>
      </c>
      <c r="AY45" s="2" t="s">
        <v>26</v>
      </c>
      <c r="AZ45" s="1" t="s">
        <v>26</v>
      </c>
      <c r="BA45" s="1" t="s">
        <v>26</v>
      </c>
      <c r="BB45" s="1" t="s">
        <v>26</v>
      </c>
    </row>
    <row r="46" spans="1:54" s="7" customFormat="1">
      <c r="A46" s="3" t="s">
        <v>41</v>
      </c>
      <c r="B46" s="23" t="s">
        <v>35</v>
      </c>
      <c r="C46" s="9" t="s">
        <v>26</v>
      </c>
      <c r="D46" s="10" t="s">
        <v>26</v>
      </c>
      <c r="E46" s="9" t="s">
        <v>26</v>
      </c>
      <c r="F46" s="10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 t="s">
        <v>26</v>
      </c>
      <c r="P46" s="1" t="s">
        <v>26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 t="s">
        <v>26</v>
      </c>
      <c r="AF46" s="1" t="s">
        <v>26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 t="s">
        <v>26</v>
      </c>
      <c r="AZ46" s="1" t="s">
        <v>26</v>
      </c>
      <c r="BA46" s="1" t="s">
        <v>26</v>
      </c>
      <c r="BB46" s="1" t="s">
        <v>26</v>
      </c>
    </row>
    <row r="47" spans="1:54" s="7" customFormat="1">
      <c r="A47" s="5" t="s">
        <v>128</v>
      </c>
      <c r="B47" s="20" t="s">
        <v>25</v>
      </c>
      <c r="C47" s="9" t="s">
        <v>26</v>
      </c>
      <c r="D47" s="10" t="s">
        <v>26</v>
      </c>
      <c r="E47" s="9" t="s">
        <v>26</v>
      </c>
      <c r="F47" s="10" t="s">
        <v>26</v>
      </c>
      <c r="G47" s="9"/>
      <c r="H47" s="10"/>
      <c r="I47" s="49"/>
      <c r="J47" s="10"/>
      <c r="K47" s="2" t="s">
        <v>26</v>
      </c>
      <c r="L47" s="1" t="s">
        <v>26</v>
      </c>
      <c r="M47" s="1" t="s">
        <v>26</v>
      </c>
      <c r="N47" s="1" t="s">
        <v>26</v>
      </c>
      <c r="O47" s="2" t="s">
        <v>26</v>
      </c>
      <c r="P47" s="1" t="s">
        <v>26</v>
      </c>
      <c r="Q47" s="1" t="s">
        <v>26</v>
      </c>
      <c r="R47" s="1" t="s">
        <v>26</v>
      </c>
      <c r="S47" s="2" t="s">
        <v>26</v>
      </c>
      <c r="T47" s="1" t="s">
        <v>26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 t="s">
        <v>26</v>
      </c>
      <c r="AB47" s="1" t="s">
        <v>26</v>
      </c>
      <c r="AC47" s="1" t="s">
        <v>26</v>
      </c>
      <c r="AD47" s="1" t="s">
        <v>26</v>
      </c>
      <c r="AE47" s="2" t="s">
        <v>26</v>
      </c>
      <c r="AF47" s="1" t="s">
        <v>26</v>
      </c>
      <c r="AG47" s="1" t="s">
        <v>26</v>
      </c>
      <c r="AH47" s="1" t="s">
        <v>26</v>
      </c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1" t="s">
        <v>26</v>
      </c>
      <c r="AT47" s="1" t="s">
        <v>26</v>
      </c>
      <c r="AU47" s="2" t="s">
        <v>26</v>
      </c>
      <c r="AV47" s="1" t="s">
        <v>26</v>
      </c>
      <c r="AW47" s="1" t="s">
        <v>26</v>
      </c>
      <c r="AX47" s="1" t="s">
        <v>26</v>
      </c>
      <c r="AY47" s="2" t="s">
        <v>26</v>
      </c>
      <c r="AZ47" s="1" t="s">
        <v>26</v>
      </c>
      <c r="BA47" s="1" t="s">
        <v>26</v>
      </c>
      <c r="BB47" s="1" t="s">
        <v>26</v>
      </c>
    </row>
    <row r="48" spans="1:54" s="7" customFormat="1">
      <c r="A48" s="3" t="s">
        <v>41</v>
      </c>
      <c r="B48" s="23" t="s">
        <v>35</v>
      </c>
      <c r="C48" s="9" t="s">
        <v>26</v>
      </c>
      <c r="D48" s="10" t="s">
        <v>26</v>
      </c>
      <c r="E48" s="9" t="s">
        <v>26</v>
      </c>
      <c r="F48" s="10" t="s">
        <v>26</v>
      </c>
      <c r="G48" s="22"/>
      <c r="H48" s="44"/>
      <c r="I48" s="9" t="s">
        <v>26</v>
      </c>
      <c r="J48" s="10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 t="s">
        <v>26</v>
      </c>
      <c r="P48" s="1" t="s">
        <v>26</v>
      </c>
      <c r="Q48" s="1" t="s">
        <v>26</v>
      </c>
      <c r="R48" s="1" t="s">
        <v>26</v>
      </c>
      <c r="S48" s="2" t="s">
        <v>26</v>
      </c>
      <c r="T48" s="1" t="s">
        <v>26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 t="s">
        <v>26</v>
      </c>
      <c r="AF48" s="1" t="s">
        <v>26</v>
      </c>
      <c r="AG48" s="1" t="s">
        <v>26</v>
      </c>
      <c r="AH48" s="1" t="s">
        <v>26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1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 t="s">
        <v>26</v>
      </c>
      <c r="AZ48" s="1" t="s">
        <v>26</v>
      </c>
      <c r="BA48" s="1" t="s">
        <v>26</v>
      </c>
      <c r="BB48" s="1" t="s">
        <v>26</v>
      </c>
    </row>
    <row r="49" spans="1:54" s="7" customFormat="1">
      <c r="A49" s="12" t="s">
        <v>55</v>
      </c>
      <c r="B49" s="40" t="s">
        <v>25</v>
      </c>
      <c r="C49" s="42">
        <v>69179393.010000005</v>
      </c>
      <c r="D49" s="43">
        <v>8.6038674216500008E-3</v>
      </c>
      <c r="E49" s="43" t="s">
        <v>26</v>
      </c>
      <c r="F49" s="43" t="s">
        <v>26</v>
      </c>
      <c r="G49" s="42">
        <v>303225213</v>
      </c>
      <c r="H49" s="43">
        <v>1.70719549797E-3</v>
      </c>
      <c r="I49" s="43" t="s">
        <v>26</v>
      </c>
      <c r="J49" s="43" t="s">
        <v>26</v>
      </c>
      <c r="K49" s="42">
        <v>99971902.939999998</v>
      </c>
      <c r="L49" s="43">
        <v>2.3276027772569999E-2</v>
      </c>
      <c r="M49" s="43" t="s">
        <v>26</v>
      </c>
      <c r="N49" s="43" t="s">
        <v>26</v>
      </c>
      <c r="O49" s="42">
        <v>3475493831.5</v>
      </c>
      <c r="P49" s="43">
        <v>1.3508406748889999E-2</v>
      </c>
      <c r="Q49" s="43" t="s">
        <v>26</v>
      </c>
      <c r="R49" s="43" t="s">
        <v>26</v>
      </c>
      <c r="S49" s="42">
        <v>1554488460.4300001</v>
      </c>
      <c r="T49" s="43">
        <v>1.219346794572E-2</v>
      </c>
      <c r="U49" s="43" t="s">
        <v>26</v>
      </c>
      <c r="V49" s="43" t="s">
        <v>26</v>
      </c>
      <c r="W49" s="42">
        <v>193531236.31999999</v>
      </c>
      <c r="X49" s="43">
        <v>2.6128843664989999E-2</v>
      </c>
      <c r="Y49" s="43" t="s">
        <v>26</v>
      </c>
      <c r="Z49" s="43" t="s">
        <v>26</v>
      </c>
      <c r="AA49" s="42">
        <v>3958323849.6799998</v>
      </c>
      <c r="AB49" s="43">
        <v>2.497086960718E-2</v>
      </c>
      <c r="AC49" s="43" t="s">
        <v>26</v>
      </c>
      <c r="AD49" s="43" t="s">
        <v>26</v>
      </c>
      <c r="AE49" s="42">
        <v>9654213886.8799992</v>
      </c>
      <c r="AF49" s="43">
        <v>1.3034871280669999E-2</v>
      </c>
      <c r="AG49" s="43" t="s">
        <v>26</v>
      </c>
      <c r="AH49" s="43" t="s">
        <v>26</v>
      </c>
      <c r="AI49" s="42">
        <v>245914051.69999999</v>
      </c>
      <c r="AJ49" s="43">
        <v>1.2995781759119999E-2</v>
      </c>
      <c r="AK49" s="43" t="s">
        <v>26</v>
      </c>
      <c r="AL49" s="43" t="s">
        <v>26</v>
      </c>
      <c r="AM49" s="42">
        <v>227199149.66999999</v>
      </c>
      <c r="AN49" s="43">
        <v>9.0108796278599995E-3</v>
      </c>
      <c r="AO49" s="43" t="s">
        <v>26</v>
      </c>
      <c r="AP49" s="43" t="s">
        <v>26</v>
      </c>
      <c r="AQ49" s="42">
        <v>473113201.37</v>
      </c>
      <c r="AR49" s="43">
        <v>1.071932439556E-2</v>
      </c>
      <c r="AS49" s="43" t="s">
        <v>26</v>
      </c>
      <c r="AT49" s="43" t="s">
        <v>26</v>
      </c>
      <c r="AU49" s="42">
        <v>611068141.01999998</v>
      </c>
      <c r="AV49" s="43">
        <v>1.142056398595E-2</v>
      </c>
      <c r="AW49" s="43" t="s">
        <v>26</v>
      </c>
      <c r="AX49" s="43" t="s">
        <v>26</v>
      </c>
      <c r="AY49" s="42">
        <v>10738395229.27</v>
      </c>
      <c r="AZ49" s="43">
        <v>1.2809918487609999E-2</v>
      </c>
      <c r="BA49" s="43" t="s">
        <v>26</v>
      </c>
      <c r="BB49" s="43" t="s">
        <v>26</v>
      </c>
    </row>
    <row r="50" spans="1:54" s="7" customFormat="1">
      <c r="A50" s="5" t="s">
        <v>56</v>
      </c>
      <c r="B50" s="20" t="s">
        <v>25</v>
      </c>
      <c r="C50" s="9">
        <v>36645446.600000001</v>
      </c>
      <c r="D50" s="10">
        <v>4.5576081320600004E-3</v>
      </c>
      <c r="E50" s="10">
        <v>0.12</v>
      </c>
      <c r="F50" s="10">
        <v>0.1154</v>
      </c>
      <c r="G50" s="2" t="s">
        <v>26</v>
      </c>
      <c r="H50" s="1" t="s">
        <v>26</v>
      </c>
      <c r="I50" s="1" t="s">
        <v>26</v>
      </c>
      <c r="J50" s="1" t="s">
        <v>26</v>
      </c>
      <c r="K50" s="9">
        <v>31410382.800000001</v>
      </c>
      <c r="L50" s="10">
        <v>7.3131442025099998E-3</v>
      </c>
      <c r="M50" s="10">
        <v>0.12</v>
      </c>
      <c r="N50" s="10">
        <v>0.11269999999999999</v>
      </c>
      <c r="O50" s="9">
        <v>840751246.27999997</v>
      </c>
      <c r="P50" s="10">
        <v>3.2677974296600001E-3</v>
      </c>
      <c r="Q50" s="10">
        <v>0.12</v>
      </c>
      <c r="R50" s="10">
        <v>0.1167</v>
      </c>
      <c r="S50" s="9">
        <v>314103828</v>
      </c>
      <c r="T50" s="10">
        <v>2.4638426439599998E-3</v>
      </c>
      <c r="U50" s="10">
        <v>0.12</v>
      </c>
      <c r="V50" s="10">
        <v>0.11749999999999999</v>
      </c>
      <c r="W50" s="2" t="s">
        <v>26</v>
      </c>
      <c r="X50" s="1" t="s">
        <v>26</v>
      </c>
      <c r="Y50" s="1" t="s">
        <v>26</v>
      </c>
      <c r="Z50" s="1" t="s">
        <v>26</v>
      </c>
      <c r="AA50" s="9">
        <v>921371228.79999995</v>
      </c>
      <c r="AB50" s="10">
        <v>5.8124200262300004E-3</v>
      </c>
      <c r="AC50" s="10">
        <v>0.12</v>
      </c>
      <c r="AD50" s="10">
        <v>0.1142</v>
      </c>
      <c r="AE50" s="9">
        <v>2144282132.48</v>
      </c>
      <c r="AF50" s="10">
        <v>2.89515458367E-3</v>
      </c>
      <c r="AG50" s="10">
        <v>0.12</v>
      </c>
      <c r="AH50" s="10">
        <v>0.1171</v>
      </c>
      <c r="AI50" s="2" t="s">
        <v>26</v>
      </c>
      <c r="AJ50" s="1" t="s">
        <v>26</v>
      </c>
      <c r="AK50" s="1" t="s">
        <v>26</v>
      </c>
      <c r="AL50" s="1" t="s">
        <v>26</v>
      </c>
      <c r="AM50" s="2" t="s">
        <v>26</v>
      </c>
      <c r="AN50" s="1" t="s">
        <v>26</v>
      </c>
      <c r="AO50" s="1" t="s">
        <v>26</v>
      </c>
      <c r="AP50" s="1" t="s">
        <v>26</v>
      </c>
      <c r="AQ50" s="2" t="s">
        <v>26</v>
      </c>
      <c r="AR50" s="1" t="s">
        <v>26</v>
      </c>
      <c r="AS50" s="1" t="s">
        <v>26</v>
      </c>
      <c r="AT50" s="1" t="s">
        <v>26</v>
      </c>
      <c r="AU50" s="9">
        <v>209402552</v>
      </c>
      <c r="AV50" s="10">
        <v>3.9136310394899997E-3</v>
      </c>
      <c r="AW50" s="10">
        <v>0.12</v>
      </c>
      <c r="AX50" s="10">
        <v>0.11609999999999999</v>
      </c>
      <c r="AY50" s="9">
        <v>2353684684.48</v>
      </c>
      <c r="AZ50" s="10">
        <v>2.8077294893699999E-3</v>
      </c>
      <c r="BA50" s="10">
        <v>0.12</v>
      </c>
      <c r="BB50" s="10">
        <v>0.1172</v>
      </c>
    </row>
    <row r="51" spans="1:54" s="7" customFormat="1">
      <c r="A51" s="3" t="s">
        <v>39</v>
      </c>
      <c r="B51" s="23" t="s">
        <v>57</v>
      </c>
      <c r="C51" s="2">
        <v>36645446.600000001</v>
      </c>
      <c r="D51" s="1">
        <v>1</v>
      </c>
      <c r="E51" s="9" t="s">
        <v>26</v>
      </c>
      <c r="F51" s="10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31410382.800000001</v>
      </c>
      <c r="L51" s="1">
        <v>1</v>
      </c>
      <c r="M51" s="1" t="s">
        <v>26</v>
      </c>
      <c r="N51" s="1" t="s">
        <v>26</v>
      </c>
      <c r="O51" s="2">
        <v>840751246.27999997</v>
      </c>
      <c r="P51" s="1">
        <v>1</v>
      </c>
      <c r="Q51" s="1" t="s">
        <v>26</v>
      </c>
      <c r="R51" s="1" t="s">
        <v>26</v>
      </c>
      <c r="S51" s="2">
        <v>314103828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921371228.79999995</v>
      </c>
      <c r="AB51" s="1">
        <v>1</v>
      </c>
      <c r="AC51" s="1" t="s">
        <v>26</v>
      </c>
      <c r="AD51" s="1" t="s">
        <v>26</v>
      </c>
      <c r="AE51" s="2">
        <v>2144282132.48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>
        <v>209402552</v>
      </c>
      <c r="AV51" s="1">
        <v>1</v>
      </c>
      <c r="AW51" s="1" t="s">
        <v>26</v>
      </c>
      <c r="AX51" s="1" t="s">
        <v>26</v>
      </c>
      <c r="AY51" s="2">
        <v>2353684684.48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0" t="s">
        <v>25</v>
      </c>
      <c r="C52" s="9">
        <v>32533946.41</v>
      </c>
      <c r="D52" s="10">
        <v>4.0462592895900004E-3</v>
      </c>
      <c r="E52" s="49">
        <v>0.09</v>
      </c>
      <c r="F52" s="10">
        <v>8.5999999999999993E-2</v>
      </c>
      <c r="G52" s="2" t="s">
        <v>26</v>
      </c>
      <c r="H52" s="1" t="s">
        <v>26</v>
      </c>
      <c r="I52" s="1" t="s">
        <v>26</v>
      </c>
      <c r="J52" s="1" t="s">
        <v>26</v>
      </c>
      <c r="K52" s="9">
        <v>16139012.140000001</v>
      </c>
      <c r="L52" s="10">
        <v>3.7575767165100001E-3</v>
      </c>
      <c r="M52" s="10">
        <v>0.09</v>
      </c>
      <c r="N52" s="10">
        <v>8.6199999999999999E-2</v>
      </c>
      <c r="O52" s="9">
        <v>376476293.22000003</v>
      </c>
      <c r="P52" s="10">
        <v>1.4632726014500001E-3</v>
      </c>
      <c r="Q52" s="10">
        <v>0.09</v>
      </c>
      <c r="R52" s="10">
        <v>8.8499999999999995E-2</v>
      </c>
      <c r="S52" s="9">
        <v>284978062.00999999</v>
      </c>
      <c r="T52" s="10">
        <v>2.2353790026799999E-3</v>
      </c>
      <c r="U52" s="10">
        <v>0.09</v>
      </c>
      <c r="V52" s="10">
        <v>8.7800000000000003E-2</v>
      </c>
      <c r="W52" s="2" t="s">
        <v>26</v>
      </c>
      <c r="X52" s="1" t="s">
        <v>26</v>
      </c>
      <c r="Y52" s="1" t="s">
        <v>26</v>
      </c>
      <c r="Z52" s="1" t="s">
        <v>26</v>
      </c>
      <c r="AA52" s="9">
        <v>102965206.40000001</v>
      </c>
      <c r="AB52" s="10">
        <v>6.4955037554999999E-4</v>
      </c>
      <c r="AC52" s="10">
        <v>0.09</v>
      </c>
      <c r="AD52" s="10">
        <v>8.9399999999999993E-2</v>
      </c>
      <c r="AE52" s="9">
        <v>813092520.17999995</v>
      </c>
      <c r="AF52" s="10">
        <v>1.09781660775E-3</v>
      </c>
      <c r="AG52" s="10">
        <v>0.09</v>
      </c>
      <c r="AH52" s="10">
        <v>8.8900000000000007E-2</v>
      </c>
      <c r="AI52" s="2" t="s">
        <v>26</v>
      </c>
      <c r="AJ52" s="1" t="s">
        <v>26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 t="s">
        <v>26</v>
      </c>
      <c r="AR52" s="1" t="s">
        <v>26</v>
      </c>
      <c r="AS52" s="1" t="s">
        <v>26</v>
      </c>
      <c r="AT52" s="1" t="s">
        <v>26</v>
      </c>
      <c r="AU52" s="2" t="s">
        <v>26</v>
      </c>
      <c r="AV52" s="1" t="s">
        <v>26</v>
      </c>
      <c r="AW52" s="1" t="s">
        <v>26</v>
      </c>
      <c r="AX52" s="1" t="s">
        <v>26</v>
      </c>
      <c r="AY52" s="9">
        <v>813092520.17999995</v>
      </c>
      <c r="AZ52" s="10">
        <v>9.6994464107999999E-4</v>
      </c>
      <c r="BA52" s="10">
        <v>0.09</v>
      </c>
      <c r="BB52" s="10">
        <v>8.8999999999999996E-2</v>
      </c>
    </row>
    <row r="53" spans="1:54" s="28" customFormat="1">
      <c r="A53" s="3" t="s">
        <v>39</v>
      </c>
      <c r="B53" s="23" t="s">
        <v>47</v>
      </c>
      <c r="C53" s="2">
        <v>32533946.41</v>
      </c>
      <c r="D53" s="1">
        <v>1</v>
      </c>
      <c r="E53" s="9" t="s">
        <v>26</v>
      </c>
      <c r="F53" s="10" t="s">
        <v>26</v>
      </c>
      <c r="G53" s="2" t="s">
        <v>26</v>
      </c>
      <c r="H53" s="1" t="s">
        <v>26</v>
      </c>
      <c r="I53" s="1" t="s">
        <v>26</v>
      </c>
      <c r="J53" s="1" t="s">
        <v>26</v>
      </c>
      <c r="K53" s="2">
        <v>16139012.140000001</v>
      </c>
      <c r="L53" s="1">
        <v>1</v>
      </c>
      <c r="M53" s="1" t="s">
        <v>26</v>
      </c>
      <c r="N53" s="1" t="s">
        <v>26</v>
      </c>
      <c r="O53" s="2">
        <v>376476293.22000003</v>
      </c>
      <c r="P53" s="1">
        <v>1</v>
      </c>
      <c r="Q53" s="1" t="s">
        <v>26</v>
      </c>
      <c r="R53" s="1" t="s">
        <v>26</v>
      </c>
      <c r="S53" s="2">
        <v>284978062.00999999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102965206.40000001</v>
      </c>
      <c r="AB53" s="1">
        <v>1</v>
      </c>
      <c r="AC53" s="1" t="s">
        <v>26</v>
      </c>
      <c r="AD53" s="1" t="s">
        <v>26</v>
      </c>
      <c r="AE53" s="2">
        <v>813092520.17999995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813092520.17999995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60</v>
      </c>
      <c r="B54" s="20" t="s">
        <v>25</v>
      </c>
      <c r="C54" s="9" t="s">
        <v>26</v>
      </c>
      <c r="D54" s="10" t="s">
        <v>26</v>
      </c>
      <c r="E54" s="9" t="s">
        <v>26</v>
      </c>
      <c r="F54" s="10" t="s">
        <v>26</v>
      </c>
      <c r="G54" s="9">
        <v>303225213</v>
      </c>
      <c r="H54" s="10">
        <v>1.70719549797E-3</v>
      </c>
      <c r="I54" s="10">
        <v>0.12</v>
      </c>
      <c r="J54" s="10">
        <v>0.1183</v>
      </c>
      <c r="K54" s="9">
        <v>52422508</v>
      </c>
      <c r="L54" s="10">
        <v>1.2205306853550001E-2</v>
      </c>
      <c r="M54" s="10">
        <v>0.12</v>
      </c>
      <c r="N54" s="10">
        <v>0.10780000000000001</v>
      </c>
      <c r="O54" s="9">
        <v>2258266292</v>
      </c>
      <c r="P54" s="10">
        <v>8.7773367177800005E-3</v>
      </c>
      <c r="Q54" s="10">
        <v>0.12</v>
      </c>
      <c r="R54" s="10">
        <v>0.11119999999999999</v>
      </c>
      <c r="S54" s="9">
        <v>955406570.41999996</v>
      </c>
      <c r="T54" s="10">
        <v>7.4942462990799999E-3</v>
      </c>
      <c r="U54" s="10">
        <v>0.13220000000000001</v>
      </c>
      <c r="V54" s="10">
        <v>0.12470000000000001</v>
      </c>
      <c r="W54" s="9">
        <v>193531236.31999999</v>
      </c>
      <c r="X54" s="10">
        <v>2.6128843664989999E-2</v>
      </c>
      <c r="Y54" s="10">
        <v>0.1424</v>
      </c>
      <c r="Z54" s="10">
        <v>0.1163</v>
      </c>
      <c r="AA54" s="9">
        <v>2933987414.48</v>
      </c>
      <c r="AB54" s="10">
        <v>1.850889920541E-2</v>
      </c>
      <c r="AC54" s="10">
        <v>0.1353</v>
      </c>
      <c r="AD54" s="10">
        <v>0.1168</v>
      </c>
      <c r="AE54" s="9">
        <v>6696839234.2200003</v>
      </c>
      <c r="AF54" s="10">
        <v>9.04190008925E-3</v>
      </c>
      <c r="AG54" s="10">
        <v>0.12909999999999999</v>
      </c>
      <c r="AH54" s="10">
        <v>0.1201</v>
      </c>
      <c r="AI54" s="9">
        <v>245914051.69999999</v>
      </c>
      <c r="AJ54" s="10">
        <v>1.2995781759119999E-2</v>
      </c>
      <c r="AK54" s="10">
        <v>0.1244</v>
      </c>
      <c r="AL54" s="10">
        <v>0.1114</v>
      </c>
      <c r="AM54" s="9">
        <v>227199149.66999999</v>
      </c>
      <c r="AN54" s="10">
        <v>9.0108796278599995E-3</v>
      </c>
      <c r="AO54" s="10">
        <v>0.12</v>
      </c>
      <c r="AP54" s="10">
        <v>0.111</v>
      </c>
      <c r="AQ54" s="9">
        <v>473113201.37</v>
      </c>
      <c r="AR54" s="10">
        <v>1.071932439556E-2</v>
      </c>
      <c r="AS54" s="10">
        <v>0.12230000000000001</v>
      </c>
      <c r="AT54" s="10">
        <v>0.1116</v>
      </c>
      <c r="AU54" s="9">
        <v>401665589.01999998</v>
      </c>
      <c r="AV54" s="10">
        <v>7.5069329464599998E-3</v>
      </c>
      <c r="AW54" s="10">
        <v>0.1265</v>
      </c>
      <c r="AX54" s="10">
        <v>0.11899999999999999</v>
      </c>
      <c r="AY54" s="9">
        <v>7571618024.6099997</v>
      </c>
      <c r="AZ54" s="10">
        <v>9.0322443571599995E-3</v>
      </c>
      <c r="BA54" s="10">
        <v>0.1285</v>
      </c>
      <c r="BB54" s="10">
        <v>0.1195</v>
      </c>
    </row>
    <row r="55" spans="1:54" s="28" customFormat="1">
      <c r="A55" s="3" t="s">
        <v>39</v>
      </c>
      <c r="B55" s="23" t="s">
        <v>57</v>
      </c>
      <c r="C55" s="9" t="s">
        <v>26</v>
      </c>
      <c r="D55" s="10" t="s">
        <v>26</v>
      </c>
      <c r="E55" s="9" t="s">
        <v>26</v>
      </c>
      <c r="F55" s="10" t="s">
        <v>26</v>
      </c>
      <c r="G55" s="2">
        <v>303225213</v>
      </c>
      <c r="H55" s="1">
        <v>1</v>
      </c>
      <c r="I55" s="9" t="s">
        <v>26</v>
      </c>
      <c r="J55" s="10" t="s">
        <v>26</v>
      </c>
      <c r="K55" s="2">
        <v>52422508</v>
      </c>
      <c r="L55" s="1">
        <v>1</v>
      </c>
      <c r="M55" s="1" t="s">
        <v>26</v>
      </c>
      <c r="N55" s="1" t="s">
        <v>26</v>
      </c>
      <c r="O55" s="2">
        <v>2258266292</v>
      </c>
      <c r="P55" s="1">
        <v>1</v>
      </c>
      <c r="Q55" s="1" t="s">
        <v>26</v>
      </c>
      <c r="R55" s="1" t="s">
        <v>26</v>
      </c>
      <c r="S55" s="2">
        <v>566163086.39999998</v>
      </c>
      <c r="T55" s="1">
        <v>0.59258864647655995</v>
      </c>
      <c r="U55" s="1" t="s">
        <v>26</v>
      </c>
      <c r="V55" s="1" t="s">
        <v>26</v>
      </c>
      <c r="W55" s="2">
        <v>48865277.020000003</v>
      </c>
      <c r="X55" s="1">
        <v>0.25249297193143</v>
      </c>
      <c r="Y55" s="1" t="s">
        <v>26</v>
      </c>
      <c r="Z55" s="1" t="s">
        <v>26</v>
      </c>
      <c r="AA55" s="2">
        <v>1440311159.1900001</v>
      </c>
      <c r="AB55" s="1">
        <v>0.49090570466720002</v>
      </c>
      <c r="AC55" s="1" t="s">
        <v>26</v>
      </c>
      <c r="AD55" s="1" t="s">
        <v>26</v>
      </c>
      <c r="AE55" s="2">
        <v>4669253535.6099997</v>
      </c>
      <c r="AF55" s="1">
        <v>0.69723243642324995</v>
      </c>
      <c r="AG55" s="1" t="s">
        <v>26</v>
      </c>
      <c r="AH55" s="1" t="s">
        <v>26</v>
      </c>
      <c r="AI55" s="2">
        <v>209690032</v>
      </c>
      <c r="AJ55" s="1">
        <v>0.85269642198327</v>
      </c>
      <c r="AK55" s="1" t="s">
        <v>26</v>
      </c>
      <c r="AL55" s="1" t="s">
        <v>26</v>
      </c>
      <c r="AM55" s="2">
        <v>227199149.66999999</v>
      </c>
      <c r="AN55" s="1">
        <v>1</v>
      </c>
      <c r="AO55" s="1" t="s">
        <v>26</v>
      </c>
      <c r="AP55" s="1" t="s">
        <v>26</v>
      </c>
      <c r="AQ55" s="2">
        <v>436889181.67000002</v>
      </c>
      <c r="AR55" s="1">
        <v>0.92343477291458997</v>
      </c>
      <c r="AS55" s="1" t="s">
        <v>26</v>
      </c>
      <c r="AT55" s="1" t="s">
        <v>26</v>
      </c>
      <c r="AU55" s="2">
        <v>314535048</v>
      </c>
      <c r="AV55" s="1">
        <v>0.78307690924536</v>
      </c>
      <c r="AW55" s="1" t="s">
        <v>26</v>
      </c>
      <c r="AX55" s="1" t="s">
        <v>26</v>
      </c>
      <c r="AY55" s="2">
        <v>5420677765.2799997</v>
      </c>
      <c r="AZ55" s="1">
        <v>0.71592065892140999</v>
      </c>
      <c r="BA55" s="1" t="s">
        <v>26</v>
      </c>
      <c r="BB55" s="1" t="s">
        <v>26</v>
      </c>
    </row>
    <row r="56" spans="1:54" s="7" customFormat="1">
      <c r="A56" s="3" t="s">
        <v>41</v>
      </c>
      <c r="B56" s="23" t="s">
        <v>35</v>
      </c>
      <c r="C56" s="9" t="s">
        <v>26</v>
      </c>
      <c r="D56" s="10" t="s">
        <v>26</v>
      </c>
      <c r="E56" s="9" t="s">
        <v>26</v>
      </c>
      <c r="F56" s="10" t="s">
        <v>26</v>
      </c>
      <c r="G56" s="9" t="s">
        <v>26</v>
      </c>
      <c r="H56" s="10" t="s">
        <v>26</v>
      </c>
      <c r="I56" s="9" t="s">
        <v>26</v>
      </c>
      <c r="J56" s="10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 t="s">
        <v>26</v>
      </c>
      <c r="P56" s="1" t="s">
        <v>26</v>
      </c>
      <c r="Q56" s="1" t="s">
        <v>26</v>
      </c>
      <c r="R56" s="1" t="s">
        <v>26</v>
      </c>
      <c r="S56" s="2">
        <v>389243484.01999998</v>
      </c>
      <c r="T56" s="1">
        <v>0.40741135352343999</v>
      </c>
      <c r="U56" s="1" t="s">
        <v>26</v>
      </c>
      <c r="V56" s="1" t="s">
        <v>26</v>
      </c>
      <c r="W56" s="2">
        <v>144665959.30000001</v>
      </c>
      <c r="X56" s="1">
        <v>0.74750702806856995</v>
      </c>
      <c r="Y56" s="1" t="s">
        <v>26</v>
      </c>
      <c r="Z56" s="1" t="s">
        <v>26</v>
      </c>
      <c r="AA56" s="2">
        <v>1493676255.29</v>
      </c>
      <c r="AB56" s="1">
        <v>0.50909429533280004</v>
      </c>
      <c r="AC56" s="1" t="s">
        <v>26</v>
      </c>
      <c r="AD56" s="1" t="s">
        <v>26</v>
      </c>
      <c r="AE56" s="2">
        <v>2027585698.6099999</v>
      </c>
      <c r="AF56" s="1">
        <v>0.30276756357675</v>
      </c>
      <c r="AG56" s="1" t="s">
        <v>26</v>
      </c>
      <c r="AH56" s="1" t="s">
        <v>26</v>
      </c>
      <c r="AI56" s="2">
        <v>36224019.700000003</v>
      </c>
      <c r="AJ56" s="1">
        <v>0.14730357801673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>
        <v>36224019.700000003</v>
      </c>
      <c r="AR56" s="1">
        <v>7.6565227085409998E-2</v>
      </c>
      <c r="AS56" s="1" t="s">
        <v>26</v>
      </c>
      <c r="AT56" s="1" t="s">
        <v>26</v>
      </c>
      <c r="AU56" s="2">
        <v>87130541.019999996</v>
      </c>
      <c r="AV56" s="1">
        <v>0.21692309075464</v>
      </c>
      <c r="AW56" s="1" t="s">
        <v>26</v>
      </c>
      <c r="AX56" s="1" t="s">
        <v>26</v>
      </c>
      <c r="AY56" s="2">
        <v>2150940259.3299999</v>
      </c>
      <c r="AZ56" s="1">
        <v>0.28407934107859001</v>
      </c>
      <c r="BA56" s="1" t="s">
        <v>26</v>
      </c>
      <c r="BB56" s="1" t="s">
        <v>26</v>
      </c>
    </row>
    <row r="57" spans="1:54" s="7" customFormat="1">
      <c r="A57" s="12" t="s">
        <v>61</v>
      </c>
      <c r="B57" s="40" t="s">
        <v>25</v>
      </c>
      <c r="C57" s="42" t="s">
        <v>26</v>
      </c>
      <c r="D57" s="43" t="s">
        <v>26</v>
      </c>
      <c r="E57" s="43" t="s">
        <v>26</v>
      </c>
      <c r="F57" s="43" t="s">
        <v>26</v>
      </c>
      <c r="G57" s="43" t="s">
        <v>26</v>
      </c>
      <c r="H57" s="43" t="s">
        <v>26</v>
      </c>
      <c r="I57" s="43" t="s">
        <v>26</v>
      </c>
      <c r="J57" s="43" t="s">
        <v>26</v>
      </c>
      <c r="K57" s="42">
        <v>123335536.29000001</v>
      </c>
      <c r="L57" s="43">
        <v>2.8715681942689999E-2</v>
      </c>
      <c r="M57" s="43" t="s">
        <v>26</v>
      </c>
      <c r="N57" s="43" t="s">
        <v>26</v>
      </c>
      <c r="O57" s="42">
        <v>100455053.7</v>
      </c>
      <c r="P57" s="43">
        <v>3.9044457886000002E-4</v>
      </c>
      <c r="Q57" s="43" t="s">
        <v>26</v>
      </c>
      <c r="R57" s="43" t="s">
        <v>26</v>
      </c>
      <c r="S57" s="43">
        <v>8543774.0500000007</v>
      </c>
      <c r="T57" s="43">
        <v>6.7017695959999997E-5</v>
      </c>
      <c r="U57" s="43" t="s">
        <v>26</v>
      </c>
      <c r="V57" s="43" t="s">
        <v>26</v>
      </c>
      <c r="W57" s="43" t="s">
        <v>26</v>
      </c>
      <c r="X57" s="43" t="s">
        <v>26</v>
      </c>
      <c r="Y57" s="43" t="s">
        <v>26</v>
      </c>
      <c r="Z57" s="43" t="s">
        <v>26</v>
      </c>
      <c r="AA57" s="42">
        <v>146906387.34</v>
      </c>
      <c r="AB57" s="43">
        <v>9.2675091327000005E-4</v>
      </c>
      <c r="AC57" s="43" t="s">
        <v>26</v>
      </c>
      <c r="AD57" s="43" t="s">
        <v>26</v>
      </c>
      <c r="AE57" s="42">
        <v>379240751.38</v>
      </c>
      <c r="AF57" s="43">
        <v>5.1204110831999997E-4</v>
      </c>
      <c r="AG57" s="43" t="s">
        <v>26</v>
      </c>
      <c r="AH57" s="43" t="s">
        <v>26</v>
      </c>
      <c r="AI57" s="42">
        <v>50412579.890000001</v>
      </c>
      <c r="AJ57" s="43">
        <v>2.6641457925500002E-3</v>
      </c>
      <c r="AK57" s="43" t="s">
        <v>26</v>
      </c>
      <c r="AL57" s="43" t="s">
        <v>26</v>
      </c>
      <c r="AM57" s="43" t="s">
        <v>26</v>
      </c>
      <c r="AN57" s="43" t="s">
        <v>26</v>
      </c>
      <c r="AO57" s="43" t="s">
        <v>26</v>
      </c>
      <c r="AP57" s="43" t="s">
        <v>26</v>
      </c>
      <c r="AQ57" s="42">
        <v>50412579.890000001</v>
      </c>
      <c r="AR57" s="43">
        <v>1.14219767255E-3</v>
      </c>
      <c r="AS57" s="43" t="s">
        <v>26</v>
      </c>
      <c r="AT57" s="43" t="s">
        <v>26</v>
      </c>
      <c r="AU57" s="48">
        <v>7911772.4199999999</v>
      </c>
      <c r="AV57" s="43">
        <v>1.4786714787E-4</v>
      </c>
      <c r="AW57" s="43" t="s">
        <v>26</v>
      </c>
      <c r="AX57" s="43" t="s">
        <v>26</v>
      </c>
      <c r="AY57" s="42">
        <v>437565103.69</v>
      </c>
      <c r="AZ57" s="43">
        <v>5.2197494985E-4</v>
      </c>
      <c r="BA57" s="43" t="s">
        <v>26</v>
      </c>
      <c r="BB57" s="43" t="s">
        <v>26</v>
      </c>
    </row>
    <row r="58" spans="1:54" s="7" customFormat="1">
      <c r="A58" s="5" t="s">
        <v>63</v>
      </c>
      <c r="B58" s="20" t="s">
        <v>25</v>
      </c>
      <c r="C58" s="9" t="s">
        <v>26</v>
      </c>
      <c r="D58" s="10" t="s">
        <v>26</v>
      </c>
      <c r="E58" s="9" t="s">
        <v>26</v>
      </c>
      <c r="F58" s="10" t="s">
        <v>26</v>
      </c>
      <c r="G58" s="9" t="s">
        <v>26</v>
      </c>
      <c r="H58" s="10" t="s">
        <v>26</v>
      </c>
      <c r="I58" s="9" t="s">
        <v>26</v>
      </c>
      <c r="J58" s="10" t="s">
        <v>26</v>
      </c>
      <c r="K58" s="2" t="s">
        <v>26</v>
      </c>
      <c r="L58" s="1" t="s">
        <v>26</v>
      </c>
      <c r="M58" s="1" t="s">
        <v>26</v>
      </c>
      <c r="N58" s="1" t="s">
        <v>26</v>
      </c>
      <c r="O58" s="2" t="s">
        <v>26</v>
      </c>
      <c r="P58" s="1" t="s">
        <v>26</v>
      </c>
      <c r="Q58" s="1" t="s">
        <v>26</v>
      </c>
      <c r="R58" s="1" t="s">
        <v>26</v>
      </c>
      <c r="S58" s="2" t="s">
        <v>26</v>
      </c>
      <c r="T58" s="1" t="s">
        <v>26</v>
      </c>
      <c r="U58" s="1" t="s">
        <v>26</v>
      </c>
      <c r="V58" s="1" t="s">
        <v>26</v>
      </c>
      <c r="W58" s="2" t="s">
        <v>26</v>
      </c>
      <c r="X58" s="1" t="s">
        <v>26</v>
      </c>
      <c r="Y58" s="1" t="s">
        <v>26</v>
      </c>
      <c r="Z58" s="1" t="s">
        <v>26</v>
      </c>
      <c r="AA58" s="9">
        <v>96354591.900000006</v>
      </c>
      <c r="AB58" s="10">
        <v>6.0784767536999995E-4</v>
      </c>
      <c r="AC58" s="10">
        <v>0.13500000000000001</v>
      </c>
      <c r="AD58" s="10">
        <v>0.13439999999999999</v>
      </c>
      <c r="AE58" s="9">
        <v>96354591.900000006</v>
      </c>
      <c r="AF58" s="10">
        <v>1.3009549170999999E-4</v>
      </c>
      <c r="AG58" s="10">
        <v>0.13500000000000001</v>
      </c>
      <c r="AH58" s="10">
        <v>0.13489999999999999</v>
      </c>
      <c r="AI58" s="2" t="s">
        <v>26</v>
      </c>
      <c r="AJ58" s="1" t="s">
        <v>26</v>
      </c>
      <c r="AK58" s="1" t="s">
        <v>26</v>
      </c>
      <c r="AL58" s="1" t="s">
        <v>26</v>
      </c>
      <c r="AM58" s="2" t="s">
        <v>26</v>
      </c>
      <c r="AN58" s="1" t="s">
        <v>26</v>
      </c>
      <c r="AO58" s="1" t="s">
        <v>26</v>
      </c>
      <c r="AP58" s="1" t="s">
        <v>26</v>
      </c>
      <c r="AQ58" s="2" t="s">
        <v>26</v>
      </c>
      <c r="AR58" s="1" t="s">
        <v>26</v>
      </c>
      <c r="AS58" s="1" t="s">
        <v>26</v>
      </c>
      <c r="AT58" s="1" t="s">
        <v>26</v>
      </c>
      <c r="AU58" s="2" t="s">
        <v>26</v>
      </c>
      <c r="AV58" s="1" t="s">
        <v>26</v>
      </c>
      <c r="AW58" s="1" t="s">
        <v>26</v>
      </c>
      <c r="AX58" s="1" t="s">
        <v>26</v>
      </c>
      <c r="AY58" s="9">
        <v>96354591.900000006</v>
      </c>
      <c r="AZ58" s="10">
        <v>1.1494217169E-4</v>
      </c>
      <c r="BA58" s="10">
        <v>0.13500000000000001</v>
      </c>
      <c r="BB58" s="10">
        <v>0.13489999999999999</v>
      </c>
    </row>
    <row r="59" spans="1:54" s="7" customFormat="1">
      <c r="A59" s="3" t="s">
        <v>41</v>
      </c>
      <c r="B59" s="23" t="s">
        <v>44</v>
      </c>
      <c r="C59" s="9" t="s">
        <v>26</v>
      </c>
      <c r="D59" s="10" t="s">
        <v>26</v>
      </c>
      <c r="E59" s="9" t="s">
        <v>26</v>
      </c>
      <c r="F59" s="10" t="s">
        <v>26</v>
      </c>
      <c r="G59" s="9" t="s">
        <v>26</v>
      </c>
      <c r="H59" s="10" t="s">
        <v>26</v>
      </c>
      <c r="I59" s="9" t="s">
        <v>26</v>
      </c>
      <c r="J59" s="10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>
        <v>96354591.900000006</v>
      </c>
      <c r="AB59" s="1">
        <v>1</v>
      </c>
      <c r="AC59" s="1" t="s">
        <v>26</v>
      </c>
      <c r="AD59" s="1" t="s">
        <v>26</v>
      </c>
      <c r="AE59" s="2">
        <v>96354591.900000006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96354591.900000006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65</v>
      </c>
      <c r="B60" s="20" t="s">
        <v>25</v>
      </c>
      <c r="C60" s="9" t="s">
        <v>26</v>
      </c>
      <c r="D60" s="10" t="s">
        <v>26</v>
      </c>
      <c r="E60" s="9" t="s">
        <v>26</v>
      </c>
      <c r="F60" s="10" t="s">
        <v>26</v>
      </c>
      <c r="G60" s="9" t="s">
        <v>26</v>
      </c>
      <c r="H60" s="10" t="s">
        <v>26</v>
      </c>
      <c r="I60" s="9" t="s">
        <v>26</v>
      </c>
      <c r="J60" s="10" t="s">
        <v>26</v>
      </c>
      <c r="K60" s="9">
        <v>123335536.29000001</v>
      </c>
      <c r="L60" s="10">
        <v>2.8715681942689999E-2</v>
      </c>
      <c r="M60" s="10">
        <v>0.13500000000000001</v>
      </c>
      <c r="N60" s="10">
        <v>0.10630000000000001</v>
      </c>
      <c r="O60" s="9">
        <v>100455053.7</v>
      </c>
      <c r="P60" s="10">
        <v>3.9044457886000002E-4</v>
      </c>
      <c r="Q60" s="10">
        <v>0.13500000000000001</v>
      </c>
      <c r="R60" s="10">
        <v>0.1346</v>
      </c>
      <c r="S60" s="9">
        <v>8543774.0500000007</v>
      </c>
      <c r="T60" s="10">
        <v>6.7017695959999997E-5</v>
      </c>
      <c r="U60" s="10">
        <v>0.13500000000000001</v>
      </c>
      <c r="V60" s="10">
        <v>0.13489999999999999</v>
      </c>
      <c r="W60" s="2" t="s">
        <v>26</v>
      </c>
      <c r="X60" s="1" t="s">
        <v>26</v>
      </c>
      <c r="Y60" s="1" t="s">
        <v>26</v>
      </c>
      <c r="Z60" s="1" t="s">
        <v>26</v>
      </c>
      <c r="AA60" s="9">
        <v>50551795.439999998</v>
      </c>
      <c r="AB60" s="10">
        <v>3.1890323791000002E-4</v>
      </c>
      <c r="AC60" s="10">
        <v>0.13500000000000001</v>
      </c>
      <c r="AD60" s="10">
        <v>0.13469999999999999</v>
      </c>
      <c r="AE60" s="9">
        <v>282886159.48000002</v>
      </c>
      <c r="AF60" s="10">
        <v>3.8194561661E-4</v>
      </c>
      <c r="AG60" s="10">
        <v>0.13500000000000001</v>
      </c>
      <c r="AH60" s="10">
        <v>0.1346</v>
      </c>
      <c r="AI60" s="9">
        <v>50412579.890000001</v>
      </c>
      <c r="AJ60" s="10">
        <v>2.6641457925500002E-3</v>
      </c>
      <c r="AK60" s="10">
        <v>0.13500000000000001</v>
      </c>
      <c r="AL60" s="10">
        <v>0.1323</v>
      </c>
      <c r="AM60" s="2" t="s">
        <v>26</v>
      </c>
      <c r="AN60" s="1" t="s">
        <v>26</v>
      </c>
      <c r="AO60" s="1" t="s">
        <v>26</v>
      </c>
      <c r="AP60" s="1" t="s">
        <v>26</v>
      </c>
      <c r="AQ60" s="9">
        <v>50412579.890000001</v>
      </c>
      <c r="AR60" s="10">
        <v>1.14219767255E-3</v>
      </c>
      <c r="AS60" s="10">
        <v>0.13500000000000001</v>
      </c>
      <c r="AT60" s="10">
        <v>0.13389999999999999</v>
      </c>
      <c r="AU60" s="9">
        <v>7911772.4199999999</v>
      </c>
      <c r="AV60" s="10">
        <v>1.4786714787E-4</v>
      </c>
      <c r="AW60" s="10">
        <v>0.13500000000000001</v>
      </c>
      <c r="AX60" s="10">
        <v>0.13489999999999999</v>
      </c>
      <c r="AY60" s="9">
        <v>341210511.79000002</v>
      </c>
      <c r="AZ60" s="10">
        <v>4.0703277816000002E-4</v>
      </c>
      <c r="BA60" s="10">
        <v>0.13500000000000001</v>
      </c>
      <c r="BB60" s="10">
        <v>0.1346</v>
      </c>
    </row>
    <row r="61" spans="1:54" s="28" customFormat="1">
      <c r="A61" s="3" t="s">
        <v>41</v>
      </c>
      <c r="B61" s="23" t="s">
        <v>44</v>
      </c>
      <c r="C61" s="9" t="s">
        <v>26</v>
      </c>
      <c r="D61" s="10" t="s">
        <v>26</v>
      </c>
      <c r="E61" s="9" t="s">
        <v>26</v>
      </c>
      <c r="F61" s="10" t="s">
        <v>26</v>
      </c>
      <c r="G61" s="9" t="s">
        <v>26</v>
      </c>
      <c r="H61" s="10" t="s">
        <v>26</v>
      </c>
      <c r="I61" s="9" t="s">
        <v>26</v>
      </c>
      <c r="J61" s="10" t="s">
        <v>26</v>
      </c>
      <c r="K61" s="2">
        <v>123335536.29000001</v>
      </c>
      <c r="L61" s="1">
        <v>1</v>
      </c>
      <c r="M61" s="1" t="s">
        <v>26</v>
      </c>
      <c r="N61" s="1" t="s">
        <v>26</v>
      </c>
      <c r="O61" s="2">
        <v>100455053.7</v>
      </c>
      <c r="P61" s="1">
        <v>1</v>
      </c>
      <c r="Q61" s="1" t="s">
        <v>26</v>
      </c>
      <c r="R61" s="1" t="s">
        <v>26</v>
      </c>
      <c r="S61" s="2">
        <v>8543774.0500000007</v>
      </c>
      <c r="T61" s="1">
        <v>1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>
        <v>50551795.439999998</v>
      </c>
      <c r="AB61" s="1">
        <v>1</v>
      </c>
      <c r="AC61" s="1" t="s">
        <v>26</v>
      </c>
      <c r="AD61" s="1" t="s">
        <v>26</v>
      </c>
      <c r="AE61" s="2">
        <v>282886159.48000002</v>
      </c>
      <c r="AF61" s="1">
        <v>1</v>
      </c>
      <c r="AG61" s="1" t="s">
        <v>26</v>
      </c>
      <c r="AH61" s="1" t="s">
        <v>26</v>
      </c>
      <c r="AI61" s="2">
        <v>50412579.890000001</v>
      </c>
      <c r="AJ61" s="1">
        <v>1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>
        <v>50412579.890000001</v>
      </c>
      <c r="AR61" s="1">
        <v>1</v>
      </c>
      <c r="AS61" s="1" t="s">
        <v>26</v>
      </c>
      <c r="AT61" s="1" t="s">
        <v>26</v>
      </c>
      <c r="AU61" s="2">
        <v>7911772.4199999999</v>
      </c>
      <c r="AV61" s="1">
        <v>1</v>
      </c>
      <c r="AW61" s="1" t="s">
        <v>26</v>
      </c>
      <c r="AX61" s="1" t="s">
        <v>26</v>
      </c>
      <c r="AY61" s="2">
        <v>341210511.79000002</v>
      </c>
      <c r="AZ61" s="1">
        <v>1</v>
      </c>
      <c r="BA61" s="1" t="s">
        <v>26</v>
      </c>
      <c r="BB61" s="1" t="s">
        <v>26</v>
      </c>
    </row>
    <row r="62" spans="1:54" s="7" customFormat="1">
      <c r="A62" s="12" t="s">
        <v>66</v>
      </c>
      <c r="B62" s="40" t="s">
        <v>25</v>
      </c>
      <c r="C62" s="42">
        <v>1762304196.5699999</v>
      </c>
      <c r="D62" s="43">
        <v>0.21917844323554</v>
      </c>
      <c r="E62" s="43" t="s">
        <v>26</v>
      </c>
      <c r="F62" s="43" t="s">
        <v>26</v>
      </c>
      <c r="G62" s="42">
        <v>6503390379.3100004</v>
      </c>
      <c r="H62" s="43">
        <v>3.6614893158969999E-2</v>
      </c>
      <c r="I62" s="43" t="s">
        <v>26</v>
      </c>
      <c r="J62" s="43" t="s">
        <v>26</v>
      </c>
      <c r="K62" s="42">
        <v>764058829.14999998</v>
      </c>
      <c r="L62" s="43">
        <v>0.17789252784201001</v>
      </c>
      <c r="M62" s="43" t="s">
        <v>26</v>
      </c>
      <c r="N62" s="43" t="s">
        <v>26</v>
      </c>
      <c r="O62" s="42">
        <v>10481565501.309999</v>
      </c>
      <c r="P62" s="43">
        <v>4.0739318503040002E-2</v>
      </c>
      <c r="Q62" s="43" t="s">
        <v>26</v>
      </c>
      <c r="R62" s="43" t="s">
        <v>26</v>
      </c>
      <c r="S62" s="42">
        <v>6753631316.8599997</v>
      </c>
      <c r="T62" s="43">
        <v>5.2975746733150003E-2</v>
      </c>
      <c r="U62" s="43" t="s">
        <v>26</v>
      </c>
      <c r="V62" s="43" t="s">
        <v>26</v>
      </c>
      <c r="W62" s="43" t="s">
        <v>26</v>
      </c>
      <c r="X62" s="43" t="s">
        <v>26</v>
      </c>
      <c r="Y62" s="43" t="s">
        <v>26</v>
      </c>
      <c r="Z62" s="43" t="s">
        <v>26</v>
      </c>
      <c r="AA62" s="42">
        <v>5029680648.5299997</v>
      </c>
      <c r="AB62" s="43">
        <v>3.172946540247E-2</v>
      </c>
      <c r="AC62" s="43" t="s">
        <v>26</v>
      </c>
      <c r="AD62" s="43" t="s">
        <v>26</v>
      </c>
      <c r="AE62" s="42">
        <v>31294630871.73</v>
      </c>
      <c r="AF62" s="43">
        <v>4.2253205695329997E-2</v>
      </c>
      <c r="AG62" s="43" t="s">
        <v>26</v>
      </c>
      <c r="AH62" s="43" t="s">
        <v>26</v>
      </c>
      <c r="AI62" s="42">
        <v>863410836.04999995</v>
      </c>
      <c r="AJ62" s="43">
        <v>4.562853857351E-2</v>
      </c>
      <c r="AK62" s="43" t="s">
        <v>26</v>
      </c>
      <c r="AL62" s="43" t="s">
        <v>26</v>
      </c>
      <c r="AM62" s="42">
        <v>2185901985.9099998</v>
      </c>
      <c r="AN62" s="43">
        <v>8.6694425141720002E-2</v>
      </c>
      <c r="AO62" s="43" t="s">
        <v>26</v>
      </c>
      <c r="AP62" s="43" t="s">
        <v>26</v>
      </c>
      <c r="AQ62" s="42">
        <v>3049312821.96</v>
      </c>
      <c r="AR62" s="43">
        <v>6.9088271533060006E-2</v>
      </c>
      <c r="AS62" s="43" t="s">
        <v>26</v>
      </c>
      <c r="AT62" s="43" t="s">
        <v>26</v>
      </c>
      <c r="AU62" s="42">
        <v>1454950437.8099999</v>
      </c>
      <c r="AV62" s="43">
        <v>2.7192310408559999E-2</v>
      </c>
      <c r="AW62" s="43" t="s">
        <v>26</v>
      </c>
      <c r="AX62" s="43" t="s">
        <v>26</v>
      </c>
      <c r="AY62" s="42">
        <v>35798894131.5</v>
      </c>
      <c r="AZ62" s="43">
        <v>4.2704790239139999E-2</v>
      </c>
      <c r="BA62" s="43" t="s">
        <v>26</v>
      </c>
      <c r="BB62" s="43" t="s">
        <v>26</v>
      </c>
    </row>
    <row r="63" spans="1:54" s="28" customFormat="1">
      <c r="A63" s="5" t="s">
        <v>67</v>
      </c>
      <c r="B63" s="20" t="s">
        <v>25</v>
      </c>
      <c r="C63" s="9">
        <v>294727286.25999999</v>
      </c>
      <c r="D63" s="10">
        <v>3.6655344694309998E-2</v>
      </c>
      <c r="E63" s="10">
        <v>0.08</v>
      </c>
      <c r="F63" s="10">
        <v>4.3299999999999998E-2</v>
      </c>
      <c r="G63" s="9" t="s">
        <v>26</v>
      </c>
      <c r="H63" s="10" t="s">
        <v>26</v>
      </c>
      <c r="I63" s="9" t="s">
        <v>26</v>
      </c>
      <c r="J63" s="10" t="s">
        <v>26</v>
      </c>
      <c r="K63" s="9">
        <v>193640153.13999999</v>
      </c>
      <c r="L63" s="10">
        <v>4.5084403215539998E-2</v>
      </c>
      <c r="M63" s="10">
        <v>0.08</v>
      </c>
      <c r="N63" s="10">
        <v>3.49E-2</v>
      </c>
      <c r="O63" s="2" t="s">
        <v>26</v>
      </c>
      <c r="P63" s="1" t="s">
        <v>26</v>
      </c>
      <c r="Q63" s="1" t="s">
        <v>26</v>
      </c>
      <c r="R63" s="1" t="s">
        <v>26</v>
      </c>
      <c r="S63" s="9">
        <v>496295454.93000001</v>
      </c>
      <c r="T63" s="10">
        <v>3.8929608519700002E-3</v>
      </c>
      <c r="U63" s="10">
        <v>0.08</v>
      </c>
      <c r="V63" s="10">
        <v>7.6100000000000001E-2</v>
      </c>
      <c r="W63" s="2" t="s">
        <v>26</v>
      </c>
      <c r="X63" s="1" t="s">
        <v>26</v>
      </c>
      <c r="Y63" s="1" t="s">
        <v>26</v>
      </c>
      <c r="Z63" s="1" t="s">
        <v>26</v>
      </c>
      <c r="AA63" s="2" t="s">
        <v>26</v>
      </c>
      <c r="AB63" s="1" t="s">
        <v>26</v>
      </c>
      <c r="AC63" s="1" t="s">
        <v>26</v>
      </c>
      <c r="AD63" s="1" t="s">
        <v>26</v>
      </c>
      <c r="AE63" s="9">
        <v>984662894.33000004</v>
      </c>
      <c r="AF63" s="10">
        <v>1.32946651409E-3</v>
      </c>
      <c r="AG63" s="10">
        <v>0.08</v>
      </c>
      <c r="AH63" s="10">
        <v>7.8700000000000006E-2</v>
      </c>
      <c r="AI63" s="2" t="s">
        <v>26</v>
      </c>
      <c r="AJ63" s="1" t="s">
        <v>26</v>
      </c>
      <c r="AK63" s="1" t="s">
        <v>26</v>
      </c>
      <c r="AL63" s="1" t="s">
        <v>26</v>
      </c>
      <c r="AM63" s="2" t="s">
        <v>26</v>
      </c>
      <c r="AN63" s="1" t="s">
        <v>26</v>
      </c>
      <c r="AO63" s="1" t="s">
        <v>26</v>
      </c>
      <c r="AP63" s="1" t="s">
        <v>26</v>
      </c>
      <c r="AQ63" s="2" t="s">
        <v>26</v>
      </c>
      <c r="AR63" s="1" t="s">
        <v>26</v>
      </c>
      <c r="AS63" s="1" t="s">
        <v>26</v>
      </c>
      <c r="AT63" s="1" t="s">
        <v>26</v>
      </c>
      <c r="AU63" s="2" t="s">
        <v>26</v>
      </c>
      <c r="AV63" s="1" t="s">
        <v>26</v>
      </c>
      <c r="AW63" s="1" t="s">
        <v>26</v>
      </c>
      <c r="AX63" s="1" t="s">
        <v>26</v>
      </c>
      <c r="AY63" s="9">
        <v>984662894.33000004</v>
      </c>
      <c r="AZ63" s="10">
        <v>1.1746123275300001E-3</v>
      </c>
      <c r="BA63" s="10">
        <v>0.08</v>
      </c>
      <c r="BB63" s="10">
        <v>7.8799999999999995E-2</v>
      </c>
    </row>
    <row r="64" spans="1:54" s="7" customFormat="1">
      <c r="A64" s="3" t="s">
        <v>68</v>
      </c>
      <c r="B64" s="23" t="s">
        <v>57</v>
      </c>
      <c r="C64" s="2">
        <v>294727286.25999999</v>
      </c>
      <c r="D64" s="1">
        <v>1</v>
      </c>
      <c r="E64" s="9" t="s">
        <v>26</v>
      </c>
      <c r="F64" s="10" t="s">
        <v>26</v>
      </c>
      <c r="G64" s="9" t="s">
        <v>26</v>
      </c>
      <c r="H64" s="10" t="s">
        <v>26</v>
      </c>
      <c r="I64" s="9" t="s">
        <v>26</v>
      </c>
      <c r="J64" s="10" t="s">
        <v>26</v>
      </c>
      <c r="K64" s="2">
        <v>193640153.13999999</v>
      </c>
      <c r="L64" s="1">
        <v>1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>
        <v>496295454.93000001</v>
      </c>
      <c r="T64" s="1">
        <v>1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984662894.33000004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984662894.33000004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69</v>
      </c>
      <c r="B65" s="20" t="s">
        <v>25</v>
      </c>
      <c r="C65" s="9" t="s">
        <v>26</v>
      </c>
      <c r="D65" s="10" t="s">
        <v>26</v>
      </c>
      <c r="E65" s="9" t="s">
        <v>26</v>
      </c>
      <c r="F65" s="10" t="s">
        <v>26</v>
      </c>
      <c r="G65" s="9">
        <v>440420956.89999998</v>
      </c>
      <c r="H65" s="10">
        <v>2.4796245252600001E-3</v>
      </c>
      <c r="I65" s="10">
        <v>0.08</v>
      </c>
      <c r="J65" s="10">
        <v>7.7499999999999999E-2</v>
      </c>
      <c r="K65" s="2" t="s">
        <v>26</v>
      </c>
      <c r="L65" s="1" t="s">
        <v>26</v>
      </c>
      <c r="M65" s="1" t="s">
        <v>26</v>
      </c>
      <c r="N65" s="1" t="s">
        <v>26</v>
      </c>
      <c r="O65" s="9">
        <v>398851219.63999999</v>
      </c>
      <c r="P65" s="10">
        <v>1.55023854692E-3</v>
      </c>
      <c r="Q65" s="10">
        <v>0.08</v>
      </c>
      <c r="R65" s="10">
        <v>7.8399999999999997E-2</v>
      </c>
      <c r="S65" s="9">
        <v>100586882</v>
      </c>
      <c r="T65" s="10">
        <v>7.8900741474999996E-4</v>
      </c>
      <c r="U65" s="10">
        <v>0.08</v>
      </c>
      <c r="V65" s="10">
        <v>7.9200000000000007E-2</v>
      </c>
      <c r="W65" s="2" t="s">
        <v>26</v>
      </c>
      <c r="X65" s="1" t="s">
        <v>26</v>
      </c>
      <c r="Y65" s="1" t="s">
        <v>26</v>
      </c>
      <c r="Z65" s="1" t="s">
        <v>26</v>
      </c>
      <c r="AA65" s="2" t="s">
        <v>26</v>
      </c>
      <c r="AB65" s="1" t="s">
        <v>26</v>
      </c>
      <c r="AC65" s="1" t="s">
        <v>26</v>
      </c>
      <c r="AD65" s="1" t="s">
        <v>26</v>
      </c>
      <c r="AE65" s="9">
        <v>939859058.53999996</v>
      </c>
      <c r="AF65" s="10">
        <v>1.2689735273699999E-3</v>
      </c>
      <c r="AG65" s="10">
        <v>0.08</v>
      </c>
      <c r="AH65" s="10">
        <v>7.8700000000000006E-2</v>
      </c>
      <c r="AI65" s="2" t="s">
        <v>26</v>
      </c>
      <c r="AJ65" s="1" t="s">
        <v>26</v>
      </c>
      <c r="AK65" s="1" t="s">
        <v>26</v>
      </c>
      <c r="AL65" s="1" t="s">
        <v>26</v>
      </c>
      <c r="AM65" s="2" t="s">
        <v>26</v>
      </c>
      <c r="AN65" s="1" t="s">
        <v>26</v>
      </c>
      <c r="AO65" s="1" t="s">
        <v>26</v>
      </c>
      <c r="AP65" s="1" t="s">
        <v>26</v>
      </c>
      <c r="AQ65" s="2" t="s">
        <v>26</v>
      </c>
      <c r="AR65" s="1" t="s">
        <v>26</v>
      </c>
      <c r="AS65" s="1" t="s">
        <v>26</v>
      </c>
      <c r="AT65" s="1" t="s">
        <v>26</v>
      </c>
      <c r="AU65" s="9">
        <v>100586882</v>
      </c>
      <c r="AV65" s="10">
        <v>1.87991951292E-3</v>
      </c>
      <c r="AW65" s="10">
        <v>0.08</v>
      </c>
      <c r="AX65" s="10">
        <v>7.8100000000000003E-2</v>
      </c>
      <c r="AY65" s="9">
        <v>1040445940.54</v>
      </c>
      <c r="AZ65" s="10">
        <v>1.24115637435E-3</v>
      </c>
      <c r="BA65" s="10">
        <v>0.08</v>
      </c>
      <c r="BB65" s="10">
        <v>7.8799999999999995E-2</v>
      </c>
    </row>
    <row r="66" spans="1:54" s="7" customFormat="1">
      <c r="A66" s="3" t="s">
        <v>68</v>
      </c>
      <c r="B66" s="23" t="s">
        <v>57</v>
      </c>
      <c r="C66" s="9" t="s">
        <v>26</v>
      </c>
      <c r="D66" s="10" t="s">
        <v>26</v>
      </c>
      <c r="E66" s="9" t="s">
        <v>26</v>
      </c>
      <c r="F66" s="10" t="s">
        <v>26</v>
      </c>
      <c r="G66" s="2">
        <v>440420956.89999998</v>
      </c>
      <c r="H66" s="1">
        <v>1</v>
      </c>
      <c r="I66" s="9" t="s">
        <v>26</v>
      </c>
      <c r="J66" s="10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398851219.63999999</v>
      </c>
      <c r="P66" s="1">
        <v>1</v>
      </c>
      <c r="Q66" s="1" t="s">
        <v>26</v>
      </c>
      <c r="R66" s="1" t="s">
        <v>26</v>
      </c>
      <c r="S66" s="2">
        <v>100586882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939859058.53999996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100586882</v>
      </c>
      <c r="AV66" s="1">
        <v>1</v>
      </c>
      <c r="AW66" s="1" t="s">
        <v>26</v>
      </c>
      <c r="AX66" s="1" t="s">
        <v>26</v>
      </c>
      <c r="AY66" s="2">
        <v>1040445940.54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70</v>
      </c>
      <c r="B67" s="20" t="s">
        <v>25</v>
      </c>
      <c r="C67" s="9" t="s">
        <v>26</v>
      </c>
      <c r="D67" s="10" t="s">
        <v>26</v>
      </c>
      <c r="E67" s="9" t="s">
        <v>26</v>
      </c>
      <c r="F67" s="10" t="s">
        <v>26</v>
      </c>
      <c r="G67" s="9">
        <v>507952561.13999999</v>
      </c>
      <c r="H67" s="10">
        <v>2.8598358196599998E-3</v>
      </c>
      <c r="I67" s="10">
        <v>0.09</v>
      </c>
      <c r="J67" s="10">
        <v>8.7099999999999997E-2</v>
      </c>
      <c r="K67" s="2" t="s">
        <v>26</v>
      </c>
      <c r="L67" s="1" t="s">
        <v>26</v>
      </c>
      <c r="M67" s="1" t="s">
        <v>26</v>
      </c>
      <c r="N67" s="1" t="s">
        <v>26</v>
      </c>
      <c r="O67" s="9">
        <v>1118490120.51</v>
      </c>
      <c r="P67" s="10">
        <v>4.3473014843300002E-3</v>
      </c>
      <c r="Q67" s="10">
        <v>0.09</v>
      </c>
      <c r="R67" s="10">
        <v>8.5699999999999998E-2</v>
      </c>
      <c r="S67" s="9">
        <v>511042794.19999999</v>
      </c>
      <c r="T67" s="10">
        <v>4.0086395548099996E-3</v>
      </c>
      <c r="U67" s="10">
        <v>0.09</v>
      </c>
      <c r="V67" s="10">
        <v>8.5999999999999993E-2</v>
      </c>
      <c r="W67" s="2" t="s">
        <v>26</v>
      </c>
      <c r="X67" s="1" t="s">
        <v>26</v>
      </c>
      <c r="Y67" s="1" t="s">
        <v>26</v>
      </c>
      <c r="Z67" s="1" t="s">
        <v>26</v>
      </c>
      <c r="AA67" s="9">
        <v>1359417982.0799999</v>
      </c>
      <c r="AB67" s="10">
        <v>8.5758140216099996E-3</v>
      </c>
      <c r="AC67" s="10">
        <v>0.09</v>
      </c>
      <c r="AD67" s="10">
        <v>8.14E-2</v>
      </c>
      <c r="AE67" s="9">
        <v>3496903457.9299998</v>
      </c>
      <c r="AF67" s="10">
        <v>4.7214291074500004E-3</v>
      </c>
      <c r="AG67" s="10">
        <v>0.09</v>
      </c>
      <c r="AH67" s="10">
        <v>8.5300000000000001E-2</v>
      </c>
      <c r="AI67" s="9">
        <v>95309403.609999999</v>
      </c>
      <c r="AJ67" s="10">
        <v>5.0368012740400004E-3</v>
      </c>
      <c r="AK67" s="10">
        <v>0.09</v>
      </c>
      <c r="AL67" s="10">
        <v>8.5000000000000006E-2</v>
      </c>
      <c r="AM67" s="9">
        <v>13406261.199999999</v>
      </c>
      <c r="AN67" s="10">
        <v>5.3170184002999997E-4</v>
      </c>
      <c r="AO67" s="10">
        <v>0.09</v>
      </c>
      <c r="AP67" s="10">
        <v>8.9499999999999996E-2</v>
      </c>
      <c r="AQ67" s="9">
        <v>108715664.81</v>
      </c>
      <c r="AR67" s="10">
        <v>2.46317049409E-3</v>
      </c>
      <c r="AS67" s="10">
        <v>0.09</v>
      </c>
      <c r="AT67" s="10">
        <v>8.7499999999999994E-2</v>
      </c>
      <c r="AU67" s="9">
        <v>184341699.37</v>
      </c>
      <c r="AV67" s="10">
        <v>3.4452559896499999E-3</v>
      </c>
      <c r="AW67" s="10">
        <v>0.09</v>
      </c>
      <c r="AX67" s="10">
        <v>8.6599999999999996E-2</v>
      </c>
      <c r="AY67" s="9">
        <v>3789960822.1100001</v>
      </c>
      <c r="AZ67" s="10">
        <v>4.5210749060600004E-3</v>
      </c>
      <c r="BA67" s="10">
        <v>0.09</v>
      </c>
      <c r="BB67" s="10">
        <v>8.5500000000000007E-2</v>
      </c>
    </row>
    <row r="68" spans="1:54" s="7" customFormat="1">
      <c r="A68" s="3" t="s">
        <v>68</v>
      </c>
      <c r="B68" s="23" t="s">
        <v>40</v>
      </c>
      <c r="C68" s="9" t="s">
        <v>26</v>
      </c>
      <c r="D68" s="10" t="s">
        <v>26</v>
      </c>
      <c r="E68" s="9" t="s">
        <v>26</v>
      </c>
      <c r="F68" s="10" t="s">
        <v>26</v>
      </c>
      <c r="G68" s="2">
        <v>507952561.13999999</v>
      </c>
      <c r="H68" s="1">
        <v>1</v>
      </c>
      <c r="I68" s="9" t="s">
        <v>26</v>
      </c>
      <c r="J68" s="10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1118490120.51</v>
      </c>
      <c r="P68" s="1">
        <v>1</v>
      </c>
      <c r="Q68" s="1" t="s">
        <v>26</v>
      </c>
      <c r="R68" s="1" t="s">
        <v>26</v>
      </c>
      <c r="S68" s="2">
        <v>511042794.19999999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1359417982.0799999</v>
      </c>
      <c r="AB68" s="1">
        <v>1</v>
      </c>
      <c r="AC68" s="1" t="s">
        <v>26</v>
      </c>
      <c r="AD68" s="1" t="s">
        <v>26</v>
      </c>
      <c r="AE68" s="2">
        <v>3496903457.9299998</v>
      </c>
      <c r="AF68" s="1">
        <v>1</v>
      </c>
      <c r="AG68" s="1" t="s">
        <v>26</v>
      </c>
      <c r="AH68" s="1" t="s">
        <v>26</v>
      </c>
      <c r="AI68" s="2">
        <v>95309403.609999999</v>
      </c>
      <c r="AJ68" s="1">
        <v>1</v>
      </c>
      <c r="AK68" s="1" t="s">
        <v>26</v>
      </c>
      <c r="AL68" s="1" t="s">
        <v>26</v>
      </c>
      <c r="AM68" s="2">
        <v>13406261.199999999</v>
      </c>
      <c r="AN68" s="1">
        <v>1</v>
      </c>
      <c r="AO68" s="1" t="s">
        <v>26</v>
      </c>
      <c r="AP68" s="1" t="s">
        <v>26</v>
      </c>
      <c r="AQ68" s="2">
        <v>108715664.81</v>
      </c>
      <c r="AR68" s="1">
        <v>1</v>
      </c>
      <c r="AS68" s="1" t="s">
        <v>26</v>
      </c>
      <c r="AT68" s="1" t="s">
        <v>26</v>
      </c>
      <c r="AU68" s="2">
        <v>184341699.37</v>
      </c>
      <c r="AV68" s="1">
        <v>1</v>
      </c>
      <c r="AW68" s="1" t="s">
        <v>26</v>
      </c>
      <c r="AX68" s="1" t="s">
        <v>26</v>
      </c>
      <c r="AY68" s="2">
        <v>3789960822.1100001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71</v>
      </c>
      <c r="B69" s="20" t="s">
        <v>25</v>
      </c>
      <c r="C69" s="9">
        <v>354527738.22000003</v>
      </c>
      <c r="D69" s="10">
        <v>4.4092749650209997E-2</v>
      </c>
      <c r="E69" s="10">
        <v>0.08</v>
      </c>
      <c r="F69" s="10">
        <v>3.5900000000000001E-2</v>
      </c>
      <c r="G69" s="9">
        <v>473054411.81</v>
      </c>
      <c r="H69" s="10">
        <v>2.6633549174499998E-3</v>
      </c>
      <c r="I69" s="10">
        <v>0.08</v>
      </c>
      <c r="J69" s="10">
        <v>7.7299999999999994E-2</v>
      </c>
      <c r="K69" s="9">
        <v>166121769.34999999</v>
      </c>
      <c r="L69" s="10">
        <v>3.8677416387079999E-2</v>
      </c>
      <c r="M69" s="10">
        <v>0.08</v>
      </c>
      <c r="N69" s="10">
        <v>4.1300000000000003E-2</v>
      </c>
      <c r="O69" s="9">
        <v>1456645784.8699999</v>
      </c>
      <c r="P69" s="10">
        <v>5.66163103866E-3</v>
      </c>
      <c r="Q69" s="10">
        <v>0.08</v>
      </c>
      <c r="R69" s="10">
        <v>7.4300000000000005E-2</v>
      </c>
      <c r="S69" s="9">
        <v>313917710.92000002</v>
      </c>
      <c r="T69" s="10">
        <v>2.4623827343400002E-3</v>
      </c>
      <c r="U69" s="10">
        <v>0.08</v>
      </c>
      <c r="V69" s="10">
        <v>7.7499999999999999E-2</v>
      </c>
      <c r="W69" s="2" t="s">
        <v>26</v>
      </c>
      <c r="X69" s="1" t="s">
        <v>26</v>
      </c>
      <c r="Y69" s="1" t="s">
        <v>26</v>
      </c>
      <c r="Z69" s="1" t="s">
        <v>26</v>
      </c>
      <c r="AA69" s="2" t="s">
        <v>26</v>
      </c>
      <c r="AB69" s="1" t="s">
        <v>26</v>
      </c>
      <c r="AC69" s="1" t="s">
        <v>26</v>
      </c>
      <c r="AD69" s="1" t="s">
        <v>26</v>
      </c>
      <c r="AE69" s="9">
        <v>2764267415.1700001</v>
      </c>
      <c r="AF69" s="10">
        <v>3.7322427661400002E-3</v>
      </c>
      <c r="AG69" s="10">
        <v>0.08</v>
      </c>
      <c r="AH69" s="10">
        <v>7.6300000000000007E-2</v>
      </c>
      <c r="AI69" s="2" t="s">
        <v>26</v>
      </c>
      <c r="AJ69" s="1" t="s">
        <v>26</v>
      </c>
      <c r="AK69" s="1" t="s">
        <v>26</v>
      </c>
      <c r="AL69" s="1" t="s">
        <v>26</v>
      </c>
      <c r="AM69" s="2" t="s">
        <v>26</v>
      </c>
      <c r="AN69" s="1" t="s">
        <v>26</v>
      </c>
      <c r="AO69" s="1" t="s">
        <v>26</v>
      </c>
      <c r="AP69" s="1" t="s">
        <v>26</v>
      </c>
      <c r="AQ69" s="2" t="s">
        <v>26</v>
      </c>
      <c r="AR69" s="1" t="s">
        <v>26</v>
      </c>
      <c r="AS69" s="1" t="s">
        <v>26</v>
      </c>
      <c r="AT69" s="1" t="s">
        <v>26</v>
      </c>
      <c r="AU69" s="2" t="s">
        <v>26</v>
      </c>
      <c r="AV69" s="1" t="s">
        <v>26</v>
      </c>
      <c r="AW69" s="1" t="s">
        <v>26</v>
      </c>
      <c r="AX69" s="1" t="s">
        <v>26</v>
      </c>
      <c r="AY69" s="9">
        <v>2764267415.1700001</v>
      </c>
      <c r="AZ69" s="10">
        <v>3.2975169483200001E-3</v>
      </c>
      <c r="BA69" s="10">
        <v>0.08</v>
      </c>
      <c r="BB69" s="10">
        <v>7.6700000000000004E-2</v>
      </c>
    </row>
    <row r="70" spans="1:54" s="28" customFormat="1">
      <c r="A70" s="3" t="s">
        <v>68</v>
      </c>
      <c r="B70" s="23" t="s">
        <v>57</v>
      </c>
      <c r="C70" s="2">
        <v>354527738.22000003</v>
      </c>
      <c r="D70" s="1">
        <v>1</v>
      </c>
      <c r="E70" s="9" t="s">
        <v>26</v>
      </c>
      <c r="F70" s="10" t="s">
        <v>26</v>
      </c>
      <c r="G70" s="2">
        <v>473054411.81</v>
      </c>
      <c r="H70" s="1">
        <v>1</v>
      </c>
      <c r="I70" s="9" t="s">
        <v>26</v>
      </c>
      <c r="J70" s="10" t="s">
        <v>26</v>
      </c>
      <c r="K70" s="2">
        <v>166121769.34999999</v>
      </c>
      <c r="L70" s="1">
        <v>1</v>
      </c>
      <c r="M70" s="1" t="s">
        <v>26</v>
      </c>
      <c r="N70" s="1" t="s">
        <v>26</v>
      </c>
      <c r="O70" s="2">
        <v>1456645784.8699999</v>
      </c>
      <c r="P70" s="1">
        <v>1</v>
      </c>
      <c r="Q70" s="1" t="s">
        <v>26</v>
      </c>
      <c r="R70" s="1" t="s">
        <v>26</v>
      </c>
      <c r="S70" s="2">
        <v>313917710.92000002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2764267415.1700001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2764267415.1700001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72</v>
      </c>
      <c r="B71" s="20" t="s">
        <v>25</v>
      </c>
      <c r="C71" s="9" t="s">
        <v>26</v>
      </c>
      <c r="D71" s="10" t="s">
        <v>26</v>
      </c>
      <c r="E71" s="9" t="s">
        <v>26</v>
      </c>
      <c r="F71" s="10" t="s">
        <v>26</v>
      </c>
      <c r="G71" s="9">
        <v>2561022882.5599999</v>
      </c>
      <c r="H71" s="10">
        <v>1.4418875963670001E-2</v>
      </c>
      <c r="I71" s="10">
        <v>0.09</v>
      </c>
      <c r="J71" s="10">
        <v>7.5600000000000001E-2</v>
      </c>
      <c r="K71" s="2" t="s">
        <v>26</v>
      </c>
      <c r="L71" s="1" t="s">
        <v>26</v>
      </c>
      <c r="M71" s="1" t="s">
        <v>26</v>
      </c>
      <c r="N71" s="1" t="s">
        <v>26</v>
      </c>
      <c r="O71" s="9">
        <v>2155801448.4400001</v>
      </c>
      <c r="P71" s="10">
        <v>8.3790805702000006E-3</v>
      </c>
      <c r="Q71" s="10">
        <v>0.09</v>
      </c>
      <c r="R71" s="10">
        <v>8.1600000000000006E-2</v>
      </c>
      <c r="S71" s="9">
        <v>1349570832.3900001</v>
      </c>
      <c r="T71" s="10">
        <v>1.0586086101069999E-2</v>
      </c>
      <c r="U71" s="10">
        <v>0.09</v>
      </c>
      <c r="V71" s="10">
        <v>7.9399999999999998E-2</v>
      </c>
      <c r="W71" s="2" t="s">
        <v>26</v>
      </c>
      <c r="X71" s="1" t="s">
        <v>26</v>
      </c>
      <c r="Y71" s="1" t="s">
        <v>26</v>
      </c>
      <c r="Z71" s="1" t="s">
        <v>26</v>
      </c>
      <c r="AA71" s="9">
        <v>1796233959.98</v>
      </c>
      <c r="AB71" s="10">
        <v>1.13314437378E-2</v>
      </c>
      <c r="AC71" s="10">
        <v>0.09</v>
      </c>
      <c r="AD71" s="10">
        <v>7.8700000000000006E-2</v>
      </c>
      <c r="AE71" s="9">
        <v>7862629123.3699999</v>
      </c>
      <c r="AF71" s="10">
        <v>1.0615919613099999E-2</v>
      </c>
      <c r="AG71" s="10">
        <v>0.09</v>
      </c>
      <c r="AH71" s="10">
        <v>7.9399999999999998E-2</v>
      </c>
      <c r="AI71" s="9">
        <v>16026655.720000001</v>
      </c>
      <c r="AJ71" s="10">
        <v>8.4695818977000004E-4</v>
      </c>
      <c r="AK71" s="10">
        <v>0.09</v>
      </c>
      <c r="AL71" s="10">
        <v>8.9200000000000002E-2</v>
      </c>
      <c r="AM71" s="9">
        <v>114409102.98</v>
      </c>
      <c r="AN71" s="10">
        <v>4.5375462750699997E-3</v>
      </c>
      <c r="AO71" s="10">
        <v>0.09</v>
      </c>
      <c r="AP71" s="10">
        <v>8.5500000000000007E-2</v>
      </c>
      <c r="AQ71" s="9">
        <v>130435758.7</v>
      </c>
      <c r="AR71" s="10">
        <v>2.9552825967199998E-3</v>
      </c>
      <c r="AS71" s="10">
        <v>0.09</v>
      </c>
      <c r="AT71" s="10">
        <v>8.6999999999999994E-2</v>
      </c>
      <c r="AU71" s="9">
        <v>474022841.50999999</v>
      </c>
      <c r="AV71" s="10">
        <v>8.8592545231199991E-3</v>
      </c>
      <c r="AW71" s="10">
        <v>0.09</v>
      </c>
      <c r="AX71" s="10">
        <v>8.1100000000000005E-2</v>
      </c>
      <c r="AY71" s="9">
        <v>8467087723.5799999</v>
      </c>
      <c r="AZ71" s="10">
        <v>1.010045740083E-2</v>
      </c>
      <c r="BA71" s="10">
        <v>0.09</v>
      </c>
      <c r="BB71" s="10">
        <v>7.9899999999999999E-2</v>
      </c>
    </row>
    <row r="72" spans="1:54" s="28" customFormat="1">
      <c r="A72" s="3" t="s">
        <v>68</v>
      </c>
      <c r="B72" s="23" t="s">
        <v>40</v>
      </c>
      <c r="C72" s="9" t="s">
        <v>26</v>
      </c>
      <c r="D72" s="10" t="s">
        <v>26</v>
      </c>
      <c r="E72" s="9" t="s">
        <v>26</v>
      </c>
      <c r="F72" s="10" t="s">
        <v>26</v>
      </c>
      <c r="G72" s="2">
        <v>2561022882.5599999</v>
      </c>
      <c r="H72" s="1">
        <v>1</v>
      </c>
      <c r="I72" s="9" t="s">
        <v>26</v>
      </c>
      <c r="J72" s="10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2155801448.4400001</v>
      </c>
      <c r="P72" s="1">
        <v>1</v>
      </c>
      <c r="Q72" s="1" t="s">
        <v>26</v>
      </c>
      <c r="R72" s="1" t="s">
        <v>26</v>
      </c>
      <c r="S72" s="2">
        <v>1349570832.3900001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1796233959.98</v>
      </c>
      <c r="AB72" s="1">
        <v>1</v>
      </c>
      <c r="AC72" s="1" t="s">
        <v>26</v>
      </c>
      <c r="AD72" s="1" t="s">
        <v>26</v>
      </c>
      <c r="AE72" s="2">
        <v>7862629123.3699999</v>
      </c>
      <c r="AF72" s="1">
        <v>1</v>
      </c>
      <c r="AG72" s="1" t="s">
        <v>26</v>
      </c>
      <c r="AH72" s="1" t="s">
        <v>26</v>
      </c>
      <c r="AI72" s="2">
        <v>16026655.720000001</v>
      </c>
      <c r="AJ72" s="1">
        <v>1</v>
      </c>
      <c r="AK72" s="1" t="s">
        <v>26</v>
      </c>
      <c r="AL72" s="1" t="s">
        <v>26</v>
      </c>
      <c r="AM72" s="2">
        <v>114409102.98</v>
      </c>
      <c r="AN72" s="1">
        <v>1</v>
      </c>
      <c r="AO72" s="1" t="s">
        <v>26</v>
      </c>
      <c r="AP72" s="1" t="s">
        <v>26</v>
      </c>
      <c r="AQ72" s="2">
        <v>130435758.7</v>
      </c>
      <c r="AR72" s="1">
        <v>1</v>
      </c>
      <c r="AS72" s="1" t="s">
        <v>26</v>
      </c>
      <c r="AT72" s="1" t="s">
        <v>26</v>
      </c>
      <c r="AU72" s="2">
        <v>474022841.50999999</v>
      </c>
      <c r="AV72" s="1">
        <v>1</v>
      </c>
      <c r="AW72" s="1" t="s">
        <v>26</v>
      </c>
      <c r="AX72" s="1" t="s">
        <v>26</v>
      </c>
      <c r="AY72" s="2">
        <v>8467087723.5799999</v>
      </c>
      <c r="AZ72" s="1">
        <v>1</v>
      </c>
      <c r="BA72" s="1" t="s">
        <v>26</v>
      </c>
      <c r="BB72" s="1" t="s">
        <v>26</v>
      </c>
    </row>
    <row r="73" spans="1:54" s="7" customFormat="1">
      <c r="A73" s="5" t="s">
        <v>73</v>
      </c>
      <c r="B73" s="20" t="s">
        <v>25</v>
      </c>
      <c r="C73" s="9">
        <v>87379264.719999999</v>
      </c>
      <c r="D73" s="10">
        <v>1.086739238871E-2</v>
      </c>
      <c r="E73" s="10">
        <v>0.08</v>
      </c>
      <c r="F73" s="10">
        <v>6.9099999999999995E-2</v>
      </c>
      <c r="G73" s="9">
        <v>219288734.68000001</v>
      </c>
      <c r="H73" s="10">
        <v>1.23462273106E-3</v>
      </c>
      <c r="I73" s="10">
        <v>0.08</v>
      </c>
      <c r="J73" s="10">
        <v>7.8799999999999995E-2</v>
      </c>
      <c r="K73" s="9">
        <v>105128199.36</v>
      </c>
      <c r="L73" s="10">
        <v>2.4476546069670001E-2</v>
      </c>
      <c r="M73" s="10">
        <v>0.08</v>
      </c>
      <c r="N73" s="10">
        <v>5.5500000000000001E-2</v>
      </c>
      <c r="O73" s="9">
        <v>2703369812.23</v>
      </c>
      <c r="P73" s="10">
        <v>1.050734680789E-2</v>
      </c>
      <c r="Q73" s="10">
        <v>0.08</v>
      </c>
      <c r="R73" s="10">
        <v>6.9500000000000006E-2</v>
      </c>
      <c r="S73" s="9">
        <v>2848478806.46</v>
      </c>
      <c r="T73" s="10">
        <v>2.2343578549969999E-2</v>
      </c>
      <c r="U73" s="10">
        <v>0.08</v>
      </c>
      <c r="V73" s="10">
        <v>5.7700000000000001E-2</v>
      </c>
      <c r="W73" s="2" t="s">
        <v>26</v>
      </c>
      <c r="X73" s="1" t="s">
        <v>26</v>
      </c>
      <c r="Y73" s="1" t="s">
        <v>26</v>
      </c>
      <c r="Z73" s="1" t="s">
        <v>26</v>
      </c>
      <c r="AA73" s="9">
        <v>1874028706.47</v>
      </c>
      <c r="AB73" s="10">
        <v>1.1822207643060001E-2</v>
      </c>
      <c r="AC73" s="10">
        <v>0.08</v>
      </c>
      <c r="AD73" s="10">
        <v>6.8199999999999997E-2</v>
      </c>
      <c r="AE73" s="9">
        <v>7837673523.9200001</v>
      </c>
      <c r="AF73" s="10">
        <v>1.058222520459E-2</v>
      </c>
      <c r="AG73" s="10">
        <v>0.08</v>
      </c>
      <c r="AH73" s="10">
        <v>6.9400000000000003E-2</v>
      </c>
      <c r="AI73" s="9">
        <v>601024431.22000003</v>
      </c>
      <c r="AJ73" s="10">
        <v>3.176224492272E-2</v>
      </c>
      <c r="AK73" s="10">
        <v>0.08</v>
      </c>
      <c r="AL73" s="10">
        <v>4.82E-2</v>
      </c>
      <c r="AM73" s="9">
        <v>1682074909.75</v>
      </c>
      <c r="AN73" s="10">
        <v>6.6712285494070003E-2</v>
      </c>
      <c r="AO73" s="10">
        <v>0.08</v>
      </c>
      <c r="AP73" s="10">
        <v>1.3299999999999999E-2</v>
      </c>
      <c r="AQ73" s="9">
        <v>2283099340.9699998</v>
      </c>
      <c r="AR73" s="10">
        <v>5.1728174974349998E-2</v>
      </c>
      <c r="AS73" s="10">
        <v>0.08</v>
      </c>
      <c r="AT73" s="10">
        <v>2.8299999999999999E-2</v>
      </c>
      <c r="AU73" s="9">
        <v>695999014.92999995</v>
      </c>
      <c r="AV73" s="10">
        <v>1.300788038286E-2</v>
      </c>
      <c r="AW73" s="10">
        <v>0.08</v>
      </c>
      <c r="AX73" s="10">
        <v>6.7000000000000004E-2</v>
      </c>
      <c r="AY73" s="9">
        <v>10816771879.82</v>
      </c>
      <c r="AZ73" s="10">
        <v>1.2903414627710001E-2</v>
      </c>
      <c r="BA73" s="10">
        <v>0.08</v>
      </c>
      <c r="BB73" s="10">
        <v>6.7100000000000007E-2</v>
      </c>
    </row>
    <row r="74" spans="1:54" s="7" customFormat="1">
      <c r="A74" s="3" t="s">
        <v>68</v>
      </c>
      <c r="B74" s="23" t="s">
        <v>57</v>
      </c>
      <c r="C74" s="2">
        <v>87379264.719999999</v>
      </c>
      <c r="D74" s="1">
        <v>1</v>
      </c>
      <c r="E74" s="9" t="s">
        <v>26</v>
      </c>
      <c r="F74" s="10" t="s">
        <v>26</v>
      </c>
      <c r="G74" s="2">
        <v>219288734.68000001</v>
      </c>
      <c r="H74" s="1">
        <v>1</v>
      </c>
      <c r="I74" s="9" t="s">
        <v>26</v>
      </c>
      <c r="J74" s="10" t="s">
        <v>26</v>
      </c>
      <c r="K74" s="2">
        <v>105128199.36</v>
      </c>
      <c r="L74" s="1">
        <v>1</v>
      </c>
      <c r="M74" s="1" t="s">
        <v>26</v>
      </c>
      <c r="N74" s="1" t="s">
        <v>26</v>
      </c>
      <c r="O74" s="2">
        <v>2703369812.23</v>
      </c>
      <c r="P74" s="1">
        <v>1</v>
      </c>
      <c r="Q74" s="1" t="s">
        <v>26</v>
      </c>
      <c r="R74" s="1" t="s">
        <v>26</v>
      </c>
      <c r="S74" s="2">
        <v>2848478806.46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1874028706.47</v>
      </c>
      <c r="AB74" s="1">
        <v>1</v>
      </c>
      <c r="AC74" s="1" t="s">
        <v>26</v>
      </c>
      <c r="AD74" s="1" t="s">
        <v>26</v>
      </c>
      <c r="AE74" s="2">
        <v>7837673523.9200001</v>
      </c>
      <c r="AF74" s="1">
        <v>1</v>
      </c>
      <c r="AG74" s="1" t="s">
        <v>26</v>
      </c>
      <c r="AH74" s="1" t="s">
        <v>26</v>
      </c>
      <c r="AI74" s="2">
        <v>601024431.22000003</v>
      </c>
      <c r="AJ74" s="1">
        <v>1</v>
      </c>
      <c r="AK74" s="1" t="s">
        <v>26</v>
      </c>
      <c r="AL74" s="1" t="s">
        <v>26</v>
      </c>
      <c r="AM74" s="2">
        <v>1682074909.75</v>
      </c>
      <c r="AN74" s="1">
        <v>1</v>
      </c>
      <c r="AO74" s="1" t="s">
        <v>26</v>
      </c>
      <c r="AP74" s="1" t="s">
        <v>26</v>
      </c>
      <c r="AQ74" s="2">
        <v>2283099340.9699998</v>
      </c>
      <c r="AR74" s="1">
        <v>1</v>
      </c>
      <c r="AS74" s="1" t="s">
        <v>26</v>
      </c>
      <c r="AT74" s="1" t="s">
        <v>26</v>
      </c>
      <c r="AU74" s="2">
        <v>695999014.92999995</v>
      </c>
      <c r="AV74" s="1">
        <v>1</v>
      </c>
      <c r="AW74" s="1" t="s">
        <v>26</v>
      </c>
      <c r="AX74" s="1" t="s">
        <v>26</v>
      </c>
      <c r="AY74" s="2">
        <v>10816771879.82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74</v>
      </c>
      <c r="B75" s="20" t="s">
        <v>25</v>
      </c>
      <c r="C75" s="9">
        <v>269296862.39999998</v>
      </c>
      <c r="D75" s="10">
        <v>3.3492553206150001E-2</v>
      </c>
      <c r="E75" s="10">
        <v>0.08</v>
      </c>
      <c r="F75" s="10">
        <v>4.65E-2</v>
      </c>
      <c r="G75" s="9">
        <v>926386043.63999999</v>
      </c>
      <c r="H75" s="10">
        <v>5.2156681413099999E-3</v>
      </c>
      <c r="I75" s="10">
        <v>0.08</v>
      </c>
      <c r="J75" s="10">
        <v>7.4800000000000005E-2</v>
      </c>
      <c r="K75" s="9">
        <v>111119430.94</v>
      </c>
      <c r="L75" s="10">
        <v>2.58714587256E-2</v>
      </c>
      <c r="M75" s="10">
        <v>0.08</v>
      </c>
      <c r="N75" s="10">
        <v>5.4100000000000002E-2</v>
      </c>
      <c r="O75" s="9">
        <v>1966638481.45</v>
      </c>
      <c r="P75" s="10">
        <v>7.6438497155899999E-3</v>
      </c>
      <c r="Q75" s="10">
        <v>0.08</v>
      </c>
      <c r="R75" s="10">
        <v>7.2400000000000006E-2</v>
      </c>
      <c r="S75" s="2" t="s">
        <v>26</v>
      </c>
      <c r="T75" s="1" t="s">
        <v>26</v>
      </c>
      <c r="U75" s="1" t="s">
        <v>26</v>
      </c>
      <c r="V75" s="1" t="s">
        <v>26</v>
      </c>
      <c r="W75" s="2" t="s">
        <v>26</v>
      </c>
      <c r="X75" s="1" t="s">
        <v>26</v>
      </c>
      <c r="Y75" s="1" t="s">
        <v>26</v>
      </c>
      <c r="Z75" s="1" t="s">
        <v>26</v>
      </c>
      <c r="AA75" s="2" t="s">
        <v>26</v>
      </c>
      <c r="AB75" s="1" t="s">
        <v>26</v>
      </c>
      <c r="AC75" s="1" t="s">
        <v>26</v>
      </c>
      <c r="AD75" s="1" t="s">
        <v>26</v>
      </c>
      <c r="AE75" s="9">
        <v>3273440818.4299998</v>
      </c>
      <c r="AF75" s="10">
        <v>4.4197155991200004E-3</v>
      </c>
      <c r="AG75" s="10">
        <v>0.08</v>
      </c>
      <c r="AH75" s="10">
        <v>7.5600000000000001E-2</v>
      </c>
      <c r="AI75" s="2" t="s">
        <v>26</v>
      </c>
      <c r="AJ75" s="1" t="s">
        <v>26</v>
      </c>
      <c r="AK75" s="1" t="s">
        <v>26</v>
      </c>
      <c r="AL75" s="1" t="s">
        <v>26</v>
      </c>
      <c r="AM75" s="9">
        <v>376011711.98000002</v>
      </c>
      <c r="AN75" s="10">
        <v>1.491289153255E-2</v>
      </c>
      <c r="AO75" s="10">
        <v>0.08</v>
      </c>
      <c r="AP75" s="10">
        <v>6.5100000000000005E-2</v>
      </c>
      <c r="AQ75" s="9">
        <v>376011711.98000002</v>
      </c>
      <c r="AR75" s="10">
        <v>8.5192962394000007E-3</v>
      </c>
      <c r="AS75" s="10">
        <v>0.08</v>
      </c>
      <c r="AT75" s="10">
        <v>7.1499999999999994E-2</v>
      </c>
      <c r="AU75" s="2" t="s">
        <v>26</v>
      </c>
      <c r="AV75" s="1" t="s">
        <v>26</v>
      </c>
      <c r="AW75" s="1" t="s">
        <v>26</v>
      </c>
      <c r="AX75" s="1" t="s">
        <v>26</v>
      </c>
      <c r="AY75" s="9">
        <v>3649452530.4099998</v>
      </c>
      <c r="AZ75" s="10">
        <v>4.3534614289E-3</v>
      </c>
      <c r="BA75" s="10">
        <v>0.08</v>
      </c>
      <c r="BB75" s="10">
        <v>7.5600000000000001E-2</v>
      </c>
    </row>
    <row r="76" spans="1:54" s="7" customFormat="1">
      <c r="A76" s="3" t="s">
        <v>68</v>
      </c>
      <c r="B76" s="23" t="s">
        <v>57</v>
      </c>
      <c r="C76" s="2">
        <v>269296862.39999998</v>
      </c>
      <c r="D76" s="1">
        <v>1</v>
      </c>
      <c r="E76" s="9" t="s">
        <v>26</v>
      </c>
      <c r="F76" s="10" t="s">
        <v>26</v>
      </c>
      <c r="G76" s="2">
        <v>926386043.63999999</v>
      </c>
      <c r="H76" s="1">
        <v>1</v>
      </c>
      <c r="I76" s="9" t="s">
        <v>26</v>
      </c>
      <c r="J76" s="10" t="s">
        <v>26</v>
      </c>
      <c r="K76" s="2">
        <v>111119430.94</v>
      </c>
      <c r="L76" s="1">
        <v>1</v>
      </c>
      <c r="M76" s="1" t="s">
        <v>26</v>
      </c>
      <c r="N76" s="1" t="s">
        <v>26</v>
      </c>
      <c r="O76" s="2">
        <v>1966638481.45</v>
      </c>
      <c r="P76" s="1">
        <v>1</v>
      </c>
      <c r="Q76" s="1" t="s">
        <v>26</v>
      </c>
      <c r="R76" s="1" t="s">
        <v>26</v>
      </c>
      <c r="S76" s="2" t="s">
        <v>26</v>
      </c>
      <c r="T76" s="1" t="s">
        <v>26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3273440818.4299998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>
        <v>376011711.98000002</v>
      </c>
      <c r="AN76" s="1">
        <v>1</v>
      </c>
      <c r="AO76" s="1" t="s">
        <v>26</v>
      </c>
      <c r="AP76" s="1" t="s">
        <v>26</v>
      </c>
      <c r="AQ76" s="2">
        <v>376011711.98000002</v>
      </c>
      <c r="AR76" s="1">
        <v>1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3649452530.4099998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134</v>
      </c>
      <c r="B77" s="20" t="s">
        <v>25</v>
      </c>
      <c r="C77" s="9">
        <v>610285611.87</v>
      </c>
      <c r="D77" s="10">
        <v>7.5901453675849995E-2</v>
      </c>
      <c r="E77" s="10">
        <v>0.08</v>
      </c>
      <c r="F77" s="10">
        <v>4.1000000000000003E-3</v>
      </c>
      <c r="G77" s="9" t="s">
        <v>26</v>
      </c>
      <c r="H77" s="10" t="s">
        <v>26</v>
      </c>
      <c r="I77" s="9" t="s">
        <v>26</v>
      </c>
      <c r="J77" s="10" t="s">
        <v>26</v>
      </c>
      <c r="K77" s="9">
        <v>104164385.86</v>
      </c>
      <c r="L77" s="10">
        <v>2.425214552178E-2</v>
      </c>
      <c r="M77" s="10">
        <v>0.08</v>
      </c>
      <c r="N77" s="10">
        <v>5.57E-2</v>
      </c>
      <c r="O77" s="2" t="s">
        <v>26</v>
      </c>
      <c r="P77" s="1" t="s">
        <v>26</v>
      </c>
      <c r="Q77" s="1" t="s">
        <v>26</v>
      </c>
      <c r="R77" s="1" t="s">
        <v>26</v>
      </c>
      <c r="S77" s="9">
        <v>602545654.26999998</v>
      </c>
      <c r="T77" s="10">
        <v>4.7263915482199997E-3</v>
      </c>
      <c r="U77" s="10">
        <v>0.08</v>
      </c>
      <c r="V77" s="10">
        <v>7.5300000000000006E-2</v>
      </c>
      <c r="W77" s="2" t="s">
        <v>25</v>
      </c>
      <c r="X77" s="1" t="s">
        <v>25</v>
      </c>
      <c r="Y77" s="1" t="s">
        <v>25</v>
      </c>
      <c r="Z77" s="1" t="s">
        <v>25</v>
      </c>
      <c r="AA77" s="2" t="s">
        <v>26</v>
      </c>
      <c r="AB77" s="1" t="s">
        <v>26</v>
      </c>
      <c r="AC77" s="1" t="s">
        <v>26</v>
      </c>
      <c r="AD77" s="1" t="s">
        <v>26</v>
      </c>
      <c r="AE77" s="9">
        <v>1316995652</v>
      </c>
      <c r="AF77" s="10">
        <v>1.7781736557900001E-3</v>
      </c>
      <c r="AG77" s="10">
        <v>0.08</v>
      </c>
      <c r="AH77" s="10">
        <v>7.8200000000000006E-2</v>
      </c>
      <c r="AI77" s="2" t="s">
        <v>26</v>
      </c>
      <c r="AJ77" s="1" t="s">
        <v>26</v>
      </c>
      <c r="AK77" s="1" t="s">
        <v>26</v>
      </c>
      <c r="AL77" s="1" t="s">
        <v>26</v>
      </c>
      <c r="AM77" s="2" t="s">
        <v>26</v>
      </c>
      <c r="AN77" s="1" t="s">
        <v>26</v>
      </c>
      <c r="AO77" s="1" t="s">
        <v>26</v>
      </c>
      <c r="AP77" s="1" t="s">
        <v>26</v>
      </c>
      <c r="AQ77" s="2" t="s">
        <v>26</v>
      </c>
      <c r="AR77" s="1" t="s">
        <v>26</v>
      </c>
      <c r="AS77" s="1" t="s">
        <v>26</v>
      </c>
      <c r="AT77" s="1" t="s">
        <v>26</v>
      </c>
      <c r="AU77" s="2" t="s">
        <v>26</v>
      </c>
      <c r="AV77" s="1" t="s">
        <v>26</v>
      </c>
      <c r="AW77" s="1" t="s">
        <v>26</v>
      </c>
      <c r="AX77" s="1" t="s">
        <v>26</v>
      </c>
      <c r="AY77" s="9">
        <v>1316995652</v>
      </c>
      <c r="AZ77" s="10">
        <v>1.57105476102E-3</v>
      </c>
      <c r="BA77" s="10">
        <v>0.08</v>
      </c>
      <c r="BB77" s="10">
        <v>7.8399999999999997E-2</v>
      </c>
    </row>
    <row r="78" spans="1:54" s="7" customFormat="1">
      <c r="A78" s="3" t="s">
        <v>68</v>
      </c>
      <c r="B78" s="23" t="s">
        <v>57</v>
      </c>
      <c r="C78" s="2">
        <v>610285611.87</v>
      </c>
      <c r="D78" s="1">
        <v>1</v>
      </c>
      <c r="E78" s="9" t="s">
        <v>26</v>
      </c>
      <c r="F78" s="10" t="s">
        <v>26</v>
      </c>
      <c r="G78" s="9" t="s">
        <v>26</v>
      </c>
      <c r="H78" s="10" t="s">
        <v>26</v>
      </c>
      <c r="I78" s="9" t="s">
        <v>26</v>
      </c>
      <c r="J78" s="10" t="s">
        <v>26</v>
      </c>
      <c r="K78" s="2">
        <v>104164385.86</v>
      </c>
      <c r="L78" s="1">
        <v>1</v>
      </c>
      <c r="M78" s="1" t="s">
        <v>26</v>
      </c>
      <c r="N78" s="1" t="s">
        <v>26</v>
      </c>
      <c r="O78" s="2" t="s">
        <v>26</v>
      </c>
      <c r="P78" s="1" t="s">
        <v>26</v>
      </c>
      <c r="Q78" s="1" t="s">
        <v>26</v>
      </c>
      <c r="R78" s="1" t="s">
        <v>26</v>
      </c>
      <c r="S78" s="2">
        <v>602545654.26999998</v>
      </c>
      <c r="T78" s="1">
        <v>1</v>
      </c>
      <c r="U78" s="1" t="s">
        <v>26</v>
      </c>
      <c r="V78" s="1" t="s">
        <v>26</v>
      </c>
      <c r="W78" s="2" t="s">
        <v>25</v>
      </c>
      <c r="X78" s="1" t="s">
        <v>25</v>
      </c>
      <c r="Y78" s="1" t="s">
        <v>25</v>
      </c>
      <c r="Z78" s="1" t="s">
        <v>25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1316995652</v>
      </c>
      <c r="AF78" s="1">
        <v>1</v>
      </c>
      <c r="AG78" s="1" t="s">
        <v>26</v>
      </c>
      <c r="AH78" s="1" t="s">
        <v>26</v>
      </c>
      <c r="AI78" s="2" t="s">
        <v>26</v>
      </c>
      <c r="AJ78" s="1" t="s">
        <v>26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 t="s">
        <v>26</v>
      </c>
      <c r="AR78" s="1" t="s">
        <v>26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1316995652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75</v>
      </c>
      <c r="B79" s="20" t="s">
        <v>25</v>
      </c>
      <c r="C79" s="9">
        <v>110941696.55</v>
      </c>
      <c r="D79" s="10">
        <v>1.3797860997590001E-2</v>
      </c>
      <c r="E79" s="10">
        <v>0.06</v>
      </c>
      <c r="F79" s="10">
        <v>4.6199999999999998E-2</v>
      </c>
      <c r="G79" s="9">
        <v>658303890.20000005</v>
      </c>
      <c r="H79" s="10">
        <v>3.7063324204700001E-3</v>
      </c>
      <c r="I79" s="10">
        <v>0.06</v>
      </c>
      <c r="J79" s="10">
        <v>5.6300000000000003E-2</v>
      </c>
      <c r="K79" s="9">
        <v>33702012</v>
      </c>
      <c r="L79" s="10">
        <v>7.8466943634599995E-3</v>
      </c>
      <c r="M79" s="10">
        <v>0.06</v>
      </c>
      <c r="N79" s="10">
        <v>5.2200000000000003E-2</v>
      </c>
      <c r="O79" s="9">
        <v>299679866.54000002</v>
      </c>
      <c r="P79" s="10">
        <v>1.1647834028600001E-3</v>
      </c>
      <c r="Q79" s="10">
        <v>0.06</v>
      </c>
      <c r="R79" s="10">
        <v>5.8799999999999998E-2</v>
      </c>
      <c r="S79" s="9">
        <v>330468453.69</v>
      </c>
      <c r="T79" s="10">
        <v>2.5922074043700002E-3</v>
      </c>
      <c r="U79" s="10">
        <v>0.06</v>
      </c>
      <c r="V79" s="10">
        <v>5.74E-2</v>
      </c>
      <c r="W79" s="2" t="s">
        <v>26</v>
      </c>
      <c r="X79" s="1" t="s">
        <v>26</v>
      </c>
      <c r="Y79" s="1" t="s">
        <v>26</v>
      </c>
      <c r="Z79" s="1" t="s">
        <v>26</v>
      </c>
      <c r="AA79" s="2" t="s">
        <v>26</v>
      </c>
      <c r="AB79" s="1" t="s">
        <v>26</v>
      </c>
      <c r="AC79" s="1" t="s">
        <v>26</v>
      </c>
      <c r="AD79" s="1" t="s">
        <v>26</v>
      </c>
      <c r="AE79" s="9">
        <v>1433095918.98</v>
      </c>
      <c r="AF79" s="10">
        <v>1.93492925013E-3</v>
      </c>
      <c r="AG79" s="10">
        <v>0.06</v>
      </c>
      <c r="AH79" s="10">
        <v>5.8099999999999999E-2</v>
      </c>
      <c r="AI79" s="9">
        <v>50316584.5</v>
      </c>
      <c r="AJ79" s="10">
        <v>2.65907273906E-3</v>
      </c>
      <c r="AK79" s="10">
        <v>0.06</v>
      </c>
      <c r="AL79" s="10">
        <v>5.7299999999999997E-2</v>
      </c>
      <c r="AM79" s="2" t="s">
        <v>26</v>
      </c>
      <c r="AN79" s="1" t="s">
        <v>26</v>
      </c>
      <c r="AO79" s="1" t="s">
        <v>26</v>
      </c>
      <c r="AP79" s="1" t="s">
        <v>26</v>
      </c>
      <c r="AQ79" s="9">
        <v>50316584.5</v>
      </c>
      <c r="AR79" s="10">
        <v>1.1400227052900001E-3</v>
      </c>
      <c r="AS79" s="10">
        <v>0.06</v>
      </c>
      <c r="AT79" s="10">
        <v>5.8900000000000001E-2</v>
      </c>
      <c r="AU79" s="2" t="s">
        <v>26</v>
      </c>
      <c r="AV79" s="1" t="s">
        <v>26</v>
      </c>
      <c r="AW79" s="1" t="s">
        <v>26</v>
      </c>
      <c r="AX79" s="1" t="s">
        <v>26</v>
      </c>
      <c r="AY79" s="9">
        <v>1483412503.48</v>
      </c>
      <c r="AZ79" s="10">
        <v>1.76957476861E-3</v>
      </c>
      <c r="BA79" s="10">
        <v>0.06</v>
      </c>
      <c r="BB79" s="10">
        <v>5.8200000000000002E-2</v>
      </c>
    </row>
    <row r="80" spans="1:54" s="7" customFormat="1">
      <c r="A80" s="3" t="s">
        <v>68</v>
      </c>
      <c r="B80" s="23" t="s">
        <v>47</v>
      </c>
      <c r="C80" s="2">
        <v>110941696.55</v>
      </c>
      <c r="D80" s="1">
        <v>1</v>
      </c>
      <c r="E80" s="9" t="s">
        <v>26</v>
      </c>
      <c r="F80" s="10" t="s">
        <v>26</v>
      </c>
      <c r="G80" s="2">
        <v>658303890.20000005</v>
      </c>
      <c r="H80" s="1">
        <v>1</v>
      </c>
      <c r="I80" s="9" t="s">
        <v>26</v>
      </c>
      <c r="J80" s="10" t="s">
        <v>26</v>
      </c>
      <c r="K80" s="2">
        <v>33702012</v>
      </c>
      <c r="L80" s="1">
        <v>1</v>
      </c>
      <c r="M80" s="1" t="s">
        <v>26</v>
      </c>
      <c r="N80" s="1" t="s">
        <v>26</v>
      </c>
      <c r="O80" s="2">
        <v>299679866.54000002</v>
      </c>
      <c r="P80" s="1">
        <v>1</v>
      </c>
      <c r="Q80" s="1" t="s">
        <v>26</v>
      </c>
      <c r="R80" s="1" t="s">
        <v>26</v>
      </c>
      <c r="S80" s="2">
        <v>330468453.69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1433095918.98</v>
      </c>
      <c r="AF80" s="1">
        <v>1</v>
      </c>
      <c r="AG80" s="1" t="s">
        <v>26</v>
      </c>
      <c r="AH80" s="1" t="s">
        <v>26</v>
      </c>
      <c r="AI80" s="2">
        <v>50316584.5</v>
      </c>
      <c r="AJ80" s="1">
        <v>1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>
        <v>50316584.5</v>
      </c>
      <c r="AR80" s="1">
        <v>1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1483412503.48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76</v>
      </c>
      <c r="B81" s="20" t="s">
        <v>25</v>
      </c>
      <c r="C81" s="9">
        <v>35145736.549999997</v>
      </c>
      <c r="D81" s="10">
        <v>4.3710886227200001E-3</v>
      </c>
      <c r="E81" s="10">
        <v>0.06</v>
      </c>
      <c r="F81" s="10">
        <v>5.5599999999999997E-2</v>
      </c>
      <c r="G81" s="9">
        <v>716960898.38</v>
      </c>
      <c r="H81" s="10">
        <v>4.0365786400999998E-3</v>
      </c>
      <c r="I81" s="10">
        <v>0.06</v>
      </c>
      <c r="J81" s="10">
        <v>5.6000000000000001E-2</v>
      </c>
      <c r="K81" s="9">
        <v>50182878.5</v>
      </c>
      <c r="L81" s="10">
        <v>1.1683863558889999E-2</v>
      </c>
      <c r="M81" s="10">
        <v>0.06</v>
      </c>
      <c r="N81" s="10">
        <v>4.8300000000000003E-2</v>
      </c>
      <c r="O81" s="9">
        <v>382088767.63</v>
      </c>
      <c r="P81" s="10">
        <v>1.48508693658E-3</v>
      </c>
      <c r="Q81" s="10">
        <v>0.06</v>
      </c>
      <c r="R81" s="10">
        <v>5.8500000000000003E-2</v>
      </c>
      <c r="S81" s="9">
        <v>200724728</v>
      </c>
      <c r="T81" s="10">
        <v>1.57449257366E-3</v>
      </c>
      <c r="U81" s="10">
        <v>0.06</v>
      </c>
      <c r="V81" s="10">
        <v>5.8400000000000001E-2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9">
        <v>1385103009.0599999</v>
      </c>
      <c r="AF81" s="10">
        <v>1.8701304575500001E-3</v>
      </c>
      <c r="AG81" s="10">
        <v>0.06</v>
      </c>
      <c r="AH81" s="10">
        <v>5.8099999999999999E-2</v>
      </c>
      <c r="AI81" s="9">
        <v>100733761</v>
      </c>
      <c r="AJ81" s="10">
        <v>5.32346144794E-3</v>
      </c>
      <c r="AK81" s="10">
        <v>0.06</v>
      </c>
      <c r="AL81" s="10">
        <v>5.4699999999999999E-2</v>
      </c>
      <c r="AM81" s="2" t="s">
        <v>26</v>
      </c>
      <c r="AN81" s="1" t="s">
        <v>26</v>
      </c>
      <c r="AO81" s="1" t="s">
        <v>26</v>
      </c>
      <c r="AP81" s="1" t="s">
        <v>26</v>
      </c>
      <c r="AQ81" s="9">
        <v>100733761</v>
      </c>
      <c r="AR81" s="10">
        <v>2.2823245232199999E-3</v>
      </c>
      <c r="AS81" s="10">
        <v>0.06</v>
      </c>
      <c r="AT81" s="10">
        <v>5.7700000000000001E-2</v>
      </c>
      <c r="AU81" s="2" t="s">
        <v>26</v>
      </c>
      <c r="AV81" s="1" t="s">
        <v>26</v>
      </c>
      <c r="AW81" s="1" t="s">
        <v>26</v>
      </c>
      <c r="AX81" s="1" t="s">
        <v>26</v>
      </c>
      <c r="AY81" s="9">
        <v>1485836770.0599999</v>
      </c>
      <c r="AZ81" s="10">
        <v>1.77246669581E-3</v>
      </c>
      <c r="BA81" s="10">
        <v>0.06</v>
      </c>
      <c r="BB81" s="10">
        <v>5.8200000000000002E-2</v>
      </c>
    </row>
    <row r="82" spans="1:54" s="7" customFormat="1">
      <c r="A82" s="3" t="s">
        <v>68</v>
      </c>
      <c r="B82" s="23" t="s">
        <v>47</v>
      </c>
      <c r="C82" s="2">
        <v>35145736.549999997</v>
      </c>
      <c r="D82" s="1">
        <v>1</v>
      </c>
      <c r="E82" s="9" t="s">
        <v>26</v>
      </c>
      <c r="F82" s="10" t="s">
        <v>26</v>
      </c>
      <c r="G82" s="2">
        <v>716960898.38</v>
      </c>
      <c r="H82" s="1">
        <v>1</v>
      </c>
      <c r="I82" s="9" t="s">
        <v>26</v>
      </c>
      <c r="J82" s="10" t="s">
        <v>26</v>
      </c>
      <c r="K82" s="2">
        <v>50182878.5</v>
      </c>
      <c r="L82" s="1">
        <v>1</v>
      </c>
      <c r="M82" s="1" t="s">
        <v>26</v>
      </c>
      <c r="N82" s="1" t="s">
        <v>26</v>
      </c>
      <c r="O82" s="2">
        <v>382088767.63</v>
      </c>
      <c r="P82" s="1">
        <v>1</v>
      </c>
      <c r="Q82" s="1" t="s">
        <v>26</v>
      </c>
      <c r="R82" s="1" t="s">
        <v>26</v>
      </c>
      <c r="S82" s="2">
        <v>200724728</v>
      </c>
      <c r="T82" s="1">
        <v>1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1385103009.0599999</v>
      </c>
      <c r="AF82" s="1">
        <v>1</v>
      </c>
      <c r="AG82" s="1" t="s">
        <v>26</v>
      </c>
      <c r="AH82" s="1" t="s">
        <v>26</v>
      </c>
      <c r="AI82" s="2">
        <v>100733761</v>
      </c>
      <c r="AJ82" s="1">
        <v>1</v>
      </c>
      <c r="AK82" s="1" t="s">
        <v>26</v>
      </c>
      <c r="AL82" s="1" t="s">
        <v>26</v>
      </c>
      <c r="AM82" s="2" t="s">
        <v>26</v>
      </c>
      <c r="AN82" s="1" t="s">
        <v>26</v>
      </c>
      <c r="AO82" s="1" t="s">
        <v>26</v>
      </c>
      <c r="AP82" s="1" t="s">
        <v>26</v>
      </c>
      <c r="AQ82" s="2">
        <v>100733761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1485836770.0599999</v>
      </c>
      <c r="AZ82" s="1">
        <v>1</v>
      </c>
      <c r="BA82" s="1" t="s">
        <v>26</v>
      </c>
      <c r="BB82" s="1" t="s">
        <v>26</v>
      </c>
    </row>
    <row r="83" spans="1:54" s="7" customFormat="1">
      <c r="A83" s="12" t="s">
        <v>77</v>
      </c>
      <c r="B83" s="40" t="s">
        <v>25</v>
      </c>
      <c r="C83" s="42" t="s">
        <v>26</v>
      </c>
      <c r="D83" s="43" t="s">
        <v>26</v>
      </c>
      <c r="E83" s="43" t="s">
        <v>26</v>
      </c>
      <c r="F83" s="43" t="s">
        <v>26</v>
      </c>
      <c r="G83" s="42" t="s">
        <v>26</v>
      </c>
      <c r="H83" s="43" t="s">
        <v>26</v>
      </c>
      <c r="I83" s="43" t="s">
        <v>26</v>
      </c>
      <c r="J83" s="43" t="s">
        <v>26</v>
      </c>
      <c r="K83" s="42" t="s">
        <v>26</v>
      </c>
      <c r="L83" s="43" t="s">
        <v>26</v>
      </c>
      <c r="M83" s="43" t="s">
        <v>26</v>
      </c>
      <c r="N83" s="43" t="s">
        <v>26</v>
      </c>
      <c r="O83" s="42">
        <v>125847992.5</v>
      </c>
      <c r="P83" s="43">
        <v>4.8914081095999999E-4</v>
      </c>
      <c r="Q83" s="43" t="s">
        <v>26</v>
      </c>
      <c r="R83" s="43" t="s">
        <v>26</v>
      </c>
      <c r="S83" s="42">
        <v>203683688</v>
      </c>
      <c r="T83" s="43">
        <v>1.59770277099E-3</v>
      </c>
      <c r="U83" s="43" t="s">
        <v>26</v>
      </c>
      <c r="V83" s="43" t="s">
        <v>26</v>
      </c>
      <c r="W83" s="43" t="s">
        <v>26</v>
      </c>
      <c r="X83" s="43" t="s">
        <v>26</v>
      </c>
      <c r="Y83" s="43" t="s">
        <v>26</v>
      </c>
      <c r="Z83" s="43" t="s">
        <v>26</v>
      </c>
      <c r="AA83" s="42">
        <v>139942967.66</v>
      </c>
      <c r="AB83" s="43">
        <v>8.8282256090999999E-4</v>
      </c>
      <c r="AC83" s="43" t="s">
        <v>26</v>
      </c>
      <c r="AD83" s="43" t="s">
        <v>26</v>
      </c>
      <c r="AE83" s="42">
        <v>469474648.16000003</v>
      </c>
      <c r="AF83" s="43">
        <v>6.3387259491000001E-4</v>
      </c>
      <c r="AG83" s="43" t="s">
        <v>26</v>
      </c>
      <c r="AH83" s="43" t="s">
        <v>26</v>
      </c>
      <c r="AI83" s="42">
        <v>6583262.1299999999</v>
      </c>
      <c r="AJ83" s="43">
        <v>3.4790463299E-4</v>
      </c>
      <c r="AK83" s="43" t="s">
        <v>26</v>
      </c>
      <c r="AL83" s="43" t="s">
        <v>26</v>
      </c>
      <c r="AM83" s="43" t="s">
        <v>26</v>
      </c>
      <c r="AN83" s="43" t="s">
        <v>26</v>
      </c>
      <c r="AO83" s="43" t="s">
        <v>26</v>
      </c>
      <c r="AP83" s="43" t="s">
        <v>26</v>
      </c>
      <c r="AQ83" s="42">
        <v>6583262.1299999999</v>
      </c>
      <c r="AR83" s="43">
        <v>1.4915695049E-4</v>
      </c>
      <c r="AS83" s="43" t="s">
        <v>26</v>
      </c>
      <c r="AT83" s="43" t="s">
        <v>26</v>
      </c>
      <c r="AU83" s="42">
        <v>19749786.379999999</v>
      </c>
      <c r="AV83" s="43">
        <v>3.6911382532000002E-4</v>
      </c>
      <c r="AW83" s="43" t="s">
        <v>26</v>
      </c>
      <c r="AX83" s="43" t="s">
        <v>26</v>
      </c>
      <c r="AY83" s="42">
        <v>495807696.67000002</v>
      </c>
      <c r="AZ83" s="43">
        <v>5.9145300990000001E-4</v>
      </c>
      <c r="BA83" s="43" t="s">
        <v>26</v>
      </c>
      <c r="BB83" s="43" t="s">
        <v>26</v>
      </c>
    </row>
    <row r="84" spans="1:54" s="7" customFormat="1">
      <c r="A84" s="5" t="s">
        <v>78</v>
      </c>
      <c r="B84" s="20" t="s">
        <v>25</v>
      </c>
      <c r="C84" s="9" t="s">
        <v>26</v>
      </c>
      <c r="D84" s="10" t="s">
        <v>26</v>
      </c>
      <c r="E84" s="9" t="s">
        <v>26</v>
      </c>
      <c r="F84" s="10" t="s">
        <v>26</v>
      </c>
      <c r="G84" s="9" t="s">
        <v>26</v>
      </c>
      <c r="H84" s="10" t="s">
        <v>26</v>
      </c>
      <c r="I84" s="9" t="s">
        <v>26</v>
      </c>
      <c r="J84" s="10" t="s">
        <v>26</v>
      </c>
      <c r="K84" s="2" t="s">
        <v>26</v>
      </c>
      <c r="L84" s="1" t="s">
        <v>26</v>
      </c>
      <c r="M84" s="1" t="s">
        <v>26</v>
      </c>
      <c r="N84" s="1" t="s">
        <v>26</v>
      </c>
      <c r="O84" s="2" t="s">
        <v>26</v>
      </c>
      <c r="P84" s="1" t="s">
        <v>26</v>
      </c>
      <c r="Q84" s="1" t="s">
        <v>26</v>
      </c>
      <c r="R84" s="1" t="s">
        <v>26</v>
      </c>
      <c r="S84" s="9">
        <v>52666097</v>
      </c>
      <c r="T84" s="10">
        <v>4.1311491333000002E-4</v>
      </c>
      <c r="U84" s="10">
        <v>0.1</v>
      </c>
      <c r="V84" s="10">
        <v>9.9599999999999994E-2</v>
      </c>
      <c r="W84" s="2" t="s">
        <v>26</v>
      </c>
      <c r="X84" s="1" t="s">
        <v>26</v>
      </c>
      <c r="Y84" s="1" t="s">
        <v>26</v>
      </c>
      <c r="Z84" s="1" t="s">
        <v>26</v>
      </c>
      <c r="AA84" s="2" t="s">
        <v>26</v>
      </c>
      <c r="AB84" s="1" t="s">
        <v>26</v>
      </c>
      <c r="AC84" s="1" t="s">
        <v>26</v>
      </c>
      <c r="AD84" s="1" t="s">
        <v>26</v>
      </c>
      <c r="AE84" s="9">
        <v>52666097</v>
      </c>
      <c r="AF84" s="10">
        <v>7.110840958E-5</v>
      </c>
      <c r="AG84" s="10">
        <v>0.1</v>
      </c>
      <c r="AH84" s="10">
        <v>9.9900000000000003E-2</v>
      </c>
      <c r="AI84" s="9">
        <v>6583262.1299999999</v>
      </c>
      <c r="AJ84" s="10">
        <v>3.4790463299E-4</v>
      </c>
      <c r="AK84" s="10">
        <v>0.1</v>
      </c>
      <c r="AL84" s="10">
        <v>9.9699999999999997E-2</v>
      </c>
      <c r="AM84" s="2" t="s">
        <v>26</v>
      </c>
      <c r="AN84" s="1" t="s">
        <v>26</v>
      </c>
      <c r="AO84" s="1" t="s">
        <v>26</v>
      </c>
      <c r="AP84" s="1" t="s">
        <v>26</v>
      </c>
      <c r="AQ84" s="9">
        <v>6583262.1299999999</v>
      </c>
      <c r="AR84" s="10">
        <v>1.4915695049E-4</v>
      </c>
      <c r="AS84" s="10">
        <v>0.1</v>
      </c>
      <c r="AT84" s="10">
        <v>9.9900000000000003E-2</v>
      </c>
      <c r="AU84" s="9">
        <v>19749786.379999999</v>
      </c>
      <c r="AV84" s="10">
        <v>3.6911382532000002E-4</v>
      </c>
      <c r="AW84" s="10">
        <v>0.1</v>
      </c>
      <c r="AX84" s="10">
        <v>9.9599999999999994E-2</v>
      </c>
      <c r="AY84" s="9">
        <v>78999145.510000005</v>
      </c>
      <c r="AZ84" s="10">
        <v>9.4238719380000002E-5</v>
      </c>
      <c r="BA84" s="10">
        <v>0.1</v>
      </c>
      <c r="BB84" s="10">
        <v>9.9900000000000003E-2</v>
      </c>
    </row>
    <row r="85" spans="1:54" s="7" customFormat="1">
      <c r="A85" s="3" t="s">
        <v>79</v>
      </c>
      <c r="B85" s="23" t="s">
        <v>29</v>
      </c>
      <c r="C85" s="9" t="s">
        <v>26</v>
      </c>
      <c r="D85" s="10" t="s">
        <v>26</v>
      </c>
      <c r="E85" s="9" t="s">
        <v>26</v>
      </c>
      <c r="F85" s="10" t="s">
        <v>26</v>
      </c>
      <c r="G85" s="9" t="s">
        <v>26</v>
      </c>
      <c r="H85" s="10" t="s">
        <v>26</v>
      </c>
      <c r="I85" s="9" t="s">
        <v>26</v>
      </c>
      <c r="J85" s="10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 t="s">
        <v>26</v>
      </c>
      <c r="P85" s="1" t="s">
        <v>26</v>
      </c>
      <c r="Q85" s="1" t="s">
        <v>26</v>
      </c>
      <c r="R85" s="1" t="s">
        <v>26</v>
      </c>
      <c r="S85" s="2">
        <v>52666097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 t="s">
        <v>26</v>
      </c>
      <c r="AB85" s="1" t="s">
        <v>26</v>
      </c>
      <c r="AC85" s="1" t="s">
        <v>26</v>
      </c>
      <c r="AD85" s="1" t="s">
        <v>26</v>
      </c>
      <c r="AE85" s="2">
        <v>52666097</v>
      </c>
      <c r="AF85" s="1">
        <v>1</v>
      </c>
      <c r="AG85" s="1" t="s">
        <v>26</v>
      </c>
      <c r="AH85" s="1" t="s">
        <v>26</v>
      </c>
      <c r="AI85" s="2">
        <v>6583262.1299999999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6583262.1299999999</v>
      </c>
      <c r="AR85" s="1">
        <v>1</v>
      </c>
      <c r="AS85" s="1" t="s">
        <v>26</v>
      </c>
      <c r="AT85" s="1" t="s">
        <v>26</v>
      </c>
      <c r="AU85" s="2">
        <v>19749786.379999999</v>
      </c>
      <c r="AV85" s="1">
        <v>1</v>
      </c>
      <c r="AW85" s="1" t="s">
        <v>26</v>
      </c>
      <c r="AX85" s="1" t="s">
        <v>26</v>
      </c>
      <c r="AY85" s="2">
        <v>78999145.510000005</v>
      </c>
      <c r="AZ85" s="1">
        <v>1</v>
      </c>
      <c r="BA85" s="1" t="s">
        <v>26</v>
      </c>
      <c r="BB85" s="1" t="s">
        <v>26</v>
      </c>
    </row>
    <row r="86" spans="1:54" s="7" customFormat="1">
      <c r="A86" s="5" t="s">
        <v>80</v>
      </c>
      <c r="B86" s="20" t="s">
        <v>25</v>
      </c>
      <c r="C86" s="9" t="s">
        <v>26</v>
      </c>
      <c r="D86" s="10" t="s">
        <v>26</v>
      </c>
      <c r="E86" s="9" t="s">
        <v>26</v>
      </c>
      <c r="F86" s="10" t="s">
        <v>26</v>
      </c>
      <c r="G86" s="9" t="s">
        <v>26</v>
      </c>
      <c r="H86" s="10" t="s">
        <v>26</v>
      </c>
      <c r="I86" s="9" t="s">
        <v>26</v>
      </c>
      <c r="J86" s="10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9">
        <v>125847992.5</v>
      </c>
      <c r="P86" s="10">
        <v>4.8914081095999999E-4</v>
      </c>
      <c r="Q86" s="10">
        <v>0.09</v>
      </c>
      <c r="R86" s="10">
        <v>8.9499999999999996E-2</v>
      </c>
      <c r="S86" s="9">
        <v>151017591</v>
      </c>
      <c r="T86" s="10">
        <v>1.1845878576600001E-3</v>
      </c>
      <c r="U86" s="10">
        <v>0.09</v>
      </c>
      <c r="V86" s="10">
        <v>8.8800000000000004E-2</v>
      </c>
      <c r="W86" s="2" t="s">
        <v>26</v>
      </c>
      <c r="X86" s="1" t="s">
        <v>26</v>
      </c>
      <c r="Y86" s="1" t="s">
        <v>26</v>
      </c>
      <c r="Z86" s="1" t="s">
        <v>26</v>
      </c>
      <c r="AA86" s="9">
        <v>139942967.66</v>
      </c>
      <c r="AB86" s="10">
        <v>8.8282256090999999E-4</v>
      </c>
      <c r="AC86" s="10">
        <v>0.09</v>
      </c>
      <c r="AD86" s="10">
        <v>8.9099999999999999E-2</v>
      </c>
      <c r="AE86" s="9">
        <v>416808551.16000003</v>
      </c>
      <c r="AF86" s="10">
        <v>5.6276418533000004E-4</v>
      </c>
      <c r="AG86" s="10">
        <v>0.09</v>
      </c>
      <c r="AH86" s="10">
        <v>8.9399999999999993E-2</v>
      </c>
      <c r="AI86" s="2" t="s">
        <v>26</v>
      </c>
      <c r="AJ86" s="1" t="s">
        <v>26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 t="s">
        <v>26</v>
      </c>
      <c r="AR86" s="1" t="s">
        <v>26</v>
      </c>
      <c r="AS86" s="1" t="s">
        <v>26</v>
      </c>
      <c r="AT86" s="1" t="s">
        <v>26</v>
      </c>
      <c r="AU86" s="2" t="s">
        <v>26</v>
      </c>
      <c r="AV86" s="1" t="s">
        <v>26</v>
      </c>
      <c r="AW86" s="1" t="s">
        <v>26</v>
      </c>
      <c r="AX86" s="1" t="s">
        <v>26</v>
      </c>
      <c r="AY86" s="9">
        <v>416808551.16000003</v>
      </c>
      <c r="AZ86" s="10">
        <v>4.9721429052000004E-4</v>
      </c>
      <c r="BA86" s="10">
        <v>0.09</v>
      </c>
      <c r="BB86" s="10">
        <v>8.9499999999999996E-2</v>
      </c>
    </row>
    <row r="87" spans="1:54" s="7" customFormat="1">
      <c r="A87" s="3" t="s">
        <v>79</v>
      </c>
      <c r="B87" s="23" t="s">
        <v>40</v>
      </c>
      <c r="C87" s="9" t="s">
        <v>26</v>
      </c>
      <c r="D87" s="10" t="s">
        <v>26</v>
      </c>
      <c r="E87" s="9" t="s">
        <v>26</v>
      </c>
      <c r="F87" s="10" t="s">
        <v>26</v>
      </c>
      <c r="G87" s="9" t="s">
        <v>26</v>
      </c>
      <c r="H87" s="10" t="s">
        <v>26</v>
      </c>
      <c r="I87" s="9" t="s">
        <v>26</v>
      </c>
      <c r="J87" s="10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>
        <v>125847992.5</v>
      </c>
      <c r="P87" s="1">
        <v>1</v>
      </c>
      <c r="Q87" s="1" t="s">
        <v>26</v>
      </c>
      <c r="R87" s="1" t="s">
        <v>26</v>
      </c>
      <c r="S87" s="2">
        <v>151017591</v>
      </c>
      <c r="T87" s="1">
        <v>1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>
        <v>139942967.66</v>
      </c>
      <c r="AB87" s="1">
        <v>1</v>
      </c>
      <c r="AC87" s="1" t="s">
        <v>26</v>
      </c>
      <c r="AD87" s="1" t="s">
        <v>26</v>
      </c>
      <c r="AE87" s="2">
        <v>416808551.16000003</v>
      </c>
      <c r="AF87" s="1">
        <v>1</v>
      </c>
      <c r="AG87" s="1" t="s">
        <v>26</v>
      </c>
      <c r="AH87" s="1" t="s">
        <v>26</v>
      </c>
      <c r="AI87" s="2" t="s">
        <v>26</v>
      </c>
      <c r="AJ87" s="1" t="s">
        <v>26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 t="s">
        <v>26</v>
      </c>
      <c r="AR87" s="1" t="s">
        <v>26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2">
        <v>416808551.16000003</v>
      </c>
      <c r="AZ87" s="1">
        <v>1</v>
      </c>
      <c r="BA87" s="1" t="s">
        <v>26</v>
      </c>
      <c r="BB87" s="1" t="s">
        <v>26</v>
      </c>
    </row>
    <row r="88" spans="1:54" s="7" customFormat="1">
      <c r="A88" s="12" t="s">
        <v>81</v>
      </c>
      <c r="B88" s="40" t="s">
        <v>25</v>
      </c>
      <c r="C88" s="42" t="s">
        <v>26</v>
      </c>
      <c r="D88" s="43" t="s">
        <v>26</v>
      </c>
      <c r="E88" s="43" t="s">
        <v>26</v>
      </c>
      <c r="F88" s="43" t="s">
        <v>26</v>
      </c>
      <c r="G88" s="42">
        <v>2045188514.47</v>
      </c>
      <c r="H88" s="43">
        <v>1.151466459487E-2</v>
      </c>
      <c r="I88" s="43">
        <v>0.05</v>
      </c>
      <c r="J88" s="43">
        <f>+I88-H88</f>
        <v>3.8485335405130001E-2</v>
      </c>
      <c r="K88" s="42">
        <v>28918350.420000002</v>
      </c>
      <c r="L88" s="43">
        <v>6.7329350319200003E-3</v>
      </c>
      <c r="M88" s="43">
        <v>0.05</v>
      </c>
      <c r="N88" s="43">
        <f>+M88-L88</f>
        <v>4.3267064968079999E-2</v>
      </c>
      <c r="O88" s="42">
        <v>2240642373.0599999</v>
      </c>
      <c r="P88" s="43">
        <v>8.7088367931399992E-3</v>
      </c>
      <c r="Q88" s="43">
        <v>0.05</v>
      </c>
      <c r="R88" s="43">
        <f>+Q88-P88</f>
        <v>4.1291163206860007E-2</v>
      </c>
      <c r="S88" s="42">
        <v>1814206968.1800001</v>
      </c>
      <c r="T88" s="43">
        <v>1.423071002231E-2</v>
      </c>
      <c r="U88" s="43">
        <v>0.05</v>
      </c>
      <c r="V88" s="43">
        <f>+U88-T88</f>
        <v>3.5769289977690001E-2</v>
      </c>
      <c r="W88" s="43" t="s">
        <v>26</v>
      </c>
      <c r="X88" s="43" t="s">
        <v>26</v>
      </c>
      <c r="Y88" s="43" t="s">
        <v>26</v>
      </c>
      <c r="Z88" s="43" t="s">
        <v>26</v>
      </c>
      <c r="AA88" s="42">
        <v>455475297.19999999</v>
      </c>
      <c r="AB88" s="43">
        <v>2.8733410118999998E-3</v>
      </c>
      <c r="AC88" s="43">
        <v>0.05</v>
      </c>
      <c r="AD88" s="43">
        <f>+AC88-AB88</f>
        <v>4.7126658988100006E-2</v>
      </c>
      <c r="AE88" s="42">
        <v>6584431503.3299999</v>
      </c>
      <c r="AF88" s="43">
        <v>8.8901300621600007E-3</v>
      </c>
      <c r="AG88" s="43">
        <v>0.05</v>
      </c>
      <c r="AH88" s="43">
        <f>+AG88-AF88</f>
        <v>4.110986993784E-2</v>
      </c>
      <c r="AI88" s="43" t="s">
        <v>26</v>
      </c>
      <c r="AJ88" s="43" t="s">
        <v>26</v>
      </c>
      <c r="AK88" s="43" t="s">
        <v>26</v>
      </c>
      <c r="AL88" s="43" t="s">
        <v>26</v>
      </c>
      <c r="AM88" s="43" t="s">
        <v>26</v>
      </c>
      <c r="AN88" s="43" t="s">
        <v>26</v>
      </c>
      <c r="AO88" s="43" t="s">
        <v>26</v>
      </c>
      <c r="AP88" s="43" t="s">
        <v>26</v>
      </c>
      <c r="AQ88" s="43" t="s">
        <v>26</v>
      </c>
      <c r="AR88" s="43" t="s">
        <v>26</v>
      </c>
      <c r="AS88" s="43" t="s">
        <v>26</v>
      </c>
      <c r="AT88" s="43" t="s">
        <v>26</v>
      </c>
      <c r="AU88" s="42">
        <v>628301292</v>
      </c>
      <c r="AV88" s="43">
        <v>1.17426431294E-2</v>
      </c>
      <c r="AW88" s="43">
        <v>0.05</v>
      </c>
      <c r="AX88" s="43">
        <f>+AW88-AV88</f>
        <v>3.8257356870600001E-2</v>
      </c>
      <c r="AY88" s="42">
        <v>7212732795.3299999</v>
      </c>
      <c r="AZ88" s="43">
        <v>8.6041272656100006E-3</v>
      </c>
      <c r="BA88" s="43">
        <v>0.05</v>
      </c>
      <c r="BB88" s="43">
        <f>+BA88-AZ88</f>
        <v>4.139587273439E-2</v>
      </c>
    </row>
    <row r="89" spans="1:54" s="7" customFormat="1">
      <c r="A89" s="5" t="s">
        <v>82</v>
      </c>
      <c r="B89" s="20" t="s">
        <v>25</v>
      </c>
      <c r="C89" s="9" t="s">
        <v>26</v>
      </c>
      <c r="D89" s="10" t="s">
        <v>26</v>
      </c>
      <c r="E89" s="9" t="s">
        <v>26</v>
      </c>
      <c r="F89" s="10" t="s">
        <v>26</v>
      </c>
      <c r="G89" s="9">
        <v>1185166605.3399999</v>
      </c>
      <c r="H89" s="10">
        <v>6.6726347488200001E-3</v>
      </c>
      <c r="I89" s="9" t="s">
        <v>26</v>
      </c>
      <c r="J89" s="10" t="s">
        <v>26</v>
      </c>
      <c r="K89" s="2" t="s">
        <v>26</v>
      </c>
      <c r="L89" s="1" t="s">
        <v>26</v>
      </c>
      <c r="M89" s="1" t="s">
        <v>26</v>
      </c>
      <c r="N89" s="1" t="s">
        <v>26</v>
      </c>
      <c r="O89" s="2" t="s">
        <v>26</v>
      </c>
      <c r="P89" s="1" t="s">
        <v>26</v>
      </c>
      <c r="Q89" s="1" t="s">
        <v>26</v>
      </c>
      <c r="R89" s="1" t="s">
        <v>26</v>
      </c>
      <c r="S89" s="9">
        <v>696367265.29999995</v>
      </c>
      <c r="T89" s="10">
        <v>5.4623319143400004E-3</v>
      </c>
      <c r="U89" s="1" t="s">
        <v>26</v>
      </c>
      <c r="V89" s="1" t="s">
        <v>26</v>
      </c>
      <c r="W89" s="2" t="s">
        <v>26</v>
      </c>
      <c r="X89" s="1" t="s">
        <v>26</v>
      </c>
      <c r="Y89" s="1" t="s">
        <v>26</v>
      </c>
      <c r="Z89" s="1" t="s">
        <v>26</v>
      </c>
      <c r="AA89" s="2" t="s">
        <v>26</v>
      </c>
      <c r="AB89" s="1" t="s">
        <v>26</v>
      </c>
      <c r="AC89" s="1" t="s">
        <v>26</v>
      </c>
      <c r="AD89" s="1" t="s">
        <v>26</v>
      </c>
      <c r="AE89" s="9">
        <v>1881533870.6400001</v>
      </c>
      <c r="AF89" s="10">
        <v>2.5403986385E-3</v>
      </c>
      <c r="AG89" s="1" t="s">
        <v>26</v>
      </c>
      <c r="AH89" s="1" t="s">
        <v>26</v>
      </c>
      <c r="AI89" s="2" t="s">
        <v>26</v>
      </c>
      <c r="AJ89" s="1" t="s">
        <v>26</v>
      </c>
      <c r="AK89" s="1" t="s">
        <v>26</v>
      </c>
      <c r="AL89" s="1" t="s">
        <v>26</v>
      </c>
      <c r="AM89" s="2" t="s">
        <v>26</v>
      </c>
      <c r="AN89" s="1" t="s">
        <v>26</v>
      </c>
      <c r="AO89" s="1" t="s">
        <v>26</v>
      </c>
      <c r="AP89" s="1" t="s">
        <v>26</v>
      </c>
      <c r="AQ89" s="2" t="s">
        <v>26</v>
      </c>
      <c r="AR89" s="1" t="s">
        <v>26</v>
      </c>
      <c r="AS89" s="1" t="s">
        <v>26</v>
      </c>
      <c r="AT89" s="1" t="s">
        <v>26</v>
      </c>
      <c r="AU89" s="9">
        <v>628301292</v>
      </c>
      <c r="AV89" s="10">
        <v>1.17426431294E-2</v>
      </c>
      <c r="AW89" s="1" t="s">
        <v>26</v>
      </c>
      <c r="AX89" s="1" t="s">
        <v>26</v>
      </c>
      <c r="AY89" s="9">
        <v>2509835162.6399999</v>
      </c>
      <c r="AZ89" s="10">
        <v>2.9940026572200002E-3</v>
      </c>
      <c r="BA89" s="1" t="s">
        <v>26</v>
      </c>
      <c r="BB89" s="1" t="s">
        <v>26</v>
      </c>
    </row>
    <row r="90" spans="1:54" s="7" customFormat="1">
      <c r="A90" s="3" t="s">
        <v>83</v>
      </c>
      <c r="B90" s="23" t="s">
        <v>40</v>
      </c>
      <c r="C90" s="9" t="s">
        <v>26</v>
      </c>
      <c r="D90" s="10" t="s">
        <v>26</v>
      </c>
      <c r="E90" s="9" t="s">
        <v>26</v>
      </c>
      <c r="F90" s="10" t="s">
        <v>26</v>
      </c>
      <c r="G90" s="9">
        <v>1185166605.3399999</v>
      </c>
      <c r="H90" s="10">
        <v>1</v>
      </c>
      <c r="I90" s="9" t="s">
        <v>26</v>
      </c>
      <c r="J90" s="10" t="s">
        <v>26</v>
      </c>
      <c r="K90" s="2" t="s">
        <v>26</v>
      </c>
      <c r="L90" s="1" t="s">
        <v>26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2">
        <v>696367265.29999995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 t="s">
        <v>26</v>
      </c>
      <c r="AB90" s="1" t="s">
        <v>26</v>
      </c>
      <c r="AC90" s="1" t="s">
        <v>26</v>
      </c>
      <c r="AD90" s="1" t="s">
        <v>26</v>
      </c>
      <c r="AE90" s="2">
        <v>1881533870.6400001</v>
      </c>
      <c r="AF90" s="1">
        <v>1</v>
      </c>
      <c r="AG90" s="1" t="s">
        <v>26</v>
      </c>
      <c r="AH90" s="1" t="s">
        <v>26</v>
      </c>
      <c r="AI90" s="2" t="s">
        <v>26</v>
      </c>
      <c r="AJ90" s="1" t="s">
        <v>26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 t="s">
        <v>26</v>
      </c>
      <c r="AR90" s="1" t="s">
        <v>26</v>
      </c>
      <c r="AS90" s="1" t="s">
        <v>26</v>
      </c>
      <c r="AT90" s="1" t="s">
        <v>26</v>
      </c>
      <c r="AU90" s="2">
        <v>628301292</v>
      </c>
      <c r="AV90" s="1">
        <v>1</v>
      </c>
      <c r="AW90" s="1" t="s">
        <v>26</v>
      </c>
      <c r="AX90" s="1" t="s">
        <v>26</v>
      </c>
      <c r="AY90" s="2">
        <v>2509835162.6399999</v>
      </c>
      <c r="AZ90" s="1">
        <v>1</v>
      </c>
      <c r="BA90" s="1" t="s">
        <v>26</v>
      </c>
      <c r="BB90" s="1" t="s">
        <v>26</v>
      </c>
    </row>
    <row r="91" spans="1:54" s="7" customFormat="1">
      <c r="A91" s="5" t="s">
        <v>84</v>
      </c>
      <c r="B91" s="20" t="s">
        <v>25</v>
      </c>
      <c r="C91" s="9" t="s">
        <v>26</v>
      </c>
      <c r="D91" s="10" t="s">
        <v>26</v>
      </c>
      <c r="E91" s="9" t="s">
        <v>26</v>
      </c>
      <c r="F91" s="10" t="s">
        <v>26</v>
      </c>
      <c r="G91" s="9">
        <v>860021909.13</v>
      </c>
      <c r="H91" s="10">
        <v>4.8420298460600001E-3</v>
      </c>
      <c r="I91" s="9" t="s">
        <v>26</v>
      </c>
      <c r="J91" s="10" t="s">
        <v>26</v>
      </c>
      <c r="K91" s="9">
        <v>28918350.420000002</v>
      </c>
      <c r="L91" s="10">
        <v>6.7329350319200003E-3</v>
      </c>
      <c r="M91" s="1" t="s">
        <v>26</v>
      </c>
      <c r="N91" s="1" t="s">
        <v>26</v>
      </c>
      <c r="O91" s="9">
        <v>2240642373.0599999</v>
      </c>
      <c r="P91" s="10">
        <v>8.7088367931399992E-3</v>
      </c>
      <c r="Q91" s="1" t="s">
        <v>26</v>
      </c>
      <c r="R91" s="1" t="s">
        <v>26</v>
      </c>
      <c r="S91" s="9">
        <v>1117839702.8800001</v>
      </c>
      <c r="T91" s="10">
        <v>8.7683781079699995E-3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9">
        <v>455475297.19999999</v>
      </c>
      <c r="AB91" s="10">
        <v>2.8733410118999998E-3</v>
      </c>
      <c r="AC91" s="1" t="s">
        <v>26</v>
      </c>
      <c r="AD91" s="1" t="s">
        <v>26</v>
      </c>
      <c r="AE91" s="9">
        <v>4702897632.6899996</v>
      </c>
      <c r="AF91" s="10">
        <v>6.3497314236600003E-3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9">
        <v>4702897632.6899996</v>
      </c>
      <c r="AZ91" s="10">
        <v>5.61012460839E-3</v>
      </c>
      <c r="BA91" s="1" t="s">
        <v>26</v>
      </c>
      <c r="BB91" s="1" t="s">
        <v>26</v>
      </c>
    </row>
    <row r="92" spans="1:54" s="28" customFormat="1">
      <c r="A92" s="3" t="s">
        <v>85</v>
      </c>
      <c r="B92" s="23" t="s">
        <v>40</v>
      </c>
      <c r="C92" s="9" t="s">
        <v>26</v>
      </c>
      <c r="D92" s="10" t="s">
        <v>26</v>
      </c>
      <c r="E92" s="9" t="s">
        <v>26</v>
      </c>
      <c r="F92" s="10" t="s">
        <v>26</v>
      </c>
      <c r="G92" s="2">
        <v>860021909.13</v>
      </c>
      <c r="H92" s="1">
        <v>1</v>
      </c>
      <c r="I92" s="9" t="s">
        <v>26</v>
      </c>
      <c r="J92" s="10" t="s">
        <v>26</v>
      </c>
      <c r="K92" s="2">
        <v>28918350.420000002</v>
      </c>
      <c r="L92" s="1">
        <v>1</v>
      </c>
      <c r="M92" s="1" t="s">
        <v>26</v>
      </c>
      <c r="N92" s="1" t="s">
        <v>26</v>
      </c>
      <c r="O92" s="2">
        <v>2240642373.0599999</v>
      </c>
      <c r="P92" s="1">
        <v>1</v>
      </c>
      <c r="Q92" s="1" t="s">
        <v>26</v>
      </c>
      <c r="R92" s="1" t="s">
        <v>26</v>
      </c>
      <c r="S92" s="2">
        <v>1117839702.8800001</v>
      </c>
      <c r="T92" s="1">
        <v>1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>
        <v>455475297.19999999</v>
      </c>
      <c r="AB92" s="1">
        <v>1</v>
      </c>
      <c r="AC92" s="1" t="s">
        <v>26</v>
      </c>
      <c r="AD92" s="1" t="s">
        <v>26</v>
      </c>
      <c r="AE92" s="2">
        <v>4702897632.6899996</v>
      </c>
      <c r="AF92" s="1">
        <v>1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2">
        <v>4702897632.6899996</v>
      </c>
      <c r="AZ92" s="1">
        <v>1</v>
      </c>
      <c r="BA92" s="1" t="s">
        <v>26</v>
      </c>
      <c r="BB92" s="1" t="s">
        <v>26</v>
      </c>
    </row>
    <row r="93" spans="1:54" s="7" customFormat="1">
      <c r="A93" s="12" t="s">
        <v>86</v>
      </c>
      <c r="B93" s="40" t="s">
        <v>25</v>
      </c>
      <c r="C93" s="42">
        <v>165670901.22999999</v>
      </c>
      <c r="D93" s="43">
        <v>2.0604553000379999E-2</v>
      </c>
      <c r="E93" s="43">
        <v>0.15</v>
      </c>
      <c r="F93" s="43">
        <f>+E93-D93</f>
        <v>0.12939544699962</v>
      </c>
      <c r="G93" s="42">
        <v>10321123061.27</v>
      </c>
      <c r="H93" s="43">
        <v>5.8109200913309997E-2</v>
      </c>
      <c r="I93" s="43">
        <v>0.15</v>
      </c>
      <c r="J93" s="43">
        <f>+I93-H93</f>
        <v>9.1890799086689998E-2</v>
      </c>
      <c r="K93" s="42">
        <v>361766003.88</v>
      </c>
      <c r="L93" s="43">
        <v>8.4228421244880003E-2</v>
      </c>
      <c r="M93" s="43">
        <v>0.15</v>
      </c>
      <c r="N93" s="43">
        <f>+M93-L93</f>
        <v>6.5771578755119992E-2</v>
      </c>
      <c r="O93" s="42">
        <v>27232109574.18</v>
      </c>
      <c r="P93" s="43">
        <v>0.10584464556496</v>
      </c>
      <c r="Q93" s="43">
        <v>0.15</v>
      </c>
      <c r="R93" s="43">
        <f>+Q93-P93</f>
        <v>4.4155354435039998E-2</v>
      </c>
      <c r="S93" s="42">
        <v>6548499316.6999998</v>
      </c>
      <c r="T93" s="43">
        <v>5.1366683345249999E-2</v>
      </c>
      <c r="U93" s="43">
        <v>0.15</v>
      </c>
      <c r="V93" s="43">
        <f>+U93-T93</f>
        <v>9.8633316654750003E-2</v>
      </c>
      <c r="W93" s="43" t="s">
        <v>26</v>
      </c>
      <c r="X93" s="43" t="s">
        <v>26</v>
      </c>
      <c r="Y93" s="43" t="s">
        <v>26</v>
      </c>
      <c r="Z93" s="43" t="s">
        <v>26</v>
      </c>
      <c r="AA93" s="42">
        <v>6127520168.7600002</v>
      </c>
      <c r="AB93" s="43">
        <v>3.8655125997800001E-2</v>
      </c>
      <c r="AC93" s="43">
        <v>0.15</v>
      </c>
      <c r="AD93" s="43">
        <f>+AC93-AB93</f>
        <v>0.1113448740022</v>
      </c>
      <c r="AE93" s="42">
        <v>50756689026.019997</v>
      </c>
      <c r="AF93" s="43">
        <v>6.8530376045040003E-2</v>
      </c>
      <c r="AG93" s="43">
        <v>0.15</v>
      </c>
      <c r="AH93" s="43">
        <f>+AG93-AF93</f>
        <v>8.1469623954959991E-2</v>
      </c>
      <c r="AI93" s="43" t="s">
        <v>26</v>
      </c>
      <c r="AJ93" s="43" t="s">
        <v>26</v>
      </c>
      <c r="AK93" s="43" t="s">
        <v>26</v>
      </c>
      <c r="AL93" s="43" t="s">
        <v>26</v>
      </c>
      <c r="AM93" s="43" t="s">
        <v>26</v>
      </c>
      <c r="AN93" s="43" t="s">
        <v>26</v>
      </c>
      <c r="AO93" s="43" t="s">
        <v>26</v>
      </c>
      <c r="AP93" s="43" t="s">
        <v>26</v>
      </c>
      <c r="AQ93" s="43" t="s">
        <v>26</v>
      </c>
      <c r="AR93" s="43" t="s">
        <v>26</v>
      </c>
      <c r="AS93" s="43" t="s">
        <v>26</v>
      </c>
      <c r="AT93" s="43" t="s">
        <v>26</v>
      </c>
      <c r="AU93" s="42">
        <v>1857680555</v>
      </c>
      <c r="AV93" s="43">
        <v>3.4719138864640002E-2</v>
      </c>
      <c r="AW93" s="43">
        <v>0.15</v>
      </c>
      <c r="AX93" s="43">
        <f>+AW93-AV93</f>
        <v>0.11528086113535999</v>
      </c>
      <c r="AY93" s="42">
        <v>52614369581.019997</v>
      </c>
      <c r="AZ93" s="43">
        <v>6.2764106853940002E-2</v>
      </c>
      <c r="BA93" s="43">
        <v>0.15</v>
      </c>
      <c r="BB93" s="43">
        <f>+BA93-AZ93</f>
        <v>8.7235893146059992E-2</v>
      </c>
    </row>
    <row r="94" spans="1:54" s="28" customFormat="1">
      <c r="A94" s="5" t="s">
        <v>124</v>
      </c>
      <c r="B94" s="20" t="s">
        <v>25</v>
      </c>
      <c r="C94" s="9" t="s">
        <v>26</v>
      </c>
      <c r="D94" s="10" t="s">
        <v>26</v>
      </c>
      <c r="E94" s="9" t="s">
        <v>26</v>
      </c>
      <c r="F94" s="10" t="s">
        <v>26</v>
      </c>
      <c r="G94" s="9">
        <v>573417651.13999999</v>
      </c>
      <c r="H94" s="10">
        <v>3.2284123829899999E-3</v>
      </c>
      <c r="I94" s="9" t="s">
        <v>26</v>
      </c>
      <c r="J94" s="10" t="s">
        <v>26</v>
      </c>
      <c r="K94" s="9">
        <v>67460900.129999995</v>
      </c>
      <c r="L94" s="10">
        <v>1.5706630951409999E-2</v>
      </c>
      <c r="M94" s="1" t="s">
        <v>26</v>
      </c>
      <c r="N94" s="1" t="s">
        <v>26</v>
      </c>
      <c r="O94" s="2" t="s">
        <v>26</v>
      </c>
      <c r="P94" s="1" t="s">
        <v>26</v>
      </c>
      <c r="Q94" s="1" t="s">
        <v>26</v>
      </c>
      <c r="R94" s="1" t="s">
        <v>26</v>
      </c>
      <c r="S94" s="9">
        <v>722138271.88999999</v>
      </c>
      <c r="T94" s="10">
        <v>5.6644806923999997E-3</v>
      </c>
      <c r="U94" s="1" t="s">
        <v>26</v>
      </c>
      <c r="V94" s="1" t="s">
        <v>26</v>
      </c>
      <c r="W94" s="2" t="s">
        <v>26</v>
      </c>
      <c r="X94" s="1" t="s">
        <v>26</v>
      </c>
      <c r="Y94" s="1" t="s">
        <v>26</v>
      </c>
      <c r="Z94" s="1" t="s">
        <v>26</v>
      </c>
      <c r="AA94" s="9">
        <v>447695064.51999998</v>
      </c>
      <c r="AB94" s="10">
        <v>2.8242598393799999E-3</v>
      </c>
      <c r="AC94" s="1" t="s">
        <v>26</v>
      </c>
      <c r="AD94" s="1" t="s">
        <v>26</v>
      </c>
      <c r="AE94" s="9">
        <v>1810711887.6800001</v>
      </c>
      <c r="AF94" s="10">
        <v>2.4447766186699998E-3</v>
      </c>
      <c r="AG94" s="1" t="s">
        <v>26</v>
      </c>
      <c r="AH94" s="1" t="s">
        <v>26</v>
      </c>
      <c r="AI94" s="2" t="s">
        <v>26</v>
      </c>
      <c r="AJ94" s="1" t="s">
        <v>26</v>
      </c>
      <c r="AK94" s="1" t="s">
        <v>26</v>
      </c>
      <c r="AL94" s="1" t="s">
        <v>26</v>
      </c>
      <c r="AM94" s="2" t="s">
        <v>26</v>
      </c>
      <c r="AN94" s="1" t="s">
        <v>26</v>
      </c>
      <c r="AO94" s="1" t="s">
        <v>26</v>
      </c>
      <c r="AP94" s="1" t="s">
        <v>26</v>
      </c>
      <c r="AQ94" s="2" t="s">
        <v>26</v>
      </c>
      <c r="AR94" s="1" t="s">
        <v>26</v>
      </c>
      <c r="AS94" s="1" t="s">
        <v>26</v>
      </c>
      <c r="AT94" s="1" t="s">
        <v>26</v>
      </c>
      <c r="AU94" s="2" t="s">
        <v>26</v>
      </c>
      <c r="AV94" s="1" t="s">
        <v>26</v>
      </c>
      <c r="AW94" s="1" t="s">
        <v>26</v>
      </c>
      <c r="AX94" s="1" t="s">
        <v>26</v>
      </c>
      <c r="AY94" s="9">
        <v>1810711887.6800001</v>
      </c>
      <c r="AZ94" s="10">
        <v>2.1600128502E-3</v>
      </c>
      <c r="BA94" s="1" t="s">
        <v>26</v>
      </c>
      <c r="BB94" s="1" t="s">
        <v>26</v>
      </c>
    </row>
    <row r="95" spans="1:54" s="7" customFormat="1">
      <c r="A95" s="3" t="s">
        <v>88</v>
      </c>
      <c r="B95" s="23" t="s">
        <v>47</v>
      </c>
      <c r="C95" s="9" t="s">
        <v>26</v>
      </c>
      <c r="D95" s="10" t="s">
        <v>26</v>
      </c>
      <c r="E95" s="9" t="s">
        <v>26</v>
      </c>
      <c r="F95" s="10" t="s">
        <v>26</v>
      </c>
      <c r="G95" s="2">
        <v>573417651.13999999</v>
      </c>
      <c r="H95" s="1">
        <v>1</v>
      </c>
      <c r="I95" s="9" t="s">
        <v>26</v>
      </c>
      <c r="J95" s="10" t="s">
        <v>26</v>
      </c>
      <c r="K95" s="2">
        <v>67460900.129999995</v>
      </c>
      <c r="L95" s="1">
        <v>1</v>
      </c>
      <c r="M95" s="1" t="s">
        <v>26</v>
      </c>
      <c r="N95" s="1" t="s">
        <v>26</v>
      </c>
      <c r="O95" s="2" t="s">
        <v>26</v>
      </c>
      <c r="P95" s="1" t="s">
        <v>26</v>
      </c>
      <c r="Q95" s="1" t="s">
        <v>26</v>
      </c>
      <c r="R95" s="1" t="s">
        <v>26</v>
      </c>
      <c r="S95" s="2">
        <v>722138271.88999999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447695064.51999998</v>
      </c>
      <c r="AB95" s="1">
        <v>1</v>
      </c>
      <c r="AC95" s="1" t="s">
        <v>26</v>
      </c>
      <c r="AD95" s="1" t="s">
        <v>26</v>
      </c>
      <c r="AE95" s="2">
        <v>1810711887.6800001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1810711887.6800001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125</v>
      </c>
      <c r="B96" s="20" t="s">
        <v>25</v>
      </c>
      <c r="C96" s="9" t="s">
        <v>26</v>
      </c>
      <c r="D96" s="10" t="s">
        <v>26</v>
      </c>
      <c r="E96" s="9" t="s">
        <v>26</v>
      </c>
      <c r="F96" s="10" t="s">
        <v>26</v>
      </c>
      <c r="G96" s="9">
        <v>16939614.539999999</v>
      </c>
      <c r="H96" s="10">
        <v>9.5372127520000006E-5</v>
      </c>
      <c r="I96" s="9" t="s">
        <v>26</v>
      </c>
      <c r="J96" s="10" t="s">
        <v>26</v>
      </c>
      <c r="K96" s="2" t="s">
        <v>26</v>
      </c>
      <c r="L96" s="1" t="s">
        <v>26</v>
      </c>
      <c r="M96" s="1" t="s">
        <v>26</v>
      </c>
      <c r="N96" s="1" t="s">
        <v>26</v>
      </c>
      <c r="O96" s="2" t="s">
        <v>26</v>
      </c>
      <c r="P96" s="1" t="s">
        <v>26</v>
      </c>
      <c r="Q96" s="1" t="s">
        <v>26</v>
      </c>
      <c r="R96" s="1" t="s">
        <v>26</v>
      </c>
      <c r="S96" s="9">
        <v>16939614.539999999</v>
      </c>
      <c r="T96" s="10">
        <v>1.3287499532000001E-4</v>
      </c>
      <c r="U96" s="1" t="s">
        <v>26</v>
      </c>
      <c r="V96" s="1" t="s">
        <v>26</v>
      </c>
      <c r="W96" s="2" t="s">
        <v>26</v>
      </c>
      <c r="X96" s="1" t="s">
        <v>26</v>
      </c>
      <c r="Y96" s="1" t="s">
        <v>26</v>
      </c>
      <c r="Z96" s="1" t="s">
        <v>26</v>
      </c>
      <c r="AA96" s="2" t="s">
        <v>26</v>
      </c>
      <c r="AB96" s="1" t="s">
        <v>26</v>
      </c>
      <c r="AC96" s="1" t="s">
        <v>26</v>
      </c>
      <c r="AD96" s="1" t="s">
        <v>26</v>
      </c>
      <c r="AE96" s="9">
        <v>33879229.079999998</v>
      </c>
      <c r="AF96" s="10">
        <v>4.5742863719999998E-5</v>
      </c>
      <c r="AG96" s="1" t="s">
        <v>26</v>
      </c>
      <c r="AH96" s="1" t="s">
        <v>26</v>
      </c>
      <c r="AI96" s="2" t="s">
        <v>26</v>
      </c>
      <c r="AJ96" s="1" t="s">
        <v>26</v>
      </c>
      <c r="AK96" s="1" t="s">
        <v>26</v>
      </c>
      <c r="AL96" s="1" t="s">
        <v>26</v>
      </c>
      <c r="AM96" s="2" t="s">
        <v>26</v>
      </c>
      <c r="AN96" s="1" t="s">
        <v>26</v>
      </c>
      <c r="AO96" s="1" t="s">
        <v>26</v>
      </c>
      <c r="AP96" s="1" t="s">
        <v>26</v>
      </c>
      <c r="AQ96" s="2" t="s">
        <v>26</v>
      </c>
      <c r="AR96" s="1" t="s">
        <v>26</v>
      </c>
      <c r="AS96" s="1" t="s">
        <v>26</v>
      </c>
      <c r="AT96" s="1" t="s">
        <v>26</v>
      </c>
      <c r="AU96" s="2" t="s">
        <v>26</v>
      </c>
      <c r="AV96" s="1" t="s">
        <v>26</v>
      </c>
      <c r="AW96" s="1" t="s">
        <v>26</v>
      </c>
      <c r="AX96" s="1" t="s">
        <v>26</v>
      </c>
      <c r="AY96" s="9">
        <v>33879229.079999998</v>
      </c>
      <c r="AZ96" s="10">
        <v>4.0414806280000003E-5</v>
      </c>
      <c r="BA96" s="1" t="s">
        <v>26</v>
      </c>
      <c r="BB96" s="1" t="s">
        <v>26</v>
      </c>
    </row>
    <row r="97" spans="1:54" s="28" customFormat="1">
      <c r="A97" s="3" t="s">
        <v>88</v>
      </c>
      <c r="B97" s="23" t="s">
        <v>47</v>
      </c>
      <c r="C97" s="9" t="s">
        <v>26</v>
      </c>
      <c r="D97" s="10" t="s">
        <v>26</v>
      </c>
      <c r="E97" s="9" t="s">
        <v>26</v>
      </c>
      <c r="F97" s="10" t="s">
        <v>26</v>
      </c>
      <c r="G97" s="2">
        <v>16939614.539999999</v>
      </c>
      <c r="H97" s="1">
        <v>1</v>
      </c>
      <c r="I97" s="9" t="s">
        <v>26</v>
      </c>
      <c r="J97" s="10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 t="s">
        <v>26</v>
      </c>
      <c r="P97" s="1" t="s">
        <v>26</v>
      </c>
      <c r="Q97" s="1" t="s">
        <v>26</v>
      </c>
      <c r="R97" s="1" t="s">
        <v>26</v>
      </c>
      <c r="S97" s="2">
        <v>16939614.539999999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 t="s">
        <v>26</v>
      </c>
      <c r="AB97" s="1" t="s">
        <v>26</v>
      </c>
      <c r="AC97" s="1" t="s">
        <v>26</v>
      </c>
      <c r="AD97" s="1" t="s">
        <v>26</v>
      </c>
      <c r="AE97" s="2">
        <v>33879229.079999998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33879229.079999998</v>
      </c>
      <c r="AZ97" s="1">
        <v>1</v>
      </c>
      <c r="BA97" s="1" t="s">
        <v>26</v>
      </c>
      <c r="BB97" s="1" t="s">
        <v>26</v>
      </c>
    </row>
    <row r="98" spans="1:54" s="7" customFormat="1">
      <c r="A98" s="5" t="s">
        <v>89</v>
      </c>
      <c r="B98" s="20" t="s">
        <v>25</v>
      </c>
      <c r="C98" s="9" t="s">
        <v>26</v>
      </c>
      <c r="D98" s="10" t="s">
        <v>26</v>
      </c>
      <c r="E98" s="9" t="s">
        <v>26</v>
      </c>
      <c r="F98" s="10" t="s">
        <v>26</v>
      </c>
      <c r="G98" s="9">
        <v>2763257259.71</v>
      </c>
      <c r="H98" s="10">
        <v>1.5557480549979999E-2</v>
      </c>
      <c r="I98" s="9" t="s">
        <v>26</v>
      </c>
      <c r="J98" s="10" t="s">
        <v>26</v>
      </c>
      <c r="K98" s="2" t="s">
        <v>26</v>
      </c>
      <c r="L98" s="1" t="s">
        <v>26</v>
      </c>
      <c r="M98" s="1" t="s">
        <v>26</v>
      </c>
      <c r="N98" s="1" t="s">
        <v>26</v>
      </c>
      <c r="O98" s="9">
        <v>3507561893.52</v>
      </c>
      <c r="P98" s="10">
        <v>1.36330475759E-2</v>
      </c>
      <c r="Q98" s="1" t="s">
        <v>26</v>
      </c>
      <c r="R98" s="1" t="s">
        <v>26</v>
      </c>
      <c r="S98" s="9">
        <v>1278311445.6300001</v>
      </c>
      <c r="T98" s="10">
        <v>1.0027124699670001E-2</v>
      </c>
      <c r="U98" s="1" t="s">
        <v>26</v>
      </c>
      <c r="V98" s="1" t="s">
        <v>26</v>
      </c>
      <c r="W98" s="2" t="s">
        <v>26</v>
      </c>
      <c r="X98" s="1" t="s">
        <v>26</v>
      </c>
      <c r="Y98" s="1" t="s">
        <v>26</v>
      </c>
      <c r="Z98" s="1" t="s">
        <v>26</v>
      </c>
      <c r="AA98" s="9">
        <v>1954725270.3499999</v>
      </c>
      <c r="AB98" s="10">
        <v>1.233127750467E-2</v>
      </c>
      <c r="AC98" s="1" t="s">
        <v>26</v>
      </c>
      <c r="AD98" s="1" t="s">
        <v>26</v>
      </c>
      <c r="AE98" s="9">
        <v>9503855869.2099991</v>
      </c>
      <c r="AF98" s="10">
        <v>1.2831861752469999E-2</v>
      </c>
      <c r="AG98" s="1" t="s">
        <v>26</v>
      </c>
      <c r="AH98" s="1" t="s">
        <v>26</v>
      </c>
      <c r="AI98" s="2" t="s">
        <v>26</v>
      </c>
      <c r="AJ98" s="1" t="s">
        <v>26</v>
      </c>
      <c r="AK98" s="1" t="s">
        <v>26</v>
      </c>
      <c r="AL98" s="1" t="s">
        <v>26</v>
      </c>
      <c r="AM98" s="2" t="s">
        <v>26</v>
      </c>
      <c r="AN98" s="1" t="s">
        <v>26</v>
      </c>
      <c r="AO98" s="1" t="s">
        <v>26</v>
      </c>
      <c r="AP98" s="1" t="s">
        <v>26</v>
      </c>
      <c r="AQ98" s="2" t="s">
        <v>26</v>
      </c>
      <c r="AR98" s="1" t="s">
        <v>26</v>
      </c>
      <c r="AS98" s="1" t="s">
        <v>26</v>
      </c>
      <c r="AT98" s="1" t="s">
        <v>26</v>
      </c>
      <c r="AU98" s="9">
        <v>320669102.89999998</v>
      </c>
      <c r="AV98" s="10">
        <v>5.9931483285499999E-3</v>
      </c>
      <c r="AW98" s="1" t="s">
        <v>26</v>
      </c>
      <c r="AX98" s="1" t="s">
        <v>26</v>
      </c>
      <c r="AY98" s="9">
        <v>9824524972.1100006</v>
      </c>
      <c r="AZ98" s="10">
        <v>1.171975526931E-2</v>
      </c>
      <c r="BA98" s="1" t="s">
        <v>26</v>
      </c>
      <c r="BB98" s="1" t="s">
        <v>26</v>
      </c>
    </row>
    <row r="99" spans="1:54" s="28" customFormat="1">
      <c r="A99" s="3" t="s">
        <v>88</v>
      </c>
      <c r="B99" s="23" t="s">
        <v>47</v>
      </c>
      <c r="C99" s="9" t="s">
        <v>26</v>
      </c>
      <c r="D99" s="10" t="s">
        <v>26</v>
      </c>
      <c r="E99" s="9" t="s">
        <v>26</v>
      </c>
      <c r="F99" s="10" t="s">
        <v>26</v>
      </c>
      <c r="G99" s="2">
        <v>2763257259.71</v>
      </c>
      <c r="H99" s="1">
        <v>1</v>
      </c>
      <c r="I99" s="9" t="s">
        <v>26</v>
      </c>
      <c r="J99" s="10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3507561893.52</v>
      </c>
      <c r="P99" s="1">
        <v>1</v>
      </c>
      <c r="Q99" s="1" t="s">
        <v>26</v>
      </c>
      <c r="R99" s="1" t="s">
        <v>26</v>
      </c>
      <c r="S99" s="2">
        <v>1278311445.6300001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1954725270.3499999</v>
      </c>
      <c r="AB99" s="1">
        <v>1</v>
      </c>
      <c r="AC99" s="1" t="s">
        <v>26</v>
      </c>
      <c r="AD99" s="1" t="s">
        <v>26</v>
      </c>
      <c r="AE99" s="2">
        <v>9503855869.2099991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>
        <v>320669102.89999998</v>
      </c>
      <c r="AV99" s="1">
        <v>1</v>
      </c>
      <c r="AW99" s="1" t="s">
        <v>26</v>
      </c>
      <c r="AX99" s="1" t="s">
        <v>26</v>
      </c>
      <c r="AY99" s="2">
        <v>9824524972.1100006</v>
      </c>
      <c r="AZ99" s="1">
        <v>1</v>
      </c>
      <c r="BA99" s="1" t="s">
        <v>26</v>
      </c>
      <c r="BB99" s="1" t="s">
        <v>26</v>
      </c>
    </row>
    <row r="100" spans="1:54" s="7" customFormat="1">
      <c r="A100" s="5" t="s">
        <v>90</v>
      </c>
      <c r="B100" s="20" t="s">
        <v>25</v>
      </c>
      <c r="C100" s="9" t="s">
        <v>26</v>
      </c>
      <c r="D100" s="10" t="s">
        <v>26</v>
      </c>
      <c r="E100" s="9" t="s">
        <v>26</v>
      </c>
      <c r="F100" s="10" t="s">
        <v>26</v>
      </c>
      <c r="G100" s="9">
        <v>1986611862.8399999</v>
      </c>
      <c r="H100" s="10">
        <v>1.118487079257E-2</v>
      </c>
      <c r="I100" s="9" t="s">
        <v>26</v>
      </c>
      <c r="J100" s="10" t="s">
        <v>26</v>
      </c>
      <c r="K100" s="2" t="s">
        <v>26</v>
      </c>
      <c r="L100" s="1" t="s">
        <v>26</v>
      </c>
      <c r="M100" s="1" t="s">
        <v>26</v>
      </c>
      <c r="N100" s="1" t="s">
        <v>26</v>
      </c>
      <c r="O100" s="9">
        <v>1293367098.2</v>
      </c>
      <c r="P100" s="10">
        <v>5.0270061421999997E-3</v>
      </c>
      <c r="Q100" s="1" t="s">
        <v>26</v>
      </c>
      <c r="R100" s="1" t="s">
        <v>26</v>
      </c>
      <c r="S100" s="9">
        <v>1293367098.2</v>
      </c>
      <c r="T100" s="10">
        <v>1.014522182403E-2</v>
      </c>
      <c r="U100" s="1" t="s">
        <v>26</v>
      </c>
      <c r="V100" s="1" t="s">
        <v>26</v>
      </c>
      <c r="W100" s="2" t="s">
        <v>26</v>
      </c>
      <c r="X100" s="1" t="s">
        <v>26</v>
      </c>
      <c r="Y100" s="1" t="s">
        <v>26</v>
      </c>
      <c r="Z100" s="1" t="s">
        <v>26</v>
      </c>
      <c r="AA100" s="9">
        <v>1240856394.01</v>
      </c>
      <c r="AB100" s="10">
        <v>7.8278747249499996E-3</v>
      </c>
      <c r="AC100" s="1" t="s">
        <v>26</v>
      </c>
      <c r="AD100" s="1" t="s">
        <v>26</v>
      </c>
      <c r="AE100" s="9">
        <v>5814202453.25</v>
      </c>
      <c r="AF100" s="10">
        <v>7.85018660928E-3</v>
      </c>
      <c r="AG100" s="1" t="s">
        <v>26</v>
      </c>
      <c r="AH100" s="1" t="s">
        <v>26</v>
      </c>
      <c r="AI100" s="2" t="s">
        <v>26</v>
      </c>
      <c r="AJ100" s="1" t="s">
        <v>26</v>
      </c>
      <c r="AK100" s="1" t="s">
        <v>26</v>
      </c>
      <c r="AL100" s="1" t="s">
        <v>26</v>
      </c>
      <c r="AM100" s="2" t="s">
        <v>26</v>
      </c>
      <c r="AN100" s="1" t="s">
        <v>26</v>
      </c>
      <c r="AO100" s="1" t="s">
        <v>26</v>
      </c>
      <c r="AP100" s="1" t="s">
        <v>26</v>
      </c>
      <c r="AQ100" s="2" t="s">
        <v>26</v>
      </c>
      <c r="AR100" s="1" t="s">
        <v>26</v>
      </c>
      <c r="AS100" s="1" t="s">
        <v>26</v>
      </c>
      <c r="AT100" s="1" t="s">
        <v>26</v>
      </c>
      <c r="AU100" s="2" t="s">
        <v>26</v>
      </c>
      <c r="AV100" s="1" t="s">
        <v>26</v>
      </c>
      <c r="AW100" s="1" t="s">
        <v>26</v>
      </c>
      <c r="AX100" s="1" t="s">
        <v>26</v>
      </c>
      <c r="AY100" s="9">
        <v>5814202453.25</v>
      </c>
      <c r="AZ100" s="10">
        <v>6.9358091136000003E-3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9" t="s">
        <v>26</v>
      </c>
      <c r="D101" s="10" t="s">
        <v>26</v>
      </c>
      <c r="E101" s="9" t="s">
        <v>26</v>
      </c>
      <c r="F101" s="10" t="s">
        <v>26</v>
      </c>
      <c r="G101" s="2">
        <v>1986611862.8399999</v>
      </c>
      <c r="H101" s="1">
        <v>1</v>
      </c>
      <c r="I101" s="9" t="s">
        <v>26</v>
      </c>
      <c r="J101" s="10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1293367098.2</v>
      </c>
      <c r="P101" s="1">
        <v>1</v>
      </c>
      <c r="Q101" s="1" t="s">
        <v>26</v>
      </c>
      <c r="R101" s="1" t="s">
        <v>26</v>
      </c>
      <c r="S101" s="2">
        <v>1293367098.2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1240856394.01</v>
      </c>
      <c r="AB101" s="1">
        <v>1</v>
      </c>
      <c r="AC101" s="1" t="s">
        <v>26</v>
      </c>
      <c r="AD101" s="1" t="s">
        <v>26</v>
      </c>
      <c r="AE101" s="2">
        <v>5814202453.25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" t="s">
        <v>26</v>
      </c>
      <c r="AX101" s="1" t="s">
        <v>26</v>
      </c>
      <c r="AY101" s="2">
        <v>5814202453.25</v>
      </c>
      <c r="AZ101" s="1">
        <v>1</v>
      </c>
      <c r="BA101" s="1" t="s">
        <v>26</v>
      </c>
      <c r="BB101" s="1" t="s">
        <v>26</v>
      </c>
    </row>
    <row r="102" spans="1:54" s="28" customFormat="1">
      <c r="A102" s="5" t="s">
        <v>91</v>
      </c>
      <c r="B102" s="20" t="s">
        <v>25</v>
      </c>
      <c r="C102" s="9" t="s">
        <v>26</v>
      </c>
      <c r="D102" s="10" t="s">
        <v>26</v>
      </c>
      <c r="E102" s="9" t="s">
        <v>26</v>
      </c>
      <c r="F102" s="10" t="s">
        <v>26</v>
      </c>
      <c r="G102" s="9">
        <v>491381279.60000002</v>
      </c>
      <c r="H102" s="10">
        <v>2.7665374525400002E-3</v>
      </c>
      <c r="I102" s="9" t="s">
        <v>26</v>
      </c>
      <c r="J102" s="10" t="s">
        <v>26</v>
      </c>
      <c r="K102" s="2" t="s">
        <v>26</v>
      </c>
      <c r="L102" s="1" t="s">
        <v>26</v>
      </c>
      <c r="M102" s="1" t="s">
        <v>26</v>
      </c>
      <c r="N102" s="1" t="s">
        <v>26</v>
      </c>
      <c r="O102" s="9">
        <v>4249594552.6500001</v>
      </c>
      <c r="P102" s="10">
        <v>1.6517149653599999E-2</v>
      </c>
      <c r="Q102" s="1" t="s">
        <v>26</v>
      </c>
      <c r="R102" s="1" t="s">
        <v>26</v>
      </c>
      <c r="S102" s="9">
        <v>957730158.02999997</v>
      </c>
      <c r="T102" s="10">
        <v>7.5124726106699999E-3</v>
      </c>
      <c r="U102" s="1" t="s">
        <v>26</v>
      </c>
      <c r="V102" s="1" t="s">
        <v>26</v>
      </c>
      <c r="W102" s="2" t="s">
        <v>26</v>
      </c>
      <c r="X102" s="1" t="s">
        <v>26</v>
      </c>
      <c r="Y102" s="1" t="s">
        <v>26</v>
      </c>
      <c r="Z102" s="1" t="s">
        <v>26</v>
      </c>
      <c r="AA102" s="9">
        <v>1316511650.6400001</v>
      </c>
      <c r="AB102" s="10">
        <v>8.30514177538E-3</v>
      </c>
      <c r="AC102" s="1" t="s">
        <v>26</v>
      </c>
      <c r="AD102" s="1" t="s">
        <v>26</v>
      </c>
      <c r="AE102" s="9">
        <v>7015217640.9200001</v>
      </c>
      <c r="AF102" s="10">
        <v>9.4717664251800001E-3</v>
      </c>
      <c r="AG102" s="1" t="s">
        <v>26</v>
      </c>
      <c r="AH102" s="1" t="s">
        <v>26</v>
      </c>
      <c r="AI102" s="2" t="s">
        <v>26</v>
      </c>
      <c r="AJ102" s="1" t="s">
        <v>26</v>
      </c>
      <c r="AK102" s="1" t="s">
        <v>26</v>
      </c>
      <c r="AL102" s="1" t="s">
        <v>26</v>
      </c>
      <c r="AM102" s="2" t="s">
        <v>26</v>
      </c>
      <c r="AN102" s="1" t="s">
        <v>26</v>
      </c>
      <c r="AO102" s="1" t="s">
        <v>26</v>
      </c>
      <c r="AP102" s="1" t="s">
        <v>26</v>
      </c>
      <c r="AQ102" s="2" t="s">
        <v>26</v>
      </c>
      <c r="AR102" s="1" t="s">
        <v>26</v>
      </c>
      <c r="AS102" s="1" t="s">
        <v>26</v>
      </c>
      <c r="AT102" s="1" t="s">
        <v>26</v>
      </c>
      <c r="AU102" s="9">
        <v>365792515.82999998</v>
      </c>
      <c r="AV102" s="10">
        <v>6.8364827949399997E-3</v>
      </c>
      <c r="AW102" s="1" t="s">
        <v>26</v>
      </c>
      <c r="AX102" s="1" t="s">
        <v>26</v>
      </c>
      <c r="AY102" s="9">
        <v>7381010156.75</v>
      </c>
      <c r="AZ102" s="10">
        <v>8.8048666905500006E-3</v>
      </c>
      <c r="BA102" s="1" t="s">
        <v>26</v>
      </c>
      <c r="BB102" s="1" t="s">
        <v>26</v>
      </c>
    </row>
    <row r="103" spans="1:54" s="28" customFormat="1">
      <c r="A103" s="3" t="s">
        <v>88</v>
      </c>
      <c r="B103" s="23" t="s">
        <v>47</v>
      </c>
      <c r="C103" s="9" t="s">
        <v>26</v>
      </c>
      <c r="D103" s="10" t="s">
        <v>26</v>
      </c>
      <c r="E103" s="9" t="s">
        <v>26</v>
      </c>
      <c r="F103" s="10" t="s">
        <v>26</v>
      </c>
      <c r="G103" s="2">
        <v>491381279.60000002</v>
      </c>
      <c r="H103" s="1">
        <v>1</v>
      </c>
      <c r="I103" s="9" t="s">
        <v>26</v>
      </c>
      <c r="J103" s="10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4249594552.6500001</v>
      </c>
      <c r="P103" s="1">
        <v>1</v>
      </c>
      <c r="Q103" s="1" t="s">
        <v>26</v>
      </c>
      <c r="R103" s="1" t="s">
        <v>26</v>
      </c>
      <c r="S103" s="2">
        <v>957730158.02999997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1316511650.6400001</v>
      </c>
      <c r="AB103" s="1">
        <v>1</v>
      </c>
      <c r="AC103" s="1" t="s">
        <v>26</v>
      </c>
      <c r="AD103" s="1" t="s">
        <v>26</v>
      </c>
      <c r="AE103" s="2">
        <v>7015217640.9200001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>
        <v>365792515.82999998</v>
      </c>
      <c r="AV103" s="1">
        <v>1</v>
      </c>
      <c r="AW103" s="1" t="s">
        <v>26</v>
      </c>
      <c r="AX103" s="1" t="s">
        <v>26</v>
      </c>
      <c r="AY103" s="2">
        <v>7381010156.75</v>
      </c>
      <c r="AZ103" s="1">
        <v>1</v>
      </c>
      <c r="BA103" s="1" t="s">
        <v>26</v>
      </c>
      <c r="BB103" s="1" t="s">
        <v>26</v>
      </c>
    </row>
    <row r="104" spans="1:54" s="7" customFormat="1">
      <c r="A104" s="5" t="s">
        <v>92</v>
      </c>
      <c r="B104" s="20" t="s">
        <v>25</v>
      </c>
      <c r="C104" s="9" t="s">
        <v>26</v>
      </c>
      <c r="D104" s="10" t="s">
        <v>26</v>
      </c>
      <c r="E104" s="9" t="s">
        <v>26</v>
      </c>
      <c r="F104" s="10" t="s">
        <v>26</v>
      </c>
      <c r="G104" s="9" t="s">
        <v>26</v>
      </c>
      <c r="H104" s="10" t="s">
        <v>26</v>
      </c>
      <c r="I104" s="9" t="s">
        <v>26</v>
      </c>
      <c r="J104" s="10" t="s">
        <v>26</v>
      </c>
      <c r="K104" s="2" t="s">
        <v>26</v>
      </c>
      <c r="L104" s="1" t="s">
        <v>26</v>
      </c>
      <c r="M104" s="1" t="s">
        <v>26</v>
      </c>
      <c r="N104" s="1" t="s">
        <v>26</v>
      </c>
      <c r="O104" s="9">
        <v>2428808153.8200002</v>
      </c>
      <c r="P104" s="10">
        <v>9.4401918252500008E-3</v>
      </c>
      <c r="Q104" s="1" t="s">
        <v>26</v>
      </c>
      <c r="R104" s="1" t="s">
        <v>26</v>
      </c>
      <c r="S104" s="2" t="s">
        <v>26</v>
      </c>
      <c r="T104" s="1" t="s">
        <v>26</v>
      </c>
      <c r="U104" s="1" t="s">
        <v>26</v>
      </c>
      <c r="V104" s="1" t="s">
        <v>26</v>
      </c>
      <c r="W104" s="2" t="s">
        <v>26</v>
      </c>
      <c r="X104" s="1" t="s">
        <v>26</v>
      </c>
      <c r="Y104" s="1" t="s">
        <v>26</v>
      </c>
      <c r="Z104" s="1" t="s">
        <v>26</v>
      </c>
      <c r="AA104" s="2" t="s">
        <v>26</v>
      </c>
      <c r="AB104" s="1" t="s">
        <v>26</v>
      </c>
      <c r="AC104" s="1" t="s">
        <v>26</v>
      </c>
      <c r="AD104" s="1" t="s">
        <v>26</v>
      </c>
      <c r="AE104" s="9">
        <v>2428808153.8200002</v>
      </c>
      <c r="AF104" s="10">
        <v>3.2793142995799999E-3</v>
      </c>
      <c r="AG104" s="1" t="s">
        <v>26</v>
      </c>
      <c r="AH104" s="1" t="s">
        <v>26</v>
      </c>
      <c r="AI104" s="2" t="s">
        <v>26</v>
      </c>
      <c r="AJ104" s="1" t="s">
        <v>26</v>
      </c>
      <c r="AK104" s="1" t="s">
        <v>26</v>
      </c>
      <c r="AL104" s="1" t="s">
        <v>26</v>
      </c>
      <c r="AM104" s="2" t="s">
        <v>26</v>
      </c>
      <c r="AN104" s="1" t="s">
        <v>26</v>
      </c>
      <c r="AO104" s="1" t="s">
        <v>26</v>
      </c>
      <c r="AP104" s="1" t="s">
        <v>26</v>
      </c>
      <c r="AQ104" s="2" t="s">
        <v>26</v>
      </c>
      <c r="AR104" s="1" t="s">
        <v>26</v>
      </c>
      <c r="AS104" s="1" t="s">
        <v>26</v>
      </c>
      <c r="AT104" s="1" t="s">
        <v>26</v>
      </c>
      <c r="AU104" s="2" t="s">
        <v>26</v>
      </c>
      <c r="AV104" s="1" t="s">
        <v>26</v>
      </c>
      <c r="AW104" s="1" t="s">
        <v>26</v>
      </c>
      <c r="AX104" s="1" t="s">
        <v>26</v>
      </c>
      <c r="AY104" s="9">
        <v>2428808153.8200002</v>
      </c>
      <c r="AZ104" s="10">
        <v>2.8973448833099998E-3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9" t="s">
        <v>26</v>
      </c>
      <c r="D105" s="10" t="s">
        <v>26</v>
      </c>
      <c r="E105" s="9" t="s">
        <v>26</v>
      </c>
      <c r="F105" s="10" t="s">
        <v>26</v>
      </c>
      <c r="G105" s="9" t="s">
        <v>26</v>
      </c>
      <c r="H105" s="10" t="s">
        <v>26</v>
      </c>
      <c r="I105" s="9" t="s">
        <v>26</v>
      </c>
      <c r="J105" s="10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2428808153.8200002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 t="s">
        <v>26</v>
      </c>
      <c r="AB105" s="1" t="s">
        <v>26</v>
      </c>
      <c r="AC105" s="1" t="s">
        <v>26</v>
      </c>
      <c r="AD105" s="1" t="s">
        <v>26</v>
      </c>
      <c r="AE105" s="2">
        <v>2428808153.8200002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2428808153.8200002</v>
      </c>
      <c r="AZ105" s="1">
        <v>1</v>
      </c>
      <c r="BA105" s="1" t="s">
        <v>26</v>
      </c>
      <c r="BB105" s="1" t="s">
        <v>26</v>
      </c>
    </row>
    <row r="106" spans="1:54" s="28" customFormat="1">
      <c r="A106" s="5" t="s">
        <v>93</v>
      </c>
      <c r="B106" s="20" t="s">
        <v>25</v>
      </c>
      <c r="C106" s="9" t="s">
        <v>26</v>
      </c>
      <c r="D106" s="10" t="s">
        <v>26</v>
      </c>
      <c r="E106" s="9" t="s">
        <v>26</v>
      </c>
      <c r="F106" s="10" t="s">
        <v>26</v>
      </c>
      <c r="G106" s="9" t="s">
        <v>26</v>
      </c>
      <c r="H106" s="10" t="s">
        <v>26</v>
      </c>
      <c r="I106" s="9" t="s">
        <v>26</v>
      </c>
      <c r="J106" s="10" t="s">
        <v>26</v>
      </c>
      <c r="K106" s="2" t="s">
        <v>26</v>
      </c>
      <c r="L106" s="1" t="s">
        <v>26</v>
      </c>
      <c r="M106" s="1" t="s">
        <v>26</v>
      </c>
      <c r="N106" s="1" t="s">
        <v>26</v>
      </c>
      <c r="O106" s="9">
        <v>323909336.99000001</v>
      </c>
      <c r="P106" s="10">
        <v>1.2589575139399999E-3</v>
      </c>
      <c r="Q106" s="1" t="s">
        <v>26</v>
      </c>
      <c r="R106" s="1" t="s">
        <v>26</v>
      </c>
      <c r="S106" s="2" t="s">
        <v>26</v>
      </c>
      <c r="T106" s="1" t="s">
        <v>26</v>
      </c>
      <c r="U106" s="1" t="s">
        <v>26</v>
      </c>
      <c r="V106" s="1" t="s">
        <v>26</v>
      </c>
      <c r="W106" s="2" t="s">
        <v>26</v>
      </c>
      <c r="X106" s="1" t="s">
        <v>26</v>
      </c>
      <c r="Y106" s="1" t="s">
        <v>26</v>
      </c>
      <c r="Z106" s="1" t="s">
        <v>26</v>
      </c>
      <c r="AA106" s="9">
        <v>323909336.99000001</v>
      </c>
      <c r="AB106" s="10">
        <v>2.0433643445299998E-3</v>
      </c>
      <c r="AC106" s="1" t="s">
        <v>26</v>
      </c>
      <c r="AD106" s="1" t="s">
        <v>26</v>
      </c>
      <c r="AE106" s="9">
        <v>647818673.98000002</v>
      </c>
      <c r="AF106" s="10">
        <v>8.7466811151000001E-4</v>
      </c>
      <c r="AG106" s="1" t="s">
        <v>26</v>
      </c>
      <c r="AH106" s="1" t="s">
        <v>26</v>
      </c>
      <c r="AI106" s="2" t="s">
        <v>26</v>
      </c>
      <c r="AJ106" s="1" t="s">
        <v>26</v>
      </c>
      <c r="AK106" s="1" t="s">
        <v>26</v>
      </c>
      <c r="AL106" s="1" t="s">
        <v>26</v>
      </c>
      <c r="AM106" s="2" t="s">
        <v>26</v>
      </c>
      <c r="AN106" s="1" t="s">
        <v>26</v>
      </c>
      <c r="AO106" s="1" t="s">
        <v>26</v>
      </c>
      <c r="AP106" s="1" t="s">
        <v>26</v>
      </c>
      <c r="AQ106" s="2" t="s">
        <v>26</v>
      </c>
      <c r="AR106" s="1" t="s">
        <v>26</v>
      </c>
      <c r="AS106" s="1" t="s">
        <v>26</v>
      </c>
      <c r="AT106" s="1" t="s">
        <v>26</v>
      </c>
      <c r="AU106" s="2" t="s">
        <v>26</v>
      </c>
      <c r="AV106" s="1" t="s">
        <v>26</v>
      </c>
      <c r="AW106" s="1" t="s">
        <v>26</v>
      </c>
      <c r="AX106" s="1" t="s">
        <v>26</v>
      </c>
      <c r="AY106" s="9">
        <v>647818673.98000002</v>
      </c>
      <c r="AZ106" s="10">
        <v>7.7278813373E-4</v>
      </c>
      <c r="BA106" s="1" t="s">
        <v>26</v>
      </c>
      <c r="BB106" s="1" t="s">
        <v>26</v>
      </c>
    </row>
    <row r="107" spans="1:54" s="7" customFormat="1">
      <c r="A107" s="3" t="s">
        <v>88</v>
      </c>
      <c r="B107" s="23" t="s">
        <v>47</v>
      </c>
      <c r="C107" s="9" t="s">
        <v>26</v>
      </c>
      <c r="D107" s="10" t="s">
        <v>26</v>
      </c>
      <c r="E107" s="9" t="s">
        <v>26</v>
      </c>
      <c r="F107" s="10" t="s">
        <v>26</v>
      </c>
      <c r="G107" s="9" t="s">
        <v>26</v>
      </c>
      <c r="H107" s="10" t="s">
        <v>26</v>
      </c>
      <c r="I107" s="9" t="s">
        <v>26</v>
      </c>
      <c r="J107" s="10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323909336.99000001</v>
      </c>
      <c r="P107" s="1">
        <v>1</v>
      </c>
      <c r="Q107" s="1" t="s">
        <v>26</v>
      </c>
      <c r="R107" s="1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>
        <v>323909336.99000001</v>
      </c>
      <c r="AB107" s="1">
        <v>1</v>
      </c>
      <c r="AC107" s="1" t="s">
        <v>26</v>
      </c>
      <c r="AD107" s="1" t="s">
        <v>26</v>
      </c>
      <c r="AE107" s="2">
        <v>647818673.98000002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647818673.98000002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94</v>
      </c>
      <c r="B108" s="20" t="s">
        <v>25</v>
      </c>
      <c r="C108" s="9" t="s">
        <v>26</v>
      </c>
      <c r="D108" s="10" t="s">
        <v>26</v>
      </c>
      <c r="E108" s="9" t="s">
        <v>26</v>
      </c>
      <c r="F108" s="10" t="s">
        <v>26</v>
      </c>
      <c r="G108" s="9" t="s">
        <v>26</v>
      </c>
      <c r="H108" s="10" t="s">
        <v>26</v>
      </c>
      <c r="I108" s="9" t="s">
        <v>26</v>
      </c>
      <c r="J108" s="10" t="s">
        <v>26</v>
      </c>
      <c r="K108" s="2" t="s">
        <v>26</v>
      </c>
      <c r="L108" s="1" t="s">
        <v>26</v>
      </c>
      <c r="M108" s="1" t="s">
        <v>26</v>
      </c>
      <c r="N108" s="1" t="s">
        <v>26</v>
      </c>
      <c r="O108" s="9">
        <v>6133720326.04</v>
      </c>
      <c r="P108" s="10">
        <v>2.3840292362800001E-2</v>
      </c>
      <c r="Q108" s="1" t="s">
        <v>26</v>
      </c>
      <c r="R108" s="1" t="s">
        <v>26</v>
      </c>
      <c r="S108" s="2" t="s">
        <v>26</v>
      </c>
      <c r="T108" s="1" t="s">
        <v>26</v>
      </c>
      <c r="U108" s="1" t="s">
        <v>26</v>
      </c>
      <c r="V108" s="1" t="s">
        <v>26</v>
      </c>
      <c r="W108" s="2" t="s">
        <v>26</v>
      </c>
      <c r="X108" s="1" t="s">
        <v>26</v>
      </c>
      <c r="Y108" s="1" t="s">
        <v>26</v>
      </c>
      <c r="Z108" s="1" t="s">
        <v>26</v>
      </c>
      <c r="AA108" s="2" t="s">
        <v>26</v>
      </c>
      <c r="AB108" s="1" t="s">
        <v>26</v>
      </c>
      <c r="AC108" s="1" t="s">
        <v>26</v>
      </c>
      <c r="AD108" s="1" t="s">
        <v>26</v>
      </c>
      <c r="AE108" s="9">
        <v>6133720326.04</v>
      </c>
      <c r="AF108" s="10">
        <v>8.2815914230200006E-3</v>
      </c>
      <c r="AG108" s="1" t="s">
        <v>26</v>
      </c>
      <c r="AH108" s="1" t="s">
        <v>26</v>
      </c>
      <c r="AI108" s="2" t="s">
        <v>26</v>
      </c>
      <c r="AJ108" s="1" t="s">
        <v>26</v>
      </c>
      <c r="AK108" s="1" t="s">
        <v>26</v>
      </c>
      <c r="AL108" s="1" t="s">
        <v>26</v>
      </c>
      <c r="AM108" s="2" t="s">
        <v>26</v>
      </c>
      <c r="AN108" s="1" t="s">
        <v>26</v>
      </c>
      <c r="AO108" s="1" t="s">
        <v>26</v>
      </c>
      <c r="AP108" s="1" t="s">
        <v>26</v>
      </c>
      <c r="AQ108" s="2" t="s">
        <v>26</v>
      </c>
      <c r="AR108" s="1" t="s">
        <v>26</v>
      </c>
      <c r="AS108" s="1" t="s">
        <v>26</v>
      </c>
      <c r="AT108" s="1" t="s">
        <v>26</v>
      </c>
      <c r="AU108" s="2" t="s">
        <v>26</v>
      </c>
      <c r="AV108" s="1" t="s">
        <v>26</v>
      </c>
      <c r="AW108" s="1" t="s">
        <v>26</v>
      </c>
      <c r="AX108" s="1" t="s">
        <v>26</v>
      </c>
      <c r="AY108" s="9">
        <v>6133720326.04</v>
      </c>
      <c r="AZ108" s="10">
        <v>7.3169645673099998E-3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9" t="s">
        <v>26</v>
      </c>
      <c r="D109" s="10" t="s">
        <v>26</v>
      </c>
      <c r="E109" s="9" t="s">
        <v>26</v>
      </c>
      <c r="F109" s="10" t="s">
        <v>26</v>
      </c>
      <c r="G109" s="9" t="s">
        <v>26</v>
      </c>
      <c r="H109" s="10" t="s">
        <v>26</v>
      </c>
      <c r="I109" s="9" t="s">
        <v>26</v>
      </c>
      <c r="J109" s="10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6133720326.04</v>
      </c>
      <c r="P109" s="1">
        <v>1</v>
      </c>
      <c r="Q109" s="1" t="s">
        <v>26</v>
      </c>
      <c r="R109" s="1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6133720326.04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6133720326.04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95</v>
      </c>
      <c r="B110" s="20" t="s">
        <v>25</v>
      </c>
      <c r="C110" s="9" t="s">
        <v>26</v>
      </c>
      <c r="D110" s="10" t="s">
        <v>26</v>
      </c>
      <c r="E110" s="9" t="s">
        <v>26</v>
      </c>
      <c r="F110" s="10" t="s">
        <v>26</v>
      </c>
      <c r="G110" s="9" t="s">
        <v>26</v>
      </c>
      <c r="H110" s="10" t="s">
        <v>26</v>
      </c>
      <c r="I110" s="9" t="s">
        <v>26</v>
      </c>
      <c r="J110" s="10" t="s">
        <v>26</v>
      </c>
      <c r="K110" s="2" t="s">
        <v>26</v>
      </c>
      <c r="L110" s="1" t="s">
        <v>26</v>
      </c>
      <c r="M110" s="1" t="s">
        <v>26</v>
      </c>
      <c r="N110" s="1" t="s">
        <v>26</v>
      </c>
      <c r="O110" s="2" t="s">
        <v>26</v>
      </c>
      <c r="P110" s="1" t="s">
        <v>26</v>
      </c>
      <c r="Q110" s="1" t="s">
        <v>26</v>
      </c>
      <c r="R110" s="1" t="s">
        <v>26</v>
      </c>
      <c r="S110" s="9">
        <v>136475311.87</v>
      </c>
      <c r="T110" s="10">
        <v>1.0705176545400001E-3</v>
      </c>
      <c r="U110" s="1" t="s">
        <v>26</v>
      </c>
      <c r="V110" s="1" t="s">
        <v>26</v>
      </c>
      <c r="W110" s="2" t="s">
        <v>26</v>
      </c>
      <c r="X110" s="1" t="s">
        <v>26</v>
      </c>
      <c r="Y110" s="1" t="s">
        <v>26</v>
      </c>
      <c r="Z110" s="1" t="s">
        <v>26</v>
      </c>
      <c r="AA110" s="2" t="s">
        <v>26</v>
      </c>
      <c r="AB110" s="1" t="s">
        <v>26</v>
      </c>
      <c r="AC110" s="1" t="s">
        <v>26</v>
      </c>
      <c r="AD110" s="1" t="s">
        <v>26</v>
      </c>
      <c r="AE110" s="9">
        <v>136475311.87</v>
      </c>
      <c r="AF110" s="10">
        <v>1.8426545589999999E-4</v>
      </c>
      <c r="AG110" s="1" t="s">
        <v>26</v>
      </c>
      <c r="AH110" s="1" t="s">
        <v>26</v>
      </c>
      <c r="AI110" s="2" t="s">
        <v>26</v>
      </c>
      <c r="AJ110" s="1" t="s">
        <v>26</v>
      </c>
      <c r="AK110" s="1" t="s">
        <v>26</v>
      </c>
      <c r="AL110" s="1" t="s">
        <v>26</v>
      </c>
      <c r="AM110" s="2" t="s">
        <v>26</v>
      </c>
      <c r="AN110" s="1" t="s">
        <v>26</v>
      </c>
      <c r="AO110" s="1" t="s">
        <v>26</v>
      </c>
      <c r="AP110" s="1" t="s">
        <v>26</v>
      </c>
      <c r="AQ110" s="2" t="s">
        <v>26</v>
      </c>
      <c r="AR110" s="1" t="s">
        <v>26</v>
      </c>
      <c r="AS110" s="1" t="s">
        <v>26</v>
      </c>
      <c r="AT110" s="1" t="s">
        <v>26</v>
      </c>
      <c r="AU110" s="9">
        <v>174827863.03</v>
      </c>
      <c r="AV110" s="10">
        <v>3.26744705251E-3</v>
      </c>
      <c r="AW110" s="1" t="s">
        <v>26</v>
      </c>
      <c r="AX110" s="1" t="s">
        <v>26</v>
      </c>
      <c r="AY110" s="9">
        <v>311303174.89999998</v>
      </c>
      <c r="AZ110" s="10">
        <v>3.7135607419E-4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9" t="s">
        <v>26</v>
      </c>
      <c r="D111" s="10" t="s">
        <v>26</v>
      </c>
      <c r="E111" s="9" t="s">
        <v>26</v>
      </c>
      <c r="F111" s="10" t="s">
        <v>26</v>
      </c>
      <c r="G111" s="9" t="s">
        <v>26</v>
      </c>
      <c r="H111" s="10" t="s">
        <v>26</v>
      </c>
      <c r="I111" s="9" t="s">
        <v>26</v>
      </c>
      <c r="J111" s="10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>
        <v>136475311.87</v>
      </c>
      <c r="T111" s="1">
        <v>1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136475311.87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>
        <v>174827863.03</v>
      </c>
      <c r="AV111" s="1">
        <v>1</v>
      </c>
      <c r="AW111" s="1" t="s">
        <v>26</v>
      </c>
      <c r="AX111" s="1" t="s">
        <v>26</v>
      </c>
      <c r="AY111" s="2">
        <v>311303174.89999998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96</v>
      </c>
      <c r="B112" s="20" t="s">
        <v>25</v>
      </c>
      <c r="C112" s="9">
        <v>57911546.75</v>
      </c>
      <c r="D112" s="10">
        <v>7.2024810964699997E-3</v>
      </c>
      <c r="E112" s="9" t="s">
        <v>26</v>
      </c>
      <c r="F112" s="10" t="s">
        <v>26</v>
      </c>
      <c r="G112" s="9" t="s">
        <v>26</v>
      </c>
      <c r="H112" s="10" t="s">
        <v>26</v>
      </c>
      <c r="I112" s="9" t="s">
        <v>26</v>
      </c>
      <c r="J112" s="10" t="s">
        <v>26</v>
      </c>
      <c r="K112" s="9">
        <v>147028401.41999999</v>
      </c>
      <c r="L112" s="10">
        <v>3.4231989730780003E-2</v>
      </c>
      <c r="M112" s="1" t="s">
        <v>26</v>
      </c>
      <c r="N112" s="1" t="s">
        <v>26</v>
      </c>
      <c r="O112" s="2" t="s">
        <v>26</v>
      </c>
      <c r="P112" s="1" t="s">
        <v>26</v>
      </c>
      <c r="Q112" s="1" t="s">
        <v>26</v>
      </c>
      <c r="R112" s="1" t="s">
        <v>26</v>
      </c>
      <c r="S112" s="9">
        <v>283023791.60000002</v>
      </c>
      <c r="T112" s="10">
        <v>2.2200496295699998E-3</v>
      </c>
      <c r="U112" s="1" t="s">
        <v>26</v>
      </c>
      <c r="V112" s="1" t="s">
        <v>26</v>
      </c>
      <c r="W112" s="2" t="s">
        <v>26</v>
      </c>
      <c r="X112" s="1" t="s">
        <v>26</v>
      </c>
      <c r="Y112" s="1" t="s">
        <v>26</v>
      </c>
      <c r="Z112" s="1" t="s">
        <v>26</v>
      </c>
      <c r="AA112" s="2" t="s">
        <v>26</v>
      </c>
      <c r="AB112" s="1" t="s">
        <v>26</v>
      </c>
      <c r="AC112" s="1" t="s">
        <v>26</v>
      </c>
      <c r="AD112" s="1" t="s">
        <v>26</v>
      </c>
      <c r="AE112" s="9">
        <v>487963739.76999998</v>
      </c>
      <c r="AF112" s="10">
        <v>6.5883609085999996E-4</v>
      </c>
      <c r="AG112" s="1" t="s">
        <v>26</v>
      </c>
      <c r="AH112" s="1" t="s">
        <v>26</v>
      </c>
      <c r="AI112" s="2" t="s">
        <v>26</v>
      </c>
      <c r="AJ112" s="1" t="s">
        <v>26</v>
      </c>
      <c r="AK112" s="1" t="s">
        <v>26</v>
      </c>
      <c r="AL112" s="1" t="s">
        <v>26</v>
      </c>
      <c r="AM112" s="2" t="s">
        <v>26</v>
      </c>
      <c r="AN112" s="1" t="s">
        <v>26</v>
      </c>
      <c r="AO112" s="1" t="s">
        <v>26</v>
      </c>
      <c r="AP112" s="1" t="s">
        <v>26</v>
      </c>
      <c r="AQ112" s="2" t="s">
        <v>26</v>
      </c>
      <c r="AR112" s="1" t="s">
        <v>26</v>
      </c>
      <c r="AS112" s="1" t="s">
        <v>26</v>
      </c>
      <c r="AT112" s="1" t="s">
        <v>26</v>
      </c>
      <c r="AU112" s="2" t="s">
        <v>26</v>
      </c>
      <c r="AV112" s="1" t="s">
        <v>26</v>
      </c>
      <c r="AW112" s="1" t="s">
        <v>26</v>
      </c>
      <c r="AX112" s="1" t="s">
        <v>26</v>
      </c>
      <c r="AY112" s="9">
        <v>487963739.76999998</v>
      </c>
      <c r="AZ112" s="10">
        <v>5.8209589029999999E-4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>
        <v>57911546.75</v>
      </c>
      <c r="D113" s="1">
        <v>1</v>
      </c>
      <c r="E113" s="9" t="s">
        <v>26</v>
      </c>
      <c r="F113" s="10" t="s">
        <v>26</v>
      </c>
      <c r="G113" s="9" t="s">
        <v>26</v>
      </c>
      <c r="H113" s="10" t="s">
        <v>26</v>
      </c>
      <c r="I113" s="9" t="s">
        <v>26</v>
      </c>
      <c r="J113" s="10" t="s">
        <v>26</v>
      </c>
      <c r="K113" s="2">
        <v>147028401.41999999</v>
      </c>
      <c r="L113" s="1">
        <v>1</v>
      </c>
      <c r="M113" s="1" t="s">
        <v>26</v>
      </c>
      <c r="N113" s="1" t="s">
        <v>26</v>
      </c>
      <c r="O113" s="2" t="s">
        <v>26</v>
      </c>
      <c r="P113" s="1" t="s">
        <v>26</v>
      </c>
      <c r="Q113" s="1" t="s">
        <v>26</v>
      </c>
      <c r="R113" s="1" t="s">
        <v>26</v>
      </c>
      <c r="S113" s="2">
        <v>283023791.60000002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487963739.76999998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487963739.76999998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117</v>
      </c>
      <c r="B114" s="20" t="s">
        <v>25</v>
      </c>
      <c r="C114" s="9" t="s">
        <v>26</v>
      </c>
      <c r="D114" s="10" t="s">
        <v>26</v>
      </c>
      <c r="E114" s="9" t="s">
        <v>26</v>
      </c>
      <c r="F114" s="10" t="s">
        <v>26</v>
      </c>
      <c r="G114" s="9">
        <v>969845774.84000003</v>
      </c>
      <c r="H114" s="10">
        <v>5.4603518096399996E-3</v>
      </c>
      <c r="I114" s="9" t="s">
        <v>26</v>
      </c>
      <c r="J114" s="10" t="s">
        <v>26</v>
      </c>
      <c r="K114" s="2" t="s">
        <v>26</v>
      </c>
      <c r="L114" s="1" t="s">
        <v>26</v>
      </c>
      <c r="M114" s="1" t="s">
        <v>26</v>
      </c>
      <c r="N114" s="1" t="s">
        <v>26</v>
      </c>
      <c r="O114" s="2" t="s">
        <v>26</v>
      </c>
      <c r="P114" s="1" t="s">
        <v>26</v>
      </c>
      <c r="Q114" s="1" t="s">
        <v>26</v>
      </c>
      <c r="R114" s="1" t="s">
        <v>26</v>
      </c>
      <c r="S114" s="2" t="s">
        <v>26</v>
      </c>
      <c r="T114" s="1" t="s">
        <v>26</v>
      </c>
      <c r="U114" s="1" t="s">
        <v>26</v>
      </c>
      <c r="V114" s="1" t="s">
        <v>26</v>
      </c>
      <c r="W114" s="2" t="s">
        <v>26</v>
      </c>
      <c r="X114" s="1" t="s">
        <v>26</v>
      </c>
      <c r="Y114" s="1" t="s">
        <v>26</v>
      </c>
      <c r="Z114" s="1" t="s">
        <v>26</v>
      </c>
      <c r="AA114" s="2" t="s">
        <v>26</v>
      </c>
      <c r="AB114" s="1" t="s">
        <v>26</v>
      </c>
      <c r="AC114" s="1" t="s">
        <v>26</v>
      </c>
      <c r="AD114" s="1" t="s">
        <v>26</v>
      </c>
      <c r="AE114" s="9">
        <v>969845774.84000003</v>
      </c>
      <c r="AF114" s="10">
        <v>1.30946082045E-3</v>
      </c>
      <c r="AG114" s="1" t="s">
        <v>26</v>
      </c>
      <c r="AH114" s="1" t="s">
        <v>26</v>
      </c>
      <c r="AI114" s="2" t="s">
        <v>26</v>
      </c>
      <c r="AJ114" s="1" t="s">
        <v>26</v>
      </c>
      <c r="AK114" s="1" t="s">
        <v>26</v>
      </c>
      <c r="AL114" s="1" t="s">
        <v>26</v>
      </c>
      <c r="AM114" s="2" t="s">
        <v>26</v>
      </c>
      <c r="AN114" s="1" t="s">
        <v>26</v>
      </c>
      <c r="AO114" s="1" t="s">
        <v>26</v>
      </c>
      <c r="AP114" s="1" t="s">
        <v>26</v>
      </c>
      <c r="AQ114" s="2" t="s">
        <v>26</v>
      </c>
      <c r="AR114" s="1" t="s">
        <v>26</v>
      </c>
      <c r="AS114" s="1" t="s">
        <v>26</v>
      </c>
      <c r="AT114" s="1" t="s">
        <v>26</v>
      </c>
      <c r="AU114" s="2" t="s">
        <v>26</v>
      </c>
      <c r="AV114" s="1" t="s">
        <v>26</v>
      </c>
      <c r="AW114" s="1" t="s">
        <v>26</v>
      </c>
      <c r="AX114" s="1" t="s">
        <v>26</v>
      </c>
      <c r="AY114" s="9">
        <v>969845774.84000003</v>
      </c>
      <c r="AZ114" s="10">
        <v>1.15693686589E-3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9" t="s">
        <v>26</v>
      </c>
      <c r="D115" s="10" t="s">
        <v>26</v>
      </c>
      <c r="E115" s="9" t="s">
        <v>26</v>
      </c>
      <c r="F115" s="10" t="s">
        <v>26</v>
      </c>
      <c r="G115" s="2">
        <v>969845774.84000003</v>
      </c>
      <c r="H115" s="1">
        <v>1</v>
      </c>
      <c r="I115" s="9" t="s">
        <v>26</v>
      </c>
      <c r="J115" s="10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 t="s">
        <v>26</v>
      </c>
      <c r="P115" s="1" t="s">
        <v>26</v>
      </c>
      <c r="Q115" s="1" t="s">
        <v>26</v>
      </c>
      <c r="R115" s="1" t="s">
        <v>26</v>
      </c>
      <c r="S115" s="2" t="s">
        <v>26</v>
      </c>
      <c r="T115" s="1" t="s">
        <v>26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969845774.84000003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 t="s">
        <v>26</v>
      </c>
      <c r="AV115" s="1" t="s">
        <v>26</v>
      </c>
      <c r="AW115" s="1" t="s">
        <v>26</v>
      </c>
      <c r="AX115" s="1" t="s">
        <v>26</v>
      </c>
      <c r="AY115" s="2">
        <v>969845774.84000003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97</v>
      </c>
      <c r="B116" s="20" t="s">
        <v>25</v>
      </c>
      <c r="C116" s="9" t="s">
        <v>26</v>
      </c>
      <c r="D116" s="10" t="s">
        <v>26</v>
      </c>
      <c r="E116" s="9" t="s">
        <v>26</v>
      </c>
      <c r="F116" s="10" t="s">
        <v>26</v>
      </c>
      <c r="G116" s="9">
        <v>722184096.17999995</v>
      </c>
      <c r="H116" s="10">
        <v>4.0659858905100002E-3</v>
      </c>
      <c r="I116" s="9" t="s">
        <v>26</v>
      </c>
      <c r="J116" s="10" t="s">
        <v>26</v>
      </c>
      <c r="K116" s="2" t="s">
        <v>26</v>
      </c>
      <c r="L116" s="1" t="s">
        <v>26</v>
      </c>
      <c r="M116" s="1" t="s">
        <v>26</v>
      </c>
      <c r="N116" s="1" t="s">
        <v>26</v>
      </c>
      <c r="O116" s="9">
        <v>2081484474.9200001</v>
      </c>
      <c r="P116" s="10">
        <v>8.0902284083700007E-3</v>
      </c>
      <c r="Q116" s="1" t="s">
        <v>26</v>
      </c>
      <c r="R116" s="1" t="s">
        <v>26</v>
      </c>
      <c r="S116" s="9">
        <v>109755325.98999999</v>
      </c>
      <c r="T116" s="10">
        <v>8.6092504602E-4</v>
      </c>
      <c r="U116" s="1" t="s">
        <v>26</v>
      </c>
      <c r="V116" s="1" t="s">
        <v>26</v>
      </c>
      <c r="W116" s="2" t="s">
        <v>26</v>
      </c>
      <c r="X116" s="1" t="s">
        <v>26</v>
      </c>
      <c r="Y116" s="1" t="s">
        <v>26</v>
      </c>
      <c r="Z116" s="1" t="s">
        <v>26</v>
      </c>
      <c r="AA116" s="2" t="s">
        <v>26</v>
      </c>
      <c r="AB116" s="1" t="s">
        <v>26</v>
      </c>
      <c r="AC116" s="1" t="s">
        <v>26</v>
      </c>
      <c r="AD116" s="1" t="s">
        <v>26</v>
      </c>
      <c r="AE116" s="9">
        <v>2913423897.0900002</v>
      </c>
      <c r="AF116" s="10">
        <v>3.9336300116800003E-3</v>
      </c>
      <c r="AG116" s="1" t="s">
        <v>26</v>
      </c>
      <c r="AH116" s="1" t="s">
        <v>26</v>
      </c>
      <c r="AI116" s="2" t="s">
        <v>26</v>
      </c>
      <c r="AJ116" s="1" t="s">
        <v>26</v>
      </c>
      <c r="AK116" s="1" t="s">
        <v>26</v>
      </c>
      <c r="AL116" s="1" t="s">
        <v>26</v>
      </c>
      <c r="AM116" s="2" t="s">
        <v>26</v>
      </c>
      <c r="AN116" s="1" t="s">
        <v>26</v>
      </c>
      <c r="AO116" s="1" t="s">
        <v>26</v>
      </c>
      <c r="AP116" s="1" t="s">
        <v>26</v>
      </c>
      <c r="AQ116" s="2" t="s">
        <v>26</v>
      </c>
      <c r="AR116" s="1" t="s">
        <v>26</v>
      </c>
      <c r="AS116" s="1" t="s">
        <v>26</v>
      </c>
      <c r="AT116" s="1" t="s">
        <v>26</v>
      </c>
      <c r="AU116" s="2" t="s">
        <v>26</v>
      </c>
      <c r="AV116" s="1" t="s">
        <v>26</v>
      </c>
      <c r="AW116" s="1" t="s">
        <v>26</v>
      </c>
      <c r="AX116" s="1" t="s">
        <v>26</v>
      </c>
      <c r="AY116" s="9">
        <v>2913423897.0900002</v>
      </c>
      <c r="AZ116" s="10">
        <v>3.4754469215099999E-3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9" t="s">
        <v>26</v>
      </c>
      <c r="D117" s="10" t="s">
        <v>26</v>
      </c>
      <c r="E117" s="9" t="s">
        <v>26</v>
      </c>
      <c r="F117" s="10" t="s">
        <v>26</v>
      </c>
      <c r="G117" s="2">
        <v>722184096.17999995</v>
      </c>
      <c r="H117" s="1">
        <v>1</v>
      </c>
      <c r="I117" s="9" t="s">
        <v>26</v>
      </c>
      <c r="J117" s="10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2081484474.9200001</v>
      </c>
      <c r="P117" s="1">
        <v>1</v>
      </c>
      <c r="Q117" s="1" t="s">
        <v>26</v>
      </c>
      <c r="R117" s="1" t="s">
        <v>26</v>
      </c>
      <c r="S117" s="2">
        <v>109755325.98999999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2913423897.0900002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2913423897.0900002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98</v>
      </c>
      <c r="B118" s="20" t="s">
        <v>25</v>
      </c>
      <c r="C118" s="9" t="s">
        <v>26</v>
      </c>
      <c r="D118" s="10" t="s">
        <v>26</v>
      </c>
      <c r="E118" s="9" t="s">
        <v>26</v>
      </c>
      <c r="F118" s="10" t="s">
        <v>26</v>
      </c>
      <c r="G118" s="9">
        <v>1493569884.27</v>
      </c>
      <c r="H118" s="10">
        <v>8.4089833991799999E-3</v>
      </c>
      <c r="I118" s="9" t="s">
        <v>26</v>
      </c>
      <c r="J118" s="10" t="s">
        <v>26</v>
      </c>
      <c r="K118" s="2" t="s">
        <v>26</v>
      </c>
      <c r="L118" s="1" t="s">
        <v>26</v>
      </c>
      <c r="M118" s="1" t="s">
        <v>26</v>
      </c>
      <c r="N118" s="1" t="s">
        <v>26</v>
      </c>
      <c r="O118" s="9">
        <v>3558539547.29</v>
      </c>
      <c r="P118" s="10">
        <v>1.3831185427840001E-2</v>
      </c>
      <c r="Q118" s="1" t="s">
        <v>26</v>
      </c>
      <c r="R118" s="1" t="s">
        <v>26</v>
      </c>
      <c r="S118" s="9">
        <v>996391073.24000001</v>
      </c>
      <c r="T118" s="10">
        <v>7.8157303333000003E-3</v>
      </c>
      <c r="U118" s="1" t="s">
        <v>26</v>
      </c>
      <c r="V118" s="1" t="s">
        <v>26</v>
      </c>
      <c r="W118" s="2" t="s">
        <v>26</v>
      </c>
      <c r="X118" s="1" t="s">
        <v>26</v>
      </c>
      <c r="Y118" s="1" t="s">
        <v>26</v>
      </c>
      <c r="Z118" s="1" t="s">
        <v>26</v>
      </c>
      <c r="AA118" s="2" t="s">
        <v>26</v>
      </c>
      <c r="AB118" s="1" t="s">
        <v>26</v>
      </c>
      <c r="AC118" s="1" t="s">
        <v>26</v>
      </c>
      <c r="AD118" s="1" t="s">
        <v>26</v>
      </c>
      <c r="AE118" s="9">
        <v>6048500504.8000002</v>
      </c>
      <c r="AF118" s="10">
        <v>8.1665298122599993E-3</v>
      </c>
      <c r="AG118" s="1" t="s">
        <v>26</v>
      </c>
      <c r="AH118" s="1" t="s">
        <v>26</v>
      </c>
      <c r="AI118" s="2" t="s">
        <v>26</v>
      </c>
      <c r="AJ118" s="1" t="s">
        <v>26</v>
      </c>
      <c r="AK118" s="1" t="s">
        <v>26</v>
      </c>
      <c r="AL118" s="1" t="s">
        <v>26</v>
      </c>
      <c r="AM118" s="2" t="s">
        <v>26</v>
      </c>
      <c r="AN118" s="1" t="s">
        <v>26</v>
      </c>
      <c r="AO118" s="1" t="s">
        <v>26</v>
      </c>
      <c r="AP118" s="1" t="s">
        <v>26</v>
      </c>
      <c r="AQ118" s="2" t="s">
        <v>26</v>
      </c>
      <c r="AR118" s="1" t="s">
        <v>26</v>
      </c>
      <c r="AS118" s="1" t="s">
        <v>26</v>
      </c>
      <c r="AT118" s="1" t="s">
        <v>26</v>
      </c>
      <c r="AU118" s="9">
        <v>996391073.24000001</v>
      </c>
      <c r="AV118" s="10">
        <v>1.8622060688639998E-2</v>
      </c>
      <c r="AW118" s="1" t="s">
        <v>26</v>
      </c>
      <c r="AX118" s="1" t="s">
        <v>26</v>
      </c>
      <c r="AY118" s="9">
        <v>7044891578.04</v>
      </c>
      <c r="AZ118" s="10">
        <v>8.4039081205300008E-3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40</v>
      </c>
      <c r="C119" s="9" t="s">
        <v>26</v>
      </c>
      <c r="D119" s="10" t="s">
        <v>26</v>
      </c>
      <c r="E119" s="9" t="s">
        <v>26</v>
      </c>
      <c r="F119" s="10" t="s">
        <v>26</v>
      </c>
      <c r="G119" s="2">
        <v>1493569884.27</v>
      </c>
      <c r="H119" s="1">
        <v>1</v>
      </c>
      <c r="I119" s="9" t="s">
        <v>26</v>
      </c>
      <c r="J119" s="10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3558539547.29</v>
      </c>
      <c r="P119" s="1">
        <v>1</v>
      </c>
      <c r="Q119" s="1" t="s">
        <v>26</v>
      </c>
      <c r="R119" s="1" t="s">
        <v>26</v>
      </c>
      <c r="S119" s="2">
        <v>996391073.24000001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6048500504.8000002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996391073.24000001</v>
      </c>
      <c r="AV119" s="1">
        <v>1</v>
      </c>
      <c r="AW119" s="1" t="s">
        <v>26</v>
      </c>
      <c r="AX119" s="1" t="s">
        <v>26</v>
      </c>
      <c r="AY119" s="2">
        <v>7044891578.04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99</v>
      </c>
      <c r="B120" s="20" t="s">
        <v>25</v>
      </c>
      <c r="C120" s="9" t="s">
        <v>26</v>
      </c>
      <c r="D120" s="10" t="s">
        <v>26</v>
      </c>
      <c r="E120" s="9" t="s">
        <v>26</v>
      </c>
      <c r="F120" s="10" t="s">
        <v>26</v>
      </c>
      <c r="G120" s="9">
        <v>562548301.5</v>
      </c>
      <c r="H120" s="10">
        <v>3.16721659855E-3</v>
      </c>
      <c r="I120" s="9" t="s">
        <v>26</v>
      </c>
      <c r="J120" s="10" t="s">
        <v>26</v>
      </c>
      <c r="K120" s="2" t="s">
        <v>26</v>
      </c>
      <c r="L120" s="1" t="s">
        <v>26</v>
      </c>
      <c r="M120" s="1" t="s">
        <v>26</v>
      </c>
      <c r="N120" s="1" t="s">
        <v>26</v>
      </c>
      <c r="O120" s="9">
        <v>780018223.88999999</v>
      </c>
      <c r="P120" s="10">
        <v>3.0317428114399999E-3</v>
      </c>
      <c r="Q120" s="1" t="s">
        <v>26</v>
      </c>
      <c r="R120" s="1" t="s">
        <v>26</v>
      </c>
      <c r="S120" s="9">
        <v>260122334.61000001</v>
      </c>
      <c r="T120" s="10">
        <v>2.0404097101900001E-3</v>
      </c>
      <c r="U120" s="1" t="s">
        <v>26</v>
      </c>
      <c r="V120" s="1" t="s">
        <v>26</v>
      </c>
      <c r="W120" s="2" t="s">
        <v>26</v>
      </c>
      <c r="X120" s="1" t="s">
        <v>26</v>
      </c>
      <c r="Y120" s="1" t="s">
        <v>26</v>
      </c>
      <c r="Z120" s="1" t="s">
        <v>26</v>
      </c>
      <c r="AA120" s="9">
        <v>843822452.25</v>
      </c>
      <c r="AB120" s="10">
        <v>5.3232078088900001E-3</v>
      </c>
      <c r="AC120" s="1" t="s">
        <v>26</v>
      </c>
      <c r="AD120" s="1" t="s">
        <v>26</v>
      </c>
      <c r="AE120" s="9">
        <v>2446511312.25</v>
      </c>
      <c r="AF120" s="10">
        <v>3.3032166487699998E-3</v>
      </c>
      <c r="AG120" s="1" t="s">
        <v>26</v>
      </c>
      <c r="AH120" s="1" t="s">
        <v>26</v>
      </c>
      <c r="AI120" s="2" t="s">
        <v>26</v>
      </c>
      <c r="AJ120" s="1" t="s">
        <v>26</v>
      </c>
      <c r="AK120" s="1" t="s">
        <v>26</v>
      </c>
      <c r="AL120" s="1" t="s">
        <v>26</v>
      </c>
      <c r="AM120" s="2" t="s">
        <v>26</v>
      </c>
      <c r="AN120" s="1" t="s">
        <v>26</v>
      </c>
      <c r="AO120" s="1" t="s">
        <v>26</v>
      </c>
      <c r="AP120" s="1" t="s">
        <v>26</v>
      </c>
      <c r="AQ120" s="2" t="s">
        <v>26</v>
      </c>
      <c r="AR120" s="1" t="s">
        <v>26</v>
      </c>
      <c r="AS120" s="1" t="s">
        <v>26</v>
      </c>
      <c r="AT120" s="1" t="s">
        <v>26</v>
      </c>
      <c r="AU120" s="2" t="s">
        <v>26</v>
      </c>
      <c r="AV120" s="1" t="s">
        <v>26</v>
      </c>
      <c r="AW120" s="1" t="s">
        <v>26</v>
      </c>
      <c r="AX120" s="1" t="s">
        <v>26</v>
      </c>
      <c r="AY120" s="9">
        <v>2446511312.25</v>
      </c>
      <c r="AZ120" s="10">
        <v>2.9184631241300002E-3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47</v>
      </c>
      <c r="C121" s="9" t="s">
        <v>26</v>
      </c>
      <c r="D121" s="10" t="s">
        <v>26</v>
      </c>
      <c r="E121" s="9" t="s">
        <v>26</v>
      </c>
      <c r="F121" s="10" t="s">
        <v>26</v>
      </c>
      <c r="G121" s="2">
        <v>562548301.5</v>
      </c>
      <c r="H121" s="1">
        <v>1</v>
      </c>
      <c r="I121" s="9" t="s">
        <v>26</v>
      </c>
      <c r="J121" s="10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780018223.88999999</v>
      </c>
      <c r="P121" s="1">
        <v>1</v>
      </c>
      <c r="Q121" s="1" t="s">
        <v>26</v>
      </c>
      <c r="R121" s="1" t="s">
        <v>26</v>
      </c>
      <c r="S121" s="2">
        <v>260122334.61000001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>
        <v>843822452.25</v>
      </c>
      <c r="AB121" s="1">
        <v>1</v>
      </c>
      <c r="AC121" s="1" t="s">
        <v>26</v>
      </c>
      <c r="AD121" s="1" t="s">
        <v>26</v>
      </c>
      <c r="AE121" s="2">
        <v>2446511312.25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2446511312.25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100</v>
      </c>
      <c r="B122" s="20" t="s">
        <v>25</v>
      </c>
      <c r="C122" s="9" t="s">
        <v>26</v>
      </c>
      <c r="D122" s="10" t="s">
        <v>26</v>
      </c>
      <c r="E122" s="9" t="s">
        <v>26</v>
      </c>
      <c r="F122" s="10" t="s">
        <v>26</v>
      </c>
      <c r="G122" s="9" t="s">
        <v>26</v>
      </c>
      <c r="H122" s="10" t="s">
        <v>26</v>
      </c>
      <c r="I122" s="9" t="s">
        <v>26</v>
      </c>
      <c r="J122" s="10" t="s">
        <v>26</v>
      </c>
      <c r="K122" s="2" t="s">
        <v>26</v>
      </c>
      <c r="L122" s="1" t="s">
        <v>26</v>
      </c>
      <c r="M122" s="1" t="s">
        <v>26</v>
      </c>
      <c r="N122" s="1" t="s">
        <v>26</v>
      </c>
      <c r="O122" s="9">
        <v>388159253.38</v>
      </c>
      <c r="P122" s="10">
        <v>1.50868145139E-3</v>
      </c>
      <c r="Q122" s="1" t="s">
        <v>26</v>
      </c>
      <c r="R122" s="1" t="s">
        <v>26</v>
      </c>
      <c r="S122" s="2" t="s">
        <v>26</v>
      </c>
      <c r="T122" s="1" t="s">
        <v>26</v>
      </c>
      <c r="U122" s="1" t="s">
        <v>26</v>
      </c>
      <c r="V122" s="1" t="s">
        <v>26</v>
      </c>
      <c r="W122" s="2" t="s">
        <v>26</v>
      </c>
      <c r="X122" s="1" t="s">
        <v>26</v>
      </c>
      <c r="Y122" s="1" t="s">
        <v>26</v>
      </c>
      <c r="Z122" s="1" t="s">
        <v>26</v>
      </c>
      <c r="AA122" s="2" t="s">
        <v>26</v>
      </c>
      <c r="AB122" s="1" t="s">
        <v>26</v>
      </c>
      <c r="AC122" s="1" t="s">
        <v>26</v>
      </c>
      <c r="AD122" s="1" t="s">
        <v>26</v>
      </c>
      <c r="AE122" s="9">
        <v>388159253.38</v>
      </c>
      <c r="AF122" s="10">
        <v>5.2408264034000003E-4</v>
      </c>
      <c r="AG122" s="1" t="s">
        <v>26</v>
      </c>
      <c r="AH122" s="1" t="s">
        <v>26</v>
      </c>
      <c r="AI122" s="2" t="s">
        <v>26</v>
      </c>
      <c r="AJ122" s="1" t="s">
        <v>26</v>
      </c>
      <c r="AK122" s="1" t="s">
        <v>26</v>
      </c>
      <c r="AL122" s="1" t="s">
        <v>26</v>
      </c>
      <c r="AM122" s="2" t="s">
        <v>26</v>
      </c>
      <c r="AN122" s="1" t="s">
        <v>26</v>
      </c>
      <c r="AO122" s="1" t="s">
        <v>26</v>
      </c>
      <c r="AP122" s="1" t="s">
        <v>26</v>
      </c>
      <c r="AQ122" s="2" t="s">
        <v>26</v>
      </c>
      <c r="AR122" s="1" t="s">
        <v>26</v>
      </c>
      <c r="AS122" s="1" t="s">
        <v>26</v>
      </c>
      <c r="AT122" s="1" t="s">
        <v>26</v>
      </c>
      <c r="AU122" s="2" t="s">
        <v>26</v>
      </c>
      <c r="AV122" s="1" t="s">
        <v>26</v>
      </c>
      <c r="AW122" s="1" t="s">
        <v>26</v>
      </c>
      <c r="AX122" s="1" t="s">
        <v>26</v>
      </c>
      <c r="AY122" s="9">
        <v>388159253.38</v>
      </c>
      <c r="AZ122" s="10">
        <v>4.6303831158000001E-4</v>
      </c>
      <c r="BA122" s="1" t="s">
        <v>26</v>
      </c>
      <c r="BB122" s="1" t="s">
        <v>26</v>
      </c>
    </row>
    <row r="123" spans="1:54" s="7" customFormat="1">
      <c r="A123" s="3" t="s">
        <v>88</v>
      </c>
      <c r="B123" s="23" t="s">
        <v>57</v>
      </c>
      <c r="C123" s="9" t="s">
        <v>26</v>
      </c>
      <c r="D123" s="10" t="s">
        <v>26</v>
      </c>
      <c r="E123" s="9" t="s">
        <v>26</v>
      </c>
      <c r="F123" s="10" t="s">
        <v>26</v>
      </c>
      <c r="G123" s="9" t="s">
        <v>26</v>
      </c>
      <c r="H123" s="10" t="s">
        <v>26</v>
      </c>
      <c r="I123" s="9" t="s">
        <v>26</v>
      </c>
      <c r="J123" s="10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388159253.38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388159253.38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388159253.38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101</v>
      </c>
      <c r="B124" s="20" t="s">
        <v>25</v>
      </c>
      <c r="C124" s="9" t="s">
        <v>26</v>
      </c>
      <c r="D124" s="10" t="s">
        <v>26</v>
      </c>
      <c r="E124" s="9" t="s">
        <v>26</v>
      </c>
      <c r="F124" s="10" t="s">
        <v>26</v>
      </c>
      <c r="G124" s="9" t="s">
        <v>26</v>
      </c>
      <c r="H124" s="10" t="s">
        <v>26</v>
      </c>
      <c r="I124" s="9" t="s">
        <v>26</v>
      </c>
      <c r="J124" s="10" t="s">
        <v>26</v>
      </c>
      <c r="K124" s="2" t="s">
        <v>26</v>
      </c>
      <c r="L124" s="1" t="s">
        <v>26</v>
      </c>
      <c r="M124" s="1" t="s">
        <v>26</v>
      </c>
      <c r="N124" s="1" t="s">
        <v>26</v>
      </c>
      <c r="O124" s="9">
        <v>32936854.989999998</v>
      </c>
      <c r="P124" s="10">
        <v>1.2801761586000001E-4</v>
      </c>
      <c r="Q124" s="1" t="s">
        <v>26</v>
      </c>
      <c r="R124" s="1" t="s">
        <v>26</v>
      </c>
      <c r="S124" s="2" t="s">
        <v>26</v>
      </c>
      <c r="T124" s="1" t="s">
        <v>26</v>
      </c>
      <c r="U124" s="1" t="s">
        <v>26</v>
      </c>
      <c r="V124" s="1" t="s">
        <v>26</v>
      </c>
      <c r="W124" s="2" t="s">
        <v>26</v>
      </c>
      <c r="X124" s="1" t="s">
        <v>26</v>
      </c>
      <c r="Y124" s="1" t="s">
        <v>26</v>
      </c>
      <c r="Z124" s="1" t="s">
        <v>26</v>
      </c>
      <c r="AA124" s="2" t="s">
        <v>26</v>
      </c>
      <c r="AB124" s="1" t="s">
        <v>26</v>
      </c>
      <c r="AC124" s="1" t="s">
        <v>26</v>
      </c>
      <c r="AD124" s="1" t="s">
        <v>26</v>
      </c>
      <c r="AE124" s="9">
        <v>32936854.989999998</v>
      </c>
      <c r="AF124" s="10">
        <v>4.4470494460000003E-5</v>
      </c>
      <c r="AG124" s="1" t="s">
        <v>26</v>
      </c>
      <c r="AH124" s="1" t="s">
        <v>26</v>
      </c>
      <c r="AI124" s="2" t="s">
        <v>26</v>
      </c>
      <c r="AJ124" s="1" t="s">
        <v>26</v>
      </c>
      <c r="AK124" s="1" t="s">
        <v>26</v>
      </c>
      <c r="AL124" s="1" t="s">
        <v>26</v>
      </c>
      <c r="AM124" s="2" t="s">
        <v>26</v>
      </c>
      <c r="AN124" s="1" t="s">
        <v>26</v>
      </c>
      <c r="AO124" s="1" t="s">
        <v>26</v>
      </c>
      <c r="AP124" s="1" t="s">
        <v>26</v>
      </c>
      <c r="AQ124" s="2" t="s">
        <v>26</v>
      </c>
      <c r="AR124" s="1" t="s">
        <v>26</v>
      </c>
      <c r="AS124" s="1" t="s">
        <v>26</v>
      </c>
      <c r="AT124" s="1" t="s">
        <v>26</v>
      </c>
      <c r="AU124" s="2" t="s">
        <v>26</v>
      </c>
      <c r="AV124" s="1" t="s">
        <v>26</v>
      </c>
      <c r="AW124" s="1" t="s">
        <v>26</v>
      </c>
      <c r="AX124" s="1" t="s">
        <v>26</v>
      </c>
      <c r="AY124" s="9">
        <v>32936854.989999998</v>
      </c>
      <c r="AZ124" s="10">
        <v>3.9290640610000002E-5</v>
      </c>
      <c r="BA124" s="1" t="s">
        <v>26</v>
      </c>
      <c r="BB124" s="1" t="s">
        <v>26</v>
      </c>
    </row>
    <row r="125" spans="1:54" s="28" customFormat="1">
      <c r="A125" s="3" t="s">
        <v>88</v>
      </c>
      <c r="B125" s="23" t="s">
        <v>57</v>
      </c>
      <c r="C125" s="9" t="s">
        <v>26</v>
      </c>
      <c r="D125" s="10" t="s">
        <v>26</v>
      </c>
      <c r="E125" s="9" t="s">
        <v>26</v>
      </c>
      <c r="F125" s="10" t="s">
        <v>26</v>
      </c>
      <c r="G125" s="9" t="s">
        <v>26</v>
      </c>
      <c r="H125" s="10" t="s">
        <v>26</v>
      </c>
      <c r="I125" s="9" t="s">
        <v>26</v>
      </c>
      <c r="J125" s="10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32936854.989999998</v>
      </c>
      <c r="P125" s="1">
        <v>1</v>
      </c>
      <c r="Q125" s="1" t="s">
        <v>26</v>
      </c>
      <c r="R125" s="1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32936854.989999998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32936854.989999998</v>
      </c>
      <c r="AZ125" s="1">
        <v>1</v>
      </c>
      <c r="BA125" s="1" t="s">
        <v>26</v>
      </c>
      <c r="BB125" s="1" t="s">
        <v>26</v>
      </c>
    </row>
    <row r="126" spans="1:54" s="7" customFormat="1">
      <c r="A126" s="5" t="s">
        <v>102</v>
      </c>
      <c r="B126" s="20" t="s">
        <v>25</v>
      </c>
      <c r="C126" s="9" t="s">
        <v>26</v>
      </c>
      <c r="D126" s="10" t="s">
        <v>26</v>
      </c>
      <c r="E126" s="9" t="s">
        <v>26</v>
      </c>
      <c r="F126" s="10" t="s">
        <v>26</v>
      </c>
      <c r="G126" s="9" t="s">
        <v>26</v>
      </c>
      <c r="H126" s="10" t="s">
        <v>26</v>
      </c>
      <c r="I126" s="9" t="s">
        <v>26</v>
      </c>
      <c r="J126" s="10" t="s">
        <v>26</v>
      </c>
      <c r="K126" s="2" t="s">
        <v>26</v>
      </c>
      <c r="L126" s="1" t="s">
        <v>26</v>
      </c>
      <c r="M126" s="1" t="s">
        <v>26</v>
      </c>
      <c r="N126" s="1" t="s">
        <v>26</v>
      </c>
      <c r="O126" s="9">
        <v>1807416168.99</v>
      </c>
      <c r="P126" s="10">
        <v>7.02499096789E-3</v>
      </c>
      <c r="Q126" s="1" t="s">
        <v>26</v>
      </c>
      <c r="R126" s="1" t="s">
        <v>26</v>
      </c>
      <c r="S126" s="2" t="s">
        <v>26</v>
      </c>
      <c r="T126" s="1" t="s">
        <v>26</v>
      </c>
      <c r="U126" s="1" t="s">
        <v>26</v>
      </c>
      <c r="V126" s="1" t="s">
        <v>26</v>
      </c>
      <c r="W126" s="2" t="s">
        <v>26</v>
      </c>
      <c r="X126" s="1" t="s">
        <v>26</v>
      </c>
      <c r="Y126" s="1" t="s">
        <v>26</v>
      </c>
      <c r="Z126" s="1" t="s">
        <v>26</v>
      </c>
      <c r="AA126" s="2" t="s">
        <v>26</v>
      </c>
      <c r="AB126" s="1" t="s">
        <v>26</v>
      </c>
      <c r="AC126" s="1" t="s">
        <v>26</v>
      </c>
      <c r="AD126" s="1" t="s">
        <v>26</v>
      </c>
      <c r="AE126" s="9">
        <v>1807416168.99</v>
      </c>
      <c r="AF126" s="10">
        <v>2.44032682406E-3</v>
      </c>
      <c r="AG126" s="1" t="s">
        <v>26</v>
      </c>
      <c r="AH126" s="1" t="s">
        <v>26</v>
      </c>
      <c r="AI126" s="2" t="s">
        <v>26</v>
      </c>
      <c r="AJ126" s="1" t="s">
        <v>26</v>
      </c>
      <c r="AK126" s="1" t="s">
        <v>26</v>
      </c>
      <c r="AL126" s="1" t="s">
        <v>26</v>
      </c>
      <c r="AM126" s="2" t="s">
        <v>26</v>
      </c>
      <c r="AN126" s="1" t="s">
        <v>26</v>
      </c>
      <c r="AO126" s="1" t="s">
        <v>26</v>
      </c>
      <c r="AP126" s="1" t="s">
        <v>26</v>
      </c>
      <c r="AQ126" s="2" t="s">
        <v>26</v>
      </c>
      <c r="AR126" s="1" t="s">
        <v>26</v>
      </c>
      <c r="AS126" s="1" t="s">
        <v>26</v>
      </c>
      <c r="AT126" s="1" t="s">
        <v>26</v>
      </c>
      <c r="AU126" s="2" t="s">
        <v>26</v>
      </c>
      <c r="AV126" s="1" t="s">
        <v>26</v>
      </c>
      <c r="AW126" s="1" t="s">
        <v>26</v>
      </c>
      <c r="AX126" s="1" t="s">
        <v>26</v>
      </c>
      <c r="AY126" s="9">
        <v>1807416168.99</v>
      </c>
      <c r="AZ126" s="10">
        <v>2.1560813607299999E-3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47</v>
      </c>
      <c r="C127" s="9" t="s">
        <v>26</v>
      </c>
      <c r="D127" s="10" t="s">
        <v>26</v>
      </c>
      <c r="E127" s="9" t="s">
        <v>26</v>
      </c>
      <c r="F127" s="10" t="s">
        <v>26</v>
      </c>
      <c r="G127" s="9" t="s">
        <v>26</v>
      </c>
      <c r="H127" s="10" t="s">
        <v>26</v>
      </c>
      <c r="I127" s="9" t="s">
        <v>26</v>
      </c>
      <c r="J127" s="10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1807416168.99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1807416168.99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1807416168.99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132</v>
      </c>
      <c r="B128" s="20" t="s">
        <v>25</v>
      </c>
      <c r="C128" s="9">
        <v>49424489.119999997</v>
      </c>
      <c r="D128" s="10">
        <v>6.1469425109000001E-3</v>
      </c>
      <c r="E128" s="9" t="s">
        <v>26</v>
      </c>
      <c r="F128" s="10" t="s">
        <v>26</v>
      </c>
      <c r="G128" s="9">
        <v>741367336.64999998</v>
      </c>
      <c r="H128" s="10">
        <v>4.1739899098399997E-3</v>
      </c>
      <c r="I128" s="9" t="s">
        <v>26</v>
      </c>
      <c r="J128" s="10" t="s">
        <v>26</v>
      </c>
      <c r="K128" s="9">
        <v>18287060.969999999</v>
      </c>
      <c r="L128" s="10">
        <v>4.2576976780400004E-3</v>
      </c>
      <c r="M128" s="1" t="s">
        <v>26</v>
      </c>
      <c r="N128" s="1" t="s">
        <v>26</v>
      </c>
      <c r="O128" s="2" t="s">
        <v>26</v>
      </c>
      <c r="P128" s="1" t="s">
        <v>26</v>
      </c>
      <c r="Q128" s="1" t="s">
        <v>26</v>
      </c>
      <c r="R128" s="1" t="s">
        <v>26</v>
      </c>
      <c r="S128" s="9">
        <v>494244891.10000002</v>
      </c>
      <c r="T128" s="10">
        <v>3.8768761495299999E-3</v>
      </c>
      <c r="U128" s="10"/>
      <c r="V128" s="10"/>
      <c r="W128" s="2" t="s">
        <v>26</v>
      </c>
      <c r="X128" s="1" t="s">
        <v>26</v>
      </c>
      <c r="Y128" s="1" t="s">
        <v>26</v>
      </c>
      <c r="Z128" s="1" t="s">
        <v>26</v>
      </c>
      <c r="AA128" s="2" t="s">
        <v>26</v>
      </c>
      <c r="AB128" s="1" t="s">
        <v>26</v>
      </c>
      <c r="AC128" s="1" t="s">
        <v>26</v>
      </c>
      <c r="AD128" s="1" t="s">
        <v>26</v>
      </c>
      <c r="AE128" s="9">
        <v>1303323777.8399999</v>
      </c>
      <c r="AF128" s="10">
        <v>1.7597142429500001E-3</v>
      </c>
      <c r="AG128" s="1" t="s">
        <v>26</v>
      </c>
      <c r="AH128" s="1" t="s">
        <v>26</v>
      </c>
      <c r="AI128" s="2" t="s">
        <v>26</v>
      </c>
      <c r="AJ128" s="1" t="s">
        <v>26</v>
      </c>
      <c r="AK128" s="1" t="s">
        <v>26</v>
      </c>
      <c r="AL128" s="1" t="s">
        <v>26</v>
      </c>
      <c r="AM128" s="2" t="s">
        <v>26</v>
      </c>
      <c r="AN128" s="1" t="s">
        <v>26</v>
      </c>
      <c r="AO128" s="1" t="s">
        <v>26</v>
      </c>
      <c r="AP128" s="1" t="s">
        <v>26</v>
      </c>
      <c r="AQ128" s="2" t="s">
        <v>26</v>
      </c>
      <c r="AR128" s="1" t="s">
        <v>26</v>
      </c>
      <c r="AS128" s="1" t="s">
        <v>26</v>
      </c>
      <c r="AT128" s="1" t="s">
        <v>26</v>
      </c>
      <c r="AU128" s="2" t="s">
        <v>26</v>
      </c>
      <c r="AV128" s="1" t="s">
        <v>26</v>
      </c>
      <c r="AW128" s="1" t="s">
        <v>26</v>
      </c>
      <c r="AX128" s="1" t="s">
        <v>26</v>
      </c>
      <c r="AY128" s="9">
        <v>1303323777.8399999</v>
      </c>
      <c r="AZ128" s="10">
        <v>1.5547454718000001E-3</v>
      </c>
      <c r="BA128" s="1" t="s">
        <v>26</v>
      </c>
      <c r="BB128" s="1" t="s">
        <v>26</v>
      </c>
    </row>
    <row r="129" spans="1:54">
      <c r="A129" s="3" t="s">
        <v>88</v>
      </c>
      <c r="B129" s="21" t="s">
        <v>47</v>
      </c>
      <c r="C129" s="22">
        <v>49424489.119999997</v>
      </c>
      <c r="D129" s="44">
        <v>1</v>
      </c>
      <c r="E129" s="9" t="s">
        <v>26</v>
      </c>
      <c r="F129" s="10" t="s">
        <v>26</v>
      </c>
      <c r="G129" s="22">
        <v>741367336.64999998</v>
      </c>
      <c r="H129" s="44">
        <v>1</v>
      </c>
      <c r="I129" s="9" t="s">
        <v>26</v>
      </c>
      <c r="J129" s="10" t="s">
        <v>26</v>
      </c>
      <c r="K129" s="22">
        <v>18287060.969999999</v>
      </c>
      <c r="L129" s="44">
        <v>1</v>
      </c>
      <c r="M129" s="1" t="s">
        <v>26</v>
      </c>
      <c r="N129" s="1" t="s">
        <v>26</v>
      </c>
      <c r="O129" s="2" t="s">
        <v>26</v>
      </c>
      <c r="P129" s="1" t="s">
        <v>26</v>
      </c>
      <c r="Q129" s="1" t="s">
        <v>26</v>
      </c>
      <c r="R129" s="1" t="s">
        <v>26</v>
      </c>
      <c r="S129" s="22">
        <v>494244891.10000002</v>
      </c>
      <c r="T129" s="44">
        <v>1</v>
      </c>
      <c r="U129" s="44" t="s">
        <v>25</v>
      </c>
      <c r="V129" s="44" t="s">
        <v>25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2">
        <v>1303323777.8399999</v>
      </c>
      <c r="AF129" s="44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2">
        <v>1303323777.8399999</v>
      </c>
      <c r="AZ129" s="44">
        <v>1</v>
      </c>
      <c r="BA129" s="44" t="s">
        <v>25</v>
      </c>
      <c r="BB129" s="44" t="s">
        <v>25</v>
      </c>
    </row>
    <row r="130" spans="1:54" s="7" customFormat="1">
      <c r="A130" s="5" t="s">
        <v>103</v>
      </c>
      <c r="B130" s="20" t="s">
        <v>25</v>
      </c>
      <c r="C130" s="9" t="s">
        <v>26</v>
      </c>
      <c r="D130" s="10" t="s">
        <v>26</v>
      </c>
      <c r="E130" s="9" t="s">
        <v>26</v>
      </c>
      <c r="F130" s="10" t="s">
        <v>26</v>
      </c>
      <c r="G130" s="9" t="s">
        <v>26</v>
      </c>
      <c r="H130" s="10" t="s">
        <v>26</v>
      </c>
      <c r="I130" s="9" t="s">
        <v>26</v>
      </c>
      <c r="J130" s="10" t="s">
        <v>26</v>
      </c>
      <c r="K130" s="2" t="s">
        <v>26</v>
      </c>
      <c r="L130" s="1" t="s">
        <v>26</v>
      </c>
      <c r="M130" s="1" t="s">
        <v>26</v>
      </c>
      <c r="N130" s="1" t="s">
        <v>26</v>
      </c>
      <c r="O130" s="9">
        <v>646593689.5</v>
      </c>
      <c r="P130" s="10">
        <v>2.5131538084899999E-3</v>
      </c>
      <c r="Q130" s="1" t="s">
        <v>26</v>
      </c>
      <c r="R130" s="1" t="s">
        <v>26</v>
      </c>
      <c r="S130" s="2" t="s">
        <v>26</v>
      </c>
      <c r="T130" s="1" t="s">
        <v>26</v>
      </c>
      <c r="U130" s="1" t="s">
        <v>26</v>
      </c>
      <c r="V130" s="1" t="s">
        <v>26</v>
      </c>
      <c r="W130" s="2" t="s">
        <v>26</v>
      </c>
      <c r="X130" s="1" t="s">
        <v>26</v>
      </c>
      <c r="Y130" s="1" t="s">
        <v>26</v>
      </c>
      <c r="Z130" s="1" t="s">
        <v>26</v>
      </c>
      <c r="AA130" s="2" t="s">
        <v>26</v>
      </c>
      <c r="AB130" s="1" t="s">
        <v>26</v>
      </c>
      <c r="AC130" s="1" t="s">
        <v>26</v>
      </c>
      <c r="AD130" s="1" t="s">
        <v>26</v>
      </c>
      <c r="AE130" s="9">
        <v>646593689.5</v>
      </c>
      <c r="AF130" s="10">
        <v>8.7301416896999997E-4</v>
      </c>
      <c r="AG130" s="1" t="s">
        <v>26</v>
      </c>
      <c r="AH130" s="1" t="s">
        <v>26</v>
      </c>
      <c r="AI130" s="2" t="s">
        <v>26</v>
      </c>
      <c r="AJ130" s="1" t="s">
        <v>26</v>
      </c>
      <c r="AK130" s="1" t="s">
        <v>26</v>
      </c>
      <c r="AL130" s="1" t="s">
        <v>26</v>
      </c>
      <c r="AM130" s="2" t="s">
        <v>26</v>
      </c>
      <c r="AN130" s="1" t="s">
        <v>26</v>
      </c>
      <c r="AO130" s="1" t="s">
        <v>26</v>
      </c>
      <c r="AP130" s="1" t="s">
        <v>26</v>
      </c>
      <c r="AQ130" s="2" t="s">
        <v>26</v>
      </c>
      <c r="AR130" s="1" t="s">
        <v>26</v>
      </c>
      <c r="AS130" s="1" t="s">
        <v>26</v>
      </c>
      <c r="AT130" s="1" t="s">
        <v>26</v>
      </c>
      <c r="AU130" s="2" t="s">
        <v>26</v>
      </c>
      <c r="AV130" s="1" t="s">
        <v>26</v>
      </c>
      <c r="AW130" s="1" t="s">
        <v>26</v>
      </c>
      <c r="AX130" s="1" t="s">
        <v>26</v>
      </c>
      <c r="AY130" s="9">
        <v>646593689.5</v>
      </c>
      <c r="AZ130" s="10">
        <v>7.7132683983999997E-4</v>
      </c>
      <c r="BA130" s="1" t="s">
        <v>26</v>
      </c>
      <c r="BB130" s="1" t="s">
        <v>26</v>
      </c>
    </row>
    <row r="131" spans="1:54" s="7" customFormat="1">
      <c r="A131" s="3" t="s">
        <v>88</v>
      </c>
      <c r="B131" s="23" t="s">
        <v>104</v>
      </c>
      <c r="C131" s="9" t="s">
        <v>26</v>
      </c>
      <c r="D131" s="10" t="s">
        <v>26</v>
      </c>
      <c r="E131" s="9" t="s">
        <v>26</v>
      </c>
      <c r="F131" s="10" t="s">
        <v>26</v>
      </c>
      <c r="G131" s="9" t="s">
        <v>26</v>
      </c>
      <c r="H131" s="10" t="s">
        <v>26</v>
      </c>
      <c r="I131" s="9" t="s">
        <v>26</v>
      </c>
      <c r="J131" s="10" t="s">
        <v>26</v>
      </c>
      <c r="K131" s="2" t="s">
        <v>26</v>
      </c>
      <c r="L131" s="1" t="s">
        <v>26</v>
      </c>
      <c r="M131" s="1" t="s">
        <v>26</v>
      </c>
      <c r="N131" s="1" t="s">
        <v>26</v>
      </c>
      <c r="O131" s="2">
        <v>646593689.5</v>
      </c>
      <c r="P131" s="1">
        <v>1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646593689.5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646593689.5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121</v>
      </c>
      <c r="B132" s="20" t="s">
        <v>25</v>
      </c>
      <c r="C132" s="9">
        <v>58334865.359999999</v>
      </c>
      <c r="D132" s="10">
        <v>7.2551293930100003E-3</v>
      </c>
      <c r="E132" s="9" t="s">
        <v>26</v>
      </c>
      <c r="F132" s="10" t="s">
        <v>26</v>
      </c>
      <c r="G132" s="9" t="s">
        <v>26</v>
      </c>
      <c r="H132" s="10" t="s">
        <v>26</v>
      </c>
      <c r="I132" s="9" t="s">
        <v>26</v>
      </c>
      <c r="J132" s="10" t="s">
        <v>26</v>
      </c>
      <c r="K132" s="9">
        <v>46053841.079999998</v>
      </c>
      <c r="L132" s="10">
        <v>1.0722517552310001E-2</v>
      </c>
      <c r="M132" s="1" t="s">
        <v>26</v>
      </c>
      <c r="N132" s="1" t="s">
        <v>26</v>
      </c>
      <c r="O132" s="2" t="s">
        <v>26</v>
      </c>
      <c r="P132" s="1" t="s">
        <v>26</v>
      </c>
      <c r="Q132" s="1" t="s">
        <v>26</v>
      </c>
      <c r="R132" s="1" t="s">
        <v>26</v>
      </c>
      <c r="S132" s="2" t="s">
        <v>26</v>
      </c>
      <c r="T132" s="1" t="s">
        <v>26</v>
      </c>
      <c r="U132" s="1" t="s">
        <v>26</v>
      </c>
      <c r="V132" s="1" t="s">
        <v>26</v>
      </c>
      <c r="W132" s="2" t="s">
        <v>26</v>
      </c>
      <c r="X132" s="1" t="s">
        <v>26</v>
      </c>
      <c r="Y132" s="1" t="s">
        <v>26</v>
      </c>
      <c r="Z132" s="1" t="s">
        <v>26</v>
      </c>
      <c r="AA132" s="2" t="s">
        <v>26</v>
      </c>
      <c r="AB132" s="1" t="s">
        <v>26</v>
      </c>
      <c r="AC132" s="1" t="s">
        <v>26</v>
      </c>
      <c r="AD132" s="1" t="s">
        <v>26</v>
      </c>
      <c r="AE132" s="9">
        <v>104388706.44</v>
      </c>
      <c r="AF132" s="10">
        <v>1.4094294652999999E-4</v>
      </c>
      <c r="AG132" s="1" t="s">
        <v>26</v>
      </c>
      <c r="AH132" s="1" t="s">
        <v>26</v>
      </c>
      <c r="AI132" s="2" t="s">
        <v>26</v>
      </c>
      <c r="AJ132" s="1" t="s">
        <v>26</v>
      </c>
      <c r="AK132" s="1" t="s">
        <v>26</v>
      </c>
      <c r="AL132" s="1" t="s">
        <v>26</v>
      </c>
      <c r="AM132" s="2" t="s">
        <v>26</v>
      </c>
      <c r="AN132" s="1" t="s">
        <v>26</v>
      </c>
      <c r="AO132" s="1" t="s">
        <v>26</v>
      </c>
      <c r="AP132" s="1" t="s">
        <v>26</v>
      </c>
      <c r="AQ132" s="2" t="s">
        <v>26</v>
      </c>
      <c r="AR132" s="1" t="s">
        <v>26</v>
      </c>
      <c r="AS132" s="1" t="s">
        <v>26</v>
      </c>
      <c r="AT132" s="1" t="s">
        <v>26</v>
      </c>
      <c r="AU132" s="2" t="s">
        <v>26</v>
      </c>
      <c r="AV132" s="1" t="s">
        <v>26</v>
      </c>
      <c r="AW132" s="1" t="s">
        <v>26</v>
      </c>
      <c r="AX132" s="1" t="s">
        <v>26</v>
      </c>
      <c r="AY132" s="9">
        <v>104388706.44</v>
      </c>
      <c r="AZ132" s="10">
        <v>1.2452613188E-4</v>
      </c>
      <c r="BA132" s="1" t="s">
        <v>26</v>
      </c>
      <c r="BB132" s="1" t="s">
        <v>26</v>
      </c>
    </row>
    <row r="133" spans="1:54" s="7" customFormat="1">
      <c r="A133" s="3" t="s">
        <v>88</v>
      </c>
      <c r="B133" s="23" t="s">
        <v>47</v>
      </c>
      <c r="C133" s="22">
        <v>58334865.359999999</v>
      </c>
      <c r="D133" s="44">
        <v>1</v>
      </c>
      <c r="E133" s="9" t="s">
        <v>26</v>
      </c>
      <c r="F133" s="10" t="s">
        <v>26</v>
      </c>
      <c r="G133" s="9" t="s">
        <v>26</v>
      </c>
      <c r="H133" s="10" t="s">
        <v>26</v>
      </c>
      <c r="I133" s="9" t="s">
        <v>26</v>
      </c>
      <c r="J133" s="10" t="s">
        <v>26</v>
      </c>
      <c r="K133" s="2">
        <v>46053841.079999998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104388706.44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104388706.44</v>
      </c>
      <c r="AZ133" s="1">
        <v>1</v>
      </c>
      <c r="BA133" s="1" t="s">
        <v>26</v>
      </c>
      <c r="BB133" s="1" t="s">
        <v>26</v>
      </c>
    </row>
    <row r="134" spans="1:54" s="7" customFormat="1">
      <c r="A134" s="5" t="s">
        <v>133</v>
      </c>
      <c r="B134" s="20" t="s">
        <v>25</v>
      </c>
      <c r="C134" s="9" t="s">
        <v>26</v>
      </c>
      <c r="D134" s="10" t="s">
        <v>26</v>
      </c>
      <c r="E134" s="9" t="s">
        <v>26</v>
      </c>
      <c r="F134" s="10" t="s">
        <v>26</v>
      </c>
      <c r="G134" s="9" t="s">
        <v>26</v>
      </c>
      <c r="H134" s="10" t="s">
        <v>26</v>
      </c>
      <c r="I134" s="9" t="s">
        <v>26</v>
      </c>
      <c r="J134" s="10" t="s">
        <v>26</v>
      </c>
      <c r="K134" s="9">
        <v>19902016.440000001</v>
      </c>
      <c r="L134" s="10">
        <v>4.6337008075699997E-3</v>
      </c>
      <c r="M134" s="1" t="s">
        <v>26</v>
      </c>
      <c r="N134" s="1" t="s">
        <v>26</v>
      </c>
      <c r="O134" s="2" t="s">
        <v>26</v>
      </c>
      <c r="P134" s="1" t="s">
        <v>26</v>
      </c>
      <c r="Q134" s="1" t="s">
        <v>26</v>
      </c>
      <c r="R134" s="1" t="s">
        <v>26</v>
      </c>
      <c r="S134" s="2" t="s">
        <v>26</v>
      </c>
      <c r="T134" s="1" t="s">
        <v>26</v>
      </c>
      <c r="U134" s="1" t="s">
        <v>26</v>
      </c>
      <c r="V134" s="1" t="s">
        <v>26</v>
      </c>
      <c r="W134" s="2" t="s">
        <v>26</v>
      </c>
      <c r="X134" s="1" t="s">
        <v>26</v>
      </c>
      <c r="Y134" s="1" t="s">
        <v>26</v>
      </c>
      <c r="Z134" s="1" t="s">
        <v>26</v>
      </c>
      <c r="AA134" s="2" t="s">
        <v>26</v>
      </c>
      <c r="AB134" s="1" t="s">
        <v>26</v>
      </c>
      <c r="AC134" s="1" t="s">
        <v>26</v>
      </c>
      <c r="AD134" s="1" t="s">
        <v>26</v>
      </c>
      <c r="AE134" s="9">
        <v>19902016.440000001</v>
      </c>
      <c r="AF134" s="10">
        <v>2.6871190710000002E-5</v>
      </c>
      <c r="AG134" s="1" t="s">
        <v>26</v>
      </c>
      <c r="AH134" s="1" t="s">
        <v>26</v>
      </c>
      <c r="AI134" s="2" t="s">
        <v>26</v>
      </c>
      <c r="AJ134" s="1" t="s">
        <v>26</v>
      </c>
      <c r="AK134" s="1" t="s">
        <v>26</v>
      </c>
      <c r="AL134" s="1" t="s">
        <v>26</v>
      </c>
      <c r="AM134" s="2" t="s">
        <v>26</v>
      </c>
      <c r="AN134" s="1" t="s">
        <v>26</v>
      </c>
      <c r="AO134" s="1" t="s">
        <v>26</v>
      </c>
      <c r="AP134" s="1" t="s">
        <v>26</v>
      </c>
      <c r="AQ134" s="2" t="s">
        <v>26</v>
      </c>
      <c r="AR134" s="1" t="s">
        <v>26</v>
      </c>
      <c r="AS134" s="1" t="s">
        <v>26</v>
      </c>
      <c r="AT134" s="1" t="s">
        <v>26</v>
      </c>
      <c r="AU134" s="2" t="s">
        <v>26</v>
      </c>
      <c r="AV134" s="1" t="s">
        <v>26</v>
      </c>
      <c r="AW134" s="1" t="s">
        <v>26</v>
      </c>
      <c r="AX134" s="1" t="s">
        <v>26</v>
      </c>
      <c r="AY134" s="9">
        <v>19902016.440000001</v>
      </c>
      <c r="AZ134" s="10">
        <v>2.3741276320000001E-5</v>
      </c>
      <c r="BA134" s="1" t="s">
        <v>26</v>
      </c>
      <c r="BB134" s="1" t="s">
        <v>26</v>
      </c>
    </row>
    <row r="135" spans="1:54" s="7" customFormat="1">
      <c r="A135" s="3" t="s">
        <v>88</v>
      </c>
      <c r="B135" s="23" t="s">
        <v>47</v>
      </c>
      <c r="C135" s="9" t="s">
        <v>26</v>
      </c>
      <c r="D135" s="10" t="s">
        <v>26</v>
      </c>
      <c r="E135" s="9" t="s">
        <v>26</v>
      </c>
      <c r="F135" s="10" t="s">
        <v>26</v>
      </c>
      <c r="G135" s="9" t="s">
        <v>26</v>
      </c>
      <c r="H135" s="10" t="s">
        <v>26</v>
      </c>
      <c r="I135" s="9" t="s">
        <v>26</v>
      </c>
      <c r="J135" s="10" t="s">
        <v>26</v>
      </c>
      <c r="K135" s="2">
        <v>19902016.440000001</v>
      </c>
      <c r="L135" s="1">
        <v>1</v>
      </c>
      <c r="M135" s="1" t="s">
        <v>26</v>
      </c>
      <c r="N135" s="1" t="s">
        <v>26</v>
      </c>
      <c r="O135" s="2" t="s">
        <v>26</v>
      </c>
      <c r="P135" s="1" t="s">
        <v>26</v>
      </c>
      <c r="Q135" s="1" t="s">
        <v>26</v>
      </c>
      <c r="R135" s="1" t="s">
        <v>26</v>
      </c>
      <c r="S135" s="2" t="s">
        <v>26</v>
      </c>
      <c r="T135" s="1" t="s">
        <v>26</v>
      </c>
      <c r="U135" s="1" t="s">
        <v>26</v>
      </c>
      <c r="V135" s="1" t="s">
        <v>26</v>
      </c>
      <c r="W135" s="2" t="s">
        <v>26</v>
      </c>
      <c r="X135" s="1" t="s">
        <v>26</v>
      </c>
      <c r="Y135" s="1" t="s">
        <v>26</v>
      </c>
      <c r="Z135" s="1" t="s">
        <v>26</v>
      </c>
      <c r="AA135" s="2" t="s">
        <v>26</v>
      </c>
      <c r="AB135" s="1" t="s">
        <v>26</v>
      </c>
      <c r="AC135" s="1" t="s">
        <v>26</v>
      </c>
      <c r="AD135" s="1" t="s">
        <v>26</v>
      </c>
      <c r="AE135" s="2">
        <v>19902016.440000001</v>
      </c>
      <c r="AF135" s="1">
        <v>1</v>
      </c>
      <c r="AG135" s="1" t="s">
        <v>26</v>
      </c>
      <c r="AH135" s="1" t="s">
        <v>26</v>
      </c>
      <c r="AI135" s="2" t="s">
        <v>26</v>
      </c>
      <c r="AJ135" s="1" t="s">
        <v>26</v>
      </c>
      <c r="AK135" s="1" t="s">
        <v>26</v>
      </c>
      <c r="AL135" s="1" t="s">
        <v>26</v>
      </c>
      <c r="AM135" s="2" t="s">
        <v>26</v>
      </c>
      <c r="AN135" s="1" t="s">
        <v>26</v>
      </c>
      <c r="AO135" s="1" t="s">
        <v>26</v>
      </c>
      <c r="AP135" s="1" t="s">
        <v>26</v>
      </c>
      <c r="AQ135" s="2" t="s">
        <v>26</v>
      </c>
      <c r="AR135" s="1" t="s">
        <v>26</v>
      </c>
      <c r="AS135" s="1" t="s">
        <v>26</v>
      </c>
      <c r="AT135" s="1" t="s">
        <v>26</v>
      </c>
      <c r="AU135" s="2" t="s">
        <v>26</v>
      </c>
      <c r="AV135" s="1" t="s">
        <v>26</v>
      </c>
      <c r="AW135" s="1" t="s">
        <v>26</v>
      </c>
      <c r="AX135" s="1" t="s">
        <v>26</v>
      </c>
      <c r="AY135" s="2">
        <v>19902016.440000001</v>
      </c>
      <c r="AZ135" s="1">
        <v>1</v>
      </c>
      <c r="BA135" s="1" t="s">
        <v>26</v>
      </c>
      <c r="BB135" s="1" t="s">
        <v>26</v>
      </c>
    </row>
    <row r="136" spans="1:54" s="7" customFormat="1">
      <c r="A136" s="5" t="s">
        <v>126</v>
      </c>
      <c r="B136" s="20" t="s">
        <v>25</v>
      </c>
      <c r="C136" s="9" t="s">
        <v>26</v>
      </c>
      <c r="D136" s="10" t="s">
        <v>26</v>
      </c>
      <c r="E136" s="9" t="s">
        <v>26</v>
      </c>
      <c r="F136" s="10" t="s">
        <v>26</v>
      </c>
      <c r="G136" s="9" t="s">
        <v>26</v>
      </c>
      <c r="H136" s="10" t="s">
        <v>26</v>
      </c>
      <c r="I136" s="9" t="s">
        <v>26</v>
      </c>
      <c r="J136" s="10" t="s">
        <v>26</v>
      </c>
      <c r="K136" s="9">
        <v>63033783.840000004</v>
      </c>
      <c r="L136" s="10">
        <v>1.4675884524780001E-2</v>
      </c>
      <c r="M136" s="1" t="s">
        <v>26</v>
      </c>
      <c r="N136" s="1" t="s">
        <v>26</v>
      </c>
      <c r="O136" s="2" t="s">
        <v>26</v>
      </c>
      <c r="P136" s="1" t="s">
        <v>26</v>
      </c>
      <c r="Q136" s="1" t="s">
        <v>26</v>
      </c>
      <c r="R136" s="1" t="s">
        <v>26</v>
      </c>
      <c r="S136" s="2" t="s">
        <v>26</v>
      </c>
      <c r="T136" s="1" t="s">
        <v>26</v>
      </c>
      <c r="U136" s="1" t="s">
        <v>26</v>
      </c>
      <c r="V136" s="1" t="s">
        <v>26</v>
      </c>
      <c r="W136" s="2" t="s">
        <v>26</v>
      </c>
      <c r="X136" s="1" t="s">
        <v>26</v>
      </c>
      <c r="Y136" s="1" t="s">
        <v>26</v>
      </c>
      <c r="Z136" s="1" t="s">
        <v>26</v>
      </c>
      <c r="AA136" s="2" t="s">
        <v>26</v>
      </c>
      <c r="AB136" s="1" t="s">
        <v>26</v>
      </c>
      <c r="AC136" s="1" t="s">
        <v>26</v>
      </c>
      <c r="AD136" s="1" t="s">
        <v>26</v>
      </c>
      <c r="AE136" s="9">
        <v>63033783.840000004</v>
      </c>
      <c r="AF136" s="10">
        <v>8.5106593690000002E-5</v>
      </c>
      <c r="AG136" s="1" t="s">
        <v>26</v>
      </c>
      <c r="AH136" s="1" t="s">
        <v>26</v>
      </c>
      <c r="AI136" s="2" t="s">
        <v>26</v>
      </c>
      <c r="AJ136" s="1" t="s">
        <v>26</v>
      </c>
      <c r="AK136" s="1" t="s">
        <v>26</v>
      </c>
      <c r="AL136" s="1" t="s">
        <v>26</v>
      </c>
      <c r="AM136" s="2" t="s">
        <v>26</v>
      </c>
      <c r="AN136" s="1" t="s">
        <v>26</v>
      </c>
      <c r="AO136" s="1" t="s">
        <v>26</v>
      </c>
      <c r="AP136" s="1" t="s">
        <v>26</v>
      </c>
      <c r="AQ136" s="2" t="s">
        <v>26</v>
      </c>
      <c r="AR136" s="1" t="s">
        <v>26</v>
      </c>
      <c r="AS136" s="1" t="s">
        <v>26</v>
      </c>
      <c r="AT136" s="1" t="s">
        <v>26</v>
      </c>
      <c r="AU136" s="2" t="s">
        <v>26</v>
      </c>
      <c r="AV136" s="1" t="s">
        <v>26</v>
      </c>
      <c r="AW136" s="1" t="s">
        <v>26</v>
      </c>
      <c r="AX136" s="1" t="s">
        <v>26</v>
      </c>
      <c r="AY136" s="9">
        <v>63033783.840000004</v>
      </c>
      <c r="AZ136" s="10">
        <v>7.5193510359999999E-5</v>
      </c>
      <c r="BA136" s="1" t="s">
        <v>26</v>
      </c>
      <c r="BB136" s="1" t="s">
        <v>26</v>
      </c>
    </row>
    <row r="137" spans="1:54" s="25" customFormat="1">
      <c r="A137" s="3" t="s">
        <v>88</v>
      </c>
      <c r="B137" s="23" t="s">
        <v>47</v>
      </c>
      <c r="C137" s="9" t="s">
        <v>26</v>
      </c>
      <c r="D137" s="10" t="s">
        <v>26</v>
      </c>
      <c r="E137" s="9" t="s">
        <v>26</v>
      </c>
      <c r="F137" s="10" t="s">
        <v>26</v>
      </c>
      <c r="G137" s="9" t="s">
        <v>26</v>
      </c>
      <c r="H137" s="10" t="s">
        <v>26</v>
      </c>
      <c r="I137" s="9" t="s">
        <v>26</v>
      </c>
      <c r="J137" s="10" t="s">
        <v>26</v>
      </c>
      <c r="K137" s="2">
        <v>63033783.840000004</v>
      </c>
      <c r="L137" s="1">
        <v>1</v>
      </c>
      <c r="M137" s="1" t="s">
        <v>26</v>
      </c>
      <c r="N137" s="1" t="s">
        <v>26</v>
      </c>
      <c r="O137" s="2" t="s">
        <v>26</v>
      </c>
      <c r="P137" s="1" t="s">
        <v>26</v>
      </c>
      <c r="Q137" s="1" t="s">
        <v>26</v>
      </c>
      <c r="R137" s="1" t="s">
        <v>26</v>
      </c>
      <c r="S137" s="2" t="s">
        <v>26</v>
      </c>
      <c r="T137" s="1" t="s">
        <v>26</v>
      </c>
      <c r="U137" s="1" t="s">
        <v>26</v>
      </c>
      <c r="V137" s="1" t="s">
        <v>26</v>
      </c>
      <c r="W137" s="2" t="s">
        <v>26</v>
      </c>
      <c r="X137" s="1" t="s">
        <v>26</v>
      </c>
      <c r="Y137" s="1" t="s">
        <v>26</v>
      </c>
      <c r="Z137" s="1" t="s">
        <v>26</v>
      </c>
      <c r="AA137" s="2" t="s">
        <v>26</v>
      </c>
      <c r="AB137" s="1" t="s">
        <v>26</v>
      </c>
      <c r="AC137" s="1" t="s">
        <v>26</v>
      </c>
      <c r="AD137" s="1" t="s">
        <v>26</v>
      </c>
      <c r="AE137" s="2">
        <v>63033783.840000004</v>
      </c>
      <c r="AF137" s="1">
        <v>1</v>
      </c>
      <c r="AG137" s="1" t="s">
        <v>26</v>
      </c>
      <c r="AH137" s="1" t="s">
        <v>26</v>
      </c>
      <c r="AI137" s="2" t="s">
        <v>26</v>
      </c>
      <c r="AJ137" s="1" t="s">
        <v>26</v>
      </c>
      <c r="AK137" s="1" t="s">
        <v>26</v>
      </c>
      <c r="AL137" s="1" t="s">
        <v>26</v>
      </c>
      <c r="AM137" s="2" t="s">
        <v>26</v>
      </c>
      <c r="AN137" s="1" t="s">
        <v>26</v>
      </c>
      <c r="AO137" s="1" t="s">
        <v>26</v>
      </c>
      <c r="AP137" s="1" t="s">
        <v>26</v>
      </c>
      <c r="AQ137" s="2" t="s">
        <v>26</v>
      </c>
      <c r="AR137" s="1" t="s">
        <v>26</v>
      </c>
      <c r="AS137" s="1" t="s">
        <v>26</v>
      </c>
      <c r="AT137" s="1" t="s">
        <v>26</v>
      </c>
      <c r="AU137" s="2" t="s">
        <v>26</v>
      </c>
      <c r="AV137" s="1" t="s">
        <v>26</v>
      </c>
      <c r="AW137" s="1" t="s">
        <v>26</v>
      </c>
      <c r="AX137" s="1" t="s">
        <v>26</v>
      </c>
      <c r="AY137" s="2">
        <v>63033783.840000004</v>
      </c>
      <c r="AZ137" s="1">
        <v>1</v>
      </c>
      <c r="BA137" s="1" t="s">
        <v>26</v>
      </c>
      <c r="BB137" s="1" t="s">
        <v>26</v>
      </c>
    </row>
    <row r="138" spans="1:54" s="7" customFormat="1">
      <c r="A138" s="12" t="s">
        <v>106</v>
      </c>
      <c r="B138" s="40" t="s">
        <v>25</v>
      </c>
      <c r="C138" s="42" t="s">
        <v>26</v>
      </c>
      <c r="D138" s="43" t="s">
        <v>26</v>
      </c>
      <c r="E138" s="43" t="s">
        <v>26</v>
      </c>
      <c r="F138" s="43" t="s">
        <v>26</v>
      </c>
      <c r="G138" s="42">
        <v>132265490.36</v>
      </c>
      <c r="H138" s="43">
        <v>7.4467108934000005E-4</v>
      </c>
      <c r="I138" s="43">
        <v>0.05</v>
      </c>
      <c r="J138" s="43">
        <f>+I138-H138</f>
        <v>4.925532891066E-2</v>
      </c>
      <c r="K138" s="42" t="s">
        <v>26</v>
      </c>
      <c r="L138" s="43" t="s">
        <v>26</v>
      </c>
      <c r="M138" s="43" t="s">
        <v>26</v>
      </c>
      <c r="N138" s="43" t="s">
        <v>26</v>
      </c>
      <c r="O138" s="42" t="s">
        <v>26</v>
      </c>
      <c r="P138" s="43" t="s">
        <v>26</v>
      </c>
      <c r="Q138" s="43" t="s">
        <v>26</v>
      </c>
      <c r="R138" s="43" t="s">
        <v>26</v>
      </c>
      <c r="S138" s="42">
        <v>132265490.36</v>
      </c>
      <c r="T138" s="43">
        <v>1.0374956508700001E-3</v>
      </c>
      <c r="U138" s="43">
        <v>0.05</v>
      </c>
      <c r="V138" s="43">
        <f>+U138-T138</f>
        <v>4.896250434913E-2</v>
      </c>
      <c r="W138" s="42" t="s">
        <v>26</v>
      </c>
      <c r="X138" s="43" t="s">
        <v>26</v>
      </c>
      <c r="Y138" s="43" t="s">
        <v>26</v>
      </c>
      <c r="Z138" s="43" t="s">
        <v>26</v>
      </c>
      <c r="AA138" s="42">
        <v>132265490.36</v>
      </c>
      <c r="AB138" s="43">
        <v>8.3438961508E-4</v>
      </c>
      <c r="AC138" s="43">
        <v>0.05</v>
      </c>
      <c r="AD138" s="47">
        <f>+AC138-AB138</f>
        <v>4.9165610384920004E-2</v>
      </c>
      <c r="AE138" s="42">
        <v>396796471.07999998</v>
      </c>
      <c r="AF138" s="43">
        <v>5.3574438952000002E-4</v>
      </c>
      <c r="AG138" s="43">
        <v>0.05</v>
      </c>
      <c r="AH138" s="43">
        <f>+AG138-AF138</f>
        <v>4.9464255610480005E-2</v>
      </c>
      <c r="AI138" s="42" t="s">
        <v>26</v>
      </c>
      <c r="AJ138" s="43" t="s">
        <v>26</v>
      </c>
      <c r="AK138" s="43" t="s">
        <v>26</v>
      </c>
      <c r="AL138" s="43" t="s">
        <v>26</v>
      </c>
      <c r="AM138" s="42" t="s">
        <v>26</v>
      </c>
      <c r="AN138" s="43" t="s">
        <v>26</v>
      </c>
      <c r="AO138" s="43" t="s">
        <v>26</v>
      </c>
      <c r="AP138" s="43" t="s">
        <v>26</v>
      </c>
      <c r="AQ138" s="42" t="s">
        <v>26</v>
      </c>
      <c r="AR138" s="43" t="s">
        <v>26</v>
      </c>
      <c r="AS138" s="43" t="s">
        <v>26</v>
      </c>
      <c r="AT138" s="43" t="s">
        <v>26</v>
      </c>
      <c r="AU138" s="42" t="s">
        <v>26</v>
      </c>
      <c r="AV138" s="43" t="s">
        <v>26</v>
      </c>
      <c r="AW138" s="43" t="s">
        <v>26</v>
      </c>
      <c r="AX138" s="43" t="s">
        <v>26</v>
      </c>
      <c r="AY138" s="42">
        <v>396796471.07999998</v>
      </c>
      <c r="AZ138" s="43">
        <v>4.7334171839999998E-4</v>
      </c>
      <c r="BA138" s="43">
        <v>0.05</v>
      </c>
      <c r="BB138" s="43">
        <f>+BA138-AZ138</f>
        <v>4.9526658281600001E-2</v>
      </c>
    </row>
    <row r="139" spans="1:54" s="7" customFormat="1">
      <c r="A139" s="5" t="s">
        <v>107</v>
      </c>
      <c r="B139" s="20" t="s">
        <v>25</v>
      </c>
      <c r="C139" s="9" t="s">
        <v>26</v>
      </c>
      <c r="D139" s="10" t="s">
        <v>26</v>
      </c>
      <c r="E139" s="10" t="s">
        <v>26</v>
      </c>
      <c r="F139" s="10" t="s">
        <v>26</v>
      </c>
      <c r="G139" s="9">
        <v>132265490.36</v>
      </c>
      <c r="H139" s="10">
        <v>7.4467108934000005E-4</v>
      </c>
      <c r="I139" s="9" t="s">
        <v>26</v>
      </c>
      <c r="J139" s="10" t="s">
        <v>26</v>
      </c>
      <c r="K139" s="2" t="s">
        <v>26</v>
      </c>
      <c r="L139" s="1" t="s">
        <v>26</v>
      </c>
      <c r="M139" s="1" t="s">
        <v>26</v>
      </c>
      <c r="N139" s="1" t="s">
        <v>26</v>
      </c>
      <c r="O139" s="2" t="s">
        <v>26</v>
      </c>
      <c r="P139" s="1" t="s">
        <v>26</v>
      </c>
      <c r="Q139" s="1" t="s">
        <v>26</v>
      </c>
      <c r="R139" s="1" t="s">
        <v>26</v>
      </c>
      <c r="S139" s="9">
        <v>132265490.36</v>
      </c>
      <c r="T139" s="10">
        <v>1.0374956508700001E-3</v>
      </c>
      <c r="U139" s="1" t="s">
        <v>26</v>
      </c>
      <c r="V139" s="1" t="s">
        <v>26</v>
      </c>
      <c r="W139" s="2" t="s">
        <v>26</v>
      </c>
      <c r="X139" s="1" t="s">
        <v>26</v>
      </c>
      <c r="Y139" s="1" t="s">
        <v>26</v>
      </c>
      <c r="Z139" s="1" t="s">
        <v>26</v>
      </c>
      <c r="AA139" s="9">
        <v>132265490.36</v>
      </c>
      <c r="AB139" s="10">
        <v>8.3438961508E-4</v>
      </c>
      <c r="AC139" s="1" t="s">
        <v>26</v>
      </c>
      <c r="AD139" s="1" t="s">
        <v>26</v>
      </c>
      <c r="AE139" s="9">
        <v>396796471.07999998</v>
      </c>
      <c r="AF139" s="10">
        <v>5.3574438952000002E-4</v>
      </c>
      <c r="AG139" s="10" t="s">
        <v>26</v>
      </c>
      <c r="AH139" s="10" t="s">
        <v>26</v>
      </c>
      <c r="AI139" s="2" t="s">
        <v>26</v>
      </c>
      <c r="AJ139" s="1" t="s">
        <v>26</v>
      </c>
      <c r="AK139" s="1" t="s">
        <v>26</v>
      </c>
      <c r="AL139" s="1" t="s">
        <v>26</v>
      </c>
      <c r="AM139" s="2" t="s">
        <v>26</v>
      </c>
      <c r="AN139" s="1" t="s">
        <v>26</v>
      </c>
      <c r="AO139" s="1" t="s">
        <v>26</v>
      </c>
      <c r="AP139" s="1" t="s">
        <v>26</v>
      </c>
      <c r="AQ139" s="2" t="s">
        <v>26</v>
      </c>
      <c r="AR139" s="1" t="s">
        <v>26</v>
      </c>
      <c r="AS139" s="1" t="s">
        <v>26</v>
      </c>
      <c r="AT139" s="1" t="s">
        <v>26</v>
      </c>
      <c r="AU139" s="2" t="s">
        <v>26</v>
      </c>
      <c r="AV139" s="1" t="s">
        <v>26</v>
      </c>
      <c r="AW139" s="1" t="s">
        <v>26</v>
      </c>
      <c r="AX139" s="1" t="s">
        <v>26</v>
      </c>
      <c r="AY139" s="9">
        <v>396796471.07999998</v>
      </c>
      <c r="AZ139" s="10">
        <v>4.7334171839999998E-4</v>
      </c>
      <c r="BA139" s="1" t="s">
        <v>26</v>
      </c>
      <c r="BB139" s="1" t="s">
        <v>26</v>
      </c>
    </row>
    <row r="140" spans="1:54" s="25" customFormat="1">
      <c r="A140" s="3" t="s">
        <v>108</v>
      </c>
      <c r="B140" s="23" t="s">
        <v>40</v>
      </c>
      <c r="C140" s="2" t="s">
        <v>26</v>
      </c>
      <c r="D140" s="1" t="s">
        <v>26</v>
      </c>
      <c r="E140" s="1" t="s">
        <v>26</v>
      </c>
      <c r="F140" s="1" t="s">
        <v>26</v>
      </c>
      <c r="G140" s="2">
        <v>132265490.36</v>
      </c>
      <c r="H140" s="1">
        <v>1</v>
      </c>
      <c r="I140" s="9" t="s">
        <v>26</v>
      </c>
      <c r="J140" s="10" t="s">
        <v>26</v>
      </c>
      <c r="K140" s="2" t="s">
        <v>26</v>
      </c>
      <c r="L140" s="1" t="s">
        <v>26</v>
      </c>
      <c r="M140" s="1" t="s">
        <v>26</v>
      </c>
      <c r="N140" s="1" t="s">
        <v>26</v>
      </c>
      <c r="O140" s="2" t="s">
        <v>26</v>
      </c>
      <c r="P140" s="1" t="s">
        <v>26</v>
      </c>
      <c r="Q140" s="1" t="s">
        <v>26</v>
      </c>
      <c r="R140" s="1" t="s">
        <v>26</v>
      </c>
      <c r="S140" s="2">
        <v>132265490.36</v>
      </c>
      <c r="T140" s="1">
        <v>1</v>
      </c>
      <c r="U140" s="1" t="s">
        <v>26</v>
      </c>
      <c r="V140" s="1" t="s">
        <v>26</v>
      </c>
      <c r="W140" s="2" t="s">
        <v>26</v>
      </c>
      <c r="X140" s="1" t="s">
        <v>26</v>
      </c>
      <c r="Y140" s="1" t="s">
        <v>26</v>
      </c>
      <c r="Z140" s="1" t="s">
        <v>26</v>
      </c>
      <c r="AA140" s="2">
        <v>132265490.36</v>
      </c>
      <c r="AB140" s="1">
        <v>1</v>
      </c>
      <c r="AC140" s="1" t="s">
        <v>26</v>
      </c>
      <c r="AD140" s="1" t="s">
        <v>26</v>
      </c>
      <c r="AE140" s="2">
        <v>396796471.07999998</v>
      </c>
      <c r="AF140" s="1">
        <v>1</v>
      </c>
      <c r="AG140" s="1" t="s">
        <v>26</v>
      </c>
      <c r="AH140" s="1" t="s">
        <v>26</v>
      </c>
      <c r="AI140" s="2" t="s">
        <v>26</v>
      </c>
      <c r="AJ140" s="1" t="s">
        <v>26</v>
      </c>
      <c r="AK140" s="1" t="s">
        <v>26</v>
      </c>
      <c r="AL140" s="1" t="s">
        <v>26</v>
      </c>
      <c r="AM140" s="2" t="s">
        <v>26</v>
      </c>
      <c r="AN140" s="1" t="s">
        <v>26</v>
      </c>
      <c r="AO140" s="1" t="s">
        <v>26</v>
      </c>
      <c r="AP140" s="1" t="s">
        <v>26</v>
      </c>
      <c r="AQ140" s="2" t="s">
        <v>26</v>
      </c>
      <c r="AR140" s="1" t="s">
        <v>26</v>
      </c>
      <c r="AS140" s="1" t="s">
        <v>26</v>
      </c>
      <c r="AT140" s="1" t="s">
        <v>26</v>
      </c>
      <c r="AU140" s="2" t="s">
        <v>26</v>
      </c>
      <c r="AV140" s="1" t="s">
        <v>26</v>
      </c>
      <c r="AW140" s="1" t="s">
        <v>26</v>
      </c>
      <c r="AX140" s="1" t="s">
        <v>26</v>
      </c>
      <c r="AY140" s="2">
        <v>396796471.07999998</v>
      </c>
      <c r="AZ140" s="1">
        <v>1</v>
      </c>
      <c r="BA140" s="1" t="s">
        <v>26</v>
      </c>
      <c r="BB140" s="1" t="s">
        <v>26</v>
      </c>
    </row>
    <row r="141" spans="1:54" s="7" customFormat="1">
      <c r="A141" s="12" t="s">
        <v>109</v>
      </c>
      <c r="B141" s="40" t="s">
        <v>25</v>
      </c>
      <c r="C141" s="42">
        <v>8038756357.6400003</v>
      </c>
      <c r="D141" s="43">
        <v>0.99980000000000002</v>
      </c>
      <c r="E141" s="43" t="s">
        <v>26</v>
      </c>
      <c r="F141" s="43" t="s">
        <v>26</v>
      </c>
      <c r="G141" s="42">
        <v>177615050678.85999</v>
      </c>
      <c r="H141" s="43">
        <v>1</v>
      </c>
      <c r="I141" s="43" t="s">
        <v>26</v>
      </c>
      <c r="J141" s="43" t="s">
        <v>26</v>
      </c>
      <c r="K141" s="42">
        <v>4294564377.46</v>
      </c>
      <c r="L141" s="43">
        <v>0.99990000000000001</v>
      </c>
      <c r="M141" s="43" t="s">
        <v>26</v>
      </c>
      <c r="N141" s="43" t="s">
        <v>26</v>
      </c>
      <c r="O141" s="42">
        <v>257283579690.94</v>
      </c>
      <c r="P141" s="43">
        <v>1</v>
      </c>
      <c r="Q141" s="43" t="s">
        <v>26</v>
      </c>
      <c r="R141" s="43" t="s">
        <v>26</v>
      </c>
      <c r="S141" s="42">
        <v>127485115398.74001</v>
      </c>
      <c r="T141" s="43">
        <v>1</v>
      </c>
      <c r="U141" s="43" t="s">
        <v>26</v>
      </c>
      <c r="V141" s="43" t="s">
        <v>26</v>
      </c>
      <c r="W141" s="42">
        <v>7393297083.8500004</v>
      </c>
      <c r="X141" s="43">
        <v>0.99819999999999998</v>
      </c>
      <c r="Y141" s="43" t="s">
        <v>26</v>
      </c>
      <c r="Z141" s="43" t="s">
        <v>26</v>
      </c>
      <c r="AA141" s="42">
        <v>158517473420.14001</v>
      </c>
      <c r="AB141" s="43">
        <v>1</v>
      </c>
      <c r="AC141" s="43" t="s">
        <v>26</v>
      </c>
      <c r="AD141" s="43" t="s">
        <v>26</v>
      </c>
      <c r="AE141" s="42">
        <v>740627837007.63</v>
      </c>
      <c r="AF141" s="43">
        <v>1</v>
      </c>
      <c r="AG141" s="43" t="s">
        <v>26</v>
      </c>
      <c r="AH141" s="43" t="s">
        <v>26</v>
      </c>
      <c r="AI141" s="42">
        <v>18922543495.150002</v>
      </c>
      <c r="AJ141" s="43">
        <v>1</v>
      </c>
      <c r="AK141" s="43" t="s">
        <v>26</v>
      </c>
      <c r="AL141" s="43" t="s">
        <v>26</v>
      </c>
      <c r="AM141" s="42">
        <v>25212266384.52</v>
      </c>
      <c r="AN141" s="43">
        <v>0.99990000000000001</v>
      </c>
      <c r="AO141" s="43" t="s">
        <v>26</v>
      </c>
      <c r="AP141" s="43" t="s">
        <v>26</v>
      </c>
      <c r="AQ141" s="42">
        <v>44134809879.669998</v>
      </c>
      <c r="AR141" s="43">
        <v>1</v>
      </c>
      <c r="AS141" s="43" t="s">
        <v>26</v>
      </c>
      <c r="AT141" s="43" t="s">
        <v>26</v>
      </c>
      <c r="AU141" s="42">
        <v>53505873745.379997</v>
      </c>
      <c r="AV141" s="43">
        <v>1</v>
      </c>
      <c r="AW141" s="43" t="s">
        <v>26</v>
      </c>
      <c r="AX141" s="43" t="s">
        <v>26</v>
      </c>
      <c r="AY141" s="42">
        <v>838268520632.68005</v>
      </c>
      <c r="AZ141" s="43">
        <v>1</v>
      </c>
      <c r="BA141" s="43" t="s">
        <v>26</v>
      </c>
      <c r="BB141" s="43" t="s">
        <v>26</v>
      </c>
    </row>
    <row r="142" spans="1:54" s="41" customFormat="1">
      <c r="A142" s="3" t="s">
        <v>110</v>
      </c>
      <c r="B142" s="23" t="s">
        <v>25</v>
      </c>
      <c r="C142" s="2">
        <v>1743294.4</v>
      </c>
      <c r="D142" s="1">
        <v>2.0000000000000001E-4</v>
      </c>
      <c r="E142" s="1" t="s">
        <v>26</v>
      </c>
      <c r="F142" s="1" t="s">
        <v>26</v>
      </c>
      <c r="G142" s="2">
        <v>936102.1</v>
      </c>
      <c r="H142" s="1">
        <v>0</v>
      </c>
      <c r="I142" s="9" t="s">
        <v>26</v>
      </c>
      <c r="J142" s="10" t="s">
        <v>26</v>
      </c>
      <c r="K142" s="2">
        <v>494208.86</v>
      </c>
      <c r="L142" s="1">
        <v>1E-4</v>
      </c>
      <c r="M142" s="9" t="s">
        <v>26</v>
      </c>
      <c r="N142" s="10" t="s">
        <v>26</v>
      </c>
      <c r="O142" s="2">
        <v>191527</v>
      </c>
      <c r="P142" s="1">
        <v>0</v>
      </c>
      <c r="Q142" s="9" t="s">
        <v>26</v>
      </c>
      <c r="R142" s="10" t="s">
        <v>26</v>
      </c>
      <c r="S142" s="2">
        <v>228996.3</v>
      </c>
      <c r="T142" s="1">
        <v>0</v>
      </c>
      <c r="U142" s="9" t="s">
        <v>26</v>
      </c>
      <c r="V142" s="10" t="s">
        <v>26</v>
      </c>
      <c r="W142" s="2">
        <v>13507396.34</v>
      </c>
      <c r="X142" s="1">
        <v>1.8E-3</v>
      </c>
      <c r="Y142" s="9" t="s">
        <v>26</v>
      </c>
      <c r="Z142" s="10" t="s">
        <v>26</v>
      </c>
      <c r="AA142" s="2">
        <v>187836.71</v>
      </c>
      <c r="AB142" s="1">
        <v>0</v>
      </c>
      <c r="AC142" s="9" t="s">
        <v>26</v>
      </c>
      <c r="AD142" s="10" t="s">
        <v>26</v>
      </c>
      <c r="AE142" s="2">
        <v>17289361.710000001</v>
      </c>
      <c r="AF142" s="1">
        <v>0</v>
      </c>
      <c r="AG142" s="9" t="s">
        <v>26</v>
      </c>
      <c r="AH142" s="10" t="s">
        <v>26</v>
      </c>
      <c r="AI142" s="2">
        <v>62028.56</v>
      </c>
      <c r="AJ142" s="1">
        <v>0</v>
      </c>
      <c r="AK142" s="9" t="s">
        <v>26</v>
      </c>
      <c r="AL142" s="10" t="s">
        <v>26</v>
      </c>
      <c r="AM142" s="2">
        <v>1603853.81</v>
      </c>
      <c r="AN142" s="1">
        <v>1E-4</v>
      </c>
      <c r="AO142" s="9" t="s">
        <v>26</v>
      </c>
      <c r="AP142" s="10" t="s">
        <v>26</v>
      </c>
      <c r="AQ142" s="2">
        <v>1665882.37</v>
      </c>
      <c r="AR142" s="1">
        <v>0</v>
      </c>
      <c r="AS142" s="9" t="s">
        <v>26</v>
      </c>
      <c r="AT142" s="10" t="s">
        <v>26</v>
      </c>
      <c r="AU142" s="2">
        <v>77604.460000000006</v>
      </c>
      <c r="AV142" s="1">
        <v>0</v>
      </c>
      <c r="AW142" s="9" t="s">
        <v>26</v>
      </c>
      <c r="AX142" s="10" t="s">
        <v>26</v>
      </c>
      <c r="AY142" s="2">
        <v>19032848.539999999</v>
      </c>
      <c r="AZ142" s="1">
        <v>0</v>
      </c>
      <c r="BA142" s="9" t="s">
        <v>26</v>
      </c>
      <c r="BB142" s="10" t="s">
        <v>26</v>
      </c>
    </row>
    <row r="143" spans="1:54">
      <c r="A143" s="12" t="s">
        <v>111</v>
      </c>
      <c r="B143" s="40" t="s">
        <v>25</v>
      </c>
      <c r="C143" s="42">
        <v>8040499652.04</v>
      </c>
      <c r="D143" s="43">
        <v>1</v>
      </c>
      <c r="E143" s="43" t="s">
        <v>26</v>
      </c>
      <c r="F143" s="43" t="s">
        <v>26</v>
      </c>
      <c r="G143" s="42">
        <v>177615986780.95999</v>
      </c>
      <c r="H143" s="43">
        <v>1</v>
      </c>
      <c r="I143" s="43" t="s">
        <v>26</v>
      </c>
      <c r="J143" s="43" t="s">
        <v>26</v>
      </c>
      <c r="K143" s="42">
        <v>4295058586.3199997</v>
      </c>
      <c r="L143" s="43">
        <v>1</v>
      </c>
      <c r="M143" s="43" t="s">
        <v>26</v>
      </c>
      <c r="N143" s="43" t="s">
        <v>26</v>
      </c>
      <c r="O143" s="42">
        <v>257283771217.94</v>
      </c>
      <c r="P143" s="43">
        <v>1</v>
      </c>
      <c r="Q143" s="43" t="s">
        <v>26</v>
      </c>
      <c r="R143" s="43" t="s">
        <v>26</v>
      </c>
      <c r="S143" s="42">
        <v>127485344395.03999</v>
      </c>
      <c r="T143" s="43">
        <v>1</v>
      </c>
      <c r="U143" s="43" t="s">
        <v>26</v>
      </c>
      <c r="V143" s="43" t="s">
        <v>26</v>
      </c>
      <c r="W143" s="42">
        <v>7406804480.1899996</v>
      </c>
      <c r="X143" s="43">
        <v>1</v>
      </c>
      <c r="Y143" s="43" t="s">
        <v>26</v>
      </c>
      <c r="Z143" s="43" t="s">
        <v>26</v>
      </c>
      <c r="AA143" s="42">
        <v>158517661256.85001</v>
      </c>
      <c r="AB143" s="43">
        <v>1</v>
      </c>
      <c r="AC143" s="43" t="s">
        <v>26</v>
      </c>
      <c r="AD143" s="43" t="s">
        <v>26</v>
      </c>
      <c r="AE143" s="42">
        <v>740645126369.33997</v>
      </c>
      <c r="AF143" s="43">
        <v>1</v>
      </c>
      <c r="AG143" s="43" t="s">
        <v>26</v>
      </c>
      <c r="AH143" s="43" t="s">
        <v>26</v>
      </c>
      <c r="AI143" s="42">
        <v>18922605523.709999</v>
      </c>
      <c r="AJ143" s="43">
        <v>1</v>
      </c>
      <c r="AK143" s="43" t="s">
        <v>26</v>
      </c>
      <c r="AL143" s="43" t="s">
        <v>26</v>
      </c>
      <c r="AM143" s="42">
        <v>25213870238.330002</v>
      </c>
      <c r="AN143" s="43">
        <v>1</v>
      </c>
      <c r="AO143" s="43" t="s">
        <v>26</v>
      </c>
      <c r="AP143" s="43" t="s">
        <v>26</v>
      </c>
      <c r="AQ143" s="42">
        <v>44136475762.040001</v>
      </c>
      <c r="AR143" s="43">
        <v>1</v>
      </c>
      <c r="AS143" s="43" t="s">
        <v>26</v>
      </c>
      <c r="AT143" s="43" t="s">
        <v>26</v>
      </c>
      <c r="AU143" s="42">
        <v>53505951349.839996</v>
      </c>
      <c r="AV143" s="43">
        <v>1</v>
      </c>
      <c r="AW143" s="43" t="s">
        <v>26</v>
      </c>
      <c r="AX143" s="43" t="s">
        <v>26</v>
      </c>
      <c r="AY143" s="42">
        <v>838287553481.21997</v>
      </c>
      <c r="AZ143" s="43">
        <v>1</v>
      </c>
      <c r="BA143" s="43" t="s">
        <v>26</v>
      </c>
      <c r="BB143" s="43" t="s">
        <v>26</v>
      </c>
    </row>
    <row r="144" spans="1:54">
      <c r="A144" s="24"/>
    </row>
    <row r="145" spans="1:51">
      <c r="A145" s="17" t="s">
        <v>112</v>
      </c>
      <c r="D145" s="37"/>
      <c r="AY145" s="39"/>
    </row>
    <row r="146" spans="1:51">
      <c r="A146" s="24" t="s">
        <v>113</v>
      </c>
      <c r="D146" s="37"/>
    </row>
    <row r="147" spans="1:51">
      <c r="A147" s="24" t="s">
        <v>114</v>
      </c>
      <c r="AY147" s="37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3"/>
  <sheetViews>
    <sheetView zoomScaleNormal="100" workbookViewId="0">
      <pane xSplit="2" ySplit="7" topLeftCell="C104" activePane="bottomRight" state="frozen"/>
      <selection pane="topRight" activeCell="C1" sqref="C1"/>
      <selection pane="bottomLeft" activeCell="A8" sqref="A8"/>
      <selection pane="bottomRight" activeCell="I31" sqref="I31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.42578125" style="13" customWidth="1"/>
    <col min="53" max="53" width="9.7109375" style="8" customWidth="1"/>
    <col min="54" max="54" width="10.42578125" style="8" customWidth="1"/>
    <col min="55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136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25" customFormat="1">
      <c r="A8" s="50" t="s">
        <v>24</v>
      </c>
      <c r="B8" s="40" t="s">
        <v>25</v>
      </c>
      <c r="C8" s="42">
        <v>3606037180.6300001</v>
      </c>
      <c r="D8" s="43">
        <v>0.43945820689144</v>
      </c>
      <c r="E8" s="43" t="s">
        <v>26</v>
      </c>
      <c r="F8" s="43" t="s">
        <v>26</v>
      </c>
      <c r="G8" s="42">
        <v>100167261311.53</v>
      </c>
      <c r="H8" s="43">
        <f>+G8/G137</f>
        <v>0.55845255819470829</v>
      </c>
      <c r="I8" s="43" t="s">
        <v>26</v>
      </c>
      <c r="J8" s="43" t="s">
        <v>26</v>
      </c>
      <c r="K8" s="42">
        <v>1610018294.95</v>
      </c>
      <c r="L8" s="43">
        <v>0.36324950600580003</v>
      </c>
      <c r="M8" s="43" t="s">
        <v>26</v>
      </c>
      <c r="N8" s="43" t="s">
        <v>26</v>
      </c>
      <c r="O8" s="42">
        <v>133403385347.66</v>
      </c>
      <c r="P8" s="43">
        <v>0.51339050796731001</v>
      </c>
      <c r="Q8" s="43" t="s">
        <v>26</v>
      </c>
      <c r="R8" s="43" t="s">
        <v>26</v>
      </c>
      <c r="S8" s="42">
        <v>74732618432.020004</v>
      </c>
      <c r="T8" s="43">
        <v>0.57872004901399998</v>
      </c>
      <c r="U8" s="43" t="s">
        <v>26</v>
      </c>
      <c r="V8" s="43" t="s">
        <v>26</v>
      </c>
      <c r="W8" s="42">
        <v>2702230726.6799998</v>
      </c>
      <c r="X8" s="43">
        <v>0.36110765611743001</v>
      </c>
      <c r="Y8" s="43" t="s">
        <v>26</v>
      </c>
      <c r="Z8" s="43" t="s">
        <v>26</v>
      </c>
      <c r="AA8" s="42">
        <v>82013734890.380005</v>
      </c>
      <c r="AB8" s="43">
        <v>0.51185091970070995</v>
      </c>
      <c r="AC8" s="43" t="s">
        <v>26</v>
      </c>
      <c r="AD8" s="43" t="s">
        <v>26</v>
      </c>
      <c r="AE8" s="42">
        <v>398235286183.84998</v>
      </c>
      <c r="AF8" s="43">
        <v>0.53190252744465005</v>
      </c>
      <c r="AG8" s="43" t="s">
        <v>26</v>
      </c>
      <c r="AH8" s="43" t="s">
        <v>26</v>
      </c>
      <c r="AI8" s="42">
        <v>11090021738.469999</v>
      </c>
      <c r="AJ8" s="43">
        <v>0.58327821374918998</v>
      </c>
      <c r="AK8" s="43" t="s">
        <v>26</v>
      </c>
      <c r="AL8" s="43" t="s">
        <v>26</v>
      </c>
      <c r="AM8" s="42">
        <v>8715340613.0499992</v>
      </c>
      <c r="AN8" s="43">
        <v>0.34593967670949</v>
      </c>
      <c r="AO8" s="43" t="s">
        <v>26</v>
      </c>
      <c r="AP8" s="43" t="s">
        <v>26</v>
      </c>
      <c r="AQ8" s="42">
        <v>19805362351.52</v>
      </c>
      <c r="AR8" s="43">
        <v>0.44801923157700002</v>
      </c>
      <c r="AS8" s="43" t="s">
        <v>26</v>
      </c>
      <c r="AT8" s="43" t="s">
        <v>26</v>
      </c>
      <c r="AU8" s="42">
        <v>32074288108.299999</v>
      </c>
      <c r="AV8" s="43">
        <v>0.59065349345422002</v>
      </c>
      <c r="AW8" s="43" t="s">
        <v>26</v>
      </c>
      <c r="AX8" s="43" t="s">
        <v>26</v>
      </c>
      <c r="AY8" s="42">
        <v>450114936643.66998</v>
      </c>
      <c r="AZ8" s="43">
        <v>0.53129130880002995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3606037180.6300001</v>
      </c>
      <c r="D9" s="10">
        <v>0.43945820689144</v>
      </c>
      <c r="E9" s="10">
        <v>0.6</v>
      </c>
      <c r="F9" s="10">
        <f>+E9-D9</f>
        <v>0.16054179310855998</v>
      </c>
      <c r="G9" s="9">
        <f>+G10</f>
        <v>94289453320.330002</v>
      </c>
      <c r="H9" s="10">
        <f>+G9/G137</f>
        <v>0.52568260056300153</v>
      </c>
      <c r="I9" s="10">
        <v>0.6</v>
      </c>
      <c r="J9" s="10">
        <f>+I9-H9</f>
        <v>7.4317399436998444E-2</v>
      </c>
      <c r="K9" s="9">
        <v>1610018294.95</v>
      </c>
      <c r="L9" s="10">
        <v>0.36324950600580003</v>
      </c>
      <c r="M9" s="10">
        <v>0.6</v>
      </c>
      <c r="N9" s="10">
        <f>+M9-L9</f>
        <v>0.23675049399419995</v>
      </c>
      <c r="O9" s="9">
        <f>+O10</f>
        <v>131840930058.86</v>
      </c>
      <c r="P9" s="10">
        <f>+O9/O137</f>
        <v>0.50737792382932922</v>
      </c>
      <c r="Q9" s="10">
        <v>0.6</v>
      </c>
      <c r="R9" s="10">
        <f>+Q9-P9</f>
        <v>9.2622076170670753E-2</v>
      </c>
      <c r="S9" s="9">
        <f>+S10</f>
        <v>73190484092.020004</v>
      </c>
      <c r="T9" s="10">
        <f>+S9/S137</f>
        <v>0.56677862813272073</v>
      </c>
      <c r="U9" s="10">
        <v>0.6</v>
      </c>
      <c r="V9" s="10">
        <f>+U9-T9</f>
        <v>3.3221371867279248E-2</v>
      </c>
      <c r="W9" s="9">
        <v>2702230726.6799998</v>
      </c>
      <c r="X9" s="10">
        <v>0.36110765611743001</v>
      </c>
      <c r="Y9" s="10">
        <v>0.6</v>
      </c>
      <c r="Z9" s="10">
        <f>+Y9-X9</f>
        <v>0.23889234388256997</v>
      </c>
      <c r="AA9" s="9">
        <f>+AA10</f>
        <v>80649686622.380005</v>
      </c>
      <c r="AB9" s="10">
        <f>+AA9/AA137</f>
        <v>0.50333842065594703</v>
      </c>
      <c r="AC9" s="10">
        <v>0.6</v>
      </c>
      <c r="AD9" s="10">
        <f>+AC9-AB9</f>
        <v>9.666157934405295E-2</v>
      </c>
      <c r="AE9" s="9">
        <f>+AE10</f>
        <v>387888840295.84998</v>
      </c>
      <c r="AF9" s="10">
        <f>+AE9/AE137</f>
        <v>0.51812195328621624</v>
      </c>
      <c r="AG9" s="10">
        <v>0.6</v>
      </c>
      <c r="AH9" s="10">
        <f>+AG9-AF9</f>
        <v>8.1878046713783736E-2</v>
      </c>
      <c r="AI9" s="9">
        <v>11090021738.469999</v>
      </c>
      <c r="AJ9" s="10">
        <v>0.58327821374918998</v>
      </c>
      <c r="AK9" s="10">
        <v>0.6</v>
      </c>
      <c r="AL9" s="10">
        <f>+AK9-AJ9</f>
        <v>1.672178625081E-2</v>
      </c>
      <c r="AM9" s="9">
        <v>8715340613.0499992</v>
      </c>
      <c r="AN9" s="10">
        <v>0.34593967670949</v>
      </c>
      <c r="AO9" s="10">
        <v>0.6</v>
      </c>
      <c r="AP9" s="10">
        <f>+AO9-AN9</f>
        <v>0.25406032329050998</v>
      </c>
      <c r="AQ9" s="9">
        <v>19805362351.52</v>
      </c>
      <c r="AR9" s="10">
        <v>0.44801923157700002</v>
      </c>
      <c r="AS9" s="10">
        <v>0.6</v>
      </c>
      <c r="AT9" s="10">
        <f>+AS9-AR9</f>
        <v>0.15198076842299996</v>
      </c>
      <c r="AU9" s="9">
        <v>32074288108.299999</v>
      </c>
      <c r="AV9" s="10">
        <v>0.59065349345422002</v>
      </c>
      <c r="AW9" s="10">
        <v>0.6</v>
      </c>
      <c r="AX9" s="10">
        <f>+AW9-AV9</f>
        <v>9.3465065457799534E-3</v>
      </c>
      <c r="AY9" s="9">
        <f>+AY10</f>
        <v>439768490755.66998</v>
      </c>
      <c r="AZ9" s="10">
        <f>+AY9/AY137</f>
        <v>0.51911369502356208</v>
      </c>
      <c r="BA9" s="10">
        <v>0.6</v>
      </c>
      <c r="BB9" s="10">
        <f>+BA9-AZ9</f>
        <v>8.0886304976437895E-2</v>
      </c>
    </row>
    <row r="10" spans="1:54">
      <c r="A10" s="3" t="s">
        <v>137</v>
      </c>
      <c r="B10" s="23" t="s">
        <v>29</v>
      </c>
      <c r="C10" s="2">
        <v>3606037180.6300001</v>
      </c>
      <c r="D10" s="1">
        <v>1</v>
      </c>
      <c r="E10" s="1" t="s">
        <v>26</v>
      </c>
      <c r="F10" s="1" t="s">
        <v>26</v>
      </c>
      <c r="G10" s="2">
        <v>94289453320.330002</v>
      </c>
      <c r="H10" s="1">
        <v>1</v>
      </c>
      <c r="I10" s="1" t="s">
        <v>26</v>
      </c>
      <c r="J10" s="1" t="s">
        <v>26</v>
      </c>
      <c r="K10" s="2">
        <v>1610018294.95</v>
      </c>
      <c r="L10" s="1">
        <v>1</v>
      </c>
      <c r="M10" s="1" t="s">
        <v>26</v>
      </c>
      <c r="N10" s="1" t="s">
        <v>26</v>
      </c>
      <c r="O10" s="2">
        <v>131840930058.86</v>
      </c>
      <c r="P10" s="1">
        <v>1</v>
      </c>
      <c r="Q10" s="1" t="s">
        <v>26</v>
      </c>
      <c r="R10" s="1" t="s">
        <v>26</v>
      </c>
      <c r="S10" s="2">
        <v>73190484092.020004</v>
      </c>
      <c r="T10" s="1">
        <v>1</v>
      </c>
      <c r="U10" s="1" t="s">
        <v>26</v>
      </c>
      <c r="V10" s="1" t="s">
        <v>26</v>
      </c>
      <c r="W10" s="2">
        <v>2702230726.6799998</v>
      </c>
      <c r="X10" s="1">
        <v>1</v>
      </c>
      <c r="Y10" s="1" t="s">
        <v>26</v>
      </c>
      <c r="Z10" s="1" t="s">
        <v>26</v>
      </c>
      <c r="AA10" s="2">
        <v>80649686622.380005</v>
      </c>
      <c r="AB10" s="1">
        <v>1</v>
      </c>
      <c r="AC10" s="1" t="s">
        <v>26</v>
      </c>
      <c r="AD10" s="1" t="s">
        <v>26</v>
      </c>
      <c r="AE10" s="2">
        <v>387888840295.84998</v>
      </c>
      <c r="AF10" s="1">
        <v>1</v>
      </c>
      <c r="AG10" s="1" t="s">
        <v>26</v>
      </c>
      <c r="AH10" s="1" t="s">
        <v>26</v>
      </c>
      <c r="AI10" s="2">
        <v>11090021738.469999</v>
      </c>
      <c r="AJ10" s="1">
        <v>1</v>
      </c>
      <c r="AK10" s="1" t="s">
        <v>26</v>
      </c>
      <c r="AL10" s="1" t="s">
        <v>26</v>
      </c>
      <c r="AM10" s="2">
        <v>8715340613.0499992</v>
      </c>
      <c r="AN10" s="1">
        <v>1</v>
      </c>
      <c r="AO10" s="1" t="s">
        <v>26</v>
      </c>
      <c r="AP10" s="1" t="s">
        <v>26</v>
      </c>
      <c r="AQ10" s="2">
        <v>19805362351.52</v>
      </c>
      <c r="AR10" s="1">
        <v>1</v>
      </c>
      <c r="AS10" s="1" t="s">
        <v>26</v>
      </c>
      <c r="AT10" s="1" t="s">
        <v>26</v>
      </c>
      <c r="AU10" s="2">
        <v>32074288108.299999</v>
      </c>
      <c r="AV10" s="1">
        <v>1</v>
      </c>
      <c r="AW10" s="1" t="s">
        <v>26</v>
      </c>
      <c r="AX10" s="1" t="s">
        <v>26</v>
      </c>
      <c r="AY10" s="2">
        <v>439768490755.66998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+G12</f>
        <v>5877807991.1999998</v>
      </c>
      <c r="H11" s="10">
        <f>+G11/G137</f>
        <v>3.2769957631706779E-2</v>
      </c>
      <c r="I11" s="10">
        <v>0.1</v>
      </c>
      <c r="J11" s="10">
        <f>+I11-H11</f>
        <v>6.7230042368293219E-2</v>
      </c>
      <c r="K11" s="9" t="s">
        <v>26</v>
      </c>
      <c r="L11" s="10" t="s">
        <v>26</v>
      </c>
      <c r="M11" s="10" t="s">
        <v>26</v>
      </c>
      <c r="N11" s="10" t="s">
        <v>26</v>
      </c>
      <c r="O11" s="9">
        <f>+O12</f>
        <v>1562455288.8</v>
      </c>
      <c r="P11" s="10">
        <f>+O11/O137</f>
        <v>6.0129682045899991E-3</v>
      </c>
      <c r="Q11" s="10">
        <v>0.1</v>
      </c>
      <c r="R11" s="10">
        <f>+Q11-P11</f>
        <v>9.398703179541E-2</v>
      </c>
      <c r="S11" s="9">
        <f>+S12</f>
        <v>1542134340</v>
      </c>
      <c r="T11" s="10">
        <f>+S11/S137</f>
        <v>1.1942109639863098E-2</v>
      </c>
      <c r="U11" s="10">
        <v>0.1</v>
      </c>
      <c r="V11" s="10">
        <f>+U11-T11</f>
        <v>8.8057890360136906E-2</v>
      </c>
      <c r="W11" s="9" t="s">
        <v>26</v>
      </c>
      <c r="X11" s="10" t="s">
        <v>26</v>
      </c>
      <c r="Y11" s="10" t="s">
        <v>26</v>
      </c>
      <c r="Z11" s="10" t="s">
        <v>26</v>
      </c>
      <c r="AA11" s="9">
        <f>+AA12</f>
        <v>1364048268</v>
      </c>
      <c r="AB11" s="10">
        <f>+AA11/AA137</f>
        <v>8.5130882668932404E-3</v>
      </c>
      <c r="AC11" s="10">
        <v>0.1</v>
      </c>
      <c r="AD11" s="10">
        <f>+AC11-AB11</f>
        <v>9.148691173310676E-2</v>
      </c>
      <c r="AE11" s="9">
        <f>+AE12</f>
        <v>10346445888</v>
      </c>
      <c r="AF11" s="10">
        <f>+AE11/AE137</f>
        <v>1.3820250020526448E-2</v>
      </c>
      <c r="AG11" s="10">
        <v>0.1</v>
      </c>
      <c r="AH11" s="10">
        <f>+AG11-AF11</f>
        <v>8.6179749979473558E-2</v>
      </c>
      <c r="AI11" s="9" t="s">
        <v>26</v>
      </c>
      <c r="AJ11" s="10" t="s">
        <v>26</v>
      </c>
      <c r="AK11" s="10" t="s">
        <v>26</v>
      </c>
      <c r="AL11" s="10" t="s">
        <v>26</v>
      </c>
      <c r="AM11" s="9" t="s">
        <v>26</v>
      </c>
      <c r="AN11" s="10" t="s">
        <v>26</v>
      </c>
      <c r="AO11" s="10" t="s">
        <v>26</v>
      </c>
      <c r="AP11" s="10" t="s">
        <v>26</v>
      </c>
      <c r="AQ11" s="9" t="s">
        <v>26</v>
      </c>
      <c r="AR11" s="10" t="s">
        <v>26</v>
      </c>
      <c r="AS11" s="10" t="s">
        <v>26</v>
      </c>
      <c r="AT11" s="10" t="s">
        <v>26</v>
      </c>
      <c r="AU11" s="9" t="s">
        <v>26</v>
      </c>
      <c r="AV11" s="10" t="s">
        <v>26</v>
      </c>
      <c r="AW11" s="10" t="s">
        <v>26</v>
      </c>
      <c r="AX11" s="10" t="s">
        <v>26</v>
      </c>
      <c r="AY11" s="9">
        <f>+AY12</f>
        <v>10346445888</v>
      </c>
      <c r="AZ11" s="10">
        <f>+AY11/AY137</f>
        <v>1.2213202783245952E-2</v>
      </c>
      <c r="BA11" s="10">
        <v>0.1</v>
      </c>
      <c r="BB11" s="10">
        <f>+BA11-AZ11</f>
        <v>8.7786797216754059E-2</v>
      </c>
    </row>
    <row r="12" spans="1:54" s="7" customFormat="1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5877807991.1999998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1562455288.8</v>
      </c>
      <c r="P12" s="1">
        <v>1</v>
      </c>
      <c r="Q12" s="1" t="s">
        <v>26</v>
      </c>
      <c r="R12" s="1" t="s">
        <v>26</v>
      </c>
      <c r="S12" s="2">
        <v>1542134340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1364048268</v>
      </c>
      <c r="AB12" s="1">
        <v>1</v>
      </c>
      <c r="AC12" s="1" t="s">
        <v>26</v>
      </c>
      <c r="AD12" s="1" t="s">
        <v>26</v>
      </c>
      <c r="AE12" s="2">
        <v>10346445888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10346445888</v>
      </c>
      <c r="AZ12" s="1">
        <v>1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2334467702.8600001</v>
      </c>
      <c r="D13" s="43">
        <v>0.28449540017377001</v>
      </c>
      <c r="E13" s="43" t="s">
        <v>26</v>
      </c>
      <c r="F13" s="43" t="s">
        <v>26</v>
      </c>
      <c r="G13" s="42">
        <v>46476744985.580002</v>
      </c>
      <c r="H13" s="43">
        <v>0.25911560305310999</v>
      </c>
      <c r="I13" s="43" t="s">
        <v>26</v>
      </c>
      <c r="J13" s="43" t="s">
        <v>26</v>
      </c>
      <c r="K13" s="42">
        <v>884286458.60000002</v>
      </c>
      <c r="L13" s="43">
        <v>0.19951116099836</v>
      </c>
      <c r="M13" s="43" t="s">
        <v>26</v>
      </c>
      <c r="N13" s="43" t="s">
        <v>26</v>
      </c>
      <c r="O13" s="42">
        <v>64410477472.18</v>
      </c>
      <c r="P13" s="43">
        <v>0.24787772560405999</v>
      </c>
      <c r="Q13" s="43" t="s">
        <v>26</v>
      </c>
      <c r="R13" s="43" t="s">
        <v>26</v>
      </c>
      <c r="S13" s="42">
        <v>31361753182.790001</v>
      </c>
      <c r="T13" s="43">
        <v>0.24286149368122001</v>
      </c>
      <c r="U13" s="43" t="s">
        <v>26</v>
      </c>
      <c r="V13" s="43" t="s">
        <v>26</v>
      </c>
      <c r="W13" s="42">
        <v>3343156343.0300002</v>
      </c>
      <c r="X13" s="43">
        <v>0.44675657749955</v>
      </c>
      <c r="Y13" s="43" t="s">
        <v>26</v>
      </c>
      <c r="Z13" s="43" t="s">
        <v>26</v>
      </c>
      <c r="AA13" s="42">
        <v>43988825366.610001</v>
      </c>
      <c r="AB13" s="43">
        <v>0.27453597559662002</v>
      </c>
      <c r="AC13" s="43" t="s">
        <v>26</v>
      </c>
      <c r="AD13" s="43" t="s">
        <v>26</v>
      </c>
      <c r="AE13" s="42">
        <v>192799711511.64999</v>
      </c>
      <c r="AF13" s="43">
        <v>0.25751272526940999</v>
      </c>
      <c r="AG13" s="43" t="s">
        <v>26</v>
      </c>
      <c r="AH13" s="43" t="s">
        <v>26</v>
      </c>
      <c r="AI13" s="42">
        <v>5868011977.9899998</v>
      </c>
      <c r="AJ13" s="43">
        <v>0.30862730709607</v>
      </c>
      <c r="AK13" s="43" t="s">
        <v>26</v>
      </c>
      <c r="AL13" s="43" t="s">
        <v>26</v>
      </c>
      <c r="AM13" s="42">
        <v>12458054399.639999</v>
      </c>
      <c r="AN13" s="43">
        <v>0.49449992866456999</v>
      </c>
      <c r="AO13" s="43" t="s">
        <v>26</v>
      </c>
      <c r="AP13" s="43" t="s">
        <v>26</v>
      </c>
      <c r="AQ13" s="42">
        <v>18326066377.630001</v>
      </c>
      <c r="AR13" s="43">
        <v>0.41455591827153998</v>
      </c>
      <c r="AS13" s="43" t="s">
        <v>26</v>
      </c>
      <c r="AT13" s="43" t="s">
        <v>26</v>
      </c>
      <c r="AU13" s="42">
        <v>13775416769.629999</v>
      </c>
      <c r="AV13" s="43">
        <v>0.25367665250422999</v>
      </c>
      <c r="AW13" s="43" t="s">
        <v>26</v>
      </c>
      <c r="AX13" s="43" t="s">
        <v>26</v>
      </c>
      <c r="AY13" s="42">
        <v>224901194658.91</v>
      </c>
      <c r="AZ13" s="43">
        <v>0.26546119742659002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2334467702.8600001</v>
      </c>
      <c r="D14" s="10">
        <v>0.28449540017377001</v>
      </c>
      <c r="E14" s="10">
        <v>0.5</v>
      </c>
      <c r="F14" s="10">
        <v>0.2155</v>
      </c>
      <c r="G14" s="9">
        <v>46476744985.580002</v>
      </c>
      <c r="H14" s="10">
        <v>0.25911560305310999</v>
      </c>
      <c r="I14" s="10">
        <v>0.50009999999999999</v>
      </c>
      <c r="J14" s="10">
        <v>0.24099999999999999</v>
      </c>
      <c r="K14" s="9">
        <v>884286458.60000002</v>
      </c>
      <c r="L14" s="10">
        <v>0.19951116099836</v>
      </c>
      <c r="M14" s="10">
        <v>0.5</v>
      </c>
      <c r="N14" s="10">
        <v>0.30049999999999999</v>
      </c>
      <c r="O14" s="9">
        <v>64410477472.18</v>
      </c>
      <c r="P14" s="10">
        <v>0.24787772560405999</v>
      </c>
      <c r="Q14" s="10">
        <v>0.5</v>
      </c>
      <c r="R14" s="10">
        <v>0.25209999999999999</v>
      </c>
      <c r="S14" s="9">
        <v>31361753182.790001</v>
      </c>
      <c r="T14" s="10">
        <v>0.24286149368122001</v>
      </c>
      <c r="U14" s="10">
        <v>0.5</v>
      </c>
      <c r="V14" s="10">
        <v>0.2571</v>
      </c>
      <c r="W14" s="9">
        <v>3343156343.0300002</v>
      </c>
      <c r="X14" s="10">
        <v>0.44675657749955</v>
      </c>
      <c r="Y14" s="10">
        <v>0.5</v>
      </c>
      <c r="Z14" s="10">
        <v>5.3199999999999997E-2</v>
      </c>
      <c r="AA14" s="9">
        <v>43988825366.610001</v>
      </c>
      <c r="AB14" s="10">
        <v>0.27453597559662002</v>
      </c>
      <c r="AC14" s="10">
        <v>0.5</v>
      </c>
      <c r="AD14" s="10">
        <v>0.22550000000000001</v>
      </c>
      <c r="AE14" s="9">
        <v>192799711511.64999</v>
      </c>
      <c r="AF14" s="10">
        <v>0.25751272526940999</v>
      </c>
      <c r="AG14" s="10">
        <v>0.5</v>
      </c>
      <c r="AH14" s="10">
        <v>0.24249999999999999</v>
      </c>
      <c r="AI14" s="9">
        <v>5868011977.9899998</v>
      </c>
      <c r="AJ14" s="10">
        <v>0.30862730709607</v>
      </c>
      <c r="AK14" s="10">
        <v>0.5</v>
      </c>
      <c r="AL14" s="10">
        <v>0.19139999999999999</v>
      </c>
      <c r="AM14" s="9">
        <v>12458054399.639999</v>
      </c>
      <c r="AN14" s="10">
        <v>0.49449992866456999</v>
      </c>
      <c r="AO14" s="10">
        <v>0.5</v>
      </c>
      <c r="AP14" s="10">
        <v>5.4999999999999997E-3</v>
      </c>
      <c r="AQ14" s="9">
        <v>18326066377.630001</v>
      </c>
      <c r="AR14" s="10">
        <v>0.41455591827153998</v>
      </c>
      <c r="AS14" s="10">
        <v>0.5</v>
      </c>
      <c r="AT14" s="10">
        <v>8.5400000000000004E-2</v>
      </c>
      <c r="AU14" s="9">
        <v>13775416769.629999</v>
      </c>
      <c r="AV14" s="10">
        <v>0.25367665250422999</v>
      </c>
      <c r="AW14" s="10">
        <v>0.5</v>
      </c>
      <c r="AX14" s="10">
        <v>0.24629999999999999</v>
      </c>
      <c r="AY14" s="9">
        <v>224901194658.91</v>
      </c>
      <c r="AZ14" s="10">
        <v>0.26546119742659002</v>
      </c>
      <c r="BA14" s="10">
        <v>0.5</v>
      </c>
      <c r="BB14" s="10">
        <v>0.23449999999999999</v>
      </c>
    </row>
    <row r="15" spans="1:54" s="7" customFormat="1">
      <c r="A15" s="3" t="s">
        <v>33</v>
      </c>
      <c r="B15" s="23" t="s">
        <v>29</v>
      </c>
      <c r="C15" s="2">
        <v>712464357.17999995</v>
      </c>
      <c r="D15" s="1">
        <v>0.30519349499123</v>
      </c>
      <c r="E15" s="1" t="s">
        <v>26</v>
      </c>
      <c r="F15" s="1" t="s">
        <v>26</v>
      </c>
      <c r="G15" s="2">
        <v>14537174780.219999</v>
      </c>
      <c r="H15" s="1">
        <v>0.31278384027819001</v>
      </c>
      <c r="I15" s="1" t="s">
        <v>26</v>
      </c>
      <c r="J15" s="1" t="s">
        <v>26</v>
      </c>
      <c r="K15" s="2">
        <v>222278035.31999999</v>
      </c>
      <c r="L15" s="1">
        <v>0.25136428716991999</v>
      </c>
      <c r="M15" s="1" t="s">
        <v>26</v>
      </c>
      <c r="N15" s="1" t="s">
        <v>26</v>
      </c>
      <c r="O15" s="2">
        <v>18585900382.689999</v>
      </c>
      <c r="P15" s="1">
        <v>0.28855399171225998</v>
      </c>
      <c r="Q15" s="1" t="s">
        <v>26</v>
      </c>
      <c r="R15" s="1" t="s">
        <v>26</v>
      </c>
      <c r="S15" s="2">
        <v>11044902683.92</v>
      </c>
      <c r="T15" s="1">
        <v>0.35217746340727002</v>
      </c>
      <c r="U15" s="1" t="s">
        <v>26</v>
      </c>
      <c r="V15" s="1" t="s">
        <v>26</v>
      </c>
      <c r="W15" s="2">
        <v>1136977101.5799999</v>
      </c>
      <c r="X15" s="1">
        <v>0.3400909155656</v>
      </c>
      <c r="Y15" s="1" t="s">
        <v>26</v>
      </c>
      <c r="Z15" s="1" t="s">
        <v>26</v>
      </c>
      <c r="AA15" s="2">
        <v>18253210011.990002</v>
      </c>
      <c r="AB15" s="1">
        <v>0.41495106677354998</v>
      </c>
      <c r="AC15" s="1" t="s">
        <v>26</v>
      </c>
      <c r="AD15" s="1" t="s">
        <v>26</v>
      </c>
      <c r="AE15" s="2">
        <v>64492907352.900002</v>
      </c>
      <c r="AF15" s="1">
        <v>0.33450728140225</v>
      </c>
      <c r="AG15" s="1" t="s">
        <v>26</v>
      </c>
      <c r="AH15" s="1" t="s">
        <v>26</v>
      </c>
      <c r="AI15" s="2">
        <v>1602054328.4300001</v>
      </c>
      <c r="AJ15" s="1">
        <v>0.27301483610447003</v>
      </c>
      <c r="AK15" s="1" t="s">
        <v>26</v>
      </c>
      <c r="AL15" s="1" t="s">
        <v>26</v>
      </c>
      <c r="AM15" s="2">
        <v>6320568303.4499998</v>
      </c>
      <c r="AN15" s="1">
        <v>0.50734794540893002</v>
      </c>
      <c r="AO15" s="1" t="s">
        <v>26</v>
      </c>
      <c r="AP15" s="1" t="s">
        <v>26</v>
      </c>
      <c r="AQ15" s="2">
        <v>7922622631.8800001</v>
      </c>
      <c r="AR15" s="1">
        <v>0.43231441317656999</v>
      </c>
      <c r="AS15" s="1" t="s">
        <v>26</v>
      </c>
      <c r="AT15" s="1" t="s">
        <v>26</v>
      </c>
      <c r="AU15" s="2">
        <v>6157101774.46</v>
      </c>
      <c r="AV15" s="1">
        <v>0.44696301225777002</v>
      </c>
      <c r="AW15" s="1" t="s">
        <v>26</v>
      </c>
      <c r="AX15" s="1" t="s">
        <v>26</v>
      </c>
      <c r="AY15" s="2">
        <v>78572631759.240005</v>
      </c>
      <c r="AZ15" s="1">
        <v>0.34936511510489998</v>
      </c>
      <c r="BA15" s="1" t="s">
        <v>26</v>
      </c>
      <c r="BB15" s="1" t="s">
        <v>26</v>
      </c>
    </row>
    <row r="16" spans="1:54" s="7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2921446023.1799998</v>
      </c>
      <c r="H16" s="1">
        <v>6.2858232091909993E-2</v>
      </c>
      <c r="I16" s="1" t="s">
        <v>26</v>
      </c>
      <c r="J16" s="1" t="s">
        <v>26</v>
      </c>
      <c r="K16" s="2">
        <v>43791569.020000003</v>
      </c>
      <c r="L16" s="1">
        <v>4.9521926513870003E-2</v>
      </c>
      <c r="M16" s="1" t="s">
        <v>26</v>
      </c>
      <c r="N16" s="1" t="s">
        <v>26</v>
      </c>
      <c r="O16" s="2">
        <v>1927141264.5999999</v>
      </c>
      <c r="P16" s="1">
        <v>2.991968605469E-2</v>
      </c>
      <c r="Q16" s="1" t="s">
        <v>26</v>
      </c>
      <c r="R16" s="1" t="s">
        <v>26</v>
      </c>
      <c r="S16" s="2" t="s">
        <v>26</v>
      </c>
      <c r="T16" s="1" t="s">
        <v>26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6190496791.6199999</v>
      </c>
      <c r="AB16" s="1">
        <v>0.14072884965733001</v>
      </c>
      <c r="AC16" s="1" t="s">
        <v>26</v>
      </c>
      <c r="AD16" s="1" t="s">
        <v>26</v>
      </c>
      <c r="AE16" s="2">
        <v>11082875648.42</v>
      </c>
      <c r="AF16" s="1">
        <v>5.7483880870589997E-2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1194483403.1800001</v>
      </c>
      <c r="AN16" s="1">
        <v>9.5880413173869999E-2</v>
      </c>
      <c r="AO16" s="1" t="s">
        <v>26</v>
      </c>
      <c r="AP16" s="1" t="s">
        <v>26</v>
      </c>
      <c r="AQ16" s="2">
        <v>1194483403.1800001</v>
      </c>
      <c r="AR16" s="1">
        <v>6.5179475975159995E-2</v>
      </c>
      <c r="AS16" s="1" t="s">
        <v>26</v>
      </c>
      <c r="AT16" s="1" t="s">
        <v>26</v>
      </c>
      <c r="AU16" s="2" t="s">
        <v>26</v>
      </c>
      <c r="AV16" s="1" t="s">
        <v>26</v>
      </c>
      <c r="AW16" s="1" t="s">
        <v>26</v>
      </c>
      <c r="AX16" s="1" t="s">
        <v>26</v>
      </c>
      <c r="AY16" s="2">
        <v>12277359051.6</v>
      </c>
      <c r="AZ16" s="1">
        <v>5.4590012606289998E-2</v>
      </c>
      <c r="BA16" s="1" t="s">
        <v>26</v>
      </c>
      <c r="BB16" s="1" t="s">
        <v>26</v>
      </c>
    </row>
    <row r="17" spans="1:54" s="25" customFormat="1">
      <c r="A17" s="3" t="s">
        <v>36</v>
      </c>
      <c r="B17" s="23" t="s">
        <v>29</v>
      </c>
      <c r="C17" s="2">
        <v>1622003345.6800001</v>
      </c>
      <c r="D17" s="1">
        <v>0.69480650500876995</v>
      </c>
      <c r="E17" s="1" t="s">
        <v>26</v>
      </c>
      <c r="F17" s="1" t="s">
        <v>26</v>
      </c>
      <c r="G17" s="2">
        <v>29018124182.18</v>
      </c>
      <c r="H17" s="1">
        <v>0.62435792762989994</v>
      </c>
      <c r="I17" s="1" t="s">
        <v>26</v>
      </c>
      <c r="J17" s="1" t="s">
        <v>26</v>
      </c>
      <c r="K17" s="2">
        <v>618216854.25999999</v>
      </c>
      <c r="L17" s="1">
        <v>0.69911378631621002</v>
      </c>
      <c r="M17" s="1" t="s">
        <v>26</v>
      </c>
      <c r="N17" s="1" t="s">
        <v>26</v>
      </c>
      <c r="O17" s="2">
        <v>43897435824.889999</v>
      </c>
      <c r="P17" s="1">
        <v>0.68152632223305998</v>
      </c>
      <c r="Q17" s="1" t="s">
        <v>26</v>
      </c>
      <c r="R17" s="1" t="s">
        <v>26</v>
      </c>
      <c r="S17" s="2">
        <v>20316850498.869999</v>
      </c>
      <c r="T17" s="1">
        <v>0.64782253659273004</v>
      </c>
      <c r="U17" s="1" t="s">
        <v>26</v>
      </c>
      <c r="V17" s="1" t="s">
        <v>26</v>
      </c>
      <c r="W17" s="2">
        <v>2206179241.4499998</v>
      </c>
      <c r="X17" s="1">
        <v>0.6599090844344</v>
      </c>
      <c r="Y17" s="1" t="s">
        <v>26</v>
      </c>
      <c r="Z17" s="1" t="s">
        <v>26</v>
      </c>
      <c r="AA17" s="2">
        <v>19545118563</v>
      </c>
      <c r="AB17" s="1">
        <v>0.44432008356913</v>
      </c>
      <c r="AC17" s="1" t="s">
        <v>26</v>
      </c>
      <c r="AD17" s="1" t="s">
        <v>26</v>
      </c>
      <c r="AE17" s="2">
        <v>117223928510.33</v>
      </c>
      <c r="AF17" s="1">
        <v>0.60800883772715997</v>
      </c>
      <c r="AG17" s="1" t="s">
        <v>26</v>
      </c>
      <c r="AH17" s="1" t="s">
        <v>26</v>
      </c>
      <c r="AI17" s="2">
        <v>4265957649.5599999</v>
      </c>
      <c r="AJ17" s="1">
        <v>0.72698516389553003</v>
      </c>
      <c r="AK17" s="1" t="s">
        <v>26</v>
      </c>
      <c r="AL17" s="1" t="s">
        <v>26</v>
      </c>
      <c r="AM17" s="2">
        <v>4943002693.0100002</v>
      </c>
      <c r="AN17" s="1">
        <v>0.39677164141721</v>
      </c>
      <c r="AO17" s="1" t="s">
        <v>26</v>
      </c>
      <c r="AP17" s="1" t="s">
        <v>26</v>
      </c>
      <c r="AQ17" s="2">
        <v>9208960342.5699997</v>
      </c>
      <c r="AR17" s="1">
        <v>0.50250611084826002</v>
      </c>
      <c r="AS17" s="1" t="s">
        <v>26</v>
      </c>
      <c r="AT17" s="1" t="s">
        <v>26</v>
      </c>
      <c r="AU17" s="2">
        <v>7618314995.1700001</v>
      </c>
      <c r="AV17" s="1">
        <v>0.55303698774222998</v>
      </c>
      <c r="AW17" s="1" t="s">
        <v>26</v>
      </c>
      <c r="AX17" s="1" t="s">
        <v>26</v>
      </c>
      <c r="AY17" s="2">
        <v>134051203848.07001</v>
      </c>
      <c r="AZ17" s="1">
        <v>0.59604487228880998</v>
      </c>
      <c r="BA17" s="1" t="s">
        <v>26</v>
      </c>
      <c r="BB17" s="1" t="s">
        <v>26</v>
      </c>
    </row>
    <row r="18" spans="1:54" s="7" customFormat="1">
      <c r="A18" s="12" t="s">
        <v>37</v>
      </c>
      <c r="B18" s="40" t="s">
        <v>25</v>
      </c>
      <c r="C18" s="42">
        <v>356458547.36000001</v>
      </c>
      <c r="D18" s="43">
        <v>4.3440659706840003E-2</v>
      </c>
      <c r="E18" s="43" t="s">
        <v>26</v>
      </c>
      <c r="F18" s="43" t="s">
        <v>26</v>
      </c>
      <c r="G18" s="42">
        <v>12665903131.17</v>
      </c>
      <c r="H18" s="43">
        <v>7.0614521930560004E-2</v>
      </c>
      <c r="I18" s="43" t="s">
        <v>26</v>
      </c>
      <c r="J18" s="43" t="s">
        <v>26</v>
      </c>
      <c r="K18" s="42">
        <v>650632941.57000005</v>
      </c>
      <c r="L18" s="43">
        <v>0.14679466398470001</v>
      </c>
      <c r="M18" s="43" t="s">
        <v>26</v>
      </c>
      <c r="N18" s="43" t="s">
        <v>26</v>
      </c>
      <c r="O18" s="42">
        <v>19114628243.029999</v>
      </c>
      <c r="P18" s="43">
        <v>7.3560867122829998E-2</v>
      </c>
      <c r="Q18" s="43" t="s">
        <v>26</v>
      </c>
      <c r="R18" s="43" t="s">
        <v>26</v>
      </c>
      <c r="S18" s="42">
        <v>7703113002.7600002</v>
      </c>
      <c r="T18" s="43">
        <v>5.9651943529489999E-2</v>
      </c>
      <c r="U18" s="43" t="s">
        <v>26</v>
      </c>
      <c r="V18" s="43" t="s">
        <v>26</v>
      </c>
      <c r="W18" s="42">
        <v>1167704718.29</v>
      </c>
      <c r="X18" s="43">
        <v>0.15604408228198999</v>
      </c>
      <c r="Y18" s="43" t="s">
        <v>26</v>
      </c>
      <c r="Z18" s="43" t="s">
        <v>26</v>
      </c>
      <c r="AA18" s="42">
        <v>19368929903.650002</v>
      </c>
      <c r="AB18" s="43">
        <v>0.12088224732178</v>
      </c>
      <c r="AC18" s="43" t="s">
        <v>26</v>
      </c>
      <c r="AD18" s="43" t="s">
        <v>26</v>
      </c>
      <c r="AE18" s="42">
        <v>61027370487.830002</v>
      </c>
      <c r="AF18" s="43">
        <v>8.1511141106650004E-2</v>
      </c>
      <c r="AG18" s="43" t="s">
        <v>26</v>
      </c>
      <c r="AH18" s="43" t="s">
        <v>26</v>
      </c>
      <c r="AI18" s="42">
        <v>1126932316.9100001</v>
      </c>
      <c r="AJ18" s="43">
        <v>5.9270854857150002E-2</v>
      </c>
      <c r="AK18" s="43" t="s">
        <v>26</v>
      </c>
      <c r="AL18" s="43" t="s">
        <v>26</v>
      </c>
      <c r="AM18" s="42">
        <v>3122479960.3200002</v>
      </c>
      <c r="AN18" s="43">
        <v>0.12394119242885</v>
      </c>
      <c r="AO18" s="43" t="s">
        <v>26</v>
      </c>
      <c r="AP18" s="43" t="s">
        <v>26</v>
      </c>
      <c r="AQ18" s="42">
        <v>4249412277.23</v>
      </c>
      <c r="AR18" s="43">
        <v>9.6126412095269995E-2</v>
      </c>
      <c r="AS18" s="43" t="s">
        <v>26</v>
      </c>
      <c r="AT18" s="43" t="s">
        <v>26</v>
      </c>
      <c r="AU18" s="42">
        <v>4091516215.8600001</v>
      </c>
      <c r="AV18" s="43">
        <v>7.5345969901569998E-2</v>
      </c>
      <c r="AW18" s="43" t="s">
        <v>26</v>
      </c>
      <c r="AX18" s="43" t="s">
        <v>26</v>
      </c>
      <c r="AY18" s="42">
        <v>69368298980.919998</v>
      </c>
      <c r="AZ18" s="43">
        <v>8.1878585566649995E-2</v>
      </c>
      <c r="BA18" s="43" t="s">
        <v>26</v>
      </c>
      <c r="BB18" s="43" t="s">
        <v>26</v>
      </c>
    </row>
    <row r="19" spans="1:54" s="28" customFormat="1">
      <c r="A19" s="5" t="s">
        <v>38</v>
      </c>
      <c r="B19" s="20" t="s">
        <v>25</v>
      </c>
      <c r="C19" s="9">
        <v>11691032.289999999</v>
      </c>
      <c r="D19" s="10">
        <v>1.4247551618399999E-3</v>
      </c>
      <c r="E19" s="10">
        <v>0.15</v>
      </c>
      <c r="F19" s="10">
        <v>0.14860000000000001</v>
      </c>
      <c r="G19" s="9">
        <v>7518429585.6300001</v>
      </c>
      <c r="H19" s="10">
        <v>4.1916498599399998E-2</v>
      </c>
      <c r="I19" s="10">
        <v>0.15</v>
      </c>
      <c r="J19" s="10">
        <v>0.1081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7747882044.8900003</v>
      </c>
      <c r="P19" s="10">
        <v>2.9817002681979999E-2</v>
      </c>
      <c r="Q19" s="10">
        <v>0.1421</v>
      </c>
      <c r="R19" s="10">
        <v>0.1123</v>
      </c>
      <c r="S19" s="9">
        <v>2226959706.73</v>
      </c>
      <c r="T19" s="10">
        <v>1.7245297403879999E-2</v>
      </c>
      <c r="U19" s="10">
        <v>0.05</v>
      </c>
      <c r="V19" s="10">
        <v>3.2800000000000003E-2</v>
      </c>
      <c r="W19" s="9">
        <v>7842403.0899999999</v>
      </c>
      <c r="X19" s="10">
        <v>1.04800517965E-3</v>
      </c>
      <c r="Y19" s="10">
        <v>0.15</v>
      </c>
      <c r="Z19" s="10">
        <v>0.14899999999999999</v>
      </c>
      <c r="AA19" s="9">
        <v>5485442434.4499998</v>
      </c>
      <c r="AB19" s="10">
        <v>3.4234860280310003E-2</v>
      </c>
      <c r="AC19" s="10">
        <v>0.13880000000000001</v>
      </c>
      <c r="AD19" s="10">
        <v>0.1046</v>
      </c>
      <c r="AE19" s="9">
        <v>22998247207.080002</v>
      </c>
      <c r="AF19" s="10">
        <v>3.0717583902389999E-2</v>
      </c>
      <c r="AG19" s="10">
        <v>0.14399999999999999</v>
      </c>
      <c r="AH19" s="10">
        <v>0.1133</v>
      </c>
      <c r="AI19" s="9">
        <v>554027031.83000004</v>
      </c>
      <c r="AJ19" s="10">
        <v>2.9138977823059999E-2</v>
      </c>
      <c r="AK19" s="10">
        <v>0.05</v>
      </c>
      <c r="AL19" s="10">
        <v>2.0899999999999998E-2</v>
      </c>
      <c r="AM19" s="9">
        <v>876068130.28999996</v>
      </c>
      <c r="AN19" s="10">
        <v>3.4773939335680001E-2</v>
      </c>
      <c r="AO19" s="10">
        <v>0.15</v>
      </c>
      <c r="AP19" s="10">
        <v>0.1152</v>
      </c>
      <c r="AQ19" s="9">
        <v>1430095162.1199999</v>
      </c>
      <c r="AR19" s="10">
        <v>3.2350336451470001E-2</v>
      </c>
      <c r="AS19" s="10">
        <v>0.1462</v>
      </c>
      <c r="AT19" s="10">
        <v>0.1138</v>
      </c>
      <c r="AU19" s="9">
        <v>1325824840.95</v>
      </c>
      <c r="AV19" s="10">
        <v>2.4415290882569999E-2</v>
      </c>
      <c r="AW19" s="10">
        <v>0.05</v>
      </c>
      <c r="AX19" s="10">
        <v>2.5600000000000001E-2</v>
      </c>
      <c r="AY19" s="9">
        <v>25754167210.150002</v>
      </c>
      <c r="AZ19" s="10">
        <v>3.0398825033810001E-2</v>
      </c>
      <c r="BA19" s="10">
        <v>0.14410000000000001</v>
      </c>
      <c r="BB19" s="10">
        <v>0.1137</v>
      </c>
    </row>
    <row r="20" spans="1:54" s="7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4089598160</v>
      </c>
      <c r="P20" s="1">
        <v>0.52783433411937997</v>
      </c>
      <c r="Q20" s="1" t="s">
        <v>26</v>
      </c>
      <c r="R20" s="1" t="s">
        <v>26</v>
      </c>
      <c r="S20" s="2">
        <v>1008085946.4400001</v>
      </c>
      <c r="T20" s="1">
        <v>0.45267363544724998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4089598160</v>
      </c>
      <c r="AB20" s="1">
        <v>0.74553661055966003</v>
      </c>
      <c r="AC20" s="1" t="s">
        <v>26</v>
      </c>
      <c r="AD20" s="1" t="s">
        <v>26</v>
      </c>
      <c r="AE20" s="2">
        <v>9187282266.4400005</v>
      </c>
      <c r="AF20" s="1">
        <v>0.39947749859874998</v>
      </c>
      <c r="AG20" s="1" t="s">
        <v>26</v>
      </c>
      <c r="AH20" s="1" t="s">
        <v>26</v>
      </c>
      <c r="AI20" s="2">
        <v>366019035.31999999</v>
      </c>
      <c r="AJ20" s="1">
        <v>0.66065194348190004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366019035.31999999</v>
      </c>
      <c r="AR20" s="1">
        <v>0.25594033531125998</v>
      </c>
      <c r="AS20" s="1" t="s">
        <v>26</v>
      </c>
      <c r="AT20" s="1" t="s">
        <v>26</v>
      </c>
      <c r="AU20" s="2">
        <v>653313306.05999994</v>
      </c>
      <c r="AV20" s="1">
        <v>0.49275989246955998</v>
      </c>
      <c r="AW20" s="1" t="s">
        <v>26</v>
      </c>
      <c r="AX20" s="1" t="s">
        <v>26</v>
      </c>
      <c r="AY20" s="2">
        <v>10206614607.82</v>
      </c>
      <c r="AZ20" s="1">
        <v>0.39630924675356999</v>
      </c>
      <c r="BA20" s="1" t="s">
        <v>26</v>
      </c>
      <c r="BB20" s="1" t="s">
        <v>26</v>
      </c>
    </row>
    <row r="21" spans="1:54" s="7" customFormat="1">
      <c r="A21" s="3" t="s">
        <v>41</v>
      </c>
      <c r="B21" s="23" t="s">
        <v>35</v>
      </c>
      <c r="C21" s="2">
        <v>11691032.289999999</v>
      </c>
      <c r="D21" s="1">
        <v>1</v>
      </c>
      <c r="E21" s="1" t="s">
        <v>26</v>
      </c>
      <c r="F21" s="1" t="s">
        <v>26</v>
      </c>
      <c r="G21" s="2">
        <v>7518429585.6300001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3658283884.8899999</v>
      </c>
      <c r="P21" s="1">
        <v>0.47216566588061998</v>
      </c>
      <c r="Q21" s="1" t="s">
        <v>26</v>
      </c>
      <c r="R21" s="1" t="s">
        <v>26</v>
      </c>
      <c r="S21" s="2">
        <v>1218873760.29</v>
      </c>
      <c r="T21" s="1">
        <v>0.54732636455274997</v>
      </c>
      <c r="U21" s="1" t="s">
        <v>26</v>
      </c>
      <c r="V21" s="1" t="s">
        <v>26</v>
      </c>
      <c r="W21" s="2">
        <v>7842403.0899999999</v>
      </c>
      <c r="X21" s="1">
        <v>1</v>
      </c>
      <c r="Y21" s="1" t="s">
        <v>26</v>
      </c>
      <c r="Z21" s="1" t="s">
        <v>26</v>
      </c>
      <c r="AA21" s="2">
        <v>1395844274.45</v>
      </c>
      <c r="AB21" s="1">
        <v>0.25446338944034003</v>
      </c>
      <c r="AC21" s="1" t="s">
        <v>26</v>
      </c>
      <c r="AD21" s="1" t="s">
        <v>26</v>
      </c>
      <c r="AE21" s="2">
        <v>13810964940.639999</v>
      </c>
      <c r="AF21" s="1">
        <v>0.60052250140124996</v>
      </c>
      <c r="AG21" s="1" t="s">
        <v>26</v>
      </c>
      <c r="AH21" s="1" t="s">
        <v>26</v>
      </c>
      <c r="AI21" s="2">
        <v>188007996.50999999</v>
      </c>
      <c r="AJ21" s="1">
        <v>0.33934805651810002</v>
      </c>
      <c r="AK21" s="1" t="s">
        <v>26</v>
      </c>
      <c r="AL21" s="1" t="s">
        <v>26</v>
      </c>
      <c r="AM21" s="2">
        <v>876068130.28999996</v>
      </c>
      <c r="AN21" s="1">
        <v>1</v>
      </c>
      <c r="AO21" s="1" t="s">
        <v>26</v>
      </c>
      <c r="AP21" s="1" t="s">
        <v>26</v>
      </c>
      <c r="AQ21" s="2">
        <v>1064076126.8</v>
      </c>
      <c r="AR21" s="1">
        <v>0.74405966468873996</v>
      </c>
      <c r="AS21" s="1" t="s">
        <v>26</v>
      </c>
      <c r="AT21" s="1" t="s">
        <v>26</v>
      </c>
      <c r="AU21" s="2">
        <v>672511534.88999999</v>
      </c>
      <c r="AV21" s="1">
        <v>0.50724010753044002</v>
      </c>
      <c r="AW21" s="1" t="s">
        <v>26</v>
      </c>
      <c r="AX21" s="1" t="s">
        <v>26</v>
      </c>
      <c r="AY21" s="2">
        <v>15547552602.33</v>
      </c>
      <c r="AZ21" s="1">
        <v>0.60369075324642996</v>
      </c>
      <c r="BA21" s="1" t="s">
        <v>26</v>
      </c>
      <c r="BB21" s="1" t="s">
        <v>26</v>
      </c>
    </row>
    <row r="22" spans="1:54" s="28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 t="s">
        <v>26</v>
      </c>
      <c r="L22" s="10" t="s">
        <v>26</v>
      </c>
      <c r="M22" s="10" t="s">
        <v>26</v>
      </c>
      <c r="N22" s="10" t="s">
        <v>26</v>
      </c>
      <c r="O22" s="9" t="s">
        <v>26</v>
      </c>
      <c r="P22" s="10" t="s">
        <v>26</v>
      </c>
      <c r="Q22" s="10" t="s">
        <v>26</v>
      </c>
      <c r="R22" s="10" t="s">
        <v>26</v>
      </c>
      <c r="S22" s="9">
        <v>3939569.09</v>
      </c>
      <c r="T22" s="10">
        <v>3.050753024E-5</v>
      </c>
      <c r="U22" s="10">
        <v>0.15</v>
      </c>
      <c r="V22" s="10">
        <v>0.15</v>
      </c>
      <c r="W22" s="9">
        <v>59723332.25</v>
      </c>
      <c r="X22" s="10">
        <v>7.9810181682099992E-3</v>
      </c>
      <c r="Y22" s="10">
        <v>0.15</v>
      </c>
      <c r="Z22" s="10">
        <v>0.14199999999999999</v>
      </c>
      <c r="AA22" s="9">
        <v>156503351.08000001</v>
      </c>
      <c r="AB22" s="10">
        <v>9.7674352099000003E-4</v>
      </c>
      <c r="AC22" s="10">
        <v>0.15</v>
      </c>
      <c r="AD22" s="10">
        <v>0.14899999999999999</v>
      </c>
      <c r="AE22" s="9">
        <v>220166252.41999999</v>
      </c>
      <c r="AF22" s="10">
        <v>2.9406481591000001E-4</v>
      </c>
      <c r="AG22" s="10">
        <v>0.15</v>
      </c>
      <c r="AH22" s="10">
        <v>0.1497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>
        <v>74782994.920000002</v>
      </c>
      <c r="AV22" s="10">
        <v>1.37714162357E-3</v>
      </c>
      <c r="AW22" s="10">
        <v>0.15</v>
      </c>
      <c r="AX22" s="10">
        <v>0.14860000000000001</v>
      </c>
      <c r="AY22" s="9">
        <v>294949247.33999997</v>
      </c>
      <c r="AZ22" s="10">
        <v>3.4814212747000001E-4</v>
      </c>
      <c r="BA22" s="10">
        <v>0.15</v>
      </c>
      <c r="BB22" s="10">
        <v>0.1497</v>
      </c>
    </row>
    <row r="23" spans="1:54" s="7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>
        <v>3939569.09</v>
      </c>
      <c r="T23" s="1">
        <v>1</v>
      </c>
      <c r="U23" s="1" t="s">
        <v>26</v>
      </c>
      <c r="V23" s="1" t="s">
        <v>26</v>
      </c>
      <c r="W23" s="2">
        <v>59723332.25</v>
      </c>
      <c r="X23" s="1">
        <v>1</v>
      </c>
      <c r="Y23" s="1" t="s">
        <v>26</v>
      </c>
      <c r="Z23" s="1" t="s">
        <v>26</v>
      </c>
      <c r="AA23" s="2">
        <v>156503351.08000001</v>
      </c>
      <c r="AB23" s="1">
        <v>1</v>
      </c>
      <c r="AC23" s="1" t="s">
        <v>26</v>
      </c>
      <c r="AD23" s="1" t="s">
        <v>26</v>
      </c>
      <c r="AE23" s="2">
        <v>220166252.41999999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>
        <v>74782994.920000002</v>
      </c>
      <c r="AV23" s="1">
        <v>1</v>
      </c>
      <c r="AW23" s="1" t="s">
        <v>26</v>
      </c>
      <c r="AX23" s="1" t="s">
        <v>26</v>
      </c>
      <c r="AY23" s="2">
        <v>294949247.33999997</v>
      </c>
      <c r="AZ23" s="1">
        <v>1</v>
      </c>
      <c r="BA23" s="1" t="s">
        <v>26</v>
      </c>
      <c r="BB23" s="1" t="s">
        <v>26</v>
      </c>
    </row>
    <row r="24" spans="1:54" s="28" customFormat="1">
      <c r="A24" s="5" t="s">
        <v>43</v>
      </c>
      <c r="B24" s="20" t="s">
        <v>25</v>
      </c>
      <c r="C24" s="9">
        <v>294761031.95999998</v>
      </c>
      <c r="D24" s="10">
        <v>3.59217468035E-2</v>
      </c>
      <c r="E24" s="10">
        <v>0.13500000000000001</v>
      </c>
      <c r="F24" s="10">
        <v>9.9099999999999994E-2</v>
      </c>
      <c r="G24" s="9">
        <v>20039317.43</v>
      </c>
      <c r="H24" s="10">
        <v>1.1172253613E-4</v>
      </c>
      <c r="I24" s="10">
        <v>0.13500000000000001</v>
      </c>
      <c r="J24" s="10">
        <v>0.13489999999999999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314800349.38999999</v>
      </c>
      <c r="AF24" s="10">
        <v>4.2046274474E-4</v>
      </c>
      <c r="AG24" s="10">
        <v>0.13500000000000001</v>
      </c>
      <c r="AH24" s="10">
        <v>0.1346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314800349.38999999</v>
      </c>
      <c r="AZ24" s="10">
        <v>3.7157329389E-4</v>
      </c>
      <c r="BA24" s="10">
        <v>0.13500000000000001</v>
      </c>
      <c r="BB24" s="10">
        <v>0.1346</v>
      </c>
    </row>
    <row r="25" spans="1:54" s="7" customFormat="1">
      <c r="A25" s="3" t="s">
        <v>41</v>
      </c>
      <c r="B25" s="23" t="s">
        <v>44</v>
      </c>
      <c r="C25" s="2">
        <v>294761031.95999998</v>
      </c>
      <c r="D25" s="1">
        <v>1</v>
      </c>
      <c r="E25" s="1" t="s">
        <v>26</v>
      </c>
      <c r="F25" s="1" t="s">
        <v>26</v>
      </c>
      <c r="G25" s="2">
        <v>20039317.43</v>
      </c>
      <c r="H25" s="1">
        <v>1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314800349.38999999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314800349.38999999</v>
      </c>
      <c r="AZ25" s="1">
        <v>1</v>
      </c>
      <c r="BA25" s="1" t="s">
        <v>26</v>
      </c>
      <c r="BB25" s="1" t="s">
        <v>26</v>
      </c>
    </row>
    <row r="26" spans="1:54" s="7" customFormat="1">
      <c r="A26" s="5" t="s">
        <v>45</v>
      </c>
      <c r="B26" s="20" t="s">
        <v>25</v>
      </c>
      <c r="C26" s="9">
        <v>20644217.399999999</v>
      </c>
      <c r="D26" s="10">
        <v>2.51585613427E-3</v>
      </c>
      <c r="E26" s="10">
        <v>0.13500000000000001</v>
      </c>
      <c r="F26" s="10">
        <v>0.13250000000000001</v>
      </c>
      <c r="G26" s="9">
        <v>1487265232.8</v>
      </c>
      <c r="H26" s="10">
        <v>8.2917516667000007E-3</v>
      </c>
      <c r="I26" s="10">
        <v>0.13500000000000001</v>
      </c>
      <c r="J26" s="10">
        <v>0.12670000000000001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1653594412</v>
      </c>
      <c r="P26" s="10">
        <v>6.36370413641E-3</v>
      </c>
      <c r="Q26" s="10">
        <v>0.13500000000000001</v>
      </c>
      <c r="R26" s="10">
        <v>0.12859999999999999</v>
      </c>
      <c r="S26" s="9">
        <v>826356416</v>
      </c>
      <c r="T26" s="10">
        <v>6.3992007185700002E-3</v>
      </c>
      <c r="U26" s="10">
        <v>0.13500000000000001</v>
      </c>
      <c r="V26" s="10">
        <v>0.12859999999999999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7054220545.6499996</v>
      </c>
      <c r="AB26" s="10">
        <v>4.4025665687439999E-2</v>
      </c>
      <c r="AC26" s="10">
        <v>0.05</v>
      </c>
      <c r="AD26" s="10">
        <v>6.0000000000000001E-3</v>
      </c>
      <c r="AE26" s="9">
        <v>11042080823.85</v>
      </c>
      <c r="AF26" s="10">
        <v>1.4748343258920001E-2</v>
      </c>
      <c r="AG26" s="10">
        <v>0.14230000000000001</v>
      </c>
      <c r="AH26" s="10">
        <v>0.12759999999999999</v>
      </c>
      <c r="AI26" s="9" t="s">
        <v>26</v>
      </c>
      <c r="AJ26" s="10" t="s">
        <v>26</v>
      </c>
      <c r="AK26" s="10" t="s">
        <v>26</v>
      </c>
      <c r="AL26" s="10" t="s">
        <v>26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 t="s">
        <v>26</v>
      </c>
      <c r="AR26" s="10" t="s">
        <v>26</v>
      </c>
      <c r="AS26" s="10" t="s">
        <v>26</v>
      </c>
      <c r="AT26" s="10" t="s">
        <v>26</v>
      </c>
      <c r="AU26" s="9">
        <v>982951206.5</v>
      </c>
      <c r="AV26" s="10">
        <v>1.810121434508E-2</v>
      </c>
      <c r="AW26" s="10">
        <v>0.13500000000000001</v>
      </c>
      <c r="AX26" s="10">
        <v>0.1169</v>
      </c>
      <c r="AY26" s="9">
        <v>12025032030.35</v>
      </c>
      <c r="AZ26" s="10">
        <v>1.419369695528E-2</v>
      </c>
      <c r="BA26" s="10">
        <v>0.14169999999999999</v>
      </c>
      <c r="BB26" s="10">
        <v>0.1275</v>
      </c>
    </row>
    <row r="27" spans="1:54" s="7" customFormat="1">
      <c r="A27" s="3" t="s">
        <v>39</v>
      </c>
      <c r="B27" s="23" t="s">
        <v>40</v>
      </c>
      <c r="C27" s="2">
        <v>20644217.399999999</v>
      </c>
      <c r="D27" s="1">
        <v>1</v>
      </c>
      <c r="E27" s="1" t="s">
        <v>26</v>
      </c>
      <c r="F27" s="1" t="s">
        <v>26</v>
      </c>
      <c r="G27" s="2">
        <v>1487265232.8</v>
      </c>
      <c r="H27" s="1">
        <v>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1653594412</v>
      </c>
      <c r="P27" s="1">
        <v>1</v>
      </c>
      <c r="Q27" s="1" t="s">
        <v>26</v>
      </c>
      <c r="R27" s="1" t="s">
        <v>26</v>
      </c>
      <c r="S27" s="2">
        <v>826356416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1679249052.8800001</v>
      </c>
      <c r="AB27" s="1">
        <v>0.23804884494510001</v>
      </c>
      <c r="AC27" s="1" t="s">
        <v>26</v>
      </c>
      <c r="AD27" s="1" t="s">
        <v>26</v>
      </c>
      <c r="AE27" s="2">
        <v>5667109331.0799999</v>
      </c>
      <c r="AF27" s="1">
        <v>0.51322838706628005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982951206.5</v>
      </c>
      <c r="AV27" s="1">
        <v>1</v>
      </c>
      <c r="AW27" s="1" t="s">
        <v>26</v>
      </c>
      <c r="AX27" s="1" t="s">
        <v>26</v>
      </c>
      <c r="AY27" s="2">
        <v>6650060537.5799999</v>
      </c>
      <c r="AZ27" s="1">
        <v>0.55301811427993997</v>
      </c>
      <c r="BA27" s="1" t="s">
        <v>26</v>
      </c>
      <c r="BB27" s="1" t="s">
        <v>26</v>
      </c>
    </row>
    <row r="28" spans="1:54" s="7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 t="s">
        <v>26</v>
      </c>
      <c r="P28" s="1" t="s">
        <v>26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5374971492.7700005</v>
      </c>
      <c r="AB28" s="1">
        <v>0.76195115505489996</v>
      </c>
      <c r="AC28" s="1" t="s">
        <v>26</v>
      </c>
      <c r="AD28" s="1" t="s">
        <v>26</v>
      </c>
      <c r="AE28" s="2">
        <v>5374971492.7700005</v>
      </c>
      <c r="AF28" s="1">
        <v>0.48677161293372001</v>
      </c>
      <c r="AG28" s="1" t="s">
        <v>26</v>
      </c>
      <c r="AH28" s="1" t="s">
        <v>26</v>
      </c>
      <c r="AI28" s="2" t="s">
        <v>26</v>
      </c>
      <c r="AJ28" s="1" t="s">
        <v>26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 t="s">
        <v>26</v>
      </c>
      <c r="AR28" s="1" t="s">
        <v>26</v>
      </c>
      <c r="AS28" s="1" t="s">
        <v>26</v>
      </c>
      <c r="AT28" s="1" t="s">
        <v>26</v>
      </c>
      <c r="AU28" s="2" t="s">
        <v>26</v>
      </c>
      <c r="AV28" s="1" t="s">
        <v>26</v>
      </c>
      <c r="AW28" s="1" t="s">
        <v>26</v>
      </c>
      <c r="AX28" s="1" t="s">
        <v>26</v>
      </c>
      <c r="AY28" s="2">
        <v>5374971492.7700005</v>
      </c>
      <c r="AZ28" s="1">
        <v>0.44698188572005998</v>
      </c>
      <c r="BA28" s="1" t="s">
        <v>26</v>
      </c>
      <c r="BB28" s="1" t="s">
        <v>26</v>
      </c>
    </row>
    <row r="29" spans="1:54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10" t="s">
        <v>26</v>
      </c>
      <c r="F29" s="10" t="s">
        <v>26</v>
      </c>
      <c r="G29" s="9" t="s">
        <v>26</v>
      </c>
      <c r="H29" s="10" t="s">
        <v>26</v>
      </c>
      <c r="I29" s="10" t="s">
        <v>26</v>
      </c>
      <c r="J29" s="10" t="s">
        <v>26</v>
      </c>
      <c r="K29" s="9">
        <v>54507339</v>
      </c>
      <c r="L29" s="10">
        <v>1.2297850296199999E-2</v>
      </c>
      <c r="M29" s="10">
        <v>0.13500000000000001</v>
      </c>
      <c r="N29" s="10">
        <v>0.1227</v>
      </c>
      <c r="O29" s="9" t="s">
        <v>26</v>
      </c>
      <c r="P29" s="10" t="s">
        <v>26</v>
      </c>
      <c r="Q29" s="10" t="s">
        <v>26</v>
      </c>
      <c r="R29" s="10" t="s">
        <v>26</v>
      </c>
      <c r="S29" s="9">
        <v>16602701.800000001</v>
      </c>
      <c r="T29" s="10">
        <v>1.2856924595000001E-4</v>
      </c>
      <c r="U29" s="10">
        <v>0.13500000000000001</v>
      </c>
      <c r="V29" s="10">
        <v>0.13489999999999999</v>
      </c>
      <c r="W29" s="9" t="s">
        <v>26</v>
      </c>
      <c r="X29" s="10" t="s">
        <v>26</v>
      </c>
      <c r="Y29" s="10" t="s">
        <v>26</v>
      </c>
      <c r="Z29" s="10" t="s">
        <v>26</v>
      </c>
      <c r="AA29" s="9" t="s">
        <v>26</v>
      </c>
      <c r="AB29" s="10" t="s">
        <v>26</v>
      </c>
      <c r="AC29" s="10" t="s">
        <v>26</v>
      </c>
      <c r="AD29" s="10" t="s">
        <v>26</v>
      </c>
      <c r="AE29" s="9">
        <v>71110040.799999997</v>
      </c>
      <c r="AF29" s="10">
        <v>9.4978048759999996E-5</v>
      </c>
      <c r="AG29" s="10">
        <v>0.13500000000000001</v>
      </c>
      <c r="AH29" s="10">
        <v>0.13489999999999999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688170737.16999996</v>
      </c>
      <c r="AN29" s="10">
        <v>2.7315692284139999E-2</v>
      </c>
      <c r="AO29" s="10">
        <v>0.13500000000000001</v>
      </c>
      <c r="AP29" s="10">
        <v>0.1077</v>
      </c>
      <c r="AQ29" s="9">
        <v>688170737.16999996</v>
      </c>
      <c r="AR29" s="10">
        <v>1.556718424983E-2</v>
      </c>
      <c r="AS29" s="10">
        <v>0.13500000000000001</v>
      </c>
      <c r="AT29" s="10">
        <v>0.11940000000000001</v>
      </c>
      <c r="AU29" s="9">
        <v>5669215.25</v>
      </c>
      <c r="AV29" s="10">
        <v>1.0439956706999999E-4</v>
      </c>
      <c r="AW29" s="10">
        <v>0.13500000000000001</v>
      </c>
      <c r="AX29" s="10">
        <v>0.13489999999999999</v>
      </c>
      <c r="AY29" s="9">
        <v>764949993.22000003</v>
      </c>
      <c r="AZ29" s="10">
        <v>9.0290556917999997E-4</v>
      </c>
      <c r="BA29" s="10">
        <v>0.13500000000000001</v>
      </c>
      <c r="BB29" s="10">
        <v>0.1341</v>
      </c>
    </row>
    <row r="30" spans="1:54" s="7" customFormat="1">
      <c r="A30" s="3" t="s">
        <v>41</v>
      </c>
      <c r="B30" s="23" t="s">
        <v>44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>
        <v>54507339</v>
      </c>
      <c r="L30" s="1">
        <v>1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>
        <v>16602701.800000001</v>
      </c>
      <c r="T30" s="1">
        <v>1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71110040.799999997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688170737.16999996</v>
      </c>
      <c r="AN30" s="1">
        <v>1</v>
      </c>
      <c r="AO30" s="1" t="s">
        <v>26</v>
      </c>
      <c r="AP30" s="1" t="s">
        <v>26</v>
      </c>
      <c r="AQ30" s="2">
        <v>688170737.16999996</v>
      </c>
      <c r="AR30" s="1">
        <v>1</v>
      </c>
      <c r="AS30" s="1" t="s">
        <v>26</v>
      </c>
      <c r="AT30" s="1" t="s">
        <v>26</v>
      </c>
      <c r="AU30" s="2">
        <v>5669215.25</v>
      </c>
      <c r="AV30" s="1">
        <v>1</v>
      </c>
      <c r="AW30" s="1" t="s">
        <v>26</v>
      </c>
      <c r="AX30" s="1" t="s">
        <v>26</v>
      </c>
      <c r="AY30" s="2">
        <v>764949993.22000003</v>
      </c>
      <c r="AZ30" s="1">
        <v>1</v>
      </c>
      <c r="BA30" s="1" t="s">
        <v>26</v>
      </c>
      <c r="BB30" s="1" t="s">
        <v>26</v>
      </c>
    </row>
    <row r="31" spans="1:54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10" t="s">
        <v>26</v>
      </c>
      <c r="F31" s="10" t="s">
        <v>26</v>
      </c>
      <c r="G31" s="9">
        <v>20018554.93</v>
      </c>
      <c r="H31" s="10">
        <v>1.1160678173E-4</v>
      </c>
      <c r="I31" s="10">
        <v>0.13500000000000001</v>
      </c>
      <c r="J31" s="10">
        <v>0.13489999999999999</v>
      </c>
      <c r="K31" s="9">
        <v>265141757.96000001</v>
      </c>
      <c r="L31" s="10">
        <v>5.9820818746330003E-2</v>
      </c>
      <c r="M31" s="10">
        <v>0.13500000000000001</v>
      </c>
      <c r="N31" s="10">
        <v>7.5200000000000003E-2</v>
      </c>
      <c r="O31" s="9" t="s">
        <v>26</v>
      </c>
      <c r="P31" s="10" t="s">
        <v>26</v>
      </c>
      <c r="Q31" s="10" t="s">
        <v>26</v>
      </c>
      <c r="R31" s="10" t="s">
        <v>26</v>
      </c>
      <c r="S31" s="9" t="s">
        <v>26</v>
      </c>
      <c r="T31" s="10" t="s">
        <v>26</v>
      </c>
      <c r="U31" s="10" t="s">
        <v>26</v>
      </c>
      <c r="V31" s="10" t="s">
        <v>26</v>
      </c>
      <c r="W31" s="9" t="s">
        <v>26</v>
      </c>
      <c r="X31" s="10" t="s">
        <v>26</v>
      </c>
      <c r="Y31" s="10" t="s">
        <v>26</v>
      </c>
      <c r="Z31" s="10" t="s">
        <v>26</v>
      </c>
      <c r="AA31" s="9" t="s">
        <v>26</v>
      </c>
      <c r="AB31" s="10" t="s">
        <v>26</v>
      </c>
      <c r="AC31" s="10" t="s">
        <v>26</v>
      </c>
      <c r="AD31" s="10" t="s">
        <v>26</v>
      </c>
      <c r="AE31" s="9">
        <v>285160312.88999999</v>
      </c>
      <c r="AF31" s="10">
        <v>3.8087406217999999E-4</v>
      </c>
      <c r="AG31" s="10">
        <v>0.13500000000000001</v>
      </c>
      <c r="AH31" s="10">
        <v>0.1346</v>
      </c>
      <c r="AI31" s="9">
        <v>7017868.3099999996</v>
      </c>
      <c r="AJ31" s="10">
        <v>3.6910384747000001E-4</v>
      </c>
      <c r="AK31" s="10">
        <v>0.13500000000000001</v>
      </c>
      <c r="AL31" s="10">
        <v>0.1346</v>
      </c>
      <c r="AM31" s="9" t="s">
        <v>26</v>
      </c>
      <c r="AN31" s="10" t="s">
        <v>26</v>
      </c>
      <c r="AO31" s="10" t="s">
        <v>26</v>
      </c>
      <c r="AP31" s="10" t="s">
        <v>26</v>
      </c>
      <c r="AQ31" s="9">
        <v>7017868.3099999996</v>
      </c>
      <c r="AR31" s="10">
        <v>1.5875195373E-4</v>
      </c>
      <c r="AS31" s="10">
        <v>0.13500000000000001</v>
      </c>
      <c r="AT31" s="10">
        <v>0.1348</v>
      </c>
      <c r="AU31" s="9" t="s">
        <v>26</v>
      </c>
      <c r="AV31" s="10" t="s">
        <v>26</v>
      </c>
      <c r="AW31" s="10" t="s">
        <v>26</v>
      </c>
      <c r="AX31" s="10" t="s">
        <v>26</v>
      </c>
      <c r="AY31" s="9">
        <v>292178181.19999999</v>
      </c>
      <c r="AZ31" s="10">
        <v>3.4487131098000001E-4</v>
      </c>
      <c r="BA31" s="10">
        <v>0.13500000000000001</v>
      </c>
      <c r="BB31" s="10">
        <v>0.13469999999999999</v>
      </c>
    </row>
    <row r="32" spans="1:54" s="7" customFormat="1">
      <c r="A32" s="3" t="s">
        <v>41</v>
      </c>
      <c r="B32" s="23" t="s">
        <v>44</v>
      </c>
      <c r="C32" s="2" t="s">
        <v>26</v>
      </c>
      <c r="D32" s="1" t="s">
        <v>26</v>
      </c>
      <c r="E32" s="1" t="s">
        <v>26</v>
      </c>
      <c r="F32" s="1" t="s">
        <v>26</v>
      </c>
      <c r="G32" s="2">
        <v>20018554.93</v>
      </c>
      <c r="H32" s="1">
        <v>1</v>
      </c>
      <c r="I32" s="1" t="s">
        <v>26</v>
      </c>
      <c r="J32" s="1" t="s">
        <v>26</v>
      </c>
      <c r="K32" s="2">
        <v>265141757.96000001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285160312.88999999</v>
      </c>
      <c r="AF32" s="1">
        <v>1</v>
      </c>
      <c r="AG32" s="1" t="s">
        <v>26</v>
      </c>
      <c r="AH32" s="1" t="s">
        <v>26</v>
      </c>
      <c r="AI32" s="2">
        <v>7017868.3099999996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7017868.3099999996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292178181.19999999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10" t="s">
        <v>26</v>
      </c>
      <c r="F33" s="10" t="s">
        <v>26</v>
      </c>
      <c r="G33" s="9">
        <v>120295687.84</v>
      </c>
      <c r="H33" s="10">
        <v>6.7066851840000003E-4</v>
      </c>
      <c r="I33" s="10">
        <v>0.13500000000000001</v>
      </c>
      <c r="J33" s="10">
        <v>0.1343</v>
      </c>
      <c r="K33" s="9">
        <v>103358582.28</v>
      </c>
      <c r="L33" s="10">
        <v>2.3319582188870001E-2</v>
      </c>
      <c r="M33" s="10">
        <v>0.13500000000000001</v>
      </c>
      <c r="N33" s="10">
        <v>0.11169999999999999</v>
      </c>
      <c r="O33" s="9" t="s">
        <v>26</v>
      </c>
      <c r="P33" s="10" t="s">
        <v>26</v>
      </c>
      <c r="Q33" s="10" t="s">
        <v>26</v>
      </c>
      <c r="R33" s="10" t="s">
        <v>26</v>
      </c>
      <c r="S33" s="9">
        <v>16993714.379999999</v>
      </c>
      <c r="T33" s="10">
        <v>1.3159719845999999E-4</v>
      </c>
      <c r="U33" s="10">
        <v>0.13500000000000001</v>
      </c>
      <c r="V33" s="10">
        <v>0.13489999999999999</v>
      </c>
      <c r="W33" s="9" t="s">
        <v>26</v>
      </c>
      <c r="X33" s="10" t="s">
        <v>26</v>
      </c>
      <c r="Y33" s="10" t="s">
        <v>26</v>
      </c>
      <c r="Z33" s="10" t="s">
        <v>26</v>
      </c>
      <c r="AA33" s="9">
        <v>51064288.799999997</v>
      </c>
      <c r="AB33" s="10">
        <v>3.1869421897999999E-4</v>
      </c>
      <c r="AC33" s="10">
        <v>0.13500000000000001</v>
      </c>
      <c r="AD33" s="10">
        <v>0.13469999999999999</v>
      </c>
      <c r="AE33" s="9">
        <v>291712273.30000001</v>
      </c>
      <c r="AF33" s="10">
        <v>3.8962518099E-4</v>
      </c>
      <c r="AG33" s="10">
        <v>0.13500000000000001</v>
      </c>
      <c r="AH33" s="10">
        <v>0.1346</v>
      </c>
      <c r="AI33" s="9">
        <v>3662654.71</v>
      </c>
      <c r="AJ33" s="10">
        <v>1.9263683582000001E-4</v>
      </c>
      <c r="AK33" s="10">
        <v>0.13500000000000001</v>
      </c>
      <c r="AL33" s="10">
        <v>0.1348</v>
      </c>
      <c r="AM33" s="9" t="s">
        <v>26</v>
      </c>
      <c r="AN33" s="10" t="s">
        <v>26</v>
      </c>
      <c r="AO33" s="10" t="s">
        <v>26</v>
      </c>
      <c r="AP33" s="10" t="s">
        <v>26</v>
      </c>
      <c r="AQ33" s="9">
        <v>3662654.71</v>
      </c>
      <c r="AR33" s="10">
        <v>8.2853306069999993E-5</v>
      </c>
      <c r="AS33" s="10">
        <v>0.13500000000000001</v>
      </c>
      <c r="AT33" s="10">
        <v>0.13489999999999999</v>
      </c>
      <c r="AU33" s="9" t="s">
        <v>26</v>
      </c>
      <c r="AV33" s="10" t="s">
        <v>26</v>
      </c>
      <c r="AW33" s="10" t="s">
        <v>26</v>
      </c>
      <c r="AX33" s="10" t="s">
        <v>26</v>
      </c>
      <c r="AY33" s="9">
        <v>295374928.00999999</v>
      </c>
      <c r="AZ33" s="10">
        <v>3.4864457789000002E-4</v>
      </c>
      <c r="BA33" s="10">
        <v>0.13500000000000001</v>
      </c>
      <c r="BB33" s="10">
        <v>0.13469999999999999</v>
      </c>
    </row>
    <row r="34" spans="1:54" s="7" customFormat="1">
      <c r="A34" s="3" t="s">
        <v>41</v>
      </c>
      <c r="B34" s="23" t="s">
        <v>44</v>
      </c>
      <c r="C34" s="2" t="s">
        <v>26</v>
      </c>
      <c r="D34" s="1" t="s">
        <v>26</v>
      </c>
      <c r="E34" s="1" t="s">
        <v>26</v>
      </c>
      <c r="F34" s="1" t="s">
        <v>26</v>
      </c>
      <c r="G34" s="2">
        <v>120295687.84</v>
      </c>
      <c r="H34" s="1">
        <v>1</v>
      </c>
      <c r="I34" s="1" t="s">
        <v>26</v>
      </c>
      <c r="J34" s="1" t="s">
        <v>26</v>
      </c>
      <c r="K34" s="2">
        <v>103358582.28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16993714.379999999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51064288.799999997</v>
      </c>
      <c r="AB34" s="1">
        <v>1</v>
      </c>
      <c r="AC34" s="1" t="s">
        <v>26</v>
      </c>
      <c r="AD34" s="1" t="s">
        <v>26</v>
      </c>
      <c r="AE34" s="2">
        <v>291712273.30000001</v>
      </c>
      <c r="AF34" s="1">
        <v>1</v>
      </c>
      <c r="AG34" s="1" t="s">
        <v>26</v>
      </c>
      <c r="AH34" s="1" t="s">
        <v>26</v>
      </c>
      <c r="AI34" s="2">
        <v>3662654.71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3662654.71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295374928.00999999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>
        <v>4719391.0999999996</v>
      </c>
      <c r="D35" s="10">
        <v>5.7513970226999998E-4</v>
      </c>
      <c r="E35" s="10">
        <v>0.13500000000000001</v>
      </c>
      <c r="F35" s="10">
        <v>0.13439999999999999</v>
      </c>
      <c r="G35" s="9">
        <v>795495923.53999996</v>
      </c>
      <c r="H35" s="10">
        <v>4.4350224185899997E-3</v>
      </c>
      <c r="I35" s="10">
        <v>0.1031</v>
      </c>
      <c r="J35" s="10">
        <v>9.8699999999999996E-2</v>
      </c>
      <c r="K35" s="9" t="s">
        <v>26</v>
      </c>
      <c r="L35" s="10" t="s">
        <v>26</v>
      </c>
      <c r="M35" s="10" t="s">
        <v>26</v>
      </c>
      <c r="N35" s="10" t="s">
        <v>26</v>
      </c>
      <c r="O35" s="9">
        <v>1989669076.8699999</v>
      </c>
      <c r="P35" s="10">
        <v>7.6570561938800004E-3</v>
      </c>
      <c r="Q35" s="10">
        <v>0.1225</v>
      </c>
      <c r="R35" s="10">
        <v>0.1148</v>
      </c>
      <c r="S35" s="9">
        <v>440953421.97000003</v>
      </c>
      <c r="T35" s="10">
        <v>3.4146881419299998E-3</v>
      </c>
      <c r="U35" s="10">
        <v>0.1043</v>
      </c>
      <c r="V35" s="10">
        <v>0.1009</v>
      </c>
      <c r="W35" s="9" t="s">
        <v>26</v>
      </c>
      <c r="X35" s="10" t="s">
        <v>26</v>
      </c>
      <c r="Y35" s="10" t="s">
        <v>26</v>
      </c>
      <c r="Z35" s="10" t="s">
        <v>26</v>
      </c>
      <c r="AA35" s="9">
        <v>786400048.34000003</v>
      </c>
      <c r="AB35" s="10">
        <v>4.9079533877299996E-3</v>
      </c>
      <c r="AC35" s="10">
        <v>0.10340000000000001</v>
      </c>
      <c r="AD35" s="10">
        <v>9.8500000000000004E-2</v>
      </c>
      <c r="AE35" s="9">
        <v>4017237861.8200002</v>
      </c>
      <c r="AF35" s="10">
        <v>5.3656193867799998E-3</v>
      </c>
      <c r="AG35" s="10">
        <v>0.1129</v>
      </c>
      <c r="AH35" s="10">
        <v>0.1075</v>
      </c>
      <c r="AI35" s="9">
        <v>87953150.879999995</v>
      </c>
      <c r="AJ35" s="10">
        <v>4.6258842361800003E-3</v>
      </c>
      <c r="AK35" s="10">
        <v>0.109</v>
      </c>
      <c r="AL35" s="10">
        <v>0.10440000000000001</v>
      </c>
      <c r="AM35" s="9" t="s">
        <v>26</v>
      </c>
      <c r="AN35" s="10" t="s">
        <v>26</v>
      </c>
      <c r="AO35" s="10" t="s">
        <v>26</v>
      </c>
      <c r="AP35" s="10" t="s">
        <v>26</v>
      </c>
      <c r="AQ35" s="9">
        <v>87953150.879999995</v>
      </c>
      <c r="AR35" s="10">
        <v>1.9895976843400001E-3</v>
      </c>
      <c r="AS35" s="10">
        <v>0.109</v>
      </c>
      <c r="AT35" s="10">
        <v>0.107</v>
      </c>
      <c r="AU35" s="9">
        <v>17723450.120000001</v>
      </c>
      <c r="AV35" s="10">
        <v>3.2638036093E-4</v>
      </c>
      <c r="AW35" s="10">
        <v>0.13500000000000001</v>
      </c>
      <c r="AX35" s="10">
        <v>0.13469999999999999</v>
      </c>
      <c r="AY35" s="9">
        <v>4122914462.8200002</v>
      </c>
      <c r="AZ35" s="10">
        <v>4.8664650796899998E-3</v>
      </c>
      <c r="BA35" s="10">
        <v>0.1129</v>
      </c>
      <c r="BB35" s="10">
        <v>0.108</v>
      </c>
    </row>
    <row r="36" spans="1:54" s="7" customFormat="1">
      <c r="A36" s="3" t="s">
        <v>39</v>
      </c>
      <c r="B36" s="23" t="s">
        <v>47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563600262.03999996</v>
      </c>
      <c r="H36" s="1">
        <v>0.70848918940018002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552673175.38</v>
      </c>
      <c r="P36" s="1">
        <v>0.27777140520746002</v>
      </c>
      <c r="Q36" s="1" t="s">
        <v>26</v>
      </c>
      <c r="R36" s="1" t="s">
        <v>26</v>
      </c>
      <c r="S36" s="2">
        <v>301304916</v>
      </c>
      <c r="T36" s="1">
        <v>0.68330327192812002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552673175.38</v>
      </c>
      <c r="AB36" s="1">
        <v>0.70278883698778005</v>
      </c>
      <c r="AC36" s="1" t="s">
        <v>26</v>
      </c>
      <c r="AD36" s="1" t="s">
        <v>26</v>
      </c>
      <c r="AE36" s="2">
        <v>1970251528.8</v>
      </c>
      <c r="AF36" s="1">
        <v>0.49044930785038998</v>
      </c>
      <c r="AG36" s="1" t="s">
        <v>26</v>
      </c>
      <c r="AH36" s="1" t="s">
        <v>26</v>
      </c>
      <c r="AI36" s="2">
        <v>50736512</v>
      </c>
      <c r="AJ36" s="1">
        <v>0.57685837849315003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50736512</v>
      </c>
      <c r="AR36" s="1">
        <v>0.57685837849315003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2020988040.8</v>
      </c>
      <c r="AZ36" s="1">
        <v>0.49018432446878002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>
        <v>4719391.0999999996</v>
      </c>
      <c r="D37" s="1">
        <v>1</v>
      </c>
      <c r="E37" s="1" t="s">
        <v>26</v>
      </c>
      <c r="F37" s="1" t="s">
        <v>26</v>
      </c>
      <c r="G37" s="2">
        <v>231895661.5</v>
      </c>
      <c r="H37" s="1">
        <v>0.29151081059981998</v>
      </c>
      <c r="I37" s="1" t="s">
        <v>26</v>
      </c>
      <c r="J37" s="1" t="s">
        <v>26</v>
      </c>
      <c r="K37" s="2" t="s">
        <v>26</v>
      </c>
      <c r="L37" s="1" t="s">
        <v>26</v>
      </c>
      <c r="M37" s="1" t="s">
        <v>26</v>
      </c>
      <c r="N37" s="1" t="s">
        <v>26</v>
      </c>
      <c r="O37" s="2">
        <v>1436995901.49</v>
      </c>
      <c r="P37" s="1">
        <v>0.72222859479253998</v>
      </c>
      <c r="Q37" s="1" t="s">
        <v>26</v>
      </c>
      <c r="R37" s="1" t="s">
        <v>26</v>
      </c>
      <c r="S37" s="2">
        <v>139648505.97</v>
      </c>
      <c r="T37" s="1">
        <v>0.31669672807187998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233726872.96000001</v>
      </c>
      <c r="AB37" s="1">
        <v>0.29721116301222</v>
      </c>
      <c r="AC37" s="1" t="s">
        <v>26</v>
      </c>
      <c r="AD37" s="1" t="s">
        <v>26</v>
      </c>
      <c r="AE37" s="2">
        <v>2046986333.02</v>
      </c>
      <c r="AF37" s="1">
        <v>0.50955069214961002</v>
      </c>
      <c r="AG37" s="1" t="s">
        <v>26</v>
      </c>
      <c r="AH37" s="1" t="s">
        <v>26</v>
      </c>
      <c r="AI37" s="2">
        <v>37216638.880000003</v>
      </c>
      <c r="AJ37" s="1">
        <v>0.42314162150684997</v>
      </c>
      <c r="AK37" s="1" t="s">
        <v>26</v>
      </c>
      <c r="AL37" s="1" t="s">
        <v>26</v>
      </c>
      <c r="AM37" s="2" t="s">
        <v>26</v>
      </c>
      <c r="AN37" s="1" t="s">
        <v>26</v>
      </c>
      <c r="AO37" s="1" t="s">
        <v>26</v>
      </c>
      <c r="AP37" s="1" t="s">
        <v>26</v>
      </c>
      <c r="AQ37" s="2">
        <v>37216638.880000003</v>
      </c>
      <c r="AR37" s="1">
        <v>0.42314162150684997</v>
      </c>
      <c r="AS37" s="1" t="s">
        <v>26</v>
      </c>
      <c r="AT37" s="1" t="s">
        <v>26</v>
      </c>
      <c r="AU37" s="2">
        <v>17723450.120000001</v>
      </c>
      <c r="AV37" s="1">
        <v>1</v>
      </c>
      <c r="AW37" s="1" t="s">
        <v>26</v>
      </c>
      <c r="AX37" s="1" t="s">
        <v>26</v>
      </c>
      <c r="AY37" s="2">
        <v>2101926422.02</v>
      </c>
      <c r="AZ37" s="1">
        <v>0.50981567553121998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10" t="s">
        <v>26</v>
      </c>
      <c r="F38" s="10" t="s">
        <v>26</v>
      </c>
      <c r="G38" s="9" t="s">
        <v>26</v>
      </c>
      <c r="H38" s="10" t="s">
        <v>26</v>
      </c>
      <c r="I38" s="10" t="s">
        <v>26</v>
      </c>
      <c r="J38" s="10" t="s">
        <v>26</v>
      </c>
      <c r="K38" s="9" t="s">
        <v>26</v>
      </c>
      <c r="L38" s="10" t="s">
        <v>26</v>
      </c>
      <c r="M38" s="10" t="s">
        <v>26</v>
      </c>
      <c r="N38" s="10" t="s">
        <v>26</v>
      </c>
      <c r="O38" s="9">
        <v>100981177.91</v>
      </c>
      <c r="P38" s="10">
        <v>3.8861666132E-4</v>
      </c>
      <c r="Q38" s="10">
        <v>0.13500000000000001</v>
      </c>
      <c r="R38" s="10">
        <v>0.1346</v>
      </c>
      <c r="S38" s="9">
        <v>16210122.939999999</v>
      </c>
      <c r="T38" s="10">
        <v>1.2552916436000001E-4</v>
      </c>
      <c r="U38" s="10">
        <v>0.13500000000000001</v>
      </c>
      <c r="V38" s="10">
        <v>0.13489999999999999</v>
      </c>
      <c r="W38" s="9" t="s">
        <v>26</v>
      </c>
      <c r="X38" s="10" t="s">
        <v>26</v>
      </c>
      <c r="Y38" s="10" t="s">
        <v>26</v>
      </c>
      <c r="Z38" s="10" t="s">
        <v>26</v>
      </c>
      <c r="AA38" s="9" t="s">
        <v>26</v>
      </c>
      <c r="AB38" s="10" t="s">
        <v>26</v>
      </c>
      <c r="AC38" s="10" t="s">
        <v>26</v>
      </c>
      <c r="AD38" s="10" t="s">
        <v>26</v>
      </c>
      <c r="AE38" s="9">
        <v>117191300.84999999</v>
      </c>
      <c r="AF38" s="10">
        <v>1.5652643368999999E-4</v>
      </c>
      <c r="AG38" s="10">
        <v>0.13500000000000001</v>
      </c>
      <c r="AH38" s="10">
        <v>0.1348</v>
      </c>
      <c r="AI38" s="9" t="s">
        <v>26</v>
      </c>
      <c r="AJ38" s="10" t="s">
        <v>26</v>
      </c>
      <c r="AK38" s="10" t="s">
        <v>26</v>
      </c>
      <c r="AL38" s="10" t="s">
        <v>26</v>
      </c>
      <c r="AM38" s="9" t="s">
        <v>26</v>
      </c>
      <c r="AN38" s="10" t="s">
        <v>26</v>
      </c>
      <c r="AO38" s="10" t="s">
        <v>26</v>
      </c>
      <c r="AP38" s="10" t="s">
        <v>26</v>
      </c>
      <c r="AQ38" s="9" t="s">
        <v>26</v>
      </c>
      <c r="AR38" s="10" t="s">
        <v>26</v>
      </c>
      <c r="AS38" s="10" t="s">
        <v>26</v>
      </c>
      <c r="AT38" s="10" t="s">
        <v>26</v>
      </c>
      <c r="AU38" s="9">
        <v>26246986.66</v>
      </c>
      <c r="AV38" s="10">
        <v>4.8334274204000002E-4</v>
      </c>
      <c r="AW38" s="10">
        <v>0.13500000000000001</v>
      </c>
      <c r="AX38" s="10">
        <v>0.13450000000000001</v>
      </c>
      <c r="AY38" s="9">
        <v>143438287.50999999</v>
      </c>
      <c r="AZ38" s="10">
        <v>1.6930679099999999E-4</v>
      </c>
      <c r="BA38" s="10">
        <v>0.13500000000000001</v>
      </c>
      <c r="BB38" s="10">
        <v>0.1348</v>
      </c>
    </row>
    <row r="39" spans="1:54" s="7" customFormat="1">
      <c r="A39" s="3" t="s">
        <v>41</v>
      </c>
      <c r="B39" s="23" t="s">
        <v>44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100981177.91</v>
      </c>
      <c r="P39" s="1">
        <v>1</v>
      </c>
      <c r="Q39" s="1" t="s">
        <v>26</v>
      </c>
      <c r="R39" s="1" t="s">
        <v>26</v>
      </c>
      <c r="S39" s="2">
        <v>16210122.939999999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117191300.84999999</v>
      </c>
      <c r="AF39" s="1">
        <v>1</v>
      </c>
      <c r="AG39" s="1" t="s">
        <v>26</v>
      </c>
      <c r="AH39" s="1" t="s">
        <v>26</v>
      </c>
      <c r="AI39" s="2" t="s">
        <v>26</v>
      </c>
      <c r="AJ39" s="1" t="s">
        <v>26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 t="s">
        <v>26</v>
      </c>
      <c r="AR39" s="1" t="s">
        <v>26</v>
      </c>
      <c r="AS39" s="1" t="s">
        <v>26</v>
      </c>
      <c r="AT39" s="1" t="s">
        <v>26</v>
      </c>
      <c r="AU39" s="2">
        <v>26246986.66</v>
      </c>
      <c r="AV39" s="1">
        <v>1</v>
      </c>
      <c r="AW39" s="1" t="s">
        <v>26</v>
      </c>
      <c r="AX39" s="1" t="s">
        <v>26</v>
      </c>
      <c r="AY39" s="2">
        <v>143438287.50999999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24642874.609999999</v>
      </c>
      <c r="D40" s="10">
        <v>3.0031619049699998E-3</v>
      </c>
      <c r="E40" s="10">
        <v>0.13500000000000001</v>
      </c>
      <c r="F40" s="10">
        <v>0.13200000000000001</v>
      </c>
      <c r="G40" s="9">
        <v>2704358829</v>
      </c>
      <c r="H40" s="10">
        <v>1.5077251409619999E-2</v>
      </c>
      <c r="I40" s="10">
        <v>0.13500000000000001</v>
      </c>
      <c r="J40" s="10">
        <v>0.11990000000000001</v>
      </c>
      <c r="K40" s="9" t="s">
        <v>26</v>
      </c>
      <c r="L40" s="10" t="s">
        <v>26</v>
      </c>
      <c r="M40" s="10" t="s">
        <v>26</v>
      </c>
      <c r="N40" s="10" t="s">
        <v>26</v>
      </c>
      <c r="O40" s="9">
        <v>7622501531.3599997</v>
      </c>
      <c r="P40" s="10">
        <v>2.9334487449239999E-2</v>
      </c>
      <c r="Q40" s="10">
        <v>0.05</v>
      </c>
      <c r="R40" s="10">
        <v>2.07E-2</v>
      </c>
      <c r="S40" s="9">
        <v>4155097349.8499999</v>
      </c>
      <c r="T40" s="10">
        <v>3.2176554126100002E-2</v>
      </c>
      <c r="U40" s="10">
        <v>0.14219999999999999</v>
      </c>
      <c r="V40" s="10">
        <v>0.11</v>
      </c>
      <c r="W40" s="9">
        <v>1100138982.95</v>
      </c>
      <c r="X40" s="10">
        <v>0.14701505893413</v>
      </c>
      <c r="Y40" s="10">
        <v>0.15</v>
      </c>
      <c r="Z40" s="10">
        <v>3.0000000000000001E-3</v>
      </c>
      <c r="AA40" s="9">
        <v>5689001421.7700005</v>
      </c>
      <c r="AB40" s="10">
        <v>3.5505279863230002E-2</v>
      </c>
      <c r="AC40" s="10">
        <v>0.1396</v>
      </c>
      <c r="AD40" s="10">
        <v>0.1041</v>
      </c>
      <c r="AE40" s="9">
        <v>21295740989.540001</v>
      </c>
      <c r="AF40" s="10">
        <v>2.844363332212E-2</v>
      </c>
      <c r="AG40" s="10">
        <v>0.14050000000000001</v>
      </c>
      <c r="AH40" s="10">
        <v>0.11210000000000001</v>
      </c>
      <c r="AI40" s="9">
        <v>474271611.18000001</v>
      </c>
      <c r="AJ40" s="10">
        <v>2.4944252114620001E-2</v>
      </c>
      <c r="AK40" s="10">
        <v>0.1424</v>
      </c>
      <c r="AL40" s="10">
        <v>0.11749999999999999</v>
      </c>
      <c r="AM40" s="9" t="s">
        <v>26</v>
      </c>
      <c r="AN40" s="10" t="s">
        <v>26</v>
      </c>
      <c r="AO40" s="10" t="s">
        <v>26</v>
      </c>
      <c r="AP40" s="10" t="s">
        <v>26</v>
      </c>
      <c r="AQ40" s="9">
        <v>474271611.18000001</v>
      </c>
      <c r="AR40" s="10">
        <v>1.072854911858E-2</v>
      </c>
      <c r="AS40" s="10">
        <v>0.1424</v>
      </c>
      <c r="AT40" s="10">
        <v>0.13170000000000001</v>
      </c>
      <c r="AU40" s="9">
        <v>1658317521.46</v>
      </c>
      <c r="AV40" s="10">
        <v>3.0538200380300001E-2</v>
      </c>
      <c r="AW40" s="10">
        <v>0.14000000000000001</v>
      </c>
      <c r="AX40" s="10">
        <v>0.1095</v>
      </c>
      <c r="AY40" s="9">
        <v>23428330122.18</v>
      </c>
      <c r="AZ40" s="10">
        <v>2.7653532820810001E-2</v>
      </c>
      <c r="BA40" s="10">
        <v>0.14050000000000001</v>
      </c>
      <c r="BB40" s="10">
        <v>0.1128</v>
      </c>
    </row>
    <row r="41" spans="1:54" s="7" customFormat="1">
      <c r="A41" s="3" t="s">
        <v>39</v>
      </c>
      <c r="B41" s="23" t="s">
        <v>40</v>
      </c>
      <c r="C41" s="2">
        <v>24642874.609999999</v>
      </c>
      <c r="D41" s="1">
        <v>1</v>
      </c>
      <c r="E41" s="1" t="s">
        <v>26</v>
      </c>
      <c r="F41" s="1" t="s">
        <v>26</v>
      </c>
      <c r="G41" s="2">
        <v>2704358829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4698303947.1899996</v>
      </c>
      <c r="P41" s="1">
        <v>0.61637297517889</v>
      </c>
      <c r="Q41" s="1" t="s">
        <v>26</v>
      </c>
      <c r="R41" s="1" t="s">
        <v>26</v>
      </c>
      <c r="S41" s="2">
        <v>2163958734.1900001</v>
      </c>
      <c r="T41" s="1">
        <v>0.52079615758415998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3954854442.5</v>
      </c>
      <c r="AB41" s="1">
        <v>0.69517550608547996</v>
      </c>
      <c r="AC41" s="1" t="s">
        <v>26</v>
      </c>
      <c r="AD41" s="1" t="s">
        <v>26</v>
      </c>
      <c r="AE41" s="2">
        <v>13546118827.49</v>
      </c>
      <c r="AF41" s="1">
        <v>0.63609520956061005</v>
      </c>
      <c r="AG41" s="1" t="s">
        <v>26</v>
      </c>
      <c r="AH41" s="1" t="s">
        <v>26</v>
      </c>
      <c r="AI41" s="2">
        <v>240055314.80000001</v>
      </c>
      <c r="AJ41" s="1">
        <v>0.50615577475264995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240055314.80000001</v>
      </c>
      <c r="AR41" s="1">
        <v>0.50615577475264995</v>
      </c>
      <c r="AS41" s="1" t="s">
        <v>26</v>
      </c>
      <c r="AT41" s="1" t="s">
        <v>26</v>
      </c>
      <c r="AU41" s="2">
        <v>1109975398.71</v>
      </c>
      <c r="AV41" s="1">
        <v>0.66933828072488999</v>
      </c>
      <c r="AW41" s="1" t="s">
        <v>26</v>
      </c>
      <c r="AX41" s="1" t="s">
        <v>26</v>
      </c>
      <c r="AY41" s="2">
        <v>14896149541</v>
      </c>
      <c r="AZ41" s="1">
        <v>0.63581780960554002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2" t="s">
        <v>26</v>
      </c>
      <c r="D42" s="1" t="s">
        <v>26</v>
      </c>
      <c r="E42" s="1" t="s">
        <v>26</v>
      </c>
      <c r="F42" s="1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2924197584.1700001</v>
      </c>
      <c r="P42" s="1">
        <v>0.38362702482111</v>
      </c>
      <c r="Q42" s="1" t="s">
        <v>26</v>
      </c>
      <c r="R42" s="1" t="s">
        <v>26</v>
      </c>
      <c r="S42" s="2">
        <v>1991138615.6600001</v>
      </c>
      <c r="T42" s="1">
        <v>0.47920384241584002</v>
      </c>
      <c r="U42" s="1" t="s">
        <v>26</v>
      </c>
      <c r="V42" s="1" t="s">
        <v>26</v>
      </c>
      <c r="W42" s="2">
        <v>1100138982.95</v>
      </c>
      <c r="X42" s="1">
        <v>1</v>
      </c>
      <c r="Y42" s="1" t="s">
        <v>26</v>
      </c>
      <c r="Z42" s="1" t="s">
        <v>26</v>
      </c>
      <c r="AA42" s="2">
        <v>1734146979.27</v>
      </c>
      <c r="AB42" s="1">
        <v>0.30482449391451999</v>
      </c>
      <c r="AC42" s="1" t="s">
        <v>26</v>
      </c>
      <c r="AD42" s="1" t="s">
        <v>26</v>
      </c>
      <c r="AE42" s="2">
        <v>7749622162.0500002</v>
      </c>
      <c r="AF42" s="1">
        <v>0.36390479043939</v>
      </c>
      <c r="AG42" s="1" t="s">
        <v>26</v>
      </c>
      <c r="AH42" s="1" t="s">
        <v>26</v>
      </c>
      <c r="AI42" s="2">
        <v>234216296.38</v>
      </c>
      <c r="AJ42" s="1">
        <v>0.49384422524735</v>
      </c>
      <c r="AK42" s="1" t="s">
        <v>26</v>
      </c>
      <c r="AL42" s="1" t="s">
        <v>26</v>
      </c>
      <c r="AM42" s="2" t="s">
        <v>26</v>
      </c>
      <c r="AN42" s="1" t="s">
        <v>26</v>
      </c>
      <c r="AO42" s="1" t="s">
        <v>26</v>
      </c>
      <c r="AP42" s="1" t="s">
        <v>26</v>
      </c>
      <c r="AQ42" s="2">
        <v>234216296.38</v>
      </c>
      <c r="AR42" s="1">
        <v>0.49384422524735</v>
      </c>
      <c r="AS42" s="1" t="s">
        <v>26</v>
      </c>
      <c r="AT42" s="1" t="s">
        <v>26</v>
      </c>
      <c r="AU42" s="2">
        <v>548342122.75</v>
      </c>
      <c r="AV42" s="1">
        <v>0.33066171927511001</v>
      </c>
      <c r="AW42" s="1" t="s">
        <v>26</v>
      </c>
      <c r="AX42" s="1" t="s">
        <v>26</v>
      </c>
      <c r="AY42" s="2">
        <v>8532180581.1800003</v>
      </c>
      <c r="AZ42" s="1">
        <v>0.36418219039445998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10" t="s">
        <v>26</v>
      </c>
      <c r="F43" s="10" t="s">
        <v>26</v>
      </c>
      <c r="G43" s="9" t="s">
        <v>26</v>
      </c>
      <c r="H43" s="10" t="s">
        <v>26</v>
      </c>
      <c r="I43" s="10" t="s">
        <v>26</v>
      </c>
      <c r="J43" s="10" t="s">
        <v>26</v>
      </c>
      <c r="K43" s="9">
        <v>227625262.33000001</v>
      </c>
      <c r="L43" s="10">
        <v>5.1356412753300003E-2</v>
      </c>
      <c r="M43" s="10">
        <v>0.15</v>
      </c>
      <c r="N43" s="10">
        <v>9.8599999999999993E-2</v>
      </c>
      <c r="O43" s="9" t="s">
        <v>26</v>
      </c>
      <c r="P43" s="10" t="s">
        <v>26</v>
      </c>
      <c r="Q43" s="10" t="s">
        <v>26</v>
      </c>
      <c r="R43" s="10" t="s">
        <v>26</v>
      </c>
      <c r="S43" s="9" t="s">
        <v>26</v>
      </c>
      <c r="T43" s="10" t="s">
        <v>26</v>
      </c>
      <c r="U43" s="10" t="s">
        <v>26</v>
      </c>
      <c r="V43" s="10" t="s">
        <v>26</v>
      </c>
      <c r="W43" s="9" t="s">
        <v>26</v>
      </c>
      <c r="X43" s="10" t="s">
        <v>26</v>
      </c>
      <c r="Y43" s="10" t="s">
        <v>26</v>
      </c>
      <c r="Z43" s="10" t="s">
        <v>26</v>
      </c>
      <c r="AA43" s="9">
        <v>146297813.56</v>
      </c>
      <c r="AB43" s="10">
        <v>9.1305036310000004E-4</v>
      </c>
      <c r="AC43" s="10">
        <v>0.15</v>
      </c>
      <c r="AD43" s="10">
        <v>0.14910000000000001</v>
      </c>
      <c r="AE43" s="9">
        <v>373923075.88999999</v>
      </c>
      <c r="AF43" s="10">
        <v>4.9942995016999999E-4</v>
      </c>
      <c r="AG43" s="10">
        <v>0.15</v>
      </c>
      <c r="AH43" s="10">
        <v>0.14949999999999999</v>
      </c>
      <c r="AI43" s="9" t="s">
        <v>26</v>
      </c>
      <c r="AJ43" s="10" t="s">
        <v>26</v>
      </c>
      <c r="AK43" s="10" t="s">
        <v>26</v>
      </c>
      <c r="AL43" s="10" t="s">
        <v>26</v>
      </c>
      <c r="AM43" s="9">
        <v>1558241092.8599999</v>
      </c>
      <c r="AN43" s="10">
        <v>6.1851560809030003E-2</v>
      </c>
      <c r="AO43" s="10">
        <v>0.15</v>
      </c>
      <c r="AP43" s="10">
        <v>8.8099999999999998E-2</v>
      </c>
      <c r="AQ43" s="9">
        <v>1558241092.8599999</v>
      </c>
      <c r="AR43" s="10">
        <v>3.5249139331259997E-2</v>
      </c>
      <c r="AS43" s="10">
        <v>0.15</v>
      </c>
      <c r="AT43" s="10">
        <v>0.1148</v>
      </c>
      <c r="AU43" s="9" t="s">
        <v>26</v>
      </c>
      <c r="AV43" s="10" t="s">
        <v>26</v>
      </c>
      <c r="AW43" s="10" t="s">
        <v>26</v>
      </c>
      <c r="AX43" s="10" t="s">
        <v>26</v>
      </c>
      <c r="AY43" s="9">
        <v>1932164168.75</v>
      </c>
      <c r="AZ43" s="10">
        <v>2.2806220066499999E-3</v>
      </c>
      <c r="BA43" s="10">
        <v>0.15</v>
      </c>
      <c r="BB43" s="10">
        <v>0.1477</v>
      </c>
    </row>
    <row r="44" spans="1:54" s="7" customFormat="1">
      <c r="A44" s="3" t="s">
        <v>41</v>
      </c>
      <c r="B44" s="23" t="s">
        <v>35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227625262.33000001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146297813.56</v>
      </c>
      <c r="AB44" s="1">
        <v>1</v>
      </c>
      <c r="AC44" s="1" t="s">
        <v>26</v>
      </c>
      <c r="AD44" s="1" t="s">
        <v>26</v>
      </c>
      <c r="AE44" s="2">
        <v>373923075.88999999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1558241092.8599999</v>
      </c>
      <c r="AN44" s="1">
        <v>1</v>
      </c>
      <c r="AO44" s="1" t="s">
        <v>26</v>
      </c>
      <c r="AP44" s="1" t="s">
        <v>26</v>
      </c>
      <c r="AQ44" s="2">
        <v>1558241092.8599999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1932164168.75</v>
      </c>
      <c r="AZ44" s="1">
        <v>1</v>
      </c>
      <c r="BA44" s="1" t="s">
        <v>26</v>
      </c>
      <c r="BB44" s="1" t="s">
        <v>26</v>
      </c>
    </row>
    <row r="45" spans="1:54" s="7" customFormat="1">
      <c r="A45" s="12" t="s">
        <v>55</v>
      </c>
      <c r="B45" s="40" t="s">
        <v>25</v>
      </c>
      <c r="C45" s="42">
        <v>67978623.219999999</v>
      </c>
      <c r="D45" s="43">
        <v>8.2843748887799998E-3</v>
      </c>
      <c r="E45" s="43" t="s">
        <v>26</v>
      </c>
      <c r="F45" s="43" t="s">
        <v>26</v>
      </c>
      <c r="G45" s="42">
        <v>305830407</v>
      </c>
      <c r="H45" s="43">
        <v>1.70505551467E-3</v>
      </c>
      <c r="I45" s="43" t="s">
        <v>26</v>
      </c>
      <c r="J45" s="43" t="s">
        <v>26</v>
      </c>
      <c r="K45" s="42">
        <v>96747396.140000001</v>
      </c>
      <c r="L45" s="43">
        <v>2.182797795866E-2</v>
      </c>
      <c r="M45" s="43" t="s">
        <v>26</v>
      </c>
      <c r="N45" s="43" t="s">
        <v>26</v>
      </c>
      <c r="O45" s="42">
        <v>4210889869.2199998</v>
      </c>
      <c r="P45" s="43">
        <v>1.6205217606130001E-2</v>
      </c>
      <c r="Q45" s="43" t="s">
        <v>26</v>
      </c>
      <c r="R45" s="43" t="s">
        <v>26</v>
      </c>
      <c r="S45" s="42">
        <v>1246042576.9000001</v>
      </c>
      <c r="T45" s="43">
        <v>9.6491978510400006E-3</v>
      </c>
      <c r="U45" s="43" t="s">
        <v>26</v>
      </c>
      <c r="V45" s="43" t="s">
        <v>26</v>
      </c>
      <c r="W45" s="42">
        <v>253264621.68000001</v>
      </c>
      <c r="X45" s="43">
        <v>3.384455406023E-2</v>
      </c>
      <c r="Y45" s="43" t="s">
        <v>26</v>
      </c>
      <c r="Z45" s="43" t="s">
        <v>26</v>
      </c>
      <c r="AA45" s="42">
        <v>4426142599.6899996</v>
      </c>
      <c r="AB45" s="43">
        <v>2.7623728676740001E-2</v>
      </c>
      <c r="AC45" s="43" t="s">
        <v>26</v>
      </c>
      <c r="AD45" s="43" t="s">
        <v>26</v>
      </c>
      <c r="AE45" s="42">
        <v>10606896093.85</v>
      </c>
      <c r="AF45" s="43">
        <v>1.416708924698E-2</v>
      </c>
      <c r="AG45" s="43" t="s">
        <v>26</v>
      </c>
      <c r="AH45" s="43" t="s">
        <v>26</v>
      </c>
      <c r="AI45" s="42">
        <v>232447845</v>
      </c>
      <c r="AJ45" s="43">
        <v>1.2225563395529999E-2</v>
      </c>
      <c r="AK45" s="43" t="s">
        <v>26</v>
      </c>
      <c r="AL45" s="43" t="s">
        <v>26</v>
      </c>
      <c r="AM45" s="42">
        <v>218153829.47</v>
      </c>
      <c r="AN45" s="43">
        <v>8.6592215485899997E-3</v>
      </c>
      <c r="AO45" s="43" t="s">
        <v>26</v>
      </c>
      <c r="AP45" s="43" t="s">
        <v>26</v>
      </c>
      <c r="AQ45" s="42">
        <v>450601674.47000003</v>
      </c>
      <c r="AR45" s="43">
        <v>1.019310893486E-2</v>
      </c>
      <c r="AS45" s="43" t="s">
        <v>26</v>
      </c>
      <c r="AT45" s="43" t="s">
        <v>26</v>
      </c>
      <c r="AU45" s="42">
        <v>553089205.08000004</v>
      </c>
      <c r="AV45" s="43">
        <v>1.018523217317E-2</v>
      </c>
      <c r="AW45" s="43" t="s">
        <v>26</v>
      </c>
      <c r="AX45" s="43" t="s">
        <v>26</v>
      </c>
      <c r="AY45" s="42">
        <v>11610586973.4</v>
      </c>
      <c r="AZ45" s="43">
        <v>1.370450844185E-2</v>
      </c>
      <c r="BA45" s="43" t="s">
        <v>26</v>
      </c>
      <c r="BB45" s="43" t="s">
        <v>26</v>
      </c>
    </row>
    <row r="46" spans="1:54" s="7" customFormat="1">
      <c r="A46" s="5" t="s">
        <v>56</v>
      </c>
      <c r="B46" s="20" t="s">
        <v>25</v>
      </c>
      <c r="C46" s="9">
        <v>35144975.25</v>
      </c>
      <c r="D46" s="10">
        <v>4.28302511343E-3</v>
      </c>
      <c r="E46" s="10">
        <v>0.12</v>
      </c>
      <c r="F46" s="10">
        <v>0.1157</v>
      </c>
      <c r="G46" s="9" t="s">
        <v>26</v>
      </c>
      <c r="H46" s="10" t="s">
        <v>26</v>
      </c>
      <c r="I46" s="10" t="s">
        <v>26</v>
      </c>
      <c r="J46" s="10" t="s">
        <v>26</v>
      </c>
      <c r="K46" s="9">
        <v>30124264.5</v>
      </c>
      <c r="L46" s="10">
        <v>6.7965837610299996E-3</v>
      </c>
      <c r="M46" s="10">
        <v>0.12</v>
      </c>
      <c r="N46" s="10">
        <v>0.1132</v>
      </c>
      <c r="O46" s="9">
        <v>806326146.45000005</v>
      </c>
      <c r="P46" s="10">
        <v>3.1030711014900002E-3</v>
      </c>
      <c r="Q46" s="10">
        <v>0.12</v>
      </c>
      <c r="R46" s="10">
        <v>0.1169</v>
      </c>
      <c r="S46" s="9">
        <v>301242645</v>
      </c>
      <c r="T46" s="10">
        <v>2.3327853611599999E-3</v>
      </c>
      <c r="U46" s="10">
        <v>0.12</v>
      </c>
      <c r="V46" s="10">
        <v>0.1177</v>
      </c>
      <c r="W46" s="9" t="s">
        <v>26</v>
      </c>
      <c r="X46" s="10" t="s">
        <v>26</v>
      </c>
      <c r="Y46" s="10" t="s">
        <v>26</v>
      </c>
      <c r="Z46" s="10" t="s">
        <v>26</v>
      </c>
      <c r="AA46" s="9">
        <v>883645092</v>
      </c>
      <c r="AB46" s="10">
        <v>5.5148634998000001E-3</v>
      </c>
      <c r="AC46" s="10">
        <v>0.12</v>
      </c>
      <c r="AD46" s="10">
        <v>0.1145</v>
      </c>
      <c r="AE46" s="9">
        <v>2056483123.2</v>
      </c>
      <c r="AF46" s="10">
        <v>2.7467394498299998E-3</v>
      </c>
      <c r="AG46" s="10">
        <v>0.12</v>
      </c>
      <c r="AH46" s="10">
        <v>0.1173</v>
      </c>
      <c r="AI46" s="9" t="s">
        <v>26</v>
      </c>
      <c r="AJ46" s="10" t="s">
        <v>26</v>
      </c>
      <c r="AK46" s="10" t="s">
        <v>26</v>
      </c>
      <c r="AL46" s="10" t="s">
        <v>26</v>
      </c>
      <c r="AM46" s="9" t="s">
        <v>26</v>
      </c>
      <c r="AN46" s="10" t="s">
        <v>26</v>
      </c>
      <c r="AO46" s="10" t="s">
        <v>26</v>
      </c>
      <c r="AP46" s="10" t="s">
        <v>26</v>
      </c>
      <c r="AQ46" s="9" t="s">
        <v>26</v>
      </c>
      <c r="AR46" s="10" t="s">
        <v>26</v>
      </c>
      <c r="AS46" s="10" t="s">
        <v>26</v>
      </c>
      <c r="AT46" s="10" t="s">
        <v>26</v>
      </c>
      <c r="AU46" s="9">
        <v>200828430</v>
      </c>
      <c r="AV46" s="10">
        <v>3.6982898377599998E-3</v>
      </c>
      <c r="AW46" s="10">
        <v>0.12</v>
      </c>
      <c r="AX46" s="10">
        <v>0.1163</v>
      </c>
      <c r="AY46" s="9">
        <v>2257311553.1999998</v>
      </c>
      <c r="AZ46" s="10">
        <v>2.66440838069E-3</v>
      </c>
      <c r="BA46" s="10">
        <v>0.12</v>
      </c>
      <c r="BB46" s="10">
        <v>0.1173</v>
      </c>
    </row>
    <row r="47" spans="1:54" s="7" customFormat="1">
      <c r="A47" s="3" t="s">
        <v>39</v>
      </c>
      <c r="B47" s="23" t="s">
        <v>57</v>
      </c>
      <c r="C47" s="2">
        <v>35144975.25</v>
      </c>
      <c r="D47" s="1">
        <v>1</v>
      </c>
      <c r="E47" s="1" t="s">
        <v>26</v>
      </c>
      <c r="F47" s="1" t="s">
        <v>26</v>
      </c>
      <c r="G47" s="2" t="s">
        <v>26</v>
      </c>
      <c r="H47" s="1" t="s">
        <v>26</v>
      </c>
      <c r="I47" s="1" t="s">
        <v>26</v>
      </c>
      <c r="J47" s="1" t="s">
        <v>26</v>
      </c>
      <c r="K47" s="2">
        <v>30124264.5</v>
      </c>
      <c r="L47" s="1">
        <v>1</v>
      </c>
      <c r="M47" s="1" t="s">
        <v>26</v>
      </c>
      <c r="N47" s="1" t="s">
        <v>26</v>
      </c>
      <c r="O47" s="2">
        <v>806326146.45000005</v>
      </c>
      <c r="P47" s="1">
        <v>1</v>
      </c>
      <c r="Q47" s="1" t="s">
        <v>26</v>
      </c>
      <c r="R47" s="1" t="s">
        <v>26</v>
      </c>
      <c r="S47" s="2">
        <v>301242645</v>
      </c>
      <c r="T47" s="1">
        <v>1</v>
      </c>
      <c r="U47" s="1" t="s">
        <v>26</v>
      </c>
      <c r="V47" s="1" t="s">
        <v>26</v>
      </c>
      <c r="W47" s="2" t="s">
        <v>26</v>
      </c>
      <c r="X47" s="1" t="s">
        <v>26</v>
      </c>
      <c r="Y47" s="1" t="s">
        <v>26</v>
      </c>
      <c r="Z47" s="1" t="s">
        <v>26</v>
      </c>
      <c r="AA47" s="2">
        <v>883645092</v>
      </c>
      <c r="AB47" s="1">
        <v>1</v>
      </c>
      <c r="AC47" s="1" t="s">
        <v>26</v>
      </c>
      <c r="AD47" s="1" t="s">
        <v>26</v>
      </c>
      <c r="AE47" s="2">
        <v>2056483123.2</v>
      </c>
      <c r="AF47" s="1">
        <v>1</v>
      </c>
      <c r="AG47" s="1" t="s">
        <v>26</v>
      </c>
      <c r="AH47" s="1" t="s">
        <v>26</v>
      </c>
      <c r="AI47" s="2" t="s">
        <v>26</v>
      </c>
      <c r="AJ47" s="1" t="s">
        <v>26</v>
      </c>
      <c r="AK47" s="1" t="s">
        <v>26</v>
      </c>
      <c r="AL47" s="1" t="s">
        <v>26</v>
      </c>
      <c r="AM47" s="2" t="s">
        <v>26</v>
      </c>
      <c r="AN47" s="1" t="s">
        <v>26</v>
      </c>
      <c r="AO47" s="1" t="s">
        <v>26</v>
      </c>
      <c r="AP47" s="1" t="s">
        <v>26</v>
      </c>
      <c r="AQ47" s="2" t="s">
        <v>26</v>
      </c>
      <c r="AR47" s="1" t="s">
        <v>26</v>
      </c>
      <c r="AS47" s="1" t="s">
        <v>26</v>
      </c>
      <c r="AT47" s="1" t="s">
        <v>26</v>
      </c>
      <c r="AU47" s="2">
        <v>200828430</v>
      </c>
      <c r="AV47" s="1">
        <v>1</v>
      </c>
      <c r="AW47" s="1" t="s">
        <v>26</v>
      </c>
      <c r="AX47" s="1" t="s">
        <v>26</v>
      </c>
      <c r="AY47" s="2">
        <v>2257311553.1999998</v>
      </c>
      <c r="AZ47" s="1">
        <v>1</v>
      </c>
      <c r="BA47" s="1" t="s">
        <v>26</v>
      </c>
      <c r="BB47" s="1" t="s">
        <v>26</v>
      </c>
    </row>
    <row r="48" spans="1:54" s="7" customFormat="1">
      <c r="A48" s="5" t="s">
        <v>58</v>
      </c>
      <c r="B48" s="20" t="s">
        <v>25</v>
      </c>
      <c r="C48" s="9">
        <v>32833647.969999999</v>
      </c>
      <c r="D48" s="10">
        <v>4.0013497753499999E-3</v>
      </c>
      <c r="E48" s="10">
        <v>0.09</v>
      </c>
      <c r="F48" s="10">
        <v>8.5999999999999993E-2</v>
      </c>
      <c r="G48" s="9" t="s">
        <v>26</v>
      </c>
      <c r="H48" s="10" t="s">
        <v>26</v>
      </c>
      <c r="I48" s="10" t="s">
        <v>26</v>
      </c>
      <c r="J48" s="10" t="s">
        <v>26</v>
      </c>
      <c r="K48" s="9">
        <v>16287684.140000001</v>
      </c>
      <c r="L48" s="10">
        <v>3.6747987500499999E-3</v>
      </c>
      <c r="M48" s="10">
        <v>0.09</v>
      </c>
      <c r="N48" s="10">
        <v>8.6300000000000002E-2</v>
      </c>
      <c r="O48" s="9">
        <v>379944379.22000003</v>
      </c>
      <c r="P48" s="10">
        <v>1.4621805686499999E-3</v>
      </c>
      <c r="Q48" s="10">
        <v>0.09</v>
      </c>
      <c r="R48" s="10">
        <v>8.8499999999999995E-2</v>
      </c>
      <c r="S48" s="9">
        <v>287603269.61000001</v>
      </c>
      <c r="T48" s="10">
        <v>2.2271637442599999E-3</v>
      </c>
      <c r="U48" s="10">
        <v>0.09</v>
      </c>
      <c r="V48" s="10">
        <v>8.7800000000000003E-2</v>
      </c>
      <c r="W48" s="9" t="s">
        <v>26</v>
      </c>
      <c r="X48" s="10" t="s">
        <v>26</v>
      </c>
      <c r="Y48" s="10" t="s">
        <v>26</v>
      </c>
      <c r="Z48" s="10" t="s">
        <v>26</v>
      </c>
      <c r="AA48" s="9">
        <v>103913718.19</v>
      </c>
      <c r="AB48" s="10">
        <v>6.4852957002999999E-4</v>
      </c>
      <c r="AC48" s="10">
        <v>0.09</v>
      </c>
      <c r="AD48" s="10">
        <v>8.9399999999999993E-2</v>
      </c>
      <c r="AE48" s="9">
        <v>820582699.13</v>
      </c>
      <c r="AF48" s="10">
        <v>1.0960103908099999E-3</v>
      </c>
      <c r="AG48" s="10">
        <v>0.09</v>
      </c>
      <c r="AH48" s="10">
        <v>8.8900000000000007E-2</v>
      </c>
      <c r="AI48" s="9" t="s">
        <v>26</v>
      </c>
      <c r="AJ48" s="10" t="s">
        <v>26</v>
      </c>
      <c r="AK48" s="10" t="s">
        <v>26</v>
      </c>
      <c r="AL48" s="10" t="s">
        <v>26</v>
      </c>
      <c r="AM48" s="9" t="s">
        <v>26</v>
      </c>
      <c r="AN48" s="10" t="s">
        <v>26</v>
      </c>
      <c r="AO48" s="10" t="s">
        <v>26</v>
      </c>
      <c r="AP48" s="10" t="s">
        <v>26</v>
      </c>
      <c r="AQ48" s="9" t="s">
        <v>26</v>
      </c>
      <c r="AR48" s="10" t="s">
        <v>26</v>
      </c>
      <c r="AS48" s="10" t="s">
        <v>26</v>
      </c>
      <c r="AT48" s="10" t="s">
        <v>26</v>
      </c>
      <c r="AU48" s="9" t="s">
        <v>26</v>
      </c>
      <c r="AV48" s="10" t="s">
        <v>26</v>
      </c>
      <c r="AW48" s="10" t="s">
        <v>26</v>
      </c>
      <c r="AX48" s="10" t="s">
        <v>26</v>
      </c>
      <c r="AY48" s="9">
        <v>820582699.13</v>
      </c>
      <c r="AZ48" s="10">
        <v>9.6857140412000004E-4</v>
      </c>
      <c r="BA48" s="10">
        <v>0.09</v>
      </c>
      <c r="BB48" s="10">
        <v>8.8999999999999996E-2</v>
      </c>
    </row>
    <row r="49" spans="1:54" s="7" customFormat="1">
      <c r="A49" s="3" t="s">
        <v>39</v>
      </c>
      <c r="B49" s="23" t="s">
        <v>47</v>
      </c>
      <c r="C49" s="2">
        <v>32833647.969999999</v>
      </c>
      <c r="D49" s="1">
        <v>1</v>
      </c>
      <c r="E49" s="1" t="s">
        <v>26</v>
      </c>
      <c r="F49" s="1" t="s">
        <v>26</v>
      </c>
      <c r="G49" s="2" t="s">
        <v>26</v>
      </c>
      <c r="H49" s="1" t="s">
        <v>26</v>
      </c>
      <c r="I49" s="1" t="s">
        <v>26</v>
      </c>
      <c r="J49" s="1" t="s">
        <v>26</v>
      </c>
      <c r="K49" s="2">
        <v>16287684.140000001</v>
      </c>
      <c r="L49" s="1">
        <v>1</v>
      </c>
      <c r="M49" s="1" t="s">
        <v>26</v>
      </c>
      <c r="N49" s="1" t="s">
        <v>26</v>
      </c>
      <c r="O49" s="2">
        <v>379944379.22000003</v>
      </c>
      <c r="P49" s="1">
        <v>1</v>
      </c>
      <c r="Q49" s="1" t="s">
        <v>26</v>
      </c>
      <c r="R49" s="1" t="s">
        <v>26</v>
      </c>
      <c r="S49" s="2">
        <v>287603269.61000001</v>
      </c>
      <c r="T49" s="1">
        <v>1</v>
      </c>
      <c r="U49" s="1" t="s">
        <v>26</v>
      </c>
      <c r="V49" s="1" t="s">
        <v>26</v>
      </c>
      <c r="W49" s="2" t="s">
        <v>26</v>
      </c>
      <c r="X49" s="1" t="s">
        <v>26</v>
      </c>
      <c r="Y49" s="1" t="s">
        <v>26</v>
      </c>
      <c r="Z49" s="1" t="s">
        <v>26</v>
      </c>
      <c r="AA49" s="2">
        <v>103913718.19</v>
      </c>
      <c r="AB49" s="1">
        <v>1</v>
      </c>
      <c r="AC49" s="1" t="s">
        <v>26</v>
      </c>
      <c r="AD49" s="1" t="s">
        <v>26</v>
      </c>
      <c r="AE49" s="2">
        <v>820582699.13</v>
      </c>
      <c r="AF49" s="1">
        <v>1</v>
      </c>
      <c r="AG49" s="1" t="s">
        <v>26</v>
      </c>
      <c r="AH49" s="1" t="s">
        <v>26</v>
      </c>
      <c r="AI49" s="2" t="s">
        <v>26</v>
      </c>
      <c r="AJ49" s="1" t="s">
        <v>26</v>
      </c>
      <c r="AK49" s="1" t="s">
        <v>26</v>
      </c>
      <c r="AL49" s="1" t="s">
        <v>26</v>
      </c>
      <c r="AM49" s="2" t="s">
        <v>26</v>
      </c>
      <c r="AN49" s="1" t="s">
        <v>26</v>
      </c>
      <c r="AO49" s="1" t="s">
        <v>26</v>
      </c>
      <c r="AP49" s="1" t="s">
        <v>26</v>
      </c>
      <c r="AQ49" s="2" t="s">
        <v>26</v>
      </c>
      <c r="AR49" s="1" t="s">
        <v>26</v>
      </c>
      <c r="AS49" s="1" t="s">
        <v>26</v>
      </c>
      <c r="AT49" s="1" t="s">
        <v>26</v>
      </c>
      <c r="AU49" s="2" t="s">
        <v>26</v>
      </c>
      <c r="AV49" s="1" t="s">
        <v>26</v>
      </c>
      <c r="AW49" s="1" t="s">
        <v>26</v>
      </c>
      <c r="AX49" s="1" t="s">
        <v>26</v>
      </c>
      <c r="AY49" s="2">
        <v>820582699.13</v>
      </c>
      <c r="AZ49" s="1">
        <v>1</v>
      </c>
      <c r="BA49" s="1" t="s">
        <v>26</v>
      </c>
      <c r="BB49" s="1" t="s">
        <v>26</v>
      </c>
    </row>
    <row r="50" spans="1:54" s="7" customFormat="1">
      <c r="A50" s="5" t="s">
        <v>60</v>
      </c>
      <c r="B50" s="20" t="s">
        <v>25</v>
      </c>
      <c r="C50" s="9" t="s">
        <v>26</v>
      </c>
      <c r="D50" s="10" t="s">
        <v>26</v>
      </c>
      <c r="E50" s="10" t="s">
        <v>26</v>
      </c>
      <c r="F50" s="10" t="s">
        <v>26</v>
      </c>
      <c r="G50" s="9">
        <v>305830407</v>
      </c>
      <c r="H50" s="10">
        <v>1.70505551467E-3</v>
      </c>
      <c r="I50" s="10">
        <v>0.12</v>
      </c>
      <c r="J50" s="10">
        <v>0.1183</v>
      </c>
      <c r="K50" s="9">
        <v>50335447.5</v>
      </c>
      <c r="L50" s="10">
        <v>1.135659544758E-2</v>
      </c>
      <c r="M50" s="10">
        <v>0.12</v>
      </c>
      <c r="N50" s="10">
        <v>0.1086</v>
      </c>
      <c r="O50" s="9">
        <v>3024619343.5500002</v>
      </c>
      <c r="P50" s="10">
        <v>1.1639965935989999E-2</v>
      </c>
      <c r="Q50" s="10">
        <v>0.12790000000000001</v>
      </c>
      <c r="R50" s="10">
        <v>0.1163</v>
      </c>
      <c r="S50" s="9">
        <v>657196662.28999996</v>
      </c>
      <c r="T50" s="10">
        <v>5.08924874562E-3</v>
      </c>
      <c r="U50" s="10">
        <v>0.12520000000000001</v>
      </c>
      <c r="V50" s="10">
        <v>0.1201</v>
      </c>
      <c r="W50" s="9">
        <v>253264621.68000001</v>
      </c>
      <c r="X50" s="10">
        <v>3.384455406023E-2</v>
      </c>
      <c r="Y50" s="10">
        <v>0.1444</v>
      </c>
      <c r="Z50" s="10">
        <v>0.1106</v>
      </c>
      <c r="AA50" s="9">
        <v>3438583789.5</v>
      </c>
      <c r="AB50" s="10">
        <v>2.1460335606909998E-2</v>
      </c>
      <c r="AC50" s="10">
        <v>0.13739999999999999</v>
      </c>
      <c r="AD50" s="10">
        <v>0.1159</v>
      </c>
      <c r="AE50" s="9">
        <v>7729830271.5200005</v>
      </c>
      <c r="AF50" s="10">
        <v>1.0324339406329999E-2</v>
      </c>
      <c r="AG50" s="10">
        <v>0.1321</v>
      </c>
      <c r="AH50" s="10">
        <v>0.12180000000000001</v>
      </c>
      <c r="AI50" s="9">
        <v>232447845</v>
      </c>
      <c r="AJ50" s="10">
        <v>1.2225563395529999E-2</v>
      </c>
      <c r="AK50" s="10">
        <v>0.124</v>
      </c>
      <c r="AL50" s="10">
        <v>0.1118</v>
      </c>
      <c r="AM50" s="9">
        <v>218153829.47</v>
      </c>
      <c r="AN50" s="10">
        <v>8.6592215485899997E-3</v>
      </c>
      <c r="AO50" s="10">
        <v>0.12</v>
      </c>
      <c r="AP50" s="10">
        <v>0.1113</v>
      </c>
      <c r="AQ50" s="9">
        <v>450601674.47000003</v>
      </c>
      <c r="AR50" s="10">
        <v>1.019310893486E-2</v>
      </c>
      <c r="AS50" s="10">
        <v>0.1221</v>
      </c>
      <c r="AT50" s="10">
        <v>0.1119</v>
      </c>
      <c r="AU50" s="9">
        <v>352260775.07999998</v>
      </c>
      <c r="AV50" s="10">
        <v>6.48694233541E-3</v>
      </c>
      <c r="AW50" s="10">
        <v>0.12429999999999999</v>
      </c>
      <c r="AX50" s="10">
        <v>0.1178</v>
      </c>
      <c r="AY50" s="9">
        <v>8532692721.0699997</v>
      </c>
      <c r="AZ50" s="10">
        <v>1.007152865703E-2</v>
      </c>
      <c r="BA50" s="10">
        <v>0.1313</v>
      </c>
      <c r="BB50" s="10">
        <v>0.1212</v>
      </c>
    </row>
    <row r="51" spans="1:54" s="7" customFormat="1">
      <c r="A51" s="3" t="s">
        <v>39</v>
      </c>
      <c r="B51" s="23" t="s">
        <v>57</v>
      </c>
      <c r="C51" s="2" t="s">
        <v>26</v>
      </c>
      <c r="D51" s="1" t="s">
        <v>26</v>
      </c>
      <c r="E51" s="1" t="s">
        <v>26</v>
      </c>
      <c r="F51" s="1" t="s">
        <v>26</v>
      </c>
      <c r="G51" s="2">
        <v>305830407</v>
      </c>
      <c r="H51" s="1">
        <v>1</v>
      </c>
      <c r="I51" s="1" t="s">
        <v>26</v>
      </c>
      <c r="J51" s="1" t="s">
        <v>26</v>
      </c>
      <c r="K51" s="2">
        <v>50335447.5</v>
      </c>
      <c r="L51" s="1">
        <v>1</v>
      </c>
      <c r="M51" s="1" t="s">
        <v>26</v>
      </c>
      <c r="N51" s="1" t="s">
        <v>26</v>
      </c>
      <c r="O51" s="2">
        <v>2224441620</v>
      </c>
      <c r="P51" s="1">
        <v>0.73544514774847003</v>
      </c>
      <c r="Q51" s="1" t="s">
        <v>26</v>
      </c>
      <c r="R51" s="1" t="s">
        <v>26</v>
      </c>
      <c r="S51" s="2">
        <v>543622833</v>
      </c>
      <c r="T51" s="1">
        <v>0.82718440946694005</v>
      </c>
      <c r="U51" s="1" t="s">
        <v>26</v>
      </c>
      <c r="V51" s="1" t="s">
        <v>26</v>
      </c>
      <c r="W51" s="2">
        <v>46919838.060000002</v>
      </c>
      <c r="X51" s="1">
        <v>0.18526013522442999</v>
      </c>
      <c r="Y51" s="1" t="s">
        <v>26</v>
      </c>
      <c r="Z51" s="1" t="s">
        <v>26</v>
      </c>
      <c r="AA51" s="2">
        <v>1439051160.53</v>
      </c>
      <c r="AB51" s="1">
        <v>0.41850111808363</v>
      </c>
      <c r="AC51" s="1" t="s">
        <v>26</v>
      </c>
      <c r="AD51" s="1" t="s">
        <v>26</v>
      </c>
      <c r="AE51" s="2">
        <v>4610201306.0900002</v>
      </c>
      <c r="AF51" s="1">
        <v>0.59641688680745997</v>
      </c>
      <c r="AG51" s="1" t="s">
        <v>26</v>
      </c>
      <c r="AH51" s="1" t="s">
        <v>26</v>
      </c>
      <c r="AI51" s="2">
        <v>201341790</v>
      </c>
      <c r="AJ51" s="1">
        <v>0.86618049739286995</v>
      </c>
      <c r="AK51" s="1" t="s">
        <v>26</v>
      </c>
      <c r="AL51" s="1" t="s">
        <v>26</v>
      </c>
      <c r="AM51" s="2">
        <v>218153829.47</v>
      </c>
      <c r="AN51" s="1">
        <v>1</v>
      </c>
      <c r="AO51" s="1" t="s">
        <v>26</v>
      </c>
      <c r="AP51" s="1" t="s">
        <v>26</v>
      </c>
      <c r="AQ51" s="2">
        <v>419495619.47000003</v>
      </c>
      <c r="AR51" s="1">
        <v>0.93096773322783</v>
      </c>
      <c r="AS51" s="1" t="s">
        <v>26</v>
      </c>
      <c r="AT51" s="1" t="s">
        <v>26</v>
      </c>
      <c r="AU51" s="2">
        <v>302012685</v>
      </c>
      <c r="AV51" s="1">
        <v>0.85735542065792003</v>
      </c>
      <c r="AW51" s="1" t="s">
        <v>26</v>
      </c>
      <c r="AX51" s="1" t="s">
        <v>26</v>
      </c>
      <c r="AY51" s="2">
        <v>5331709610.5600004</v>
      </c>
      <c r="AZ51" s="1">
        <v>0.62485662906789996</v>
      </c>
      <c r="BA51" s="1" t="s">
        <v>26</v>
      </c>
      <c r="BB51" s="1" t="s">
        <v>26</v>
      </c>
    </row>
    <row r="52" spans="1:54" s="7" customFormat="1">
      <c r="A52" s="3" t="s">
        <v>41</v>
      </c>
      <c r="B52" s="23" t="s">
        <v>35</v>
      </c>
      <c r="C52" s="2" t="s">
        <v>26</v>
      </c>
      <c r="D52" s="1" t="s">
        <v>26</v>
      </c>
      <c r="E52" s="1" t="s">
        <v>26</v>
      </c>
      <c r="F52" s="1" t="s">
        <v>26</v>
      </c>
      <c r="G52" s="2" t="s">
        <v>26</v>
      </c>
      <c r="H52" s="1" t="s">
        <v>26</v>
      </c>
      <c r="I52" s="1" t="s">
        <v>26</v>
      </c>
      <c r="J52" s="1" t="s">
        <v>26</v>
      </c>
      <c r="K52" s="2" t="s">
        <v>26</v>
      </c>
      <c r="L52" s="1" t="s">
        <v>26</v>
      </c>
      <c r="M52" s="1" t="s">
        <v>26</v>
      </c>
      <c r="N52" s="1" t="s">
        <v>26</v>
      </c>
      <c r="O52" s="2">
        <v>800177723.54999995</v>
      </c>
      <c r="P52" s="1">
        <v>0.26455485225153003</v>
      </c>
      <c r="Q52" s="1" t="s">
        <v>26</v>
      </c>
      <c r="R52" s="1" t="s">
        <v>26</v>
      </c>
      <c r="S52" s="2">
        <v>113573829.29000001</v>
      </c>
      <c r="T52" s="1">
        <v>0.17281559053306</v>
      </c>
      <c r="U52" s="1" t="s">
        <v>26</v>
      </c>
      <c r="V52" s="1" t="s">
        <v>26</v>
      </c>
      <c r="W52" s="2">
        <v>206344783.62</v>
      </c>
      <c r="X52" s="1">
        <v>0.81473986477557003</v>
      </c>
      <c r="Y52" s="1" t="s">
        <v>26</v>
      </c>
      <c r="Z52" s="1" t="s">
        <v>26</v>
      </c>
      <c r="AA52" s="2">
        <v>1999532628.97</v>
      </c>
      <c r="AB52" s="1">
        <v>0.58149888191637</v>
      </c>
      <c r="AC52" s="1" t="s">
        <v>26</v>
      </c>
      <c r="AD52" s="1" t="s">
        <v>26</v>
      </c>
      <c r="AE52" s="2">
        <v>3119628965.4299998</v>
      </c>
      <c r="AF52" s="1">
        <v>0.40358311319253998</v>
      </c>
      <c r="AG52" s="1" t="s">
        <v>26</v>
      </c>
      <c r="AH52" s="1" t="s">
        <v>26</v>
      </c>
      <c r="AI52" s="2">
        <v>31106055</v>
      </c>
      <c r="AJ52" s="1">
        <v>0.13381950260712999</v>
      </c>
      <c r="AK52" s="1" t="s">
        <v>26</v>
      </c>
      <c r="AL52" s="1" t="s">
        <v>26</v>
      </c>
      <c r="AM52" s="2" t="s">
        <v>26</v>
      </c>
      <c r="AN52" s="1" t="s">
        <v>26</v>
      </c>
      <c r="AO52" s="1" t="s">
        <v>26</v>
      </c>
      <c r="AP52" s="1" t="s">
        <v>26</v>
      </c>
      <c r="AQ52" s="2">
        <v>31106055</v>
      </c>
      <c r="AR52" s="1">
        <v>6.9032266772170003E-2</v>
      </c>
      <c r="AS52" s="1" t="s">
        <v>26</v>
      </c>
      <c r="AT52" s="1" t="s">
        <v>26</v>
      </c>
      <c r="AU52" s="2">
        <v>50248090.079999998</v>
      </c>
      <c r="AV52" s="1">
        <v>0.14264457934208</v>
      </c>
      <c r="AW52" s="1" t="s">
        <v>26</v>
      </c>
      <c r="AX52" s="1" t="s">
        <v>26</v>
      </c>
      <c r="AY52" s="2">
        <v>3200983110.5100002</v>
      </c>
      <c r="AZ52" s="1">
        <v>0.37514337093209998</v>
      </c>
      <c r="BA52" s="1" t="s">
        <v>26</v>
      </c>
      <c r="BB52" s="1" t="s">
        <v>26</v>
      </c>
    </row>
    <row r="53" spans="1:54" s="7" customFormat="1">
      <c r="A53" s="12" t="s">
        <v>61</v>
      </c>
      <c r="B53" s="40" t="s">
        <v>25</v>
      </c>
      <c r="C53" s="42" t="s">
        <v>26</v>
      </c>
      <c r="D53" s="43" t="s">
        <v>26</v>
      </c>
      <c r="E53" s="43" t="s">
        <v>26</v>
      </c>
      <c r="F53" s="43" t="s">
        <v>26</v>
      </c>
      <c r="G53" s="42" t="s">
        <v>26</v>
      </c>
      <c r="H53" s="43" t="s">
        <v>26</v>
      </c>
      <c r="I53" s="43" t="s">
        <v>26</v>
      </c>
      <c r="J53" s="43" t="s">
        <v>26</v>
      </c>
      <c r="K53" s="42">
        <v>77882862.819999993</v>
      </c>
      <c r="L53" s="43">
        <v>1.757179501278E-2</v>
      </c>
      <c r="M53" s="43" t="s">
        <v>26</v>
      </c>
      <c r="N53" s="43" t="s">
        <v>26</v>
      </c>
      <c r="O53" s="42">
        <v>100298666.06</v>
      </c>
      <c r="P53" s="43">
        <v>3.8599007801E-4</v>
      </c>
      <c r="Q53" s="43" t="s">
        <v>26</v>
      </c>
      <c r="R53" s="43" t="s">
        <v>26</v>
      </c>
      <c r="S53" s="42">
        <v>8579859.5399999991</v>
      </c>
      <c r="T53" s="43">
        <v>6.6441359039999998E-5</v>
      </c>
      <c r="U53" s="43" t="s">
        <v>26</v>
      </c>
      <c r="V53" s="43" t="s">
        <v>26</v>
      </c>
      <c r="W53" s="42" t="s">
        <v>26</v>
      </c>
      <c r="X53" s="43" t="s">
        <v>26</v>
      </c>
      <c r="Y53" s="43" t="s">
        <v>26</v>
      </c>
      <c r="Z53" s="43" t="s">
        <v>26</v>
      </c>
      <c r="AA53" s="42">
        <v>152202029.25</v>
      </c>
      <c r="AB53" s="43">
        <v>9.4989880360999996E-4</v>
      </c>
      <c r="AC53" s="43" t="s">
        <v>26</v>
      </c>
      <c r="AD53" s="43" t="s">
        <v>26</v>
      </c>
      <c r="AE53" s="42">
        <v>338963417.67000002</v>
      </c>
      <c r="AF53" s="43">
        <v>4.5273612064000002E-4</v>
      </c>
      <c r="AG53" s="43" t="s">
        <v>26</v>
      </c>
      <c r="AH53" s="43" t="s">
        <v>26</v>
      </c>
      <c r="AI53" s="42">
        <v>50614282.880000003</v>
      </c>
      <c r="AJ53" s="43">
        <v>2.6620514553199999E-3</v>
      </c>
      <c r="AK53" s="43" t="s">
        <v>26</v>
      </c>
      <c r="AL53" s="43" t="s">
        <v>26</v>
      </c>
      <c r="AM53" s="42" t="s">
        <v>26</v>
      </c>
      <c r="AN53" s="43" t="s">
        <v>26</v>
      </c>
      <c r="AO53" s="43" t="s">
        <v>26</v>
      </c>
      <c r="AP53" s="43" t="s">
        <v>26</v>
      </c>
      <c r="AQ53" s="42">
        <v>50614282.880000003</v>
      </c>
      <c r="AR53" s="43">
        <v>1.14495113597E-3</v>
      </c>
      <c r="AS53" s="43" t="s">
        <v>26</v>
      </c>
      <c r="AT53" s="43" t="s">
        <v>26</v>
      </c>
      <c r="AU53" s="42">
        <v>7943875.1900000004</v>
      </c>
      <c r="AV53" s="43">
        <v>1.4628781835000001E-4</v>
      </c>
      <c r="AW53" s="43" t="s">
        <v>26</v>
      </c>
      <c r="AX53" s="43" t="s">
        <v>26</v>
      </c>
      <c r="AY53" s="42">
        <v>397521575.74000001</v>
      </c>
      <c r="AZ53" s="43">
        <v>4.6921295219999999E-4</v>
      </c>
      <c r="BA53" s="43" t="s">
        <v>26</v>
      </c>
      <c r="BB53" s="43" t="s">
        <v>26</v>
      </c>
    </row>
    <row r="54" spans="1:54" s="28" customFormat="1">
      <c r="A54" s="5" t="s">
        <v>63</v>
      </c>
      <c r="B54" s="20" t="s">
        <v>25</v>
      </c>
      <c r="C54" s="9" t="s">
        <v>26</v>
      </c>
      <c r="D54" s="10" t="s">
        <v>26</v>
      </c>
      <c r="E54" s="10" t="s">
        <v>26</v>
      </c>
      <c r="F54" s="10" t="s">
        <v>26</v>
      </c>
      <c r="G54" s="9" t="s">
        <v>26</v>
      </c>
      <c r="H54" s="10" t="s">
        <v>26</v>
      </c>
      <c r="I54" s="10" t="s">
        <v>26</v>
      </c>
      <c r="J54" s="10" t="s">
        <v>26</v>
      </c>
      <c r="K54" s="9" t="s">
        <v>26</v>
      </c>
      <c r="L54" s="10" t="s">
        <v>26</v>
      </c>
      <c r="M54" s="10" t="s">
        <v>26</v>
      </c>
      <c r="N54" s="10" t="s">
        <v>26</v>
      </c>
      <c r="O54" s="9" t="s">
        <v>26</v>
      </c>
      <c r="P54" s="10" t="s">
        <v>26</v>
      </c>
      <c r="Q54" s="10" t="s">
        <v>26</v>
      </c>
      <c r="R54" s="10" t="s">
        <v>26</v>
      </c>
      <c r="S54" s="9" t="s">
        <v>26</v>
      </c>
      <c r="T54" s="10" t="s">
        <v>26</v>
      </c>
      <c r="U54" s="10" t="s">
        <v>26</v>
      </c>
      <c r="V54" s="10" t="s">
        <v>26</v>
      </c>
      <c r="W54" s="9" t="s">
        <v>26</v>
      </c>
      <c r="X54" s="10" t="s">
        <v>26</v>
      </c>
      <c r="Y54" s="10" t="s">
        <v>26</v>
      </c>
      <c r="Z54" s="10" t="s">
        <v>26</v>
      </c>
      <c r="AA54" s="9">
        <v>96807639.129999995</v>
      </c>
      <c r="AB54" s="10">
        <v>6.0418025333000005E-4</v>
      </c>
      <c r="AC54" s="10">
        <v>0.13500000000000001</v>
      </c>
      <c r="AD54" s="10">
        <v>0.13439999999999999</v>
      </c>
      <c r="AE54" s="9">
        <v>96807639.129999995</v>
      </c>
      <c r="AF54" s="10">
        <v>1.2930101805999999E-4</v>
      </c>
      <c r="AG54" s="10">
        <v>0.13500000000000001</v>
      </c>
      <c r="AH54" s="10">
        <v>0.13489999999999999</v>
      </c>
      <c r="AI54" s="9" t="s">
        <v>26</v>
      </c>
      <c r="AJ54" s="10" t="s">
        <v>26</v>
      </c>
      <c r="AK54" s="10" t="s">
        <v>26</v>
      </c>
      <c r="AL54" s="10" t="s">
        <v>26</v>
      </c>
      <c r="AM54" s="9" t="s">
        <v>26</v>
      </c>
      <c r="AN54" s="10" t="s">
        <v>26</v>
      </c>
      <c r="AO54" s="10" t="s">
        <v>26</v>
      </c>
      <c r="AP54" s="10" t="s">
        <v>26</v>
      </c>
      <c r="AQ54" s="9" t="s">
        <v>26</v>
      </c>
      <c r="AR54" s="10" t="s">
        <v>26</v>
      </c>
      <c r="AS54" s="10" t="s">
        <v>26</v>
      </c>
      <c r="AT54" s="10" t="s">
        <v>26</v>
      </c>
      <c r="AU54" s="9" t="s">
        <v>26</v>
      </c>
      <c r="AV54" s="10" t="s">
        <v>26</v>
      </c>
      <c r="AW54" s="10" t="s">
        <v>26</v>
      </c>
      <c r="AX54" s="10" t="s">
        <v>26</v>
      </c>
      <c r="AY54" s="9">
        <v>96807639.129999995</v>
      </c>
      <c r="AZ54" s="10">
        <v>1.1426649752999999E-4</v>
      </c>
      <c r="BA54" s="10">
        <v>0.13500000000000001</v>
      </c>
      <c r="BB54" s="10">
        <v>0.13489999999999999</v>
      </c>
    </row>
    <row r="55" spans="1:54" s="7" customFormat="1">
      <c r="A55" s="3" t="s">
        <v>41</v>
      </c>
      <c r="B55" s="23" t="s">
        <v>44</v>
      </c>
      <c r="C55" s="2" t="s">
        <v>26</v>
      </c>
      <c r="D55" s="1" t="s">
        <v>26</v>
      </c>
      <c r="E55" s="1" t="s">
        <v>26</v>
      </c>
      <c r="F55" s="1" t="s">
        <v>26</v>
      </c>
      <c r="G55" s="2" t="s">
        <v>26</v>
      </c>
      <c r="H55" s="1" t="s">
        <v>26</v>
      </c>
      <c r="I55" s="1" t="s">
        <v>26</v>
      </c>
      <c r="J55" s="1" t="s">
        <v>26</v>
      </c>
      <c r="K55" s="2" t="s">
        <v>26</v>
      </c>
      <c r="L55" s="1" t="s">
        <v>26</v>
      </c>
      <c r="M55" s="1" t="s">
        <v>26</v>
      </c>
      <c r="N55" s="1" t="s">
        <v>26</v>
      </c>
      <c r="O55" s="2" t="s">
        <v>26</v>
      </c>
      <c r="P55" s="1" t="s">
        <v>26</v>
      </c>
      <c r="Q55" s="1" t="s">
        <v>26</v>
      </c>
      <c r="R55" s="1" t="s">
        <v>26</v>
      </c>
      <c r="S55" s="2" t="s">
        <v>26</v>
      </c>
      <c r="T55" s="1" t="s">
        <v>26</v>
      </c>
      <c r="U55" s="1" t="s">
        <v>26</v>
      </c>
      <c r="V55" s="1" t="s">
        <v>26</v>
      </c>
      <c r="W55" s="2" t="s">
        <v>26</v>
      </c>
      <c r="X55" s="1" t="s">
        <v>26</v>
      </c>
      <c r="Y55" s="1" t="s">
        <v>26</v>
      </c>
      <c r="Z55" s="1" t="s">
        <v>26</v>
      </c>
      <c r="AA55" s="2">
        <v>96807639.129999995</v>
      </c>
      <c r="AB55" s="1">
        <v>1</v>
      </c>
      <c r="AC55" s="1" t="s">
        <v>26</v>
      </c>
      <c r="AD55" s="1" t="s">
        <v>26</v>
      </c>
      <c r="AE55" s="2">
        <v>96807639.129999995</v>
      </c>
      <c r="AF55" s="1">
        <v>1</v>
      </c>
      <c r="AG55" s="1" t="s">
        <v>26</v>
      </c>
      <c r="AH55" s="1" t="s">
        <v>26</v>
      </c>
      <c r="AI55" s="2" t="s">
        <v>26</v>
      </c>
      <c r="AJ55" s="1" t="s">
        <v>26</v>
      </c>
      <c r="AK55" s="1" t="s">
        <v>26</v>
      </c>
      <c r="AL55" s="1" t="s">
        <v>26</v>
      </c>
      <c r="AM55" s="2" t="s">
        <v>26</v>
      </c>
      <c r="AN55" s="1" t="s">
        <v>26</v>
      </c>
      <c r="AO55" s="1" t="s">
        <v>26</v>
      </c>
      <c r="AP55" s="1" t="s">
        <v>26</v>
      </c>
      <c r="AQ55" s="2" t="s">
        <v>26</v>
      </c>
      <c r="AR55" s="1" t="s">
        <v>26</v>
      </c>
      <c r="AS55" s="1" t="s">
        <v>26</v>
      </c>
      <c r="AT55" s="1" t="s">
        <v>26</v>
      </c>
      <c r="AU55" s="2" t="s">
        <v>26</v>
      </c>
      <c r="AV55" s="1" t="s">
        <v>26</v>
      </c>
      <c r="AW55" s="1" t="s">
        <v>26</v>
      </c>
      <c r="AX55" s="1" t="s">
        <v>26</v>
      </c>
      <c r="AY55" s="2">
        <v>96807639.129999995</v>
      </c>
      <c r="AZ55" s="1">
        <v>1</v>
      </c>
      <c r="BA55" s="1" t="s">
        <v>26</v>
      </c>
      <c r="BB55" s="1" t="s">
        <v>26</v>
      </c>
    </row>
    <row r="56" spans="1:54" s="28" customFormat="1">
      <c r="A56" s="5" t="s">
        <v>65</v>
      </c>
      <c r="B56" s="20" t="s">
        <v>25</v>
      </c>
      <c r="C56" s="9" t="s">
        <v>26</v>
      </c>
      <c r="D56" s="10" t="s">
        <v>26</v>
      </c>
      <c r="E56" s="10" t="s">
        <v>26</v>
      </c>
      <c r="F56" s="10" t="s">
        <v>26</v>
      </c>
      <c r="G56" s="9" t="s">
        <v>26</v>
      </c>
      <c r="H56" s="10" t="s">
        <v>26</v>
      </c>
      <c r="I56" s="10" t="s">
        <v>26</v>
      </c>
      <c r="J56" s="10" t="s">
        <v>26</v>
      </c>
      <c r="K56" s="9">
        <v>77882862.819999993</v>
      </c>
      <c r="L56" s="10">
        <v>1.757179501278E-2</v>
      </c>
      <c r="M56" s="10">
        <v>0.13500000000000001</v>
      </c>
      <c r="N56" s="10">
        <v>0.1174</v>
      </c>
      <c r="O56" s="9">
        <v>100298666.06</v>
      </c>
      <c r="P56" s="10">
        <v>3.8599007801E-4</v>
      </c>
      <c r="Q56" s="10">
        <v>0.13500000000000001</v>
      </c>
      <c r="R56" s="10">
        <v>0.1346</v>
      </c>
      <c r="S56" s="9">
        <v>8579859.5399999991</v>
      </c>
      <c r="T56" s="10">
        <v>6.6441359039999998E-5</v>
      </c>
      <c r="U56" s="10">
        <v>0.13500000000000001</v>
      </c>
      <c r="V56" s="10">
        <v>0.13489999999999999</v>
      </c>
      <c r="W56" s="9" t="s">
        <v>26</v>
      </c>
      <c r="X56" s="10" t="s">
        <v>26</v>
      </c>
      <c r="Y56" s="10" t="s">
        <v>26</v>
      </c>
      <c r="Z56" s="10" t="s">
        <v>26</v>
      </c>
      <c r="AA56" s="9">
        <v>55394390.119999997</v>
      </c>
      <c r="AB56" s="10">
        <v>3.4571855028000002E-4</v>
      </c>
      <c r="AC56" s="10">
        <v>0.13500000000000001</v>
      </c>
      <c r="AD56" s="10">
        <v>0.13469999999999999</v>
      </c>
      <c r="AE56" s="9">
        <v>242155778.53999999</v>
      </c>
      <c r="AF56" s="10">
        <v>3.2343510258999998E-4</v>
      </c>
      <c r="AG56" s="10">
        <v>0.13500000000000001</v>
      </c>
      <c r="AH56" s="10">
        <v>0.13469999999999999</v>
      </c>
      <c r="AI56" s="9">
        <v>50614282.880000003</v>
      </c>
      <c r="AJ56" s="10">
        <v>2.6620514553199999E-3</v>
      </c>
      <c r="AK56" s="10">
        <v>0.13500000000000001</v>
      </c>
      <c r="AL56" s="10">
        <v>0.1323</v>
      </c>
      <c r="AM56" s="9" t="s">
        <v>26</v>
      </c>
      <c r="AN56" s="10" t="s">
        <v>26</v>
      </c>
      <c r="AO56" s="10" t="s">
        <v>26</v>
      </c>
      <c r="AP56" s="10" t="s">
        <v>26</v>
      </c>
      <c r="AQ56" s="9">
        <v>50614282.880000003</v>
      </c>
      <c r="AR56" s="10">
        <v>1.14495113597E-3</v>
      </c>
      <c r="AS56" s="10">
        <v>0.13500000000000001</v>
      </c>
      <c r="AT56" s="10">
        <v>0.13389999999999999</v>
      </c>
      <c r="AU56" s="9">
        <v>7943875.1900000004</v>
      </c>
      <c r="AV56" s="10">
        <v>1.4628781835000001E-4</v>
      </c>
      <c r="AW56" s="10">
        <v>0.13500000000000001</v>
      </c>
      <c r="AX56" s="10">
        <v>0.13489999999999999</v>
      </c>
      <c r="AY56" s="9">
        <v>300713936.61000001</v>
      </c>
      <c r="AZ56" s="10">
        <v>3.5494645467000003E-4</v>
      </c>
      <c r="BA56" s="10">
        <v>0.13500000000000001</v>
      </c>
      <c r="BB56" s="10">
        <v>0.1346</v>
      </c>
    </row>
    <row r="57" spans="1:54" s="7" customFormat="1">
      <c r="A57" s="3" t="s">
        <v>41</v>
      </c>
      <c r="B57" s="23" t="s">
        <v>44</v>
      </c>
      <c r="C57" s="2" t="s">
        <v>26</v>
      </c>
      <c r="D57" s="1" t="s">
        <v>26</v>
      </c>
      <c r="E57" s="1" t="s">
        <v>26</v>
      </c>
      <c r="F57" s="1" t="s">
        <v>26</v>
      </c>
      <c r="G57" s="2" t="s">
        <v>26</v>
      </c>
      <c r="H57" s="1" t="s">
        <v>26</v>
      </c>
      <c r="I57" s="1" t="s">
        <v>26</v>
      </c>
      <c r="J57" s="1" t="s">
        <v>26</v>
      </c>
      <c r="K57" s="2">
        <v>77882862.819999993</v>
      </c>
      <c r="L57" s="1">
        <v>1</v>
      </c>
      <c r="M57" s="1" t="s">
        <v>26</v>
      </c>
      <c r="N57" s="1" t="s">
        <v>26</v>
      </c>
      <c r="O57" s="2">
        <v>100298666.06</v>
      </c>
      <c r="P57" s="1">
        <v>1</v>
      </c>
      <c r="Q57" s="1" t="s">
        <v>26</v>
      </c>
      <c r="R57" s="1" t="s">
        <v>26</v>
      </c>
      <c r="S57" s="2">
        <v>8579859.5399999991</v>
      </c>
      <c r="T57" s="1">
        <v>1</v>
      </c>
      <c r="U57" s="1" t="s">
        <v>26</v>
      </c>
      <c r="V57" s="1" t="s">
        <v>26</v>
      </c>
      <c r="W57" s="2" t="s">
        <v>26</v>
      </c>
      <c r="X57" s="1" t="s">
        <v>26</v>
      </c>
      <c r="Y57" s="1" t="s">
        <v>26</v>
      </c>
      <c r="Z57" s="1" t="s">
        <v>26</v>
      </c>
      <c r="AA57" s="2">
        <v>55394390.119999997</v>
      </c>
      <c r="AB57" s="1">
        <v>1</v>
      </c>
      <c r="AC57" s="1" t="s">
        <v>26</v>
      </c>
      <c r="AD57" s="1" t="s">
        <v>26</v>
      </c>
      <c r="AE57" s="2">
        <v>242155778.53999999</v>
      </c>
      <c r="AF57" s="1">
        <v>1</v>
      </c>
      <c r="AG57" s="1" t="s">
        <v>26</v>
      </c>
      <c r="AH57" s="1" t="s">
        <v>26</v>
      </c>
      <c r="AI57" s="2">
        <v>50614282.880000003</v>
      </c>
      <c r="AJ57" s="1">
        <v>1</v>
      </c>
      <c r="AK57" s="1" t="s">
        <v>26</v>
      </c>
      <c r="AL57" s="1" t="s">
        <v>26</v>
      </c>
      <c r="AM57" s="2" t="s">
        <v>26</v>
      </c>
      <c r="AN57" s="1" t="s">
        <v>26</v>
      </c>
      <c r="AO57" s="1" t="s">
        <v>26</v>
      </c>
      <c r="AP57" s="1" t="s">
        <v>26</v>
      </c>
      <c r="AQ57" s="2">
        <v>50614282.880000003</v>
      </c>
      <c r="AR57" s="1">
        <v>1</v>
      </c>
      <c r="AS57" s="1" t="s">
        <v>26</v>
      </c>
      <c r="AT57" s="1" t="s">
        <v>26</v>
      </c>
      <c r="AU57" s="2">
        <v>7943875.1900000004</v>
      </c>
      <c r="AV57" s="1">
        <v>1</v>
      </c>
      <c r="AW57" s="1" t="s">
        <v>26</v>
      </c>
      <c r="AX57" s="1" t="s">
        <v>26</v>
      </c>
      <c r="AY57" s="2">
        <v>300713936.61000001</v>
      </c>
      <c r="AZ57" s="1">
        <v>1</v>
      </c>
      <c r="BA57" s="1" t="s">
        <v>26</v>
      </c>
      <c r="BB57" s="1" t="s">
        <v>26</v>
      </c>
    </row>
    <row r="58" spans="1:54" s="7" customFormat="1">
      <c r="A58" s="12" t="s">
        <v>66</v>
      </c>
      <c r="B58" s="40" t="s">
        <v>25</v>
      </c>
      <c r="C58" s="42">
        <v>1672715651.7</v>
      </c>
      <c r="D58" s="43">
        <v>0.2038494291972</v>
      </c>
      <c r="E58" s="43" t="s">
        <v>26</v>
      </c>
      <c r="F58" s="43" t="s">
        <v>26</v>
      </c>
      <c r="G58" s="42">
        <v>7224995476.79</v>
      </c>
      <c r="H58" s="43">
        <v>4.028055451399E-2</v>
      </c>
      <c r="I58" s="43" t="s">
        <v>26</v>
      </c>
      <c r="J58" s="43" t="s">
        <v>26</v>
      </c>
      <c r="K58" s="42">
        <v>655404397.38</v>
      </c>
      <c r="L58" s="43">
        <v>0.14787119148215</v>
      </c>
      <c r="M58" s="43" t="s">
        <v>26</v>
      </c>
      <c r="N58" s="43" t="s">
        <v>26</v>
      </c>
      <c r="O58" s="42">
        <v>8730893311.9300003</v>
      </c>
      <c r="P58" s="43">
        <v>3.3600030019770001E-2</v>
      </c>
      <c r="Q58" s="43" t="s">
        <v>26</v>
      </c>
      <c r="R58" s="43" t="s">
        <v>26</v>
      </c>
      <c r="S58" s="42">
        <v>5366898669.1700001</v>
      </c>
      <c r="T58" s="43">
        <v>4.1560591961600002E-2</v>
      </c>
      <c r="U58" s="43" t="s">
        <v>26</v>
      </c>
      <c r="V58" s="43" t="s">
        <v>26</v>
      </c>
      <c r="W58" s="42" t="s">
        <v>26</v>
      </c>
      <c r="X58" s="43" t="s">
        <v>26</v>
      </c>
      <c r="Y58" s="43" t="s">
        <v>26</v>
      </c>
      <c r="Z58" s="43" t="s">
        <v>26</v>
      </c>
      <c r="AA58" s="42">
        <v>3410065170.9699998</v>
      </c>
      <c r="AB58" s="43">
        <v>2.1282349795840001E-2</v>
      </c>
      <c r="AC58" s="43" t="s">
        <v>26</v>
      </c>
      <c r="AD58" s="43" t="s">
        <v>26</v>
      </c>
      <c r="AE58" s="42">
        <v>27060972677.939999</v>
      </c>
      <c r="AF58" s="43">
        <v>3.6143958764770001E-2</v>
      </c>
      <c r="AG58" s="43" t="s">
        <v>26</v>
      </c>
      <c r="AH58" s="43" t="s">
        <v>26</v>
      </c>
      <c r="AI58" s="42">
        <v>638488782.30999994</v>
      </c>
      <c r="AJ58" s="43">
        <v>3.3581232321019998E-2</v>
      </c>
      <c r="AK58" s="43" t="s">
        <v>26</v>
      </c>
      <c r="AL58" s="43" t="s">
        <v>26</v>
      </c>
      <c r="AM58" s="42">
        <v>678491845.09000003</v>
      </c>
      <c r="AN58" s="43">
        <v>2.6931506175330001E-2</v>
      </c>
      <c r="AO58" s="43" t="s">
        <v>26</v>
      </c>
      <c r="AP58" s="43" t="s">
        <v>26</v>
      </c>
      <c r="AQ58" s="42">
        <v>1316980627.4000001</v>
      </c>
      <c r="AR58" s="43">
        <v>2.9791560397490001E-2</v>
      </c>
      <c r="AS58" s="43" t="s">
        <v>26</v>
      </c>
      <c r="AT58" s="43" t="s">
        <v>26</v>
      </c>
      <c r="AU58" s="42">
        <v>1285417242.54</v>
      </c>
      <c r="AV58" s="43">
        <v>2.367117805667E-2</v>
      </c>
      <c r="AW58" s="43" t="s">
        <v>26</v>
      </c>
      <c r="AX58" s="43" t="s">
        <v>26</v>
      </c>
      <c r="AY58" s="42">
        <v>29663370547.880001</v>
      </c>
      <c r="AZ58" s="43">
        <v>3.5013037068529998E-2</v>
      </c>
      <c r="BA58" s="43" t="s">
        <v>26</v>
      </c>
      <c r="BB58" s="43" t="s">
        <v>26</v>
      </c>
    </row>
    <row r="59" spans="1:54" s="7" customFormat="1">
      <c r="A59" s="5" t="s">
        <v>67</v>
      </c>
      <c r="B59" s="20" t="s">
        <v>25</v>
      </c>
      <c r="C59" s="9">
        <v>292213617.75999999</v>
      </c>
      <c r="D59" s="10">
        <v>3.5611300177340002E-2</v>
      </c>
      <c r="E59" s="10">
        <v>0.08</v>
      </c>
      <c r="F59" s="10">
        <v>4.4400000000000002E-2</v>
      </c>
      <c r="G59" s="9" t="s">
        <v>26</v>
      </c>
      <c r="H59" s="10" t="s">
        <v>26</v>
      </c>
      <c r="I59" s="10" t="s">
        <v>26</v>
      </c>
      <c r="J59" s="10" t="s">
        <v>26</v>
      </c>
      <c r="K59" s="9">
        <v>192242302.78</v>
      </c>
      <c r="L59" s="10">
        <v>4.3373371431419998E-2</v>
      </c>
      <c r="M59" s="10">
        <v>0.08</v>
      </c>
      <c r="N59" s="10">
        <v>3.6600000000000001E-2</v>
      </c>
      <c r="O59" s="9" t="s">
        <v>26</v>
      </c>
      <c r="P59" s="10" t="s">
        <v>26</v>
      </c>
      <c r="Q59" s="10" t="s">
        <v>26</v>
      </c>
      <c r="R59" s="10" t="s">
        <v>26</v>
      </c>
      <c r="S59" s="9">
        <v>490239597.72000003</v>
      </c>
      <c r="T59" s="10">
        <v>3.7963541218500002E-3</v>
      </c>
      <c r="U59" s="10">
        <v>0.08</v>
      </c>
      <c r="V59" s="10">
        <v>7.6200000000000004E-2</v>
      </c>
      <c r="W59" s="9" t="s">
        <v>26</v>
      </c>
      <c r="X59" s="10" t="s">
        <v>26</v>
      </c>
      <c r="Y59" s="10" t="s">
        <v>26</v>
      </c>
      <c r="Z59" s="10" t="s">
        <v>26</v>
      </c>
      <c r="AA59" s="9" t="s">
        <v>26</v>
      </c>
      <c r="AB59" s="10" t="s">
        <v>26</v>
      </c>
      <c r="AC59" s="10" t="s">
        <v>26</v>
      </c>
      <c r="AD59" s="10" t="s">
        <v>26</v>
      </c>
      <c r="AE59" s="9">
        <v>974695518.25999999</v>
      </c>
      <c r="AF59" s="10">
        <v>1.3018510102899999E-3</v>
      </c>
      <c r="AG59" s="10">
        <v>0.08</v>
      </c>
      <c r="AH59" s="10">
        <v>7.8700000000000006E-2</v>
      </c>
      <c r="AI59" s="9" t="s">
        <v>26</v>
      </c>
      <c r="AJ59" s="10" t="s">
        <v>26</v>
      </c>
      <c r="AK59" s="10" t="s">
        <v>26</v>
      </c>
      <c r="AL59" s="10" t="s">
        <v>26</v>
      </c>
      <c r="AM59" s="9" t="s">
        <v>26</v>
      </c>
      <c r="AN59" s="10" t="s">
        <v>26</v>
      </c>
      <c r="AO59" s="10" t="s">
        <v>26</v>
      </c>
      <c r="AP59" s="10" t="s">
        <v>26</v>
      </c>
      <c r="AQ59" s="9" t="s">
        <v>26</v>
      </c>
      <c r="AR59" s="10" t="s">
        <v>26</v>
      </c>
      <c r="AS59" s="10" t="s">
        <v>26</v>
      </c>
      <c r="AT59" s="10" t="s">
        <v>26</v>
      </c>
      <c r="AU59" s="9" t="s">
        <v>26</v>
      </c>
      <c r="AV59" s="10" t="s">
        <v>26</v>
      </c>
      <c r="AW59" s="10" t="s">
        <v>26</v>
      </c>
      <c r="AX59" s="10" t="s">
        <v>26</v>
      </c>
      <c r="AY59" s="9">
        <v>974695518.25999999</v>
      </c>
      <c r="AZ59" s="10">
        <v>1.1504778344800001E-3</v>
      </c>
      <c r="BA59" s="10">
        <v>0.08</v>
      </c>
      <c r="BB59" s="10">
        <v>7.8799999999999995E-2</v>
      </c>
    </row>
    <row r="60" spans="1:54" s="7" customFormat="1">
      <c r="A60" s="3" t="s">
        <v>68</v>
      </c>
      <c r="B60" s="23" t="s">
        <v>57</v>
      </c>
      <c r="C60" s="2">
        <v>292213617.75999999</v>
      </c>
      <c r="D60" s="1">
        <v>1</v>
      </c>
      <c r="E60" s="1" t="s">
        <v>26</v>
      </c>
      <c r="F60" s="1" t="s">
        <v>26</v>
      </c>
      <c r="G60" s="2" t="s">
        <v>26</v>
      </c>
      <c r="H60" s="1" t="s">
        <v>26</v>
      </c>
      <c r="I60" s="1" t="s">
        <v>26</v>
      </c>
      <c r="J60" s="1" t="s">
        <v>26</v>
      </c>
      <c r="K60" s="2">
        <v>192242302.78</v>
      </c>
      <c r="L60" s="1">
        <v>1</v>
      </c>
      <c r="M60" s="1" t="s">
        <v>26</v>
      </c>
      <c r="N60" s="1" t="s">
        <v>26</v>
      </c>
      <c r="O60" s="2" t="s">
        <v>26</v>
      </c>
      <c r="P60" s="1" t="s">
        <v>26</v>
      </c>
      <c r="Q60" s="1" t="s">
        <v>26</v>
      </c>
      <c r="R60" s="1" t="s">
        <v>26</v>
      </c>
      <c r="S60" s="2">
        <v>490239597.72000003</v>
      </c>
      <c r="T60" s="1">
        <v>1</v>
      </c>
      <c r="U60" s="1" t="s">
        <v>26</v>
      </c>
      <c r="V60" s="1" t="s">
        <v>26</v>
      </c>
      <c r="W60" s="2" t="s">
        <v>26</v>
      </c>
      <c r="X60" s="1" t="s">
        <v>26</v>
      </c>
      <c r="Y60" s="1" t="s">
        <v>26</v>
      </c>
      <c r="Z60" s="1" t="s">
        <v>26</v>
      </c>
      <c r="AA60" s="2" t="s">
        <v>26</v>
      </c>
      <c r="AB60" s="1" t="s">
        <v>26</v>
      </c>
      <c r="AC60" s="1" t="s">
        <v>26</v>
      </c>
      <c r="AD60" s="1" t="s">
        <v>26</v>
      </c>
      <c r="AE60" s="2">
        <v>974695518.25999999</v>
      </c>
      <c r="AF60" s="1">
        <v>1</v>
      </c>
      <c r="AG60" s="1" t="s">
        <v>26</v>
      </c>
      <c r="AH60" s="1" t="s">
        <v>26</v>
      </c>
      <c r="AI60" s="2" t="s">
        <v>26</v>
      </c>
      <c r="AJ60" s="1" t="s">
        <v>26</v>
      </c>
      <c r="AK60" s="1" t="s">
        <v>26</v>
      </c>
      <c r="AL60" s="1" t="s">
        <v>26</v>
      </c>
      <c r="AM60" s="2" t="s">
        <v>26</v>
      </c>
      <c r="AN60" s="1" t="s">
        <v>26</v>
      </c>
      <c r="AO60" s="1" t="s">
        <v>26</v>
      </c>
      <c r="AP60" s="1" t="s">
        <v>26</v>
      </c>
      <c r="AQ60" s="2" t="s">
        <v>26</v>
      </c>
      <c r="AR60" s="1" t="s">
        <v>26</v>
      </c>
      <c r="AS60" s="1" t="s">
        <v>26</v>
      </c>
      <c r="AT60" s="1" t="s">
        <v>26</v>
      </c>
      <c r="AU60" s="2" t="s">
        <v>26</v>
      </c>
      <c r="AV60" s="1" t="s">
        <v>26</v>
      </c>
      <c r="AW60" s="1" t="s">
        <v>26</v>
      </c>
      <c r="AX60" s="1" t="s">
        <v>26</v>
      </c>
      <c r="AY60" s="2">
        <v>974695518.25999999</v>
      </c>
      <c r="AZ60" s="1">
        <v>1</v>
      </c>
      <c r="BA60" s="1" t="s">
        <v>26</v>
      </c>
      <c r="BB60" s="1" t="s">
        <v>26</v>
      </c>
    </row>
    <row r="61" spans="1:54" s="7" customFormat="1">
      <c r="A61" s="5" t="s">
        <v>69</v>
      </c>
      <c r="B61" s="20" t="s">
        <v>25</v>
      </c>
      <c r="C61" s="9" t="s">
        <v>26</v>
      </c>
      <c r="D61" s="10" t="s">
        <v>26</v>
      </c>
      <c r="E61" s="10" t="s">
        <v>26</v>
      </c>
      <c r="F61" s="10" t="s">
        <v>26</v>
      </c>
      <c r="G61" s="9">
        <v>806262280</v>
      </c>
      <c r="H61" s="10">
        <v>4.4950466510900004E-3</v>
      </c>
      <c r="I61" s="10">
        <v>0.08</v>
      </c>
      <c r="J61" s="10">
        <v>7.5499999999999998E-2</v>
      </c>
      <c r="K61" s="9" t="s">
        <v>26</v>
      </c>
      <c r="L61" s="10" t="s">
        <v>26</v>
      </c>
      <c r="M61" s="10" t="s">
        <v>26</v>
      </c>
      <c r="N61" s="10" t="s">
        <v>26</v>
      </c>
      <c r="O61" s="9">
        <v>344434684.60000002</v>
      </c>
      <c r="P61" s="10">
        <v>1.3255248150399999E-3</v>
      </c>
      <c r="Q61" s="10">
        <v>0.08</v>
      </c>
      <c r="R61" s="10">
        <v>7.8700000000000006E-2</v>
      </c>
      <c r="S61" s="9">
        <v>251660944</v>
      </c>
      <c r="T61" s="10">
        <v>1.94883087067E-3</v>
      </c>
      <c r="U61" s="10">
        <v>0.08</v>
      </c>
      <c r="V61" s="10">
        <v>7.8100000000000003E-2</v>
      </c>
      <c r="W61" s="9" t="s">
        <v>26</v>
      </c>
      <c r="X61" s="10" t="s">
        <v>26</v>
      </c>
      <c r="Y61" s="10" t="s">
        <v>26</v>
      </c>
      <c r="Z61" s="10" t="s">
        <v>26</v>
      </c>
      <c r="AA61" s="9" t="s">
        <v>26</v>
      </c>
      <c r="AB61" s="10" t="s">
        <v>26</v>
      </c>
      <c r="AC61" s="10" t="s">
        <v>26</v>
      </c>
      <c r="AD61" s="10" t="s">
        <v>26</v>
      </c>
      <c r="AE61" s="9">
        <v>1402357908.5999999</v>
      </c>
      <c r="AF61" s="10">
        <v>1.87305781744E-3</v>
      </c>
      <c r="AG61" s="10">
        <v>0.08</v>
      </c>
      <c r="AH61" s="10">
        <v>7.8100000000000003E-2</v>
      </c>
      <c r="AI61" s="9" t="s">
        <v>26</v>
      </c>
      <c r="AJ61" s="10" t="s">
        <v>26</v>
      </c>
      <c r="AK61" s="10" t="s">
        <v>26</v>
      </c>
      <c r="AL61" s="10" t="s">
        <v>26</v>
      </c>
      <c r="AM61" s="9" t="s">
        <v>26</v>
      </c>
      <c r="AN61" s="10" t="s">
        <v>26</v>
      </c>
      <c r="AO61" s="10" t="s">
        <v>26</v>
      </c>
      <c r="AP61" s="10" t="s">
        <v>26</v>
      </c>
      <c r="AQ61" s="9" t="s">
        <v>26</v>
      </c>
      <c r="AR61" s="10" t="s">
        <v>26</v>
      </c>
      <c r="AS61" s="10" t="s">
        <v>26</v>
      </c>
      <c r="AT61" s="10" t="s">
        <v>26</v>
      </c>
      <c r="AU61" s="9">
        <v>251660944</v>
      </c>
      <c r="AV61" s="10">
        <v>4.6343792647099997E-3</v>
      </c>
      <c r="AW61" s="10">
        <v>0.08</v>
      </c>
      <c r="AX61" s="10">
        <v>7.5399999999999995E-2</v>
      </c>
      <c r="AY61" s="9">
        <v>1654018852.5999999</v>
      </c>
      <c r="AZ61" s="10">
        <v>1.95231433005E-3</v>
      </c>
      <c r="BA61" s="10">
        <v>0.08</v>
      </c>
      <c r="BB61" s="10">
        <v>7.8E-2</v>
      </c>
    </row>
    <row r="62" spans="1:54" s="28" customFormat="1">
      <c r="A62" s="3" t="s">
        <v>68</v>
      </c>
      <c r="B62" s="23" t="s">
        <v>57</v>
      </c>
      <c r="C62" s="2" t="s">
        <v>26</v>
      </c>
      <c r="D62" s="1" t="s">
        <v>26</v>
      </c>
      <c r="E62" s="1" t="s">
        <v>26</v>
      </c>
      <c r="F62" s="1" t="s">
        <v>26</v>
      </c>
      <c r="G62" s="2">
        <v>806262280</v>
      </c>
      <c r="H62" s="1">
        <v>1</v>
      </c>
      <c r="I62" s="1" t="s">
        <v>26</v>
      </c>
      <c r="J62" s="1" t="s">
        <v>26</v>
      </c>
      <c r="K62" s="2" t="s">
        <v>26</v>
      </c>
      <c r="L62" s="1" t="s">
        <v>26</v>
      </c>
      <c r="M62" s="1" t="s">
        <v>26</v>
      </c>
      <c r="N62" s="1" t="s">
        <v>26</v>
      </c>
      <c r="O62" s="2">
        <v>344434684.60000002</v>
      </c>
      <c r="P62" s="1">
        <v>1</v>
      </c>
      <c r="Q62" s="1" t="s">
        <v>26</v>
      </c>
      <c r="R62" s="1" t="s">
        <v>26</v>
      </c>
      <c r="S62" s="2">
        <v>251660944</v>
      </c>
      <c r="T62" s="1">
        <v>1</v>
      </c>
      <c r="U62" s="1" t="s">
        <v>26</v>
      </c>
      <c r="V62" s="1" t="s">
        <v>26</v>
      </c>
      <c r="W62" s="2" t="s">
        <v>26</v>
      </c>
      <c r="X62" s="1" t="s">
        <v>26</v>
      </c>
      <c r="Y62" s="1" t="s">
        <v>26</v>
      </c>
      <c r="Z62" s="1" t="s">
        <v>26</v>
      </c>
      <c r="AA62" s="2" t="s">
        <v>26</v>
      </c>
      <c r="AB62" s="1" t="s">
        <v>26</v>
      </c>
      <c r="AC62" s="1" t="s">
        <v>26</v>
      </c>
      <c r="AD62" s="1" t="s">
        <v>26</v>
      </c>
      <c r="AE62" s="2">
        <v>1402357908.5999999</v>
      </c>
      <c r="AF62" s="1">
        <v>1</v>
      </c>
      <c r="AG62" s="1" t="s">
        <v>26</v>
      </c>
      <c r="AH62" s="1" t="s">
        <v>26</v>
      </c>
      <c r="AI62" s="2" t="s">
        <v>26</v>
      </c>
      <c r="AJ62" s="1" t="s">
        <v>26</v>
      </c>
      <c r="AK62" s="1" t="s">
        <v>26</v>
      </c>
      <c r="AL62" s="1" t="s">
        <v>26</v>
      </c>
      <c r="AM62" s="2" t="s">
        <v>26</v>
      </c>
      <c r="AN62" s="1" t="s">
        <v>26</v>
      </c>
      <c r="AO62" s="1" t="s">
        <v>26</v>
      </c>
      <c r="AP62" s="1" t="s">
        <v>26</v>
      </c>
      <c r="AQ62" s="2" t="s">
        <v>26</v>
      </c>
      <c r="AR62" s="1" t="s">
        <v>26</v>
      </c>
      <c r="AS62" s="1" t="s">
        <v>26</v>
      </c>
      <c r="AT62" s="1" t="s">
        <v>26</v>
      </c>
      <c r="AU62" s="2">
        <v>251660944</v>
      </c>
      <c r="AV62" s="1">
        <v>1</v>
      </c>
      <c r="AW62" s="1" t="s">
        <v>26</v>
      </c>
      <c r="AX62" s="1" t="s">
        <v>26</v>
      </c>
      <c r="AY62" s="2">
        <v>1654018852.5999999</v>
      </c>
      <c r="AZ62" s="1">
        <v>1</v>
      </c>
      <c r="BA62" s="1" t="s">
        <v>26</v>
      </c>
      <c r="BB62" s="1" t="s">
        <v>26</v>
      </c>
    </row>
    <row r="63" spans="1:54" s="7" customFormat="1">
      <c r="A63" s="5" t="s">
        <v>70</v>
      </c>
      <c r="B63" s="20" t="s">
        <v>25</v>
      </c>
      <c r="C63" s="9" t="s">
        <v>26</v>
      </c>
      <c r="D63" s="10" t="s">
        <v>26</v>
      </c>
      <c r="E63" s="10" t="s">
        <v>26</v>
      </c>
      <c r="F63" s="10" t="s">
        <v>26</v>
      </c>
      <c r="G63" s="9">
        <v>508680068.25999999</v>
      </c>
      <c r="H63" s="10">
        <v>2.8359762003399998E-3</v>
      </c>
      <c r="I63" s="10">
        <v>0.09</v>
      </c>
      <c r="J63" s="10">
        <v>8.72E-2</v>
      </c>
      <c r="K63" s="9" t="s">
        <v>26</v>
      </c>
      <c r="L63" s="10" t="s">
        <v>26</v>
      </c>
      <c r="M63" s="10" t="s">
        <v>26</v>
      </c>
      <c r="N63" s="10" t="s">
        <v>26</v>
      </c>
      <c r="O63" s="9">
        <v>1117361865.74</v>
      </c>
      <c r="P63" s="10">
        <v>4.30006310815E-3</v>
      </c>
      <c r="Q63" s="10">
        <v>0.09</v>
      </c>
      <c r="R63" s="10">
        <v>8.5699999999999998E-2</v>
      </c>
      <c r="S63" s="9">
        <v>511753374.69999999</v>
      </c>
      <c r="T63" s="10">
        <v>3.9629541196799997E-3</v>
      </c>
      <c r="U63" s="10">
        <v>0.09</v>
      </c>
      <c r="V63" s="10">
        <v>8.5999999999999993E-2</v>
      </c>
      <c r="W63" s="9" t="s">
        <v>26</v>
      </c>
      <c r="X63" s="10" t="s">
        <v>26</v>
      </c>
      <c r="Y63" s="10" t="s">
        <v>26</v>
      </c>
      <c r="Z63" s="10" t="s">
        <v>26</v>
      </c>
      <c r="AA63" s="9">
        <v>1358431051.5999999</v>
      </c>
      <c r="AB63" s="10">
        <v>8.4780212002400004E-3</v>
      </c>
      <c r="AC63" s="10">
        <v>0.09</v>
      </c>
      <c r="AD63" s="10">
        <v>8.1500000000000003E-2</v>
      </c>
      <c r="AE63" s="9">
        <v>3496226360.3000002</v>
      </c>
      <c r="AF63" s="10">
        <v>4.6697309406799996E-3</v>
      </c>
      <c r="AG63" s="10">
        <v>0.09</v>
      </c>
      <c r="AH63" s="10">
        <v>8.5300000000000001E-2</v>
      </c>
      <c r="AI63" s="9">
        <v>94868664.459999993</v>
      </c>
      <c r="AJ63" s="10">
        <v>4.9896047502800004E-3</v>
      </c>
      <c r="AK63" s="10">
        <v>0.09</v>
      </c>
      <c r="AL63" s="10">
        <v>8.5000000000000006E-2</v>
      </c>
      <c r="AM63" s="9">
        <v>13327091.32</v>
      </c>
      <c r="AN63" s="10">
        <v>5.2899477683999996E-4</v>
      </c>
      <c r="AO63" s="10">
        <v>0.09</v>
      </c>
      <c r="AP63" s="10">
        <v>8.9499999999999996E-2</v>
      </c>
      <c r="AQ63" s="9">
        <v>108195755.78</v>
      </c>
      <c r="AR63" s="10">
        <v>2.4475078266200001E-3</v>
      </c>
      <c r="AS63" s="10">
        <v>0.09</v>
      </c>
      <c r="AT63" s="10">
        <v>8.7599999999999997E-2</v>
      </c>
      <c r="AU63" s="9">
        <v>184087036.75999999</v>
      </c>
      <c r="AV63" s="10">
        <v>3.3899942219999999E-3</v>
      </c>
      <c r="AW63" s="10">
        <v>0.09</v>
      </c>
      <c r="AX63" s="10">
        <v>8.6599999999999996E-2</v>
      </c>
      <c r="AY63" s="9">
        <v>3788509152.8400002</v>
      </c>
      <c r="AZ63" s="10">
        <v>4.47175115143E-3</v>
      </c>
      <c r="BA63" s="10">
        <v>0.09</v>
      </c>
      <c r="BB63" s="10">
        <v>8.5500000000000007E-2</v>
      </c>
    </row>
    <row r="64" spans="1:54" s="28" customFormat="1">
      <c r="A64" s="3" t="s">
        <v>68</v>
      </c>
      <c r="B64" s="23" t="s">
        <v>40</v>
      </c>
      <c r="C64" s="2" t="s">
        <v>26</v>
      </c>
      <c r="D64" s="1" t="s">
        <v>26</v>
      </c>
      <c r="E64" s="1" t="s">
        <v>26</v>
      </c>
      <c r="F64" s="1" t="s">
        <v>26</v>
      </c>
      <c r="G64" s="2">
        <v>508680068.25999999</v>
      </c>
      <c r="H64" s="1">
        <v>1</v>
      </c>
      <c r="I64" s="1" t="s">
        <v>26</v>
      </c>
      <c r="J64" s="1" t="s">
        <v>26</v>
      </c>
      <c r="K64" s="2" t="s">
        <v>26</v>
      </c>
      <c r="L64" s="1" t="s">
        <v>26</v>
      </c>
      <c r="M64" s="1" t="s">
        <v>26</v>
      </c>
      <c r="N64" s="1" t="s">
        <v>26</v>
      </c>
      <c r="O64" s="2">
        <v>1117361865.74</v>
      </c>
      <c r="P64" s="1">
        <v>1</v>
      </c>
      <c r="Q64" s="1" t="s">
        <v>26</v>
      </c>
      <c r="R64" s="1" t="s">
        <v>26</v>
      </c>
      <c r="S64" s="2">
        <v>511753374.69999999</v>
      </c>
      <c r="T64" s="1">
        <v>1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>
        <v>1358431051.5999999</v>
      </c>
      <c r="AB64" s="1">
        <v>1</v>
      </c>
      <c r="AC64" s="1" t="s">
        <v>26</v>
      </c>
      <c r="AD64" s="1" t="s">
        <v>26</v>
      </c>
      <c r="AE64" s="2">
        <v>3496226360.3000002</v>
      </c>
      <c r="AF64" s="1">
        <v>1</v>
      </c>
      <c r="AG64" s="1" t="s">
        <v>26</v>
      </c>
      <c r="AH64" s="1" t="s">
        <v>26</v>
      </c>
      <c r="AI64" s="2">
        <v>94868664.459999993</v>
      </c>
      <c r="AJ64" s="1">
        <v>1</v>
      </c>
      <c r="AK64" s="1" t="s">
        <v>26</v>
      </c>
      <c r="AL64" s="1" t="s">
        <v>26</v>
      </c>
      <c r="AM64" s="2">
        <v>13327091.32</v>
      </c>
      <c r="AN64" s="1">
        <v>1</v>
      </c>
      <c r="AO64" s="1" t="s">
        <v>26</v>
      </c>
      <c r="AP64" s="1" t="s">
        <v>26</v>
      </c>
      <c r="AQ64" s="2">
        <v>108195755.78</v>
      </c>
      <c r="AR64" s="1">
        <v>1</v>
      </c>
      <c r="AS64" s="1" t="s">
        <v>26</v>
      </c>
      <c r="AT64" s="1" t="s">
        <v>26</v>
      </c>
      <c r="AU64" s="2">
        <v>184087036.75999999</v>
      </c>
      <c r="AV64" s="1">
        <v>1</v>
      </c>
      <c r="AW64" s="1" t="s">
        <v>26</v>
      </c>
      <c r="AX64" s="1" t="s">
        <v>26</v>
      </c>
      <c r="AY64" s="2">
        <v>3788509152.8400002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71</v>
      </c>
      <c r="B65" s="20" t="s">
        <v>25</v>
      </c>
      <c r="C65" s="9">
        <v>350514909.5</v>
      </c>
      <c r="D65" s="10">
        <v>4.2716324292219998E-2</v>
      </c>
      <c r="E65" s="10">
        <v>0.08</v>
      </c>
      <c r="F65" s="10">
        <v>3.73E-2</v>
      </c>
      <c r="G65" s="9">
        <v>464583887.95999998</v>
      </c>
      <c r="H65" s="10">
        <v>2.5901326423500002E-3</v>
      </c>
      <c r="I65" s="10">
        <v>0.08</v>
      </c>
      <c r="J65" s="10">
        <v>7.7399999999999997E-2</v>
      </c>
      <c r="K65" s="9">
        <v>163733690.00999999</v>
      </c>
      <c r="L65" s="10">
        <v>3.6941308182150003E-2</v>
      </c>
      <c r="M65" s="10">
        <v>0.08</v>
      </c>
      <c r="N65" s="10">
        <v>4.3099999999999999E-2</v>
      </c>
      <c r="O65" s="9">
        <v>1441126706.6600001</v>
      </c>
      <c r="P65" s="10">
        <v>5.54604195425E-3</v>
      </c>
      <c r="Q65" s="10">
        <v>0.08</v>
      </c>
      <c r="R65" s="10">
        <v>7.4499999999999997E-2</v>
      </c>
      <c r="S65" s="9">
        <v>314376955.13999999</v>
      </c>
      <c r="T65" s="10">
        <v>2.4344958159499999E-3</v>
      </c>
      <c r="U65" s="10">
        <v>0.08</v>
      </c>
      <c r="V65" s="10">
        <v>7.7600000000000002E-2</v>
      </c>
      <c r="W65" s="9" t="s">
        <v>26</v>
      </c>
      <c r="X65" s="10" t="s">
        <v>26</v>
      </c>
      <c r="Y65" s="10" t="s">
        <v>26</v>
      </c>
      <c r="Z65" s="10" t="s">
        <v>26</v>
      </c>
      <c r="AA65" s="9" t="s">
        <v>26</v>
      </c>
      <c r="AB65" s="10" t="s">
        <v>26</v>
      </c>
      <c r="AC65" s="10" t="s">
        <v>26</v>
      </c>
      <c r="AD65" s="10" t="s">
        <v>26</v>
      </c>
      <c r="AE65" s="9">
        <v>2734336149.27</v>
      </c>
      <c r="AF65" s="10">
        <v>3.65211310785E-3</v>
      </c>
      <c r="AG65" s="10">
        <v>0.08</v>
      </c>
      <c r="AH65" s="10">
        <v>7.6300000000000007E-2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 t="s">
        <v>26</v>
      </c>
      <c r="AV65" s="10" t="s">
        <v>26</v>
      </c>
      <c r="AW65" s="10" t="s">
        <v>26</v>
      </c>
      <c r="AX65" s="10" t="s">
        <v>26</v>
      </c>
      <c r="AY65" s="9">
        <v>2734336149.27</v>
      </c>
      <c r="AZ65" s="10">
        <v>3.2274623950000001E-3</v>
      </c>
      <c r="BA65" s="10">
        <v>0.08</v>
      </c>
      <c r="BB65" s="10">
        <v>7.6799999999999993E-2</v>
      </c>
    </row>
    <row r="66" spans="1:54" s="7" customFormat="1">
      <c r="A66" s="3" t="s">
        <v>68</v>
      </c>
      <c r="B66" s="23" t="s">
        <v>57</v>
      </c>
      <c r="C66" s="2">
        <v>350514909.5</v>
      </c>
      <c r="D66" s="1">
        <v>1</v>
      </c>
      <c r="E66" s="1" t="s">
        <v>26</v>
      </c>
      <c r="F66" s="1" t="s">
        <v>26</v>
      </c>
      <c r="G66" s="2">
        <v>464583887.95999998</v>
      </c>
      <c r="H66" s="1">
        <v>1</v>
      </c>
      <c r="I66" s="1" t="s">
        <v>26</v>
      </c>
      <c r="J66" s="1" t="s">
        <v>26</v>
      </c>
      <c r="K66" s="2">
        <v>163733690.00999999</v>
      </c>
      <c r="L66" s="1">
        <v>1</v>
      </c>
      <c r="M66" s="1" t="s">
        <v>26</v>
      </c>
      <c r="N66" s="1" t="s">
        <v>26</v>
      </c>
      <c r="O66" s="2">
        <v>1441126706.6600001</v>
      </c>
      <c r="P66" s="1">
        <v>1</v>
      </c>
      <c r="Q66" s="1" t="s">
        <v>26</v>
      </c>
      <c r="R66" s="1" t="s">
        <v>26</v>
      </c>
      <c r="S66" s="2">
        <v>314376955.13999999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2734336149.27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 t="s">
        <v>26</v>
      </c>
      <c r="AV66" s="1" t="s">
        <v>26</v>
      </c>
      <c r="AW66" s="1" t="s">
        <v>26</v>
      </c>
      <c r="AX66" s="1" t="s">
        <v>26</v>
      </c>
      <c r="AY66" s="2">
        <v>2734336149.27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72</v>
      </c>
      <c r="B67" s="20" t="s">
        <v>25</v>
      </c>
      <c r="C67" s="9" t="s">
        <v>26</v>
      </c>
      <c r="D67" s="10" t="s">
        <v>26</v>
      </c>
      <c r="E67" s="10" t="s">
        <v>26</v>
      </c>
      <c r="F67" s="10" t="s">
        <v>26</v>
      </c>
      <c r="G67" s="9">
        <v>2550103888.3800001</v>
      </c>
      <c r="H67" s="10">
        <v>1.421725439444E-2</v>
      </c>
      <c r="I67" s="10">
        <v>0.09</v>
      </c>
      <c r="J67" s="10">
        <v>7.5800000000000006E-2</v>
      </c>
      <c r="K67" s="9" t="s">
        <v>26</v>
      </c>
      <c r="L67" s="10" t="s">
        <v>26</v>
      </c>
      <c r="M67" s="10" t="s">
        <v>26</v>
      </c>
      <c r="N67" s="10" t="s">
        <v>26</v>
      </c>
      <c r="O67" s="9">
        <v>2158718552.3600001</v>
      </c>
      <c r="P67" s="10">
        <v>8.3076273609299991E-3</v>
      </c>
      <c r="Q67" s="10">
        <v>0.09</v>
      </c>
      <c r="R67" s="10">
        <v>8.1699999999999995E-2</v>
      </c>
      <c r="S67" s="9">
        <v>1349242608.47</v>
      </c>
      <c r="T67" s="10">
        <v>1.044836598648E-2</v>
      </c>
      <c r="U67" s="10">
        <v>0.09</v>
      </c>
      <c r="V67" s="10">
        <v>7.9600000000000004E-2</v>
      </c>
      <c r="W67" s="9" t="s">
        <v>26</v>
      </c>
      <c r="X67" s="10" t="s">
        <v>26</v>
      </c>
      <c r="Y67" s="10" t="s">
        <v>26</v>
      </c>
      <c r="Z67" s="10" t="s">
        <v>26</v>
      </c>
      <c r="AA67" s="9">
        <v>1790705493.8699999</v>
      </c>
      <c r="AB67" s="10">
        <v>1.1175862862179999E-2</v>
      </c>
      <c r="AC67" s="10">
        <v>0.09</v>
      </c>
      <c r="AD67" s="10">
        <v>7.8799999999999995E-2</v>
      </c>
      <c r="AE67" s="9">
        <v>7848770543.0799999</v>
      </c>
      <c r="AF67" s="10">
        <v>1.0483201850850001E-2</v>
      </c>
      <c r="AG67" s="10">
        <v>0.09</v>
      </c>
      <c r="AH67" s="10">
        <v>7.9500000000000001E-2</v>
      </c>
      <c r="AI67" s="9">
        <v>15891042.33</v>
      </c>
      <c r="AJ67" s="10">
        <v>8.3578725122999996E-4</v>
      </c>
      <c r="AK67" s="10">
        <v>0.09</v>
      </c>
      <c r="AL67" s="10">
        <v>8.9200000000000002E-2</v>
      </c>
      <c r="AM67" s="9">
        <v>113368572.92</v>
      </c>
      <c r="AN67" s="10">
        <v>4.4999603809200003E-3</v>
      </c>
      <c r="AO67" s="10">
        <v>0.09</v>
      </c>
      <c r="AP67" s="10">
        <v>8.5500000000000007E-2</v>
      </c>
      <c r="AQ67" s="9">
        <v>129259615.25</v>
      </c>
      <c r="AR67" s="10">
        <v>2.9239956568500002E-3</v>
      </c>
      <c r="AS67" s="10">
        <v>0.09</v>
      </c>
      <c r="AT67" s="10">
        <v>8.7099999999999997E-2</v>
      </c>
      <c r="AU67" s="9">
        <v>471825245.10000002</v>
      </c>
      <c r="AV67" s="10">
        <v>8.6887424711399996E-3</v>
      </c>
      <c r="AW67" s="10">
        <v>0.09</v>
      </c>
      <c r="AX67" s="10">
        <v>8.1299999999999997E-2</v>
      </c>
      <c r="AY67" s="9">
        <v>8449855403.4300003</v>
      </c>
      <c r="AZ67" s="10">
        <v>9.9737519708500005E-3</v>
      </c>
      <c r="BA67" s="10">
        <v>0.09</v>
      </c>
      <c r="BB67" s="10">
        <v>0.08</v>
      </c>
    </row>
    <row r="68" spans="1:54" s="7" customFormat="1">
      <c r="A68" s="3" t="s">
        <v>68</v>
      </c>
      <c r="B68" s="23" t="s">
        <v>40</v>
      </c>
      <c r="C68" s="2" t="s">
        <v>26</v>
      </c>
      <c r="D68" s="1" t="s">
        <v>26</v>
      </c>
      <c r="E68" s="1" t="s">
        <v>26</v>
      </c>
      <c r="F68" s="1" t="s">
        <v>26</v>
      </c>
      <c r="G68" s="2">
        <v>2550103888.3800001</v>
      </c>
      <c r="H68" s="1">
        <v>1</v>
      </c>
      <c r="I68" s="1" t="s">
        <v>26</v>
      </c>
      <c r="J68" s="1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2158718552.3600001</v>
      </c>
      <c r="P68" s="1">
        <v>1</v>
      </c>
      <c r="Q68" s="1" t="s">
        <v>26</v>
      </c>
      <c r="R68" s="1" t="s">
        <v>26</v>
      </c>
      <c r="S68" s="2">
        <v>1349242608.47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1790705493.8699999</v>
      </c>
      <c r="AB68" s="1">
        <v>1</v>
      </c>
      <c r="AC68" s="1" t="s">
        <v>26</v>
      </c>
      <c r="AD68" s="1" t="s">
        <v>26</v>
      </c>
      <c r="AE68" s="2">
        <v>7848770543.0799999</v>
      </c>
      <c r="AF68" s="1">
        <v>1</v>
      </c>
      <c r="AG68" s="1" t="s">
        <v>26</v>
      </c>
      <c r="AH68" s="1" t="s">
        <v>26</v>
      </c>
      <c r="AI68" s="2">
        <v>15891042.33</v>
      </c>
      <c r="AJ68" s="1">
        <v>1</v>
      </c>
      <c r="AK68" s="1" t="s">
        <v>26</v>
      </c>
      <c r="AL68" s="1" t="s">
        <v>26</v>
      </c>
      <c r="AM68" s="2">
        <v>113368572.92</v>
      </c>
      <c r="AN68" s="1">
        <v>1</v>
      </c>
      <c r="AO68" s="1" t="s">
        <v>26</v>
      </c>
      <c r="AP68" s="1" t="s">
        <v>26</v>
      </c>
      <c r="AQ68" s="2">
        <v>129259615.25</v>
      </c>
      <c r="AR68" s="1">
        <v>1</v>
      </c>
      <c r="AS68" s="1" t="s">
        <v>26</v>
      </c>
      <c r="AT68" s="1" t="s">
        <v>26</v>
      </c>
      <c r="AU68" s="2">
        <v>471825245.10000002</v>
      </c>
      <c r="AV68" s="1">
        <v>1</v>
      </c>
      <c r="AW68" s="1" t="s">
        <v>26</v>
      </c>
      <c r="AX68" s="1" t="s">
        <v>26</v>
      </c>
      <c r="AY68" s="2">
        <v>8449855403.4300003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73</v>
      </c>
      <c r="B69" s="20" t="s">
        <v>25</v>
      </c>
      <c r="C69" s="9" t="s">
        <v>26</v>
      </c>
      <c r="D69" s="10" t="s">
        <v>26</v>
      </c>
      <c r="E69" s="10" t="s">
        <v>26</v>
      </c>
      <c r="F69" s="10" t="s">
        <v>26</v>
      </c>
      <c r="G69" s="9">
        <v>81055518.849999994</v>
      </c>
      <c r="H69" s="10">
        <v>4.5189803317999998E-4</v>
      </c>
      <c r="I69" s="10">
        <v>0.08</v>
      </c>
      <c r="J69" s="10">
        <v>7.9500000000000001E-2</v>
      </c>
      <c r="K69" s="9" t="s">
        <v>26</v>
      </c>
      <c r="L69" s="10" t="s">
        <v>26</v>
      </c>
      <c r="M69" s="10" t="s">
        <v>26</v>
      </c>
      <c r="N69" s="10" t="s">
        <v>26</v>
      </c>
      <c r="O69" s="9">
        <v>1017072082.37</v>
      </c>
      <c r="P69" s="10">
        <v>3.9141072143399997E-3</v>
      </c>
      <c r="Q69" s="10">
        <v>0.08</v>
      </c>
      <c r="R69" s="10">
        <v>7.6100000000000001E-2</v>
      </c>
      <c r="S69" s="9">
        <v>1107886790.4100001</v>
      </c>
      <c r="T69" s="10">
        <v>8.5793367220400006E-3</v>
      </c>
      <c r="U69" s="10">
        <v>0.08</v>
      </c>
      <c r="V69" s="10">
        <v>7.1400000000000005E-2</v>
      </c>
      <c r="W69" s="9" t="s">
        <v>26</v>
      </c>
      <c r="X69" s="10" t="s">
        <v>26</v>
      </c>
      <c r="Y69" s="10" t="s">
        <v>26</v>
      </c>
      <c r="Z69" s="10" t="s">
        <v>26</v>
      </c>
      <c r="AA69" s="9">
        <v>260928625.5</v>
      </c>
      <c r="AB69" s="10">
        <v>1.62846573342E-3</v>
      </c>
      <c r="AC69" s="10">
        <v>0.08</v>
      </c>
      <c r="AD69" s="10">
        <v>7.8399999999999997E-2</v>
      </c>
      <c r="AE69" s="9">
        <v>2466943017.1300001</v>
      </c>
      <c r="AF69" s="10">
        <v>3.2949697613400002E-3</v>
      </c>
      <c r="AG69" s="10">
        <v>0.08</v>
      </c>
      <c r="AH69" s="10">
        <v>7.6700000000000004E-2</v>
      </c>
      <c r="AI69" s="9">
        <v>375864869.51999998</v>
      </c>
      <c r="AJ69" s="10">
        <v>1.9768562666040001E-2</v>
      </c>
      <c r="AK69" s="10">
        <v>0.08</v>
      </c>
      <c r="AL69" s="10">
        <v>6.0199999999999997E-2</v>
      </c>
      <c r="AM69" s="9">
        <v>182362469.21000001</v>
      </c>
      <c r="AN69" s="10">
        <v>7.2385482614399999E-3</v>
      </c>
      <c r="AO69" s="10">
        <v>0.08</v>
      </c>
      <c r="AP69" s="10">
        <v>7.2800000000000004E-2</v>
      </c>
      <c r="AQ69" s="9">
        <v>558227338.73000002</v>
      </c>
      <c r="AR69" s="10">
        <v>1.2627720659899999E-2</v>
      </c>
      <c r="AS69" s="10">
        <v>0.08</v>
      </c>
      <c r="AT69" s="10">
        <v>6.7400000000000002E-2</v>
      </c>
      <c r="AU69" s="9">
        <v>377844016.68000001</v>
      </c>
      <c r="AV69" s="10">
        <v>6.9580620988100002E-3</v>
      </c>
      <c r="AW69" s="10">
        <v>0.08</v>
      </c>
      <c r="AX69" s="10">
        <v>7.2999999999999995E-2</v>
      </c>
      <c r="AY69" s="9">
        <v>3403014372.54</v>
      </c>
      <c r="AZ69" s="10">
        <v>4.0167339776200003E-3</v>
      </c>
      <c r="BA69" s="10">
        <v>0.08</v>
      </c>
      <c r="BB69" s="10">
        <v>7.5999999999999998E-2</v>
      </c>
    </row>
    <row r="70" spans="1:54" s="7" customFormat="1">
      <c r="A70" s="3" t="s">
        <v>68</v>
      </c>
      <c r="B70" s="23" t="s">
        <v>57</v>
      </c>
      <c r="C70" s="2" t="s">
        <v>26</v>
      </c>
      <c r="D70" s="1" t="s">
        <v>26</v>
      </c>
      <c r="E70" s="1" t="s">
        <v>26</v>
      </c>
      <c r="F70" s="1" t="s">
        <v>26</v>
      </c>
      <c r="G70" s="2">
        <v>81055518.849999994</v>
      </c>
      <c r="H70" s="1">
        <v>1</v>
      </c>
      <c r="I70" s="1" t="s">
        <v>26</v>
      </c>
      <c r="J70" s="1" t="s">
        <v>26</v>
      </c>
      <c r="K70" s="2" t="s">
        <v>26</v>
      </c>
      <c r="L70" s="1" t="s">
        <v>26</v>
      </c>
      <c r="M70" s="1" t="s">
        <v>26</v>
      </c>
      <c r="N70" s="1" t="s">
        <v>26</v>
      </c>
      <c r="O70" s="2">
        <v>1017072082.37</v>
      </c>
      <c r="P70" s="1">
        <v>1</v>
      </c>
      <c r="Q70" s="1" t="s">
        <v>26</v>
      </c>
      <c r="R70" s="1" t="s">
        <v>26</v>
      </c>
      <c r="S70" s="2">
        <v>1107886790.4100001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>
        <v>260928625.5</v>
      </c>
      <c r="AB70" s="1">
        <v>1</v>
      </c>
      <c r="AC70" s="1" t="s">
        <v>26</v>
      </c>
      <c r="AD70" s="1" t="s">
        <v>26</v>
      </c>
      <c r="AE70" s="2">
        <v>2466943017.1300001</v>
      </c>
      <c r="AF70" s="1">
        <v>1</v>
      </c>
      <c r="AG70" s="1" t="s">
        <v>26</v>
      </c>
      <c r="AH70" s="1" t="s">
        <v>26</v>
      </c>
      <c r="AI70" s="2">
        <v>375864869.51999998</v>
      </c>
      <c r="AJ70" s="1">
        <v>1</v>
      </c>
      <c r="AK70" s="1" t="s">
        <v>26</v>
      </c>
      <c r="AL70" s="1" t="s">
        <v>26</v>
      </c>
      <c r="AM70" s="2">
        <v>182362469.21000001</v>
      </c>
      <c r="AN70" s="1">
        <v>1</v>
      </c>
      <c r="AO70" s="1" t="s">
        <v>26</v>
      </c>
      <c r="AP70" s="1" t="s">
        <v>26</v>
      </c>
      <c r="AQ70" s="2">
        <v>558227338.73000002</v>
      </c>
      <c r="AR70" s="1">
        <v>1</v>
      </c>
      <c r="AS70" s="1" t="s">
        <v>26</v>
      </c>
      <c r="AT70" s="1" t="s">
        <v>26</v>
      </c>
      <c r="AU70" s="2">
        <v>377844016.68000001</v>
      </c>
      <c r="AV70" s="1">
        <v>1</v>
      </c>
      <c r="AW70" s="1" t="s">
        <v>26</v>
      </c>
      <c r="AX70" s="1" t="s">
        <v>26</v>
      </c>
      <c r="AY70" s="2">
        <v>3403014372.54</v>
      </c>
      <c r="AZ70" s="1">
        <v>1</v>
      </c>
      <c r="BA70" s="1" t="s">
        <v>26</v>
      </c>
      <c r="BB70" s="1" t="s">
        <v>26</v>
      </c>
    </row>
    <row r="71" spans="1:54" s="28" customFormat="1">
      <c r="A71" s="5" t="s">
        <v>74</v>
      </c>
      <c r="B71" s="20" t="s">
        <v>25</v>
      </c>
      <c r="C71" s="9">
        <v>269047394.06999999</v>
      </c>
      <c r="D71" s="10">
        <v>3.278809381166E-2</v>
      </c>
      <c r="E71" s="10">
        <v>0.08</v>
      </c>
      <c r="F71" s="10">
        <v>4.7199999999999999E-2</v>
      </c>
      <c r="G71" s="9">
        <v>929441976.64999998</v>
      </c>
      <c r="H71" s="10">
        <v>5.1817939994999998E-3</v>
      </c>
      <c r="I71" s="10">
        <v>0.08</v>
      </c>
      <c r="J71" s="10">
        <v>7.4800000000000005E-2</v>
      </c>
      <c r="K71" s="9">
        <v>110436697.45999999</v>
      </c>
      <c r="L71" s="10">
        <v>2.4916534130750002E-2</v>
      </c>
      <c r="M71" s="10">
        <v>0.08</v>
      </c>
      <c r="N71" s="10">
        <v>5.5100000000000003E-2</v>
      </c>
      <c r="O71" s="9">
        <v>1969606094.5899999</v>
      </c>
      <c r="P71" s="10">
        <v>7.5798456745400002E-3</v>
      </c>
      <c r="Q71" s="10">
        <v>0.08</v>
      </c>
      <c r="R71" s="10">
        <v>7.2400000000000006E-2</v>
      </c>
      <c r="S71" s="9" t="s">
        <v>26</v>
      </c>
      <c r="T71" s="10" t="s">
        <v>26</v>
      </c>
      <c r="U71" s="10" t="s">
        <v>26</v>
      </c>
      <c r="V71" s="10" t="s">
        <v>26</v>
      </c>
      <c r="W71" s="9" t="s">
        <v>26</v>
      </c>
      <c r="X71" s="10" t="s">
        <v>26</v>
      </c>
      <c r="Y71" s="10" t="s">
        <v>26</v>
      </c>
      <c r="Z71" s="10" t="s">
        <v>26</v>
      </c>
      <c r="AA71" s="9" t="s">
        <v>26</v>
      </c>
      <c r="AB71" s="10" t="s">
        <v>26</v>
      </c>
      <c r="AC71" s="10" t="s">
        <v>26</v>
      </c>
      <c r="AD71" s="10" t="s">
        <v>26</v>
      </c>
      <c r="AE71" s="9">
        <v>3278532162.77</v>
      </c>
      <c r="AF71" s="10">
        <v>4.3789679221999996E-3</v>
      </c>
      <c r="AG71" s="10">
        <v>0.08</v>
      </c>
      <c r="AH71" s="10">
        <v>7.5600000000000001E-2</v>
      </c>
      <c r="AI71" s="9" t="s">
        <v>26</v>
      </c>
      <c r="AJ71" s="10" t="s">
        <v>26</v>
      </c>
      <c r="AK71" s="10" t="s">
        <v>26</v>
      </c>
      <c r="AL71" s="10" t="s">
        <v>26</v>
      </c>
      <c r="AM71" s="9">
        <v>369433711.63999999</v>
      </c>
      <c r="AN71" s="10">
        <v>1.4664002756120001E-2</v>
      </c>
      <c r="AO71" s="10">
        <v>0.08</v>
      </c>
      <c r="AP71" s="10">
        <v>6.5299999999999997E-2</v>
      </c>
      <c r="AQ71" s="9">
        <v>369433711.63999999</v>
      </c>
      <c r="AR71" s="10">
        <v>8.3569997190599994E-3</v>
      </c>
      <c r="AS71" s="10">
        <v>0.08</v>
      </c>
      <c r="AT71" s="10">
        <v>7.1599999999999997E-2</v>
      </c>
      <c r="AU71" s="9" t="s">
        <v>26</v>
      </c>
      <c r="AV71" s="10" t="s">
        <v>26</v>
      </c>
      <c r="AW71" s="10" t="s">
        <v>26</v>
      </c>
      <c r="AX71" s="10" t="s">
        <v>26</v>
      </c>
      <c r="AY71" s="9">
        <v>3647965874.4099998</v>
      </c>
      <c r="AZ71" s="10">
        <v>4.3058614724600002E-3</v>
      </c>
      <c r="BA71" s="10">
        <v>0.08</v>
      </c>
      <c r="BB71" s="10">
        <v>7.5700000000000003E-2</v>
      </c>
    </row>
    <row r="72" spans="1:54" s="7" customFormat="1">
      <c r="A72" s="3" t="s">
        <v>68</v>
      </c>
      <c r="B72" s="23" t="s">
        <v>57</v>
      </c>
      <c r="C72" s="2">
        <v>269047394.06999999</v>
      </c>
      <c r="D72" s="1">
        <v>1</v>
      </c>
      <c r="E72" s="1" t="s">
        <v>26</v>
      </c>
      <c r="F72" s="1" t="s">
        <v>26</v>
      </c>
      <c r="G72" s="2">
        <v>929441976.64999998</v>
      </c>
      <c r="H72" s="1">
        <v>1</v>
      </c>
      <c r="I72" s="1" t="s">
        <v>26</v>
      </c>
      <c r="J72" s="1" t="s">
        <v>26</v>
      </c>
      <c r="K72" s="2">
        <v>110436697.45999999</v>
      </c>
      <c r="L72" s="1">
        <v>1</v>
      </c>
      <c r="M72" s="1" t="s">
        <v>26</v>
      </c>
      <c r="N72" s="1" t="s">
        <v>26</v>
      </c>
      <c r="O72" s="2">
        <v>1969606094.5899999</v>
      </c>
      <c r="P72" s="1">
        <v>1</v>
      </c>
      <c r="Q72" s="1" t="s">
        <v>26</v>
      </c>
      <c r="R72" s="1" t="s">
        <v>26</v>
      </c>
      <c r="S72" s="2" t="s">
        <v>26</v>
      </c>
      <c r="T72" s="1" t="s">
        <v>26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 t="s">
        <v>26</v>
      </c>
      <c r="AB72" s="1" t="s">
        <v>26</v>
      </c>
      <c r="AC72" s="1" t="s">
        <v>26</v>
      </c>
      <c r="AD72" s="1" t="s">
        <v>26</v>
      </c>
      <c r="AE72" s="2">
        <v>3278532162.77</v>
      </c>
      <c r="AF72" s="1">
        <v>1</v>
      </c>
      <c r="AG72" s="1" t="s">
        <v>26</v>
      </c>
      <c r="AH72" s="1" t="s">
        <v>26</v>
      </c>
      <c r="AI72" s="2" t="s">
        <v>26</v>
      </c>
      <c r="AJ72" s="1" t="s">
        <v>26</v>
      </c>
      <c r="AK72" s="1" t="s">
        <v>26</v>
      </c>
      <c r="AL72" s="1" t="s">
        <v>26</v>
      </c>
      <c r="AM72" s="2">
        <v>369433711.63999999</v>
      </c>
      <c r="AN72" s="1">
        <v>1</v>
      </c>
      <c r="AO72" s="1" t="s">
        <v>26</v>
      </c>
      <c r="AP72" s="1" t="s">
        <v>26</v>
      </c>
      <c r="AQ72" s="2">
        <v>369433711.63999999</v>
      </c>
      <c r="AR72" s="1">
        <v>1</v>
      </c>
      <c r="AS72" s="1" t="s">
        <v>26</v>
      </c>
      <c r="AT72" s="1" t="s">
        <v>26</v>
      </c>
      <c r="AU72" s="2" t="s">
        <v>26</v>
      </c>
      <c r="AV72" s="1" t="s">
        <v>26</v>
      </c>
      <c r="AW72" s="1" t="s">
        <v>26</v>
      </c>
      <c r="AX72" s="1" t="s">
        <v>26</v>
      </c>
      <c r="AY72" s="2">
        <v>3647965874.4099998</v>
      </c>
      <c r="AZ72" s="1">
        <v>1</v>
      </c>
      <c r="BA72" s="1" t="s">
        <v>26</v>
      </c>
      <c r="BB72" s="1" t="s">
        <v>26</v>
      </c>
    </row>
    <row r="73" spans="1:54" s="28" customFormat="1">
      <c r="A73" s="5" t="s">
        <v>138</v>
      </c>
      <c r="B73" s="20" t="s">
        <v>25</v>
      </c>
      <c r="C73" s="9">
        <v>614590165.54999995</v>
      </c>
      <c r="D73" s="10">
        <v>7.4898476803429995E-2</v>
      </c>
      <c r="E73" s="10">
        <v>0.08</v>
      </c>
      <c r="F73" s="10">
        <v>5.1000000000000004E-3</v>
      </c>
      <c r="G73" s="9">
        <v>505287265</v>
      </c>
      <c r="H73" s="10">
        <v>2.8170607564299999E-3</v>
      </c>
      <c r="I73" s="10">
        <v>0.08</v>
      </c>
      <c r="J73" s="10">
        <v>7.7200000000000005E-2</v>
      </c>
      <c r="K73" s="9">
        <v>104897506.52</v>
      </c>
      <c r="L73" s="10">
        <v>2.3666791578800001E-2</v>
      </c>
      <c r="M73" s="10">
        <v>0.08</v>
      </c>
      <c r="N73" s="10">
        <v>5.6300000000000003E-2</v>
      </c>
      <c r="O73" s="9" t="s">
        <v>26</v>
      </c>
      <c r="P73" s="10" t="s">
        <v>26</v>
      </c>
      <c r="Q73" s="10" t="s">
        <v>26</v>
      </c>
      <c r="R73" s="10" t="s">
        <v>26</v>
      </c>
      <c r="S73" s="9">
        <v>808904786.16999996</v>
      </c>
      <c r="T73" s="10">
        <v>6.2640574801499996E-3</v>
      </c>
      <c r="U73" s="10">
        <v>0.08</v>
      </c>
      <c r="V73" s="10">
        <v>7.3700000000000002E-2</v>
      </c>
      <c r="W73" s="9" t="s">
        <v>26</v>
      </c>
      <c r="X73" s="10" t="s">
        <v>26</v>
      </c>
      <c r="Y73" s="10" t="s">
        <v>26</v>
      </c>
      <c r="Z73" s="10" t="s">
        <v>26</v>
      </c>
      <c r="AA73" s="9" t="s">
        <v>26</v>
      </c>
      <c r="AB73" s="10" t="s">
        <v>26</v>
      </c>
      <c r="AC73" s="10" t="s">
        <v>26</v>
      </c>
      <c r="AD73" s="10" t="s">
        <v>26</v>
      </c>
      <c r="AE73" s="9">
        <v>2033679723.24</v>
      </c>
      <c r="AF73" s="10">
        <v>2.7162821134499998E-3</v>
      </c>
      <c r="AG73" s="10">
        <v>0.08</v>
      </c>
      <c r="AH73" s="10">
        <v>7.7299999999999994E-2</v>
      </c>
      <c r="AI73" s="9" t="s">
        <v>26</v>
      </c>
      <c r="AJ73" s="10" t="s">
        <v>26</v>
      </c>
      <c r="AK73" s="10" t="s">
        <v>26</v>
      </c>
      <c r="AL73" s="10" t="s">
        <v>26</v>
      </c>
      <c r="AM73" s="9" t="s">
        <v>26</v>
      </c>
      <c r="AN73" s="10" t="s">
        <v>26</v>
      </c>
      <c r="AO73" s="10" t="s">
        <v>26</v>
      </c>
      <c r="AP73" s="10" t="s">
        <v>26</v>
      </c>
      <c r="AQ73" s="9" t="s">
        <v>26</v>
      </c>
      <c r="AR73" s="10" t="s">
        <v>26</v>
      </c>
      <c r="AS73" s="10" t="s">
        <v>26</v>
      </c>
      <c r="AT73" s="10" t="s">
        <v>26</v>
      </c>
      <c r="AU73" s="9" t="s">
        <v>26</v>
      </c>
      <c r="AV73" s="10" t="s">
        <v>26</v>
      </c>
      <c r="AW73" s="10" t="s">
        <v>26</v>
      </c>
      <c r="AX73" s="10" t="s">
        <v>26</v>
      </c>
      <c r="AY73" s="9">
        <v>2033679723.24</v>
      </c>
      <c r="AZ73" s="10">
        <v>2.4004454726500001E-3</v>
      </c>
      <c r="BA73" s="10">
        <v>0.08</v>
      </c>
      <c r="BB73" s="10">
        <v>7.7600000000000002E-2</v>
      </c>
    </row>
    <row r="74" spans="1:54" s="7" customFormat="1">
      <c r="A74" s="3" t="s">
        <v>68</v>
      </c>
      <c r="B74" s="23" t="s">
        <v>57</v>
      </c>
      <c r="C74" s="2">
        <v>614590165.54999995</v>
      </c>
      <c r="D74" s="1">
        <v>1</v>
      </c>
      <c r="E74" s="1" t="s">
        <v>26</v>
      </c>
      <c r="F74" s="1" t="s">
        <v>26</v>
      </c>
      <c r="G74" s="2">
        <v>505287265</v>
      </c>
      <c r="H74" s="1">
        <v>1</v>
      </c>
      <c r="I74" s="1" t="s">
        <v>26</v>
      </c>
      <c r="J74" s="1" t="s">
        <v>26</v>
      </c>
      <c r="K74" s="2">
        <v>104897506.52</v>
      </c>
      <c r="L74" s="1">
        <v>1</v>
      </c>
      <c r="M74" s="1" t="s">
        <v>26</v>
      </c>
      <c r="N74" s="1" t="s">
        <v>26</v>
      </c>
      <c r="O74" s="2" t="s">
        <v>26</v>
      </c>
      <c r="P74" s="1" t="s">
        <v>26</v>
      </c>
      <c r="Q74" s="1" t="s">
        <v>26</v>
      </c>
      <c r="R74" s="1" t="s">
        <v>26</v>
      </c>
      <c r="S74" s="2">
        <v>808904786.16999996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 t="s">
        <v>26</v>
      </c>
      <c r="AB74" s="1" t="s">
        <v>26</v>
      </c>
      <c r="AC74" s="1" t="s">
        <v>26</v>
      </c>
      <c r="AD74" s="1" t="s">
        <v>26</v>
      </c>
      <c r="AE74" s="2">
        <v>2033679723.24</v>
      </c>
      <c r="AF74" s="1">
        <v>1</v>
      </c>
      <c r="AG74" s="1" t="s">
        <v>26</v>
      </c>
      <c r="AH74" s="1" t="s">
        <v>26</v>
      </c>
      <c r="AI74" s="2" t="s">
        <v>26</v>
      </c>
      <c r="AJ74" s="1" t="s">
        <v>26</v>
      </c>
      <c r="AK74" s="1" t="s">
        <v>26</v>
      </c>
      <c r="AL74" s="1" t="s">
        <v>26</v>
      </c>
      <c r="AM74" s="2" t="s">
        <v>26</v>
      </c>
      <c r="AN74" s="1" t="s">
        <v>26</v>
      </c>
      <c r="AO74" s="1" t="s">
        <v>26</v>
      </c>
      <c r="AP74" s="1" t="s">
        <v>26</v>
      </c>
      <c r="AQ74" s="2" t="s">
        <v>26</v>
      </c>
      <c r="AR74" s="1" t="s">
        <v>26</v>
      </c>
      <c r="AS74" s="1" t="s">
        <v>26</v>
      </c>
      <c r="AT74" s="1" t="s">
        <v>26</v>
      </c>
      <c r="AU74" s="2" t="s">
        <v>26</v>
      </c>
      <c r="AV74" s="1" t="s">
        <v>26</v>
      </c>
      <c r="AW74" s="1" t="s">
        <v>26</v>
      </c>
      <c r="AX74" s="1" t="s">
        <v>26</v>
      </c>
      <c r="AY74" s="2">
        <v>2033679723.24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75</v>
      </c>
      <c r="B75" s="20" t="s">
        <v>25</v>
      </c>
      <c r="C75" s="9">
        <v>110968138.31999999</v>
      </c>
      <c r="D75" s="10">
        <v>1.3523393311119999E-2</v>
      </c>
      <c r="E75" s="10">
        <v>0.06</v>
      </c>
      <c r="F75" s="10">
        <v>4.65E-2</v>
      </c>
      <c r="G75" s="9">
        <v>658468369.96000004</v>
      </c>
      <c r="H75" s="10">
        <v>3.6710709587500002E-3</v>
      </c>
      <c r="I75" s="10">
        <v>0.06</v>
      </c>
      <c r="J75" s="10">
        <v>5.6300000000000003E-2</v>
      </c>
      <c r="K75" s="9">
        <v>33710746.609999999</v>
      </c>
      <c r="L75" s="10">
        <v>7.60575956905E-3</v>
      </c>
      <c r="M75" s="10">
        <v>0.06</v>
      </c>
      <c r="N75" s="10">
        <v>5.2400000000000002E-2</v>
      </c>
      <c r="O75" s="9">
        <v>299758023.44999999</v>
      </c>
      <c r="P75" s="10">
        <v>1.1535908442300001E-3</v>
      </c>
      <c r="Q75" s="10">
        <v>0.06</v>
      </c>
      <c r="R75" s="10">
        <v>5.8799999999999998E-2</v>
      </c>
      <c r="S75" s="9">
        <v>330553700.56</v>
      </c>
      <c r="T75" s="10">
        <v>2.55976650897E-3</v>
      </c>
      <c r="U75" s="10">
        <v>0.06</v>
      </c>
      <c r="V75" s="10">
        <v>5.74E-2</v>
      </c>
      <c r="W75" s="9" t="s">
        <v>26</v>
      </c>
      <c r="X75" s="10" t="s">
        <v>26</v>
      </c>
      <c r="Y75" s="10" t="s">
        <v>26</v>
      </c>
      <c r="Z75" s="10" t="s">
        <v>26</v>
      </c>
      <c r="AA75" s="9" t="s">
        <v>26</v>
      </c>
      <c r="AB75" s="10" t="s">
        <v>26</v>
      </c>
      <c r="AC75" s="10" t="s">
        <v>26</v>
      </c>
      <c r="AD75" s="10" t="s">
        <v>26</v>
      </c>
      <c r="AE75" s="9">
        <v>1433458978.9000001</v>
      </c>
      <c r="AF75" s="10">
        <v>1.9145979282E-3</v>
      </c>
      <c r="AG75" s="10">
        <v>0.06</v>
      </c>
      <c r="AH75" s="10">
        <v>5.8099999999999999E-2</v>
      </c>
      <c r="AI75" s="9">
        <v>50329316</v>
      </c>
      <c r="AJ75" s="10">
        <v>2.64706366029E-3</v>
      </c>
      <c r="AK75" s="10">
        <v>0.06</v>
      </c>
      <c r="AL75" s="10">
        <v>5.74E-2</v>
      </c>
      <c r="AM75" s="9" t="s">
        <v>26</v>
      </c>
      <c r="AN75" s="10" t="s">
        <v>26</v>
      </c>
      <c r="AO75" s="10" t="s">
        <v>26</v>
      </c>
      <c r="AP75" s="10" t="s">
        <v>26</v>
      </c>
      <c r="AQ75" s="9">
        <v>50329316</v>
      </c>
      <c r="AR75" s="10">
        <v>1.1385048695399999E-3</v>
      </c>
      <c r="AS75" s="10">
        <v>0.06</v>
      </c>
      <c r="AT75" s="10">
        <v>5.8900000000000001E-2</v>
      </c>
      <c r="AU75" s="9" t="s">
        <v>26</v>
      </c>
      <c r="AV75" s="10" t="s">
        <v>26</v>
      </c>
      <c r="AW75" s="10" t="s">
        <v>26</v>
      </c>
      <c r="AX75" s="10" t="s">
        <v>26</v>
      </c>
      <c r="AY75" s="9">
        <v>1483788294.9000001</v>
      </c>
      <c r="AZ75" s="10">
        <v>1.75138339345E-3</v>
      </c>
      <c r="BA75" s="10">
        <v>0.06</v>
      </c>
      <c r="BB75" s="10">
        <v>5.8200000000000002E-2</v>
      </c>
    </row>
    <row r="76" spans="1:54" s="7" customFormat="1">
      <c r="A76" s="3" t="s">
        <v>68</v>
      </c>
      <c r="B76" s="23" t="s">
        <v>47</v>
      </c>
      <c r="C76" s="2">
        <v>110968138.31999999</v>
      </c>
      <c r="D76" s="1">
        <v>1</v>
      </c>
      <c r="E76" s="1" t="s">
        <v>26</v>
      </c>
      <c r="F76" s="1" t="s">
        <v>26</v>
      </c>
      <c r="G76" s="2">
        <v>658468369.96000004</v>
      </c>
      <c r="H76" s="1">
        <v>1</v>
      </c>
      <c r="I76" s="1" t="s">
        <v>26</v>
      </c>
      <c r="J76" s="1" t="s">
        <v>26</v>
      </c>
      <c r="K76" s="2">
        <v>33710746.609999999</v>
      </c>
      <c r="L76" s="1">
        <v>1</v>
      </c>
      <c r="M76" s="1" t="s">
        <v>26</v>
      </c>
      <c r="N76" s="1" t="s">
        <v>26</v>
      </c>
      <c r="O76" s="2">
        <v>299758023.44999999</v>
      </c>
      <c r="P76" s="1">
        <v>1</v>
      </c>
      <c r="Q76" s="1" t="s">
        <v>26</v>
      </c>
      <c r="R76" s="1" t="s">
        <v>26</v>
      </c>
      <c r="S76" s="2">
        <v>330553700.56</v>
      </c>
      <c r="T76" s="1">
        <v>1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1433458978.9000001</v>
      </c>
      <c r="AF76" s="1">
        <v>1</v>
      </c>
      <c r="AG76" s="1" t="s">
        <v>26</v>
      </c>
      <c r="AH76" s="1" t="s">
        <v>26</v>
      </c>
      <c r="AI76" s="2">
        <v>50329316</v>
      </c>
      <c r="AJ76" s="1">
        <v>1</v>
      </c>
      <c r="AK76" s="1" t="s">
        <v>26</v>
      </c>
      <c r="AL76" s="1" t="s">
        <v>26</v>
      </c>
      <c r="AM76" s="2" t="s">
        <v>26</v>
      </c>
      <c r="AN76" s="1" t="s">
        <v>26</v>
      </c>
      <c r="AO76" s="1" t="s">
        <v>26</v>
      </c>
      <c r="AP76" s="1" t="s">
        <v>26</v>
      </c>
      <c r="AQ76" s="2">
        <v>50329316</v>
      </c>
      <c r="AR76" s="1">
        <v>1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1483788294.9000001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76</v>
      </c>
      <c r="B77" s="20" t="s">
        <v>25</v>
      </c>
      <c r="C77" s="9">
        <v>35381426.5</v>
      </c>
      <c r="D77" s="10">
        <v>4.3118408014400002E-3</v>
      </c>
      <c r="E77" s="10">
        <v>0.06</v>
      </c>
      <c r="F77" s="10">
        <v>5.57E-2</v>
      </c>
      <c r="G77" s="9">
        <v>721112221.73000002</v>
      </c>
      <c r="H77" s="10">
        <v>4.0203208779000001E-3</v>
      </c>
      <c r="I77" s="10">
        <v>0.06</v>
      </c>
      <c r="J77" s="10">
        <v>5.6000000000000001E-2</v>
      </c>
      <c r="K77" s="9">
        <v>50383454</v>
      </c>
      <c r="L77" s="10">
        <v>1.1367426589980001E-2</v>
      </c>
      <c r="M77" s="10">
        <v>0.06</v>
      </c>
      <c r="N77" s="10">
        <v>4.8599999999999997E-2</v>
      </c>
      <c r="O77" s="9">
        <v>382815302.16000003</v>
      </c>
      <c r="P77" s="10">
        <v>1.47322904828E-3</v>
      </c>
      <c r="Q77" s="10">
        <v>0.06</v>
      </c>
      <c r="R77" s="10">
        <v>5.8500000000000003E-2</v>
      </c>
      <c r="S77" s="9">
        <v>202279912</v>
      </c>
      <c r="T77" s="10">
        <v>1.56643033582E-3</v>
      </c>
      <c r="U77" s="10">
        <v>0.06</v>
      </c>
      <c r="V77" s="10">
        <v>5.8400000000000001E-2</v>
      </c>
      <c r="W77" s="9" t="s">
        <v>26</v>
      </c>
      <c r="X77" s="10" t="s">
        <v>26</v>
      </c>
      <c r="Y77" s="10" t="s">
        <v>26</v>
      </c>
      <c r="Z77" s="10" t="s">
        <v>26</v>
      </c>
      <c r="AA77" s="9" t="s">
        <v>26</v>
      </c>
      <c r="AB77" s="10" t="s">
        <v>26</v>
      </c>
      <c r="AC77" s="10" t="s">
        <v>26</v>
      </c>
      <c r="AD77" s="10" t="s">
        <v>26</v>
      </c>
      <c r="AE77" s="9">
        <v>1391972316.3900001</v>
      </c>
      <c r="AF77" s="10">
        <v>1.8591863124800001E-3</v>
      </c>
      <c r="AG77" s="10">
        <v>0.06</v>
      </c>
      <c r="AH77" s="10">
        <v>5.8099999999999999E-2</v>
      </c>
      <c r="AI77" s="9">
        <v>101534890</v>
      </c>
      <c r="AJ77" s="10">
        <v>5.34021399318E-3</v>
      </c>
      <c r="AK77" s="10">
        <v>0.06</v>
      </c>
      <c r="AL77" s="10">
        <v>5.4699999999999999E-2</v>
      </c>
      <c r="AM77" s="9" t="s">
        <v>26</v>
      </c>
      <c r="AN77" s="10" t="s">
        <v>26</v>
      </c>
      <c r="AO77" s="10" t="s">
        <v>26</v>
      </c>
      <c r="AP77" s="10" t="s">
        <v>26</v>
      </c>
      <c r="AQ77" s="9">
        <v>101534890</v>
      </c>
      <c r="AR77" s="10">
        <v>2.2968316655199998E-3</v>
      </c>
      <c r="AS77" s="10">
        <v>0.06</v>
      </c>
      <c r="AT77" s="10">
        <v>5.7700000000000001E-2</v>
      </c>
      <c r="AU77" s="9" t="s">
        <v>26</v>
      </c>
      <c r="AV77" s="10" t="s">
        <v>26</v>
      </c>
      <c r="AW77" s="10" t="s">
        <v>26</v>
      </c>
      <c r="AX77" s="10" t="s">
        <v>26</v>
      </c>
      <c r="AY77" s="9">
        <v>1493507206.3900001</v>
      </c>
      <c r="AZ77" s="10">
        <v>1.76285507053E-3</v>
      </c>
      <c r="BA77" s="10">
        <v>0.06</v>
      </c>
      <c r="BB77" s="10">
        <v>5.8200000000000002E-2</v>
      </c>
    </row>
    <row r="78" spans="1:54" s="7" customFormat="1">
      <c r="A78" s="3" t="s">
        <v>68</v>
      </c>
      <c r="B78" s="23" t="s">
        <v>47</v>
      </c>
      <c r="C78" s="2">
        <v>35381426.5</v>
      </c>
      <c r="D78" s="1">
        <v>1</v>
      </c>
      <c r="E78" s="1" t="s">
        <v>26</v>
      </c>
      <c r="F78" s="1" t="s">
        <v>26</v>
      </c>
      <c r="G78" s="2">
        <v>721112221.73000002</v>
      </c>
      <c r="H78" s="1">
        <v>1</v>
      </c>
      <c r="I78" s="1" t="s">
        <v>26</v>
      </c>
      <c r="J78" s="1" t="s">
        <v>26</v>
      </c>
      <c r="K78" s="2">
        <v>50383454</v>
      </c>
      <c r="L78" s="1">
        <v>1</v>
      </c>
      <c r="M78" s="1" t="s">
        <v>26</v>
      </c>
      <c r="N78" s="1" t="s">
        <v>26</v>
      </c>
      <c r="O78" s="2">
        <v>382815302.16000003</v>
      </c>
      <c r="P78" s="1">
        <v>1</v>
      </c>
      <c r="Q78" s="1" t="s">
        <v>26</v>
      </c>
      <c r="R78" s="1" t="s">
        <v>26</v>
      </c>
      <c r="S78" s="2">
        <v>202279912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1391972316.3900001</v>
      </c>
      <c r="AF78" s="1">
        <v>1</v>
      </c>
      <c r="AG78" s="1" t="s">
        <v>26</v>
      </c>
      <c r="AH78" s="1" t="s">
        <v>26</v>
      </c>
      <c r="AI78" s="2">
        <v>101534890</v>
      </c>
      <c r="AJ78" s="1">
        <v>1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>
        <v>101534890</v>
      </c>
      <c r="AR78" s="1">
        <v>1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1493507206.3900001</v>
      </c>
      <c r="AZ78" s="1">
        <v>1</v>
      </c>
      <c r="BA78" s="1" t="s">
        <v>26</v>
      </c>
      <c r="BB78" s="1" t="s">
        <v>26</v>
      </c>
    </row>
    <row r="79" spans="1:54" s="7" customFormat="1">
      <c r="A79" s="12" t="s">
        <v>77</v>
      </c>
      <c r="B79" s="40" t="s">
        <v>25</v>
      </c>
      <c r="C79" s="42" t="s">
        <v>26</v>
      </c>
      <c r="D79" s="43" t="s">
        <v>26</v>
      </c>
      <c r="E79" s="43" t="s">
        <v>26</v>
      </c>
      <c r="F79" s="43" t="s">
        <v>26</v>
      </c>
      <c r="G79" s="42" t="s">
        <v>26</v>
      </c>
      <c r="H79" s="43" t="s">
        <v>26</v>
      </c>
      <c r="I79" s="43" t="s">
        <v>26</v>
      </c>
      <c r="J79" s="43" t="s">
        <v>26</v>
      </c>
      <c r="K79" s="42" t="s">
        <v>26</v>
      </c>
      <c r="L79" s="43" t="s">
        <v>26</v>
      </c>
      <c r="M79" s="43" t="s">
        <v>26</v>
      </c>
      <c r="N79" s="43" t="s">
        <v>26</v>
      </c>
      <c r="O79" s="42">
        <v>126814932.5</v>
      </c>
      <c r="P79" s="43">
        <v>4.8803546059999998E-4</v>
      </c>
      <c r="Q79" s="43" t="s">
        <v>26</v>
      </c>
      <c r="R79" s="43" t="s">
        <v>26</v>
      </c>
      <c r="S79" s="42">
        <v>205246336.06999999</v>
      </c>
      <c r="T79" s="43">
        <v>1.5894019527600001E-3</v>
      </c>
      <c r="U79" s="43" t="s">
        <v>26</v>
      </c>
      <c r="V79" s="43" t="s">
        <v>26</v>
      </c>
      <c r="W79" s="42" t="s">
        <v>26</v>
      </c>
      <c r="X79" s="43" t="s">
        <v>26</v>
      </c>
      <c r="Y79" s="43" t="s">
        <v>26</v>
      </c>
      <c r="Z79" s="43" t="s">
        <v>26</v>
      </c>
      <c r="AA79" s="42">
        <v>141018204.94</v>
      </c>
      <c r="AB79" s="43">
        <v>8.8010011968999997E-4</v>
      </c>
      <c r="AC79" s="43" t="s">
        <v>26</v>
      </c>
      <c r="AD79" s="43" t="s">
        <v>26</v>
      </c>
      <c r="AE79" s="42">
        <v>473079473.50999999</v>
      </c>
      <c r="AF79" s="43">
        <v>6.3186808495E-4</v>
      </c>
      <c r="AG79" s="43" t="s">
        <v>26</v>
      </c>
      <c r="AH79" s="43" t="s">
        <v>26</v>
      </c>
      <c r="AI79" s="42">
        <v>6633552.1299999999</v>
      </c>
      <c r="AJ79" s="43">
        <v>3.4889078926E-4</v>
      </c>
      <c r="AK79" s="43" t="s">
        <v>26</v>
      </c>
      <c r="AL79" s="43" t="s">
        <v>26</v>
      </c>
      <c r="AM79" s="42" t="s">
        <v>26</v>
      </c>
      <c r="AN79" s="43" t="s">
        <v>26</v>
      </c>
      <c r="AO79" s="43" t="s">
        <v>26</v>
      </c>
      <c r="AP79" s="43" t="s">
        <v>26</v>
      </c>
      <c r="AQ79" s="42">
        <v>6633552.1299999999</v>
      </c>
      <c r="AR79" s="43">
        <v>1.5005829608999999E-4</v>
      </c>
      <c r="AS79" s="43" t="s">
        <v>26</v>
      </c>
      <c r="AT79" s="43" t="s">
        <v>26</v>
      </c>
      <c r="AU79" s="42">
        <v>19900656.399999999</v>
      </c>
      <c r="AV79" s="43">
        <v>3.6647398642000002E-4</v>
      </c>
      <c r="AW79" s="43" t="s">
        <v>26</v>
      </c>
      <c r="AX79" s="43" t="s">
        <v>26</v>
      </c>
      <c r="AY79" s="42">
        <v>499613682.04000002</v>
      </c>
      <c r="AZ79" s="43">
        <v>5.8971694875000001E-4</v>
      </c>
      <c r="BA79" s="43" t="s">
        <v>26</v>
      </c>
      <c r="BB79" s="43" t="s">
        <v>26</v>
      </c>
    </row>
    <row r="80" spans="1:54" s="7" customFormat="1">
      <c r="A80" s="5" t="s">
        <v>78</v>
      </c>
      <c r="B80" s="20" t="s">
        <v>25</v>
      </c>
      <c r="C80" s="9" t="s">
        <v>26</v>
      </c>
      <c r="D80" s="10" t="s">
        <v>26</v>
      </c>
      <c r="E80" s="10" t="s">
        <v>26</v>
      </c>
      <c r="F80" s="10" t="s">
        <v>26</v>
      </c>
      <c r="G80" s="9" t="s">
        <v>26</v>
      </c>
      <c r="H80" s="10" t="s">
        <v>26</v>
      </c>
      <c r="I80" s="10" t="s">
        <v>26</v>
      </c>
      <c r="J80" s="10" t="s">
        <v>26</v>
      </c>
      <c r="K80" s="9" t="s">
        <v>26</v>
      </c>
      <c r="L80" s="10" t="s">
        <v>26</v>
      </c>
      <c r="M80" s="10" t="s">
        <v>26</v>
      </c>
      <c r="N80" s="10" t="s">
        <v>26</v>
      </c>
      <c r="O80" s="9" t="s">
        <v>26</v>
      </c>
      <c r="P80" s="10" t="s">
        <v>26</v>
      </c>
      <c r="Q80" s="10" t="s">
        <v>26</v>
      </c>
      <c r="R80" s="10" t="s">
        <v>26</v>
      </c>
      <c r="S80" s="9">
        <v>53068417.07</v>
      </c>
      <c r="T80" s="10">
        <v>4.1095518358999999E-4</v>
      </c>
      <c r="U80" s="10">
        <v>0.1</v>
      </c>
      <c r="V80" s="10">
        <v>9.9599999999999994E-2</v>
      </c>
      <c r="W80" s="9" t="s">
        <v>26</v>
      </c>
      <c r="X80" s="10" t="s">
        <v>26</v>
      </c>
      <c r="Y80" s="10" t="s">
        <v>26</v>
      </c>
      <c r="Z80" s="10" t="s">
        <v>26</v>
      </c>
      <c r="AA80" s="9" t="s">
        <v>26</v>
      </c>
      <c r="AB80" s="10" t="s">
        <v>26</v>
      </c>
      <c r="AC80" s="10" t="s">
        <v>26</v>
      </c>
      <c r="AD80" s="10" t="s">
        <v>26</v>
      </c>
      <c r="AE80" s="9">
        <v>53068417.07</v>
      </c>
      <c r="AF80" s="10">
        <v>7.0880773619999996E-5</v>
      </c>
      <c r="AG80" s="10">
        <v>0.1</v>
      </c>
      <c r="AH80" s="10">
        <v>9.9900000000000003E-2</v>
      </c>
      <c r="AI80" s="9">
        <v>6633552.1299999999</v>
      </c>
      <c r="AJ80" s="10">
        <v>3.4889078926E-4</v>
      </c>
      <c r="AK80" s="10">
        <v>0.1</v>
      </c>
      <c r="AL80" s="10">
        <v>9.9699999999999997E-2</v>
      </c>
      <c r="AM80" s="9" t="s">
        <v>26</v>
      </c>
      <c r="AN80" s="10" t="s">
        <v>26</v>
      </c>
      <c r="AO80" s="10" t="s">
        <v>26</v>
      </c>
      <c r="AP80" s="10" t="s">
        <v>26</v>
      </c>
      <c r="AQ80" s="9">
        <v>6633552.1299999999</v>
      </c>
      <c r="AR80" s="10">
        <v>1.5005829608999999E-4</v>
      </c>
      <c r="AS80" s="10">
        <v>0.1</v>
      </c>
      <c r="AT80" s="10">
        <v>9.98E-2</v>
      </c>
      <c r="AU80" s="9">
        <v>19900656.399999999</v>
      </c>
      <c r="AV80" s="10">
        <v>3.6647398642000002E-4</v>
      </c>
      <c r="AW80" s="10">
        <v>0.1</v>
      </c>
      <c r="AX80" s="10">
        <v>9.9599999999999994E-2</v>
      </c>
      <c r="AY80" s="9">
        <v>79602625.599999994</v>
      </c>
      <c r="AZ80" s="10">
        <v>9.3958630779999994E-5</v>
      </c>
      <c r="BA80" s="10">
        <v>0.1</v>
      </c>
      <c r="BB80" s="10">
        <v>9.9900000000000003E-2</v>
      </c>
    </row>
    <row r="81" spans="1:54" s="7" customFormat="1">
      <c r="A81" s="3" t="s">
        <v>79</v>
      </c>
      <c r="B81" s="23" t="s">
        <v>29</v>
      </c>
      <c r="C81" s="2" t="s">
        <v>26</v>
      </c>
      <c r="D81" s="1" t="s">
        <v>26</v>
      </c>
      <c r="E81" s="1" t="s">
        <v>26</v>
      </c>
      <c r="F81" s="1" t="s">
        <v>26</v>
      </c>
      <c r="G81" s="2" t="s">
        <v>26</v>
      </c>
      <c r="H81" s="1" t="s">
        <v>26</v>
      </c>
      <c r="I81" s="1" t="s">
        <v>26</v>
      </c>
      <c r="J81" s="1" t="s">
        <v>26</v>
      </c>
      <c r="K81" s="2" t="s">
        <v>26</v>
      </c>
      <c r="L81" s="1" t="s">
        <v>26</v>
      </c>
      <c r="M81" s="1" t="s">
        <v>26</v>
      </c>
      <c r="N81" s="1" t="s">
        <v>26</v>
      </c>
      <c r="O81" s="2" t="s">
        <v>26</v>
      </c>
      <c r="P81" s="1" t="s">
        <v>26</v>
      </c>
      <c r="Q81" s="1" t="s">
        <v>26</v>
      </c>
      <c r="R81" s="1" t="s">
        <v>26</v>
      </c>
      <c r="S81" s="2">
        <v>53068417.07</v>
      </c>
      <c r="T81" s="1">
        <v>1</v>
      </c>
      <c r="U81" s="1" t="s">
        <v>26</v>
      </c>
      <c r="V81" s="1" t="s">
        <v>26</v>
      </c>
      <c r="W81" s="2" t="s">
        <v>26</v>
      </c>
      <c r="X81" s="1" t="s">
        <v>26</v>
      </c>
      <c r="Y81" s="1" t="s">
        <v>26</v>
      </c>
      <c r="Z81" s="1" t="s">
        <v>26</v>
      </c>
      <c r="AA81" s="2" t="s">
        <v>26</v>
      </c>
      <c r="AB81" s="1" t="s">
        <v>26</v>
      </c>
      <c r="AC81" s="1" t="s">
        <v>26</v>
      </c>
      <c r="AD81" s="1" t="s">
        <v>26</v>
      </c>
      <c r="AE81" s="2">
        <v>53068417.07</v>
      </c>
      <c r="AF81" s="1">
        <v>1</v>
      </c>
      <c r="AG81" s="1" t="s">
        <v>26</v>
      </c>
      <c r="AH81" s="1" t="s">
        <v>26</v>
      </c>
      <c r="AI81" s="2">
        <v>6633552.1299999999</v>
      </c>
      <c r="AJ81" s="1">
        <v>1</v>
      </c>
      <c r="AK81" s="1" t="s">
        <v>26</v>
      </c>
      <c r="AL81" s="1" t="s">
        <v>26</v>
      </c>
      <c r="AM81" s="2" t="s">
        <v>26</v>
      </c>
      <c r="AN81" s="1" t="s">
        <v>26</v>
      </c>
      <c r="AO81" s="1" t="s">
        <v>26</v>
      </c>
      <c r="AP81" s="1" t="s">
        <v>26</v>
      </c>
      <c r="AQ81" s="2">
        <v>6633552.1299999999</v>
      </c>
      <c r="AR81" s="1">
        <v>1</v>
      </c>
      <c r="AS81" s="1" t="s">
        <v>26</v>
      </c>
      <c r="AT81" s="1" t="s">
        <v>26</v>
      </c>
      <c r="AU81" s="2">
        <v>19900656.399999999</v>
      </c>
      <c r="AV81" s="1">
        <v>1</v>
      </c>
      <c r="AW81" s="1" t="s">
        <v>26</v>
      </c>
      <c r="AX81" s="1" t="s">
        <v>26</v>
      </c>
      <c r="AY81" s="2">
        <v>79602625.599999994</v>
      </c>
      <c r="AZ81" s="1">
        <v>1</v>
      </c>
      <c r="BA81" s="1" t="s">
        <v>26</v>
      </c>
      <c r="BB81" s="1" t="s">
        <v>26</v>
      </c>
    </row>
    <row r="82" spans="1:54" s="7" customFormat="1">
      <c r="A82" s="5" t="s">
        <v>80</v>
      </c>
      <c r="B82" s="20" t="s">
        <v>25</v>
      </c>
      <c r="C82" s="9" t="s">
        <v>26</v>
      </c>
      <c r="D82" s="10" t="s">
        <v>26</v>
      </c>
      <c r="E82" s="10" t="s">
        <v>26</v>
      </c>
      <c r="F82" s="10" t="s">
        <v>26</v>
      </c>
      <c r="G82" s="9" t="s">
        <v>26</v>
      </c>
      <c r="H82" s="10" t="s">
        <v>26</v>
      </c>
      <c r="I82" s="10" t="s">
        <v>26</v>
      </c>
      <c r="J82" s="10" t="s">
        <v>26</v>
      </c>
      <c r="K82" s="9" t="s">
        <v>26</v>
      </c>
      <c r="L82" s="10" t="s">
        <v>26</v>
      </c>
      <c r="M82" s="10" t="s">
        <v>26</v>
      </c>
      <c r="N82" s="10" t="s">
        <v>26</v>
      </c>
      <c r="O82" s="9">
        <v>126814932.5</v>
      </c>
      <c r="P82" s="10">
        <v>4.8803546059999998E-4</v>
      </c>
      <c r="Q82" s="10">
        <v>0.09</v>
      </c>
      <c r="R82" s="10">
        <v>8.9499999999999996E-2</v>
      </c>
      <c r="S82" s="9">
        <v>152177919</v>
      </c>
      <c r="T82" s="10">
        <v>1.1784467691699999E-3</v>
      </c>
      <c r="U82" s="10">
        <v>0.09</v>
      </c>
      <c r="V82" s="10">
        <v>8.8800000000000004E-2</v>
      </c>
      <c r="W82" s="9" t="s">
        <v>26</v>
      </c>
      <c r="X82" s="10" t="s">
        <v>26</v>
      </c>
      <c r="Y82" s="10" t="s">
        <v>26</v>
      </c>
      <c r="Z82" s="10" t="s">
        <v>26</v>
      </c>
      <c r="AA82" s="9">
        <v>141018204.94</v>
      </c>
      <c r="AB82" s="10">
        <v>8.8010011968999997E-4</v>
      </c>
      <c r="AC82" s="10">
        <v>0.09</v>
      </c>
      <c r="AD82" s="10">
        <v>8.9099999999999999E-2</v>
      </c>
      <c r="AE82" s="9">
        <v>420011056.44</v>
      </c>
      <c r="AF82" s="10">
        <v>5.6098731133999999E-4</v>
      </c>
      <c r="AG82" s="10">
        <v>0.09</v>
      </c>
      <c r="AH82" s="10">
        <v>8.9399999999999993E-2</v>
      </c>
      <c r="AI82" s="9" t="s">
        <v>26</v>
      </c>
      <c r="AJ82" s="10" t="s">
        <v>26</v>
      </c>
      <c r="AK82" s="10" t="s">
        <v>26</v>
      </c>
      <c r="AL82" s="10" t="s">
        <v>26</v>
      </c>
      <c r="AM82" s="9" t="s">
        <v>26</v>
      </c>
      <c r="AN82" s="10" t="s">
        <v>26</v>
      </c>
      <c r="AO82" s="10" t="s">
        <v>26</v>
      </c>
      <c r="AP82" s="10" t="s">
        <v>26</v>
      </c>
      <c r="AQ82" s="9" t="s">
        <v>26</v>
      </c>
      <c r="AR82" s="10" t="s">
        <v>26</v>
      </c>
      <c r="AS82" s="10" t="s">
        <v>26</v>
      </c>
      <c r="AT82" s="10" t="s">
        <v>26</v>
      </c>
      <c r="AU82" s="9" t="s">
        <v>26</v>
      </c>
      <c r="AV82" s="10" t="s">
        <v>26</v>
      </c>
      <c r="AW82" s="10" t="s">
        <v>26</v>
      </c>
      <c r="AX82" s="10" t="s">
        <v>26</v>
      </c>
      <c r="AY82" s="9">
        <v>420011056.44</v>
      </c>
      <c r="AZ82" s="10">
        <v>4.9575831797999998E-4</v>
      </c>
      <c r="BA82" s="10">
        <v>0.09</v>
      </c>
      <c r="BB82" s="10">
        <v>8.9499999999999996E-2</v>
      </c>
    </row>
    <row r="83" spans="1:54" s="7" customFormat="1">
      <c r="A83" s="3" t="s">
        <v>79</v>
      </c>
      <c r="B83" s="23" t="s">
        <v>40</v>
      </c>
      <c r="C83" s="2" t="s">
        <v>26</v>
      </c>
      <c r="D83" s="1" t="s">
        <v>26</v>
      </c>
      <c r="E83" s="1" t="s">
        <v>26</v>
      </c>
      <c r="F83" s="1" t="s">
        <v>26</v>
      </c>
      <c r="G83" s="2" t="s">
        <v>26</v>
      </c>
      <c r="H83" s="1" t="s">
        <v>26</v>
      </c>
      <c r="I83" s="1" t="s">
        <v>26</v>
      </c>
      <c r="J83" s="1" t="s">
        <v>26</v>
      </c>
      <c r="K83" s="2" t="s">
        <v>26</v>
      </c>
      <c r="L83" s="1" t="s">
        <v>26</v>
      </c>
      <c r="M83" s="1" t="s">
        <v>26</v>
      </c>
      <c r="N83" s="1" t="s">
        <v>26</v>
      </c>
      <c r="O83" s="2">
        <v>126814932.5</v>
      </c>
      <c r="P83" s="1">
        <v>1</v>
      </c>
      <c r="Q83" s="1" t="s">
        <v>26</v>
      </c>
      <c r="R83" s="1" t="s">
        <v>26</v>
      </c>
      <c r="S83" s="2">
        <v>152177919</v>
      </c>
      <c r="T83" s="1">
        <v>1</v>
      </c>
      <c r="U83" s="1" t="s">
        <v>26</v>
      </c>
      <c r="V83" s="1" t="s">
        <v>26</v>
      </c>
      <c r="W83" s="2" t="s">
        <v>26</v>
      </c>
      <c r="X83" s="1" t="s">
        <v>26</v>
      </c>
      <c r="Y83" s="1" t="s">
        <v>26</v>
      </c>
      <c r="Z83" s="1" t="s">
        <v>26</v>
      </c>
      <c r="AA83" s="2">
        <v>141018204.94</v>
      </c>
      <c r="AB83" s="1">
        <v>1</v>
      </c>
      <c r="AC83" s="1" t="s">
        <v>26</v>
      </c>
      <c r="AD83" s="1" t="s">
        <v>26</v>
      </c>
      <c r="AE83" s="2">
        <v>420011056.44</v>
      </c>
      <c r="AF83" s="1">
        <v>1</v>
      </c>
      <c r="AG83" s="1" t="s">
        <v>26</v>
      </c>
      <c r="AH83" s="1" t="s">
        <v>26</v>
      </c>
      <c r="AI83" s="2" t="s">
        <v>26</v>
      </c>
      <c r="AJ83" s="1" t="s">
        <v>26</v>
      </c>
      <c r="AK83" s="1" t="s">
        <v>26</v>
      </c>
      <c r="AL83" s="1" t="s">
        <v>26</v>
      </c>
      <c r="AM83" s="2" t="s">
        <v>26</v>
      </c>
      <c r="AN83" s="1" t="s">
        <v>26</v>
      </c>
      <c r="AO83" s="1" t="s">
        <v>26</v>
      </c>
      <c r="AP83" s="1" t="s">
        <v>26</v>
      </c>
      <c r="AQ83" s="2" t="s">
        <v>26</v>
      </c>
      <c r="AR83" s="1" t="s">
        <v>26</v>
      </c>
      <c r="AS83" s="1" t="s">
        <v>26</v>
      </c>
      <c r="AT83" s="1" t="s">
        <v>26</v>
      </c>
      <c r="AU83" s="2" t="s">
        <v>26</v>
      </c>
      <c r="AV83" s="1" t="s">
        <v>26</v>
      </c>
      <c r="AW83" s="1" t="s">
        <v>26</v>
      </c>
      <c r="AX83" s="1" t="s">
        <v>26</v>
      </c>
      <c r="AY83" s="2">
        <v>420011056.44</v>
      </c>
      <c r="AZ83" s="1">
        <v>1</v>
      </c>
      <c r="BA83" s="1" t="s">
        <v>26</v>
      </c>
      <c r="BB83" s="1" t="s">
        <v>26</v>
      </c>
    </row>
    <row r="84" spans="1:54" s="7" customFormat="1">
      <c r="A84" s="12" t="s">
        <v>119</v>
      </c>
      <c r="B84" s="40" t="s">
        <v>25</v>
      </c>
      <c r="C84" s="42" t="s">
        <v>26</v>
      </c>
      <c r="D84" s="43" t="s">
        <v>26</v>
      </c>
      <c r="E84" s="43" t="s">
        <v>26</v>
      </c>
      <c r="F84" s="43" t="s">
        <v>26</v>
      </c>
      <c r="G84" s="42">
        <v>2052264159.6900001</v>
      </c>
      <c r="H84" s="43">
        <v>1.144171489478E-2</v>
      </c>
      <c r="I84" s="43">
        <v>0.05</v>
      </c>
      <c r="J84" s="43">
        <f>+I84-H84</f>
        <v>3.8558285105220004E-2</v>
      </c>
      <c r="K84" s="42">
        <v>28915613.420000002</v>
      </c>
      <c r="L84" s="43">
        <v>6.5238900226300004E-3</v>
      </c>
      <c r="M84" s="43">
        <v>0.05</v>
      </c>
      <c r="N84" s="43">
        <f>+M84-L84</f>
        <v>4.3476109977370003E-2</v>
      </c>
      <c r="O84" s="42">
        <v>2240430306.3200002</v>
      </c>
      <c r="P84" s="43">
        <v>8.62208743826E-3</v>
      </c>
      <c r="Q84" s="43">
        <v>0.05</v>
      </c>
      <c r="R84" s="43">
        <f>+Q84-P84</f>
        <v>4.1377912561740005E-2</v>
      </c>
      <c r="S84" s="42">
        <v>1820166987.1199999</v>
      </c>
      <c r="T84" s="43">
        <v>1.409514546795E-2</v>
      </c>
      <c r="U84" s="43">
        <v>0.05</v>
      </c>
      <c r="V84" s="43">
        <f>+U84-T84</f>
        <v>3.5904854532050001E-2</v>
      </c>
      <c r="W84" s="42" t="s">
        <v>26</v>
      </c>
      <c r="X84" s="43" t="s">
        <v>26</v>
      </c>
      <c r="Y84" s="43" t="s">
        <v>26</v>
      </c>
      <c r="Z84" s="43" t="s">
        <v>26</v>
      </c>
      <c r="AA84" s="42">
        <v>455432188.51999998</v>
      </c>
      <c r="AB84" s="43">
        <v>2.8423700599300001E-3</v>
      </c>
      <c r="AC84" s="43">
        <v>0.05</v>
      </c>
      <c r="AD84" s="43">
        <f>+AC84-AB84</f>
        <v>4.7157629940070001E-2</v>
      </c>
      <c r="AE84" s="42">
        <v>6597209255.0699997</v>
      </c>
      <c r="AF84" s="43">
        <v>8.8115553759200004E-3</v>
      </c>
      <c r="AG84" s="43">
        <v>0.05</v>
      </c>
      <c r="AH84" s="43">
        <f>+AG84-AF84</f>
        <v>4.1188444624080001E-2</v>
      </c>
      <c r="AI84" s="42" t="s">
        <v>26</v>
      </c>
      <c r="AJ84" s="43" t="s">
        <v>26</v>
      </c>
      <c r="AK84" s="43" t="s">
        <v>26</v>
      </c>
      <c r="AL84" s="43" t="s">
        <v>26</v>
      </c>
      <c r="AM84" s="42" t="s">
        <v>26</v>
      </c>
      <c r="AN84" s="43" t="s">
        <v>26</v>
      </c>
      <c r="AO84" s="43" t="s">
        <v>26</v>
      </c>
      <c r="AP84" s="43" t="s">
        <v>26</v>
      </c>
      <c r="AQ84" s="42" t="s">
        <v>26</v>
      </c>
      <c r="AR84" s="43" t="s">
        <v>26</v>
      </c>
      <c r="AS84" s="43" t="s">
        <v>26</v>
      </c>
      <c r="AT84" s="43" t="s">
        <v>26</v>
      </c>
      <c r="AU84" s="42">
        <v>633774210</v>
      </c>
      <c r="AV84" s="43">
        <v>1.1671060318900001E-2</v>
      </c>
      <c r="AW84" s="43">
        <v>0.05</v>
      </c>
      <c r="AX84" s="43">
        <f>+AW84-AV84</f>
        <v>3.8328939681100002E-2</v>
      </c>
      <c r="AY84" s="42">
        <v>7230983465.0699997</v>
      </c>
      <c r="AZ84" s="43">
        <v>8.5350615061000005E-3</v>
      </c>
      <c r="BA84" s="43">
        <v>0.05</v>
      </c>
      <c r="BB84" s="43">
        <f>+BA84-AZ84</f>
        <v>4.1464938493900004E-2</v>
      </c>
    </row>
    <row r="85" spans="1:54" s="7" customFormat="1">
      <c r="A85" s="5" t="s">
        <v>82</v>
      </c>
      <c r="B85" s="20" t="s">
        <v>25</v>
      </c>
      <c r="C85" s="9" t="s">
        <v>26</v>
      </c>
      <c r="D85" s="10" t="s">
        <v>26</v>
      </c>
      <c r="E85" s="10" t="s">
        <v>26</v>
      </c>
      <c r="F85" s="10" t="s">
        <v>26</v>
      </c>
      <c r="G85" s="9">
        <v>1192323647.77</v>
      </c>
      <c r="H85" s="10">
        <v>6.6474031501600004E-3</v>
      </c>
      <c r="I85" s="1" t="s">
        <v>26</v>
      </c>
      <c r="J85" s="1" t="s">
        <v>26</v>
      </c>
      <c r="K85" s="9" t="s">
        <v>26</v>
      </c>
      <c r="L85" s="10" t="s">
        <v>26</v>
      </c>
      <c r="M85" s="10" t="s">
        <v>26</v>
      </c>
      <c r="N85" s="10" t="s">
        <v>26</v>
      </c>
      <c r="O85" s="9" t="s">
        <v>26</v>
      </c>
      <c r="P85" s="10" t="s">
        <v>26</v>
      </c>
      <c r="Q85" s="10" t="s">
        <v>26</v>
      </c>
      <c r="R85" s="10" t="s">
        <v>26</v>
      </c>
      <c r="S85" s="9">
        <v>702433082.75</v>
      </c>
      <c r="T85" s="10">
        <v>5.4395539271499998E-3</v>
      </c>
      <c r="U85" s="1" t="s">
        <v>26</v>
      </c>
      <c r="V85" s="1" t="s">
        <v>26</v>
      </c>
      <c r="W85" s="9" t="s">
        <v>26</v>
      </c>
      <c r="X85" s="10" t="s">
        <v>26</v>
      </c>
      <c r="Y85" s="10" t="s">
        <v>26</v>
      </c>
      <c r="Z85" s="10" t="s">
        <v>26</v>
      </c>
      <c r="AA85" s="9" t="s">
        <v>26</v>
      </c>
      <c r="AB85" s="10" t="s">
        <v>26</v>
      </c>
      <c r="AC85" s="10" t="s">
        <v>26</v>
      </c>
      <c r="AD85" s="10" t="s">
        <v>26</v>
      </c>
      <c r="AE85" s="9">
        <v>1894756730.52</v>
      </c>
      <c r="AF85" s="10">
        <v>2.5307297691099999E-3</v>
      </c>
      <c r="AG85" s="1" t="s">
        <v>26</v>
      </c>
      <c r="AH85" s="1" t="s">
        <v>26</v>
      </c>
      <c r="AI85" s="9" t="s">
        <v>26</v>
      </c>
      <c r="AJ85" s="10" t="s">
        <v>26</v>
      </c>
      <c r="AK85" s="10" t="s">
        <v>26</v>
      </c>
      <c r="AL85" s="10" t="s">
        <v>26</v>
      </c>
      <c r="AM85" s="9" t="s">
        <v>26</v>
      </c>
      <c r="AN85" s="10" t="s">
        <v>26</v>
      </c>
      <c r="AO85" s="10" t="s">
        <v>26</v>
      </c>
      <c r="AP85" s="10" t="s">
        <v>26</v>
      </c>
      <c r="AQ85" s="9" t="s">
        <v>26</v>
      </c>
      <c r="AR85" s="10" t="s">
        <v>26</v>
      </c>
      <c r="AS85" s="10" t="s">
        <v>26</v>
      </c>
      <c r="AT85" s="10" t="s">
        <v>26</v>
      </c>
      <c r="AU85" s="9">
        <v>633774210</v>
      </c>
      <c r="AV85" s="10">
        <v>1.1671060318900001E-2</v>
      </c>
      <c r="AW85" s="1" t="s">
        <v>26</v>
      </c>
      <c r="AX85" s="1" t="s">
        <v>26</v>
      </c>
      <c r="AY85" s="9">
        <v>2528530940.52</v>
      </c>
      <c r="AZ85" s="10">
        <v>2.98454106577E-3</v>
      </c>
      <c r="BA85" s="1" t="s">
        <v>26</v>
      </c>
      <c r="BB85" s="1" t="s">
        <v>26</v>
      </c>
    </row>
    <row r="86" spans="1:54" s="7" customFormat="1">
      <c r="A86" s="3" t="s">
        <v>83</v>
      </c>
      <c r="B86" s="23" t="s">
        <v>40</v>
      </c>
      <c r="C86" s="2" t="s">
        <v>26</v>
      </c>
      <c r="D86" s="1" t="s">
        <v>26</v>
      </c>
      <c r="E86" s="1" t="s">
        <v>26</v>
      </c>
      <c r="F86" s="1" t="s">
        <v>26</v>
      </c>
      <c r="G86" s="2">
        <v>1192323647.77</v>
      </c>
      <c r="H86" s="1">
        <v>1</v>
      </c>
      <c r="I86" s="1" t="s">
        <v>26</v>
      </c>
      <c r="J86" s="1" t="s">
        <v>26</v>
      </c>
      <c r="K86" s="2" t="s">
        <v>26</v>
      </c>
      <c r="L86" s="1" t="s">
        <v>26</v>
      </c>
      <c r="M86" s="1" t="s">
        <v>26</v>
      </c>
      <c r="N86" s="1" t="s">
        <v>26</v>
      </c>
      <c r="O86" s="2" t="s">
        <v>26</v>
      </c>
      <c r="P86" s="1" t="s">
        <v>26</v>
      </c>
      <c r="Q86" s="1" t="s">
        <v>26</v>
      </c>
      <c r="R86" s="1" t="s">
        <v>26</v>
      </c>
      <c r="S86" s="2">
        <v>702433082.75</v>
      </c>
      <c r="T86" s="1">
        <v>1</v>
      </c>
      <c r="U86" s="1" t="s">
        <v>26</v>
      </c>
      <c r="V86" s="1" t="s">
        <v>26</v>
      </c>
      <c r="W86" s="2" t="s">
        <v>26</v>
      </c>
      <c r="X86" s="1" t="s">
        <v>26</v>
      </c>
      <c r="Y86" s="1" t="s">
        <v>26</v>
      </c>
      <c r="Z86" s="1" t="s">
        <v>26</v>
      </c>
      <c r="AA86" s="2" t="s">
        <v>26</v>
      </c>
      <c r="AB86" s="1" t="s">
        <v>26</v>
      </c>
      <c r="AC86" s="1" t="s">
        <v>26</v>
      </c>
      <c r="AD86" s="1" t="s">
        <v>26</v>
      </c>
      <c r="AE86" s="2">
        <v>1894756730.52</v>
      </c>
      <c r="AF86" s="1">
        <v>1</v>
      </c>
      <c r="AG86" s="1" t="s">
        <v>26</v>
      </c>
      <c r="AH86" s="1" t="s">
        <v>26</v>
      </c>
      <c r="AI86" s="2" t="s">
        <v>26</v>
      </c>
      <c r="AJ86" s="1" t="s">
        <v>26</v>
      </c>
      <c r="AK86" s="1" t="s">
        <v>26</v>
      </c>
      <c r="AL86" s="1" t="s">
        <v>26</v>
      </c>
      <c r="AM86" s="2" t="s">
        <v>26</v>
      </c>
      <c r="AN86" s="1" t="s">
        <v>26</v>
      </c>
      <c r="AO86" s="1" t="s">
        <v>26</v>
      </c>
      <c r="AP86" s="1" t="s">
        <v>26</v>
      </c>
      <c r="AQ86" s="2" t="s">
        <v>26</v>
      </c>
      <c r="AR86" s="1" t="s">
        <v>26</v>
      </c>
      <c r="AS86" s="1" t="s">
        <v>26</v>
      </c>
      <c r="AT86" s="1" t="s">
        <v>26</v>
      </c>
      <c r="AU86" s="2">
        <v>633774210</v>
      </c>
      <c r="AV86" s="1">
        <v>1</v>
      </c>
      <c r="AW86" s="1" t="s">
        <v>26</v>
      </c>
      <c r="AX86" s="1" t="s">
        <v>26</v>
      </c>
      <c r="AY86" s="2">
        <v>2528530940.52</v>
      </c>
      <c r="AZ86" s="1">
        <v>1</v>
      </c>
      <c r="BA86" s="1" t="s">
        <v>26</v>
      </c>
      <c r="BB86" s="1" t="s">
        <v>26</v>
      </c>
    </row>
    <row r="87" spans="1:54" s="7" customFormat="1">
      <c r="A87" s="5" t="s">
        <v>84</v>
      </c>
      <c r="B87" s="20" t="s">
        <v>25</v>
      </c>
      <c r="C87" s="9" t="s">
        <v>26</v>
      </c>
      <c r="D87" s="10" t="s">
        <v>26</v>
      </c>
      <c r="E87" s="10" t="s">
        <v>26</v>
      </c>
      <c r="F87" s="10" t="s">
        <v>26</v>
      </c>
      <c r="G87" s="9">
        <v>859940511.91999996</v>
      </c>
      <c r="H87" s="10">
        <v>4.7943117446200001E-3</v>
      </c>
      <c r="I87" s="1" t="s">
        <v>26</v>
      </c>
      <c r="J87" s="1" t="s">
        <v>26</v>
      </c>
      <c r="K87" s="9">
        <v>28915613.420000002</v>
      </c>
      <c r="L87" s="10">
        <v>6.5238900226300004E-3</v>
      </c>
      <c r="M87" s="1" t="s">
        <v>26</v>
      </c>
      <c r="N87" s="1" t="s">
        <v>26</v>
      </c>
      <c r="O87" s="9">
        <v>2240430306.3200002</v>
      </c>
      <c r="P87" s="10">
        <v>8.62208743826E-3</v>
      </c>
      <c r="Q87" s="1" t="s">
        <v>26</v>
      </c>
      <c r="R87" s="1" t="s">
        <v>26</v>
      </c>
      <c r="S87" s="9">
        <v>1117733904.3699999</v>
      </c>
      <c r="T87" s="10">
        <v>8.6555915407900003E-3</v>
      </c>
      <c r="U87" s="1" t="s">
        <v>26</v>
      </c>
      <c r="V87" s="1" t="s">
        <v>26</v>
      </c>
      <c r="W87" s="9" t="s">
        <v>26</v>
      </c>
      <c r="X87" s="10" t="s">
        <v>26</v>
      </c>
      <c r="Y87" s="10" t="s">
        <v>26</v>
      </c>
      <c r="Z87" s="10" t="s">
        <v>26</v>
      </c>
      <c r="AA87" s="9">
        <v>455432188.51999998</v>
      </c>
      <c r="AB87" s="10">
        <v>2.8423700599300001E-3</v>
      </c>
      <c r="AC87" s="1" t="s">
        <v>26</v>
      </c>
      <c r="AD87" s="1" t="s">
        <v>26</v>
      </c>
      <c r="AE87" s="9">
        <v>4702452524.5500002</v>
      </c>
      <c r="AF87" s="10">
        <v>6.2808256068000003E-3</v>
      </c>
      <c r="AG87" s="1" t="s">
        <v>26</v>
      </c>
      <c r="AH87" s="1" t="s">
        <v>26</v>
      </c>
      <c r="AI87" s="9" t="s">
        <v>26</v>
      </c>
      <c r="AJ87" s="10" t="s">
        <v>26</v>
      </c>
      <c r="AK87" s="10" t="s">
        <v>26</v>
      </c>
      <c r="AL87" s="10" t="s">
        <v>26</v>
      </c>
      <c r="AM87" s="9" t="s">
        <v>26</v>
      </c>
      <c r="AN87" s="10" t="s">
        <v>26</v>
      </c>
      <c r="AO87" s="10" t="s">
        <v>26</v>
      </c>
      <c r="AP87" s="10" t="s">
        <v>26</v>
      </c>
      <c r="AQ87" s="9" t="s">
        <v>26</v>
      </c>
      <c r="AR87" s="10" t="s">
        <v>26</v>
      </c>
      <c r="AS87" s="10" t="s">
        <v>26</v>
      </c>
      <c r="AT87" s="10" t="s">
        <v>26</v>
      </c>
      <c r="AU87" s="9" t="s">
        <v>26</v>
      </c>
      <c r="AV87" s="10" t="s">
        <v>26</v>
      </c>
      <c r="AW87" s="10" t="s">
        <v>26</v>
      </c>
      <c r="AX87" s="10" t="s">
        <v>26</v>
      </c>
      <c r="AY87" s="9">
        <v>4702452524.5500002</v>
      </c>
      <c r="AZ87" s="10">
        <v>5.5505204403299997E-3</v>
      </c>
      <c r="BA87" s="1" t="s">
        <v>26</v>
      </c>
      <c r="BB87" s="1" t="s">
        <v>26</v>
      </c>
    </row>
    <row r="88" spans="1:54" s="7" customFormat="1">
      <c r="A88" s="3" t="s">
        <v>85</v>
      </c>
      <c r="B88" s="23" t="s">
        <v>40</v>
      </c>
      <c r="C88" s="2" t="s">
        <v>26</v>
      </c>
      <c r="D88" s="1" t="s">
        <v>26</v>
      </c>
      <c r="E88" s="1" t="s">
        <v>26</v>
      </c>
      <c r="F88" s="1" t="s">
        <v>26</v>
      </c>
      <c r="G88" s="2">
        <v>859940511.91999996</v>
      </c>
      <c r="H88" s="1">
        <v>1</v>
      </c>
      <c r="I88" s="1" t="s">
        <v>26</v>
      </c>
      <c r="J88" s="1" t="s">
        <v>26</v>
      </c>
      <c r="K88" s="2">
        <v>28915613.420000002</v>
      </c>
      <c r="L88" s="1">
        <v>1</v>
      </c>
      <c r="M88" s="1" t="s">
        <v>26</v>
      </c>
      <c r="N88" s="1" t="s">
        <v>26</v>
      </c>
      <c r="O88" s="2">
        <v>2240430306.3200002</v>
      </c>
      <c r="P88" s="1">
        <v>1</v>
      </c>
      <c r="Q88" s="1" t="s">
        <v>26</v>
      </c>
      <c r="R88" s="1" t="s">
        <v>26</v>
      </c>
      <c r="S88" s="2">
        <v>1117733904.3699999</v>
      </c>
      <c r="T88" s="1">
        <v>1</v>
      </c>
      <c r="U88" s="1" t="s">
        <v>26</v>
      </c>
      <c r="V88" s="1" t="s">
        <v>26</v>
      </c>
      <c r="W88" s="2" t="s">
        <v>26</v>
      </c>
      <c r="X88" s="1" t="s">
        <v>26</v>
      </c>
      <c r="Y88" s="1" t="s">
        <v>26</v>
      </c>
      <c r="Z88" s="1" t="s">
        <v>26</v>
      </c>
      <c r="AA88" s="2">
        <v>455432188.51999998</v>
      </c>
      <c r="AB88" s="1">
        <v>1</v>
      </c>
      <c r="AC88" s="1" t="s">
        <v>26</v>
      </c>
      <c r="AD88" s="1" t="s">
        <v>26</v>
      </c>
      <c r="AE88" s="2">
        <v>4702452524.5500002</v>
      </c>
      <c r="AF88" s="1">
        <v>1</v>
      </c>
      <c r="AG88" s="1" t="s">
        <v>26</v>
      </c>
      <c r="AH88" s="1" t="s">
        <v>26</v>
      </c>
      <c r="AI88" s="2" t="s">
        <v>26</v>
      </c>
      <c r="AJ88" s="1" t="s">
        <v>26</v>
      </c>
      <c r="AK88" s="1" t="s">
        <v>26</v>
      </c>
      <c r="AL88" s="1" t="s">
        <v>26</v>
      </c>
      <c r="AM88" s="2" t="s">
        <v>26</v>
      </c>
      <c r="AN88" s="1" t="s">
        <v>26</v>
      </c>
      <c r="AO88" s="1" t="s">
        <v>26</v>
      </c>
      <c r="AP88" s="1" t="s">
        <v>26</v>
      </c>
      <c r="AQ88" s="2" t="s">
        <v>26</v>
      </c>
      <c r="AR88" s="1" t="s">
        <v>26</v>
      </c>
      <c r="AS88" s="1" t="s">
        <v>26</v>
      </c>
      <c r="AT88" s="1" t="s">
        <v>26</v>
      </c>
      <c r="AU88" s="2" t="s">
        <v>26</v>
      </c>
      <c r="AV88" s="1" t="s">
        <v>26</v>
      </c>
      <c r="AW88" s="1" t="s">
        <v>26</v>
      </c>
      <c r="AX88" s="1" t="s">
        <v>26</v>
      </c>
      <c r="AY88" s="2">
        <v>4702452524.5500002</v>
      </c>
      <c r="AZ88" s="1">
        <v>1</v>
      </c>
      <c r="BA88" s="1" t="s">
        <v>26</v>
      </c>
      <c r="BB88" s="1" t="s">
        <v>26</v>
      </c>
    </row>
    <row r="89" spans="1:54" s="7" customFormat="1">
      <c r="A89" s="12" t="s">
        <v>86</v>
      </c>
      <c r="B89" s="40" t="s">
        <v>25</v>
      </c>
      <c r="C89" s="42">
        <v>166296252.22999999</v>
      </c>
      <c r="D89" s="43">
        <v>2.0266084113140001E-2</v>
      </c>
      <c r="E89" s="43">
        <v>0.15</v>
      </c>
      <c r="F89" s="43">
        <f>+E89-D89</f>
        <v>0.12973391588686001</v>
      </c>
      <c r="G89" s="42">
        <v>10345225311.57</v>
      </c>
      <c r="H89" s="43">
        <v>5.7676356125190002E-2</v>
      </c>
      <c r="I89" s="43">
        <v>0.15</v>
      </c>
      <c r="J89" s="43">
        <f>+I89-H89</f>
        <v>9.2323643874809985E-2</v>
      </c>
      <c r="K89" s="42">
        <v>392655500.70999998</v>
      </c>
      <c r="L89" s="43">
        <v>8.8590245906370005E-2</v>
      </c>
      <c r="M89" s="43">
        <v>0.15</v>
      </c>
      <c r="N89" s="43">
        <f>+M89-L89</f>
        <v>6.140975409362999E-2</v>
      </c>
      <c r="O89" s="42">
        <v>27509770535.720001</v>
      </c>
      <c r="P89" s="43">
        <v>0.10586879060521</v>
      </c>
      <c r="Q89" s="43">
        <v>0.15</v>
      </c>
      <c r="R89" s="43">
        <f>+Q89-P89</f>
        <v>4.4131209394789997E-2</v>
      </c>
      <c r="S89" s="42">
        <v>6562220465.4399996</v>
      </c>
      <c r="T89" s="43">
        <v>5.081701443199E-2</v>
      </c>
      <c r="U89" s="43">
        <v>0.15</v>
      </c>
      <c r="V89" s="43">
        <f>+U89-T89</f>
        <v>9.9182985568010001E-2</v>
      </c>
      <c r="W89" s="42" t="s">
        <v>26</v>
      </c>
      <c r="X89" s="43" t="s">
        <v>26</v>
      </c>
      <c r="Y89" s="43" t="s">
        <v>26</v>
      </c>
      <c r="Z89" s="43" t="s">
        <v>26</v>
      </c>
      <c r="AA89" s="42">
        <v>6145671547.4099998</v>
      </c>
      <c r="AB89" s="43">
        <v>3.8355375937029999E-2</v>
      </c>
      <c r="AC89" s="43">
        <v>0.15</v>
      </c>
      <c r="AD89" s="43">
        <f>+AC89-AB89</f>
        <v>0.11164462406296999</v>
      </c>
      <c r="AE89" s="42">
        <v>51121839613.080002</v>
      </c>
      <c r="AF89" s="43">
        <v>6.8280829552769998E-2</v>
      </c>
      <c r="AG89" s="43">
        <v>0.15</v>
      </c>
      <c r="AH89" s="43">
        <f>+AG89-AF89</f>
        <v>8.1719170447229997E-2</v>
      </c>
      <c r="AI89" s="42" t="s">
        <v>26</v>
      </c>
      <c r="AJ89" s="43" t="s">
        <v>26</v>
      </c>
      <c r="AK89" s="43" t="s">
        <v>26</v>
      </c>
      <c r="AL89" s="43" t="s">
        <v>26</v>
      </c>
      <c r="AM89" s="42" t="s">
        <v>26</v>
      </c>
      <c r="AN89" s="43" t="s">
        <v>26</v>
      </c>
      <c r="AO89" s="43" t="s">
        <v>26</v>
      </c>
      <c r="AP89" s="43" t="s">
        <v>26</v>
      </c>
      <c r="AQ89" s="42" t="s">
        <v>26</v>
      </c>
      <c r="AR89" s="43" t="s">
        <v>26</v>
      </c>
      <c r="AS89" s="43" t="s">
        <v>26</v>
      </c>
      <c r="AT89" s="43" t="s">
        <v>26</v>
      </c>
      <c r="AU89" s="42">
        <v>1861632118.1900001</v>
      </c>
      <c r="AV89" s="43">
        <v>3.4282273403010002E-2</v>
      </c>
      <c r="AW89" s="43">
        <v>0.15</v>
      </c>
      <c r="AX89" s="43">
        <f>+AW89-AV89</f>
        <v>0.11571772659698999</v>
      </c>
      <c r="AY89" s="42">
        <v>52983471731.269997</v>
      </c>
      <c r="AZ89" s="43">
        <v>6.2538822307870001E-2</v>
      </c>
      <c r="BA89" s="43">
        <v>0.15</v>
      </c>
      <c r="BB89" s="43">
        <f>+BA89-AZ89</f>
        <v>8.7461177692129993E-2</v>
      </c>
    </row>
    <row r="90" spans="1:54" s="7" customFormat="1">
      <c r="A90" s="5" t="s">
        <v>124</v>
      </c>
      <c r="B90" s="20" t="s">
        <v>25</v>
      </c>
      <c r="C90" s="9" t="s">
        <v>26</v>
      </c>
      <c r="D90" s="10" t="s">
        <v>26</v>
      </c>
      <c r="E90" s="10" t="s">
        <v>26</v>
      </c>
      <c r="F90" s="10" t="s">
        <v>26</v>
      </c>
      <c r="G90" s="9">
        <v>575693406.82000005</v>
      </c>
      <c r="H90" s="10">
        <v>3.2095867369399999E-3</v>
      </c>
      <c r="I90" s="1" t="s">
        <v>26</v>
      </c>
      <c r="J90" s="1" t="s">
        <v>26</v>
      </c>
      <c r="K90" s="9">
        <v>67728636.090000004</v>
      </c>
      <c r="L90" s="10">
        <v>1.528081617414E-2</v>
      </c>
      <c r="M90" s="1" t="s">
        <v>26</v>
      </c>
      <c r="N90" s="1" t="s">
        <v>26</v>
      </c>
      <c r="O90" s="9" t="s">
        <v>26</v>
      </c>
      <c r="P90" s="10" t="s">
        <v>26</v>
      </c>
      <c r="Q90" s="10" t="s">
        <v>26</v>
      </c>
      <c r="R90" s="10" t="s">
        <v>26</v>
      </c>
      <c r="S90" s="9">
        <v>725004263.66999996</v>
      </c>
      <c r="T90" s="10">
        <v>5.6143423288200003E-3</v>
      </c>
      <c r="U90" s="1" t="s">
        <v>26</v>
      </c>
      <c r="V90" s="1" t="s">
        <v>26</v>
      </c>
      <c r="W90" s="9" t="s">
        <v>26</v>
      </c>
      <c r="X90" s="10" t="s">
        <v>26</v>
      </c>
      <c r="Y90" s="10" t="s">
        <v>26</v>
      </c>
      <c r="Z90" s="10" t="s">
        <v>26</v>
      </c>
      <c r="AA90" s="9">
        <v>449471857.74000001</v>
      </c>
      <c r="AB90" s="10">
        <v>2.8051714029500002E-3</v>
      </c>
      <c r="AC90" s="1" t="s">
        <v>26</v>
      </c>
      <c r="AD90" s="1" t="s">
        <v>26</v>
      </c>
      <c r="AE90" s="9">
        <v>1817898164.3199999</v>
      </c>
      <c r="AF90" s="10">
        <v>2.42807370865E-3</v>
      </c>
      <c r="AG90" s="1" t="s">
        <v>26</v>
      </c>
      <c r="AH90" s="1" t="s">
        <v>26</v>
      </c>
      <c r="AI90" s="9" t="s">
        <v>26</v>
      </c>
      <c r="AJ90" s="10" t="s">
        <v>26</v>
      </c>
      <c r="AK90" s="10" t="s">
        <v>26</v>
      </c>
      <c r="AL90" s="10" t="s">
        <v>26</v>
      </c>
      <c r="AM90" s="9" t="s">
        <v>26</v>
      </c>
      <c r="AN90" s="10" t="s">
        <v>26</v>
      </c>
      <c r="AO90" s="10" t="s">
        <v>26</v>
      </c>
      <c r="AP90" s="10" t="s">
        <v>26</v>
      </c>
      <c r="AQ90" s="9" t="s">
        <v>26</v>
      </c>
      <c r="AR90" s="10" t="s">
        <v>26</v>
      </c>
      <c r="AS90" s="10" t="s">
        <v>26</v>
      </c>
      <c r="AT90" s="10" t="s">
        <v>26</v>
      </c>
      <c r="AU90" s="9" t="s">
        <v>26</v>
      </c>
      <c r="AV90" s="10" t="s">
        <v>26</v>
      </c>
      <c r="AW90" s="10" t="s">
        <v>26</v>
      </c>
      <c r="AX90" s="10" t="s">
        <v>26</v>
      </c>
      <c r="AY90" s="9">
        <v>1817898164.3199999</v>
      </c>
      <c r="AZ90" s="10">
        <v>2.1457485996500001E-3</v>
      </c>
      <c r="BA90" s="1" t="s">
        <v>26</v>
      </c>
      <c r="BB90" s="1" t="s">
        <v>26</v>
      </c>
    </row>
    <row r="91" spans="1:54" s="7" customFormat="1">
      <c r="A91" s="3" t="s">
        <v>88</v>
      </c>
      <c r="B91" s="23" t="s">
        <v>47</v>
      </c>
      <c r="C91" s="2" t="s">
        <v>26</v>
      </c>
      <c r="D91" s="1" t="s">
        <v>26</v>
      </c>
      <c r="E91" s="1" t="s">
        <v>26</v>
      </c>
      <c r="F91" s="1" t="s">
        <v>26</v>
      </c>
      <c r="G91" s="2">
        <v>575693406.82000005</v>
      </c>
      <c r="H91" s="1">
        <v>1</v>
      </c>
      <c r="I91" s="1" t="s">
        <v>26</v>
      </c>
      <c r="J91" s="1" t="s">
        <v>26</v>
      </c>
      <c r="K91" s="2">
        <v>67728636.090000004</v>
      </c>
      <c r="L91" s="1">
        <v>1</v>
      </c>
      <c r="M91" s="1" t="s">
        <v>26</v>
      </c>
      <c r="N91" s="1" t="s">
        <v>26</v>
      </c>
      <c r="O91" s="2" t="s">
        <v>26</v>
      </c>
      <c r="P91" s="1" t="s">
        <v>26</v>
      </c>
      <c r="Q91" s="1" t="s">
        <v>26</v>
      </c>
      <c r="R91" s="1" t="s">
        <v>26</v>
      </c>
      <c r="S91" s="2">
        <v>725004263.66999996</v>
      </c>
      <c r="T91" s="1">
        <v>1</v>
      </c>
      <c r="U91" s="1" t="s">
        <v>26</v>
      </c>
      <c r="V91" s="1" t="s">
        <v>26</v>
      </c>
      <c r="W91" s="2" t="s">
        <v>26</v>
      </c>
      <c r="X91" s="1" t="s">
        <v>26</v>
      </c>
      <c r="Y91" s="1" t="s">
        <v>26</v>
      </c>
      <c r="Z91" s="1" t="s">
        <v>26</v>
      </c>
      <c r="AA91" s="2">
        <v>449471857.74000001</v>
      </c>
      <c r="AB91" s="1">
        <v>1</v>
      </c>
      <c r="AC91" s="1" t="s">
        <v>26</v>
      </c>
      <c r="AD91" s="1" t="s">
        <v>26</v>
      </c>
      <c r="AE91" s="2">
        <v>1817898164.3199999</v>
      </c>
      <c r="AF91" s="1">
        <v>1</v>
      </c>
      <c r="AG91" s="1" t="s">
        <v>26</v>
      </c>
      <c r="AH91" s="1" t="s">
        <v>26</v>
      </c>
      <c r="AI91" s="2" t="s">
        <v>26</v>
      </c>
      <c r="AJ91" s="1" t="s">
        <v>26</v>
      </c>
      <c r="AK91" s="1" t="s">
        <v>26</v>
      </c>
      <c r="AL91" s="1" t="s">
        <v>26</v>
      </c>
      <c r="AM91" s="2" t="s">
        <v>26</v>
      </c>
      <c r="AN91" s="1" t="s">
        <v>26</v>
      </c>
      <c r="AO91" s="1" t="s">
        <v>26</v>
      </c>
      <c r="AP91" s="1" t="s">
        <v>26</v>
      </c>
      <c r="AQ91" s="2" t="s">
        <v>26</v>
      </c>
      <c r="AR91" s="1" t="s">
        <v>26</v>
      </c>
      <c r="AS91" s="1" t="s">
        <v>26</v>
      </c>
      <c r="AT91" s="1" t="s">
        <v>26</v>
      </c>
      <c r="AU91" s="2" t="s">
        <v>26</v>
      </c>
      <c r="AV91" s="1" t="s">
        <v>26</v>
      </c>
      <c r="AW91" s="1" t="s">
        <v>26</v>
      </c>
      <c r="AX91" s="1" t="s">
        <v>26</v>
      </c>
      <c r="AY91" s="2">
        <v>1817898164.3199999</v>
      </c>
      <c r="AZ91" s="1">
        <v>1</v>
      </c>
      <c r="BA91" s="1" t="s">
        <v>26</v>
      </c>
      <c r="BB91" s="1" t="s">
        <v>26</v>
      </c>
    </row>
    <row r="92" spans="1:54" s="7" customFormat="1">
      <c r="A92" s="5" t="s">
        <v>125</v>
      </c>
      <c r="B92" s="20" t="s">
        <v>25</v>
      </c>
      <c r="C92" s="9" t="s">
        <v>26</v>
      </c>
      <c r="D92" s="10" t="s">
        <v>26</v>
      </c>
      <c r="E92" s="10" t="s">
        <v>26</v>
      </c>
      <c r="F92" s="10" t="s">
        <v>26</v>
      </c>
      <c r="G92" s="9">
        <v>16912715.350000001</v>
      </c>
      <c r="H92" s="10">
        <v>9.4291208179999995E-5</v>
      </c>
      <c r="I92" s="1" t="s">
        <v>26</v>
      </c>
      <c r="J92" s="1" t="s">
        <v>26</v>
      </c>
      <c r="K92" s="9" t="s">
        <v>26</v>
      </c>
      <c r="L92" s="10" t="s">
        <v>26</v>
      </c>
      <c r="M92" s="1" t="s">
        <v>26</v>
      </c>
      <c r="N92" s="1" t="s">
        <v>26</v>
      </c>
      <c r="O92" s="9" t="s">
        <v>26</v>
      </c>
      <c r="P92" s="10" t="s">
        <v>26</v>
      </c>
      <c r="Q92" s="10" t="s">
        <v>26</v>
      </c>
      <c r="R92" s="10" t="s">
        <v>26</v>
      </c>
      <c r="S92" s="9">
        <v>16912715.350000001</v>
      </c>
      <c r="T92" s="10">
        <v>1.3096995210000001E-4</v>
      </c>
      <c r="U92" s="1" t="s">
        <v>26</v>
      </c>
      <c r="V92" s="1" t="s">
        <v>26</v>
      </c>
      <c r="W92" s="9" t="s">
        <v>26</v>
      </c>
      <c r="X92" s="10" t="s">
        <v>26</v>
      </c>
      <c r="Y92" s="10" t="s">
        <v>26</v>
      </c>
      <c r="Z92" s="10" t="s">
        <v>26</v>
      </c>
      <c r="AA92" s="9" t="s">
        <v>26</v>
      </c>
      <c r="AB92" s="10" t="s">
        <v>26</v>
      </c>
      <c r="AC92" s="1" t="s">
        <v>26</v>
      </c>
      <c r="AD92" s="1" t="s">
        <v>26</v>
      </c>
      <c r="AE92" s="9">
        <v>33825430.700000003</v>
      </c>
      <c r="AF92" s="10">
        <v>4.5178899770000003E-5</v>
      </c>
      <c r="AG92" s="1" t="s">
        <v>26</v>
      </c>
      <c r="AH92" s="1" t="s">
        <v>26</v>
      </c>
      <c r="AI92" s="9" t="s">
        <v>26</v>
      </c>
      <c r="AJ92" s="10" t="s">
        <v>26</v>
      </c>
      <c r="AK92" s="10" t="s">
        <v>26</v>
      </c>
      <c r="AL92" s="10" t="s">
        <v>26</v>
      </c>
      <c r="AM92" s="9" t="s">
        <v>26</v>
      </c>
      <c r="AN92" s="10" t="s">
        <v>26</v>
      </c>
      <c r="AO92" s="10" t="s">
        <v>26</v>
      </c>
      <c r="AP92" s="10" t="s">
        <v>26</v>
      </c>
      <c r="AQ92" s="9" t="s">
        <v>26</v>
      </c>
      <c r="AR92" s="10" t="s">
        <v>26</v>
      </c>
      <c r="AS92" s="10" t="s">
        <v>26</v>
      </c>
      <c r="AT92" s="10" t="s">
        <v>26</v>
      </c>
      <c r="AU92" s="9" t="s">
        <v>26</v>
      </c>
      <c r="AV92" s="10" t="s">
        <v>26</v>
      </c>
      <c r="AW92" s="10" t="s">
        <v>26</v>
      </c>
      <c r="AX92" s="10" t="s">
        <v>26</v>
      </c>
      <c r="AY92" s="9">
        <v>33825430.700000003</v>
      </c>
      <c r="AZ92" s="10">
        <v>3.9925707599999998E-5</v>
      </c>
      <c r="BA92" s="1" t="s">
        <v>26</v>
      </c>
      <c r="BB92" s="1" t="s">
        <v>26</v>
      </c>
    </row>
    <row r="93" spans="1:54" s="28" customFormat="1">
      <c r="A93" s="3" t="s">
        <v>88</v>
      </c>
      <c r="B93" s="23" t="s">
        <v>47</v>
      </c>
      <c r="C93" s="2" t="s">
        <v>26</v>
      </c>
      <c r="D93" s="1" t="s">
        <v>26</v>
      </c>
      <c r="E93" s="1" t="s">
        <v>26</v>
      </c>
      <c r="F93" s="1" t="s">
        <v>26</v>
      </c>
      <c r="G93" s="2">
        <v>16912715.350000001</v>
      </c>
      <c r="H93" s="1">
        <v>1</v>
      </c>
      <c r="I93" s="1" t="s">
        <v>26</v>
      </c>
      <c r="J93" s="1" t="s">
        <v>26</v>
      </c>
      <c r="K93" s="2" t="s">
        <v>26</v>
      </c>
      <c r="L93" s="1" t="s">
        <v>26</v>
      </c>
      <c r="M93" s="1" t="s">
        <v>26</v>
      </c>
      <c r="N93" s="1" t="s">
        <v>26</v>
      </c>
      <c r="O93" s="2" t="s">
        <v>26</v>
      </c>
      <c r="P93" s="1" t="s">
        <v>26</v>
      </c>
      <c r="Q93" s="1" t="s">
        <v>26</v>
      </c>
      <c r="R93" s="1" t="s">
        <v>26</v>
      </c>
      <c r="S93" s="2">
        <v>16912715.350000001</v>
      </c>
      <c r="T93" s="1">
        <v>1</v>
      </c>
      <c r="U93" s="1" t="s">
        <v>26</v>
      </c>
      <c r="V93" s="1" t="s">
        <v>26</v>
      </c>
      <c r="W93" s="2" t="s">
        <v>26</v>
      </c>
      <c r="X93" s="1" t="s">
        <v>26</v>
      </c>
      <c r="Y93" s="1" t="s">
        <v>26</v>
      </c>
      <c r="Z93" s="1" t="s">
        <v>26</v>
      </c>
      <c r="AA93" s="2" t="s">
        <v>26</v>
      </c>
      <c r="AB93" s="1" t="s">
        <v>26</v>
      </c>
      <c r="AC93" s="1" t="s">
        <v>26</v>
      </c>
      <c r="AD93" s="1" t="s">
        <v>26</v>
      </c>
      <c r="AE93" s="2">
        <v>33825430.700000003</v>
      </c>
      <c r="AF93" s="1">
        <v>1</v>
      </c>
      <c r="AG93" s="1" t="s">
        <v>26</v>
      </c>
      <c r="AH93" s="1" t="s">
        <v>26</v>
      </c>
      <c r="AI93" s="2" t="s">
        <v>26</v>
      </c>
      <c r="AJ93" s="1" t="s">
        <v>26</v>
      </c>
      <c r="AK93" s="1" t="s">
        <v>26</v>
      </c>
      <c r="AL93" s="1" t="s">
        <v>26</v>
      </c>
      <c r="AM93" s="2" t="s">
        <v>26</v>
      </c>
      <c r="AN93" s="1" t="s">
        <v>26</v>
      </c>
      <c r="AO93" s="1" t="s">
        <v>26</v>
      </c>
      <c r="AP93" s="1" t="s">
        <v>26</v>
      </c>
      <c r="AQ93" s="2" t="s">
        <v>26</v>
      </c>
      <c r="AR93" s="1" t="s">
        <v>26</v>
      </c>
      <c r="AS93" s="1" t="s">
        <v>26</v>
      </c>
      <c r="AT93" s="1" t="s">
        <v>26</v>
      </c>
      <c r="AU93" s="2" t="s">
        <v>26</v>
      </c>
      <c r="AV93" s="1" t="s">
        <v>26</v>
      </c>
      <c r="AW93" s="1" t="s">
        <v>26</v>
      </c>
      <c r="AX93" s="1" t="s">
        <v>26</v>
      </c>
      <c r="AY93" s="2">
        <v>33825430.700000003</v>
      </c>
      <c r="AZ93" s="1">
        <v>1</v>
      </c>
      <c r="BA93" s="1" t="s">
        <v>26</v>
      </c>
      <c r="BB93" s="1" t="s">
        <v>26</v>
      </c>
    </row>
    <row r="94" spans="1:54" s="7" customFormat="1">
      <c r="A94" s="5" t="s">
        <v>89</v>
      </c>
      <c r="B94" s="20" t="s">
        <v>25</v>
      </c>
      <c r="C94" s="9" t="s">
        <v>26</v>
      </c>
      <c r="D94" s="10" t="s">
        <v>26</v>
      </c>
      <c r="E94" s="10" t="s">
        <v>26</v>
      </c>
      <c r="F94" s="10" t="s">
        <v>26</v>
      </c>
      <c r="G94" s="9">
        <v>2771438487.5500002</v>
      </c>
      <c r="H94" s="10">
        <v>1.5451231691220001E-2</v>
      </c>
      <c r="I94" s="1" t="s">
        <v>26</v>
      </c>
      <c r="J94" s="1" t="s">
        <v>26</v>
      </c>
      <c r="K94" s="9" t="s">
        <v>26</v>
      </c>
      <c r="L94" s="10" t="s">
        <v>26</v>
      </c>
      <c r="M94" s="1" t="s">
        <v>26</v>
      </c>
      <c r="N94" s="1" t="s">
        <v>26</v>
      </c>
      <c r="O94" s="9">
        <v>3517946798.1300001</v>
      </c>
      <c r="P94" s="10">
        <v>1.3538490713609999E-2</v>
      </c>
      <c r="Q94" s="1" t="s">
        <v>26</v>
      </c>
      <c r="R94" s="1" t="s">
        <v>26</v>
      </c>
      <c r="S94" s="9">
        <v>1282096166.4300001</v>
      </c>
      <c r="T94" s="10">
        <v>9.9283923385100007E-3</v>
      </c>
      <c r="U94" s="1" t="s">
        <v>26</v>
      </c>
      <c r="V94" s="1" t="s">
        <v>26</v>
      </c>
      <c r="W94" s="9" t="s">
        <v>26</v>
      </c>
      <c r="X94" s="10" t="s">
        <v>26</v>
      </c>
      <c r="Y94" s="10" t="s">
        <v>26</v>
      </c>
      <c r="Z94" s="10" t="s">
        <v>26</v>
      </c>
      <c r="AA94" s="9">
        <v>1960512662.3</v>
      </c>
      <c r="AB94" s="10">
        <v>1.2235636026390001E-2</v>
      </c>
      <c r="AC94" s="1" t="s">
        <v>26</v>
      </c>
      <c r="AD94" s="1" t="s">
        <v>26</v>
      </c>
      <c r="AE94" s="9">
        <v>9531994114.4099998</v>
      </c>
      <c r="AF94" s="10">
        <v>1.2731397585649999E-2</v>
      </c>
      <c r="AG94" s="1" t="s">
        <v>26</v>
      </c>
      <c r="AH94" s="1" t="s">
        <v>26</v>
      </c>
      <c r="AI94" s="9" t="s">
        <v>26</v>
      </c>
      <c r="AJ94" s="10" t="s">
        <v>26</v>
      </c>
      <c r="AK94" s="10" t="s">
        <v>26</v>
      </c>
      <c r="AL94" s="10" t="s">
        <v>26</v>
      </c>
      <c r="AM94" s="9" t="s">
        <v>26</v>
      </c>
      <c r="AN94" s="10" t="s">
        <v>26</v>
      </c>
      <c r="AO94" s="10" t="s">
        <v>26</v>
      </c>
      <c r="AP94" s="10" t="s">
        <v>26</v>
      </c>
      <c r="AQ94" s="9" t="s">
        <v>26</v>
      </c>
      <c r="AR94" s="10" t="s">
        <v>26</v>
      </c>
      <c r="AS94" s="10" t="s">
        <v>26</v>
      </c>
      <c r="AT94" s="10" t="s">
        <v>26</v>
      </c>
      <c r="AU94" s="9">
        <v>321618513.94</v>
      </c>
      <c r="AV94" s="10">
        <v>5.9226598631499996E-3</v>
      </c>
      <c r="AW94" s="1" t="s">
        <v>26</v>
      </c>
      <c r="AX94" s="1" t="s">
        <v>26</v>
      </c>
      <c r="AY94" s="9">
        <v>9853612628.3500004</v>
      </c>
      <c r="AZ94" s="10">
        <v>1.163067102096E-2</v>
      </c>
      <c r="BA94" s="1" t="s">
        <v>26</v>
      </c>
      <c r="BB94" s="1" t="s">
        <v>26</v>
      </c>
    </row>
    <row r="95" spans="1:54" s="28" customFormat="1">
      <c r="A95" s="3" t="s">
        <v>88</v>
      </c>
      <c r="B95" s="23" t="s">
        <v>47</v>
      </c>
      <c r="C95" s="2" t="s">
        <v>26</v>
      </c>
      <c r="D95" s="1" t="s">
        <v>26</v>
      </c>
      <c r="E95" s="1" t="s">
        <v>26</v>
      </c>
      <c r="F95" s="1" t="s">
        <v>26</v>
      </c>
      <c r="G95" s="2">
        <v>2771438487.5500002</v>
      </c>
      <c r="H95" s="1">
        <v>1</v>
      </c>
      <c r="I95" s="1" t="s">
        <v>26</v>
      </c>
      <c r="J95" s="1" t="s">
        <v>26</v>
      </c>
      <c r="K95" s="2" t="s">
        <v>26</v>
      </c>
      <c r="L95" s="1" t="s">
        <v>26</v>
      </c>
      <c r="M95" s="1" t="s">
        <v>26</v>
      </c>
      <c r="N95" s="1" t="s">
        <v>26</v>
      </c>
      <c r="O95" s="2">
        <v>3517946798.1300001</v>
      </c>
      <c r="P95" s="1">
        <v>1</v>
      </c>
      <c r="Q95" s="1" t="s">
        <v>26</v>
      </c>
      <c r="R95" s="1" t="s">
        <v>26</v>
      </c>
      <c r="S95" s="2">
        <v>1282096166.4300001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1960512662.3</v>
      </c>
      <c r="AB95" s="1">
        <v>1</v>
      </c>
      <c r="AC95" s="1" t="s">
        <v>26</v>
      </c>
      <c r="AD95" s="1" t="s">
        <v>26</v>
      </c>
      <c r="AE95" s="2">
        <v>9531994114.4099998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>
        <v>321618513.94</v>
      </c>
      <c r="AV95" s="1">
        <v>1</v>
      </c>
      <c r="AW95" s="1" t="s">
        <v>26</v>
      </c>
      <c r="AX95" s="1" t="s">
        <v>26</v>
      </c>
      <c r="AY95" s="2">
        <v>9853612628.3500004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90</v>
      </c>
      <c r="B96" s="20" t="s">
        <v>25</v>
      </c>
      <c r="C96" s="9" t="s">
        <v>26</v>
      </c>
      <c r="D96" s="10" t="s">
        <v>26</v>
      </c>
      <c r="E96" s="10" t="s">
        <v>26</v>
      </c>
      <c r="F96" s="10" t="s">
        <v>26</v>
      </c>
      <c r="G96" s="9">
        <v>1985252314.21</v>
      </c>
      <c r="H96" s="10">
        <v>1.1068112682349999E-2</v>
      </c>
      <c r="I96" s="1" t="s">
        <v>26</v>
      </c>
      <c r="J96" s="1" t="s">
        <v>26</v>
      </c>
      <c r="K96" s="9" t="s">
        <v>26</v>
      </c>
      <c r="L96" s="10" t="s">
        <v>26</v>
      </c>
      <c r="M96" s="1" t="s">
        <v>26</v>
      </c>
      <c r="N96" s="1" t="s">
        <v>26</v>
      </c>
      <c r="O96" s="9">
        <v>1292481975.3900001</v>
      </c>
      <c r="P96" s="10">
        <v>4.9739965455499998E-3</v>
      </c>
      <c r="Q96" s="1" t="s">
        <v>26</v>
      </c>
      <c r="R96" s="1" t="s">
        <v>26</v>
      </c>
      <c r="S96" s="9">
        <v>1292481975.3900001</v>
      </c>
      <c r="T96" s="10">
        <v>1.000881874396E-2</v>
      </c>
      <c r="U96" s="1" t="s">
        <v>26</v>
      </c>
      <c r="V96" s="1" t="s">
        <v>26</v>
      </c>
      <c r="W96" s="9" t="s">
        <v>26</v>
      </c>
      <c r="X96" s="10" t="s">
        <v>26</v>
      </c>
      <c r="Y96" s="10" t="s">
        <v>26</v>
      </c>
      <c r="Z96" s="10" t="s">
        <v>26</v>
      </c>
      <c r="AA96" s="9">
        <v>1240007207.1900001</v>
      </c>
      <c r="AB96" s="10">
        <v>7.7389333662700004E-3</v>
      </c>
      <c r="AC96" s="1" t="s">
        <v>26</v>
      </c>
      <c r="AD96" s="1" t="s">
        <v>26</v>
      </c>
      <c r="AE96" s="9">
        <v>5810223472.1800003</v>
      </c>
      <c r="AF96" s="10">
        <v>7.7604186697900002E-3</v>
      </c>
      <c r="AG96" s="1" t="s">
        <v>26</v>
      </c>
      <c r="AH96" s="1" t="s">
        <v>26</v>
      </c>
      <c r="AI96" s="9" t="s">
        <v>26</v>
      </c>
      <c r="AJ96" s="10" t="s">
        <v>26</v>
      </c>
      <c r="AK96" s="10" t="s">
        <v>26</v>
      </c>
      <c r="AL96" s="10" t="s">
        <v>26</v>
      </c>
      <c r="AM96" s="9" t="s">
        <v>26</v>
      </c>
      <c r="AN96" s="10" t="s">
        <v>26</v>
      </c>
      <c r="AO96" s="10" t="s">
        <v>26</v>
      </c>
      <c r="AP96" s="10" t="s">
        <v>26</v>
      </c>
      <c r="AQ96" s="9" t="s">
        <v>26</v>
      </c>
      <c r="AR96" s="10" t="s">
        <v>26</v>
      </c>
      <c r="AS96" s="10" t="s">
        <v>26</v>
      </c>
      <c r="AT96" s="10" t="s">
        <v>26</v>
      </c>
      <c r="AU96" s="9" t="s">
        <v>26</v>
      </c>
      <c r="AV96" s="10" t="s">
        <v>26</v>
      </c>
      <c r="AW96" s="1" t="s">
        <v>26</v>
      </c>
      <c r="AX96" s="1" t="s">
        <v>26</v>
      </c>
      <c r="AY96" s="9">
        <v>5810223472.1800003</v>
      </c>
      <c r="AZ96" s="10">
        <v>6.8580733089500003E-3</v>
      </c>
      <c r="BA96" s="1" t="s">
        <v>26</v>
      </c>
      <c r="BB96" s="1" t="s">
        <v>26</v>
      </c>
    </row>
    <row r="97" spans="1:54" s="7" customFormat="1">
      <c r="A97" s="3" t="s">
        <v>88</v>
      </c>
      <c r="B97" s="23" t="s">
        <v>47</v>
      </c>
      <c r="C97" s="2" t="s">
        <v>26</v>
      </c>
      <c r="D97" s="1" t="s">
        <v>26</v>
      </c>
      <c r="E97" s="1" t="s">
        <v>26</v>
      </c>
      <c r="F97" s="1" t="s">
        <v>26</v>
      </c>
      <c r="G97" s="2">
        <v>1985252314.21</v>
      </c>
      <c r="H97" s="1">
        <v>1</v>
      </c>
      <c r="I97" s="1" t="s">
        <v>26</v>
      </c>
      <c r="J97" s="1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>
        <v>1292481975.3900001</v>
      </c>
      <c r="P97" s="1">
        <v>1</v>
      </c>
      <c r="Q97" s="1" t="s">
        <v>26</v>
      </c>
      <c r="R97" s="1" t="s">
        <v>26</v>
      </c>
      <c r="S97" s="2">
        <v>1292481975.3900001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>
        <v>1240007207.1900001</v>
      </c>
      <c r="AB97" s="1">
        <v>1</v>
      </c>
      <c r="AC97" s="1" t="s">
        <v>26</v>
      </c>
      <c r="AD97" s="1" t="s">
        <v>26</v>
      </c>
      <c r="AE97" s="2">
        <v>5810223472.1800003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5810223472.1800003</v>
      </c>
      <c r="AZ97" s="1">
        <v>1</v>
      </c>
      <c r="BA97" s="1" t="s">
        <v>26</v>
      </c>
      <c r="BB97" s="1" t="s">
        <v>26</v>
      </c>
    </row>
    <row r="98" spans="1:54" s="28" customFormat="1">
      <c r="A98" s="5" t="s">
        <v>91</v>
      </c>
      <c r="B98" s="20" t="s">
        <v>25</v>
      </c>
      <c r="C98" s="9" t="s">
        <v>26</v>
      </c>
      <c r="D98" s="10" t="s">
        <v>26</v>
      </c>
      <c r="E98" s="10" t="s">
        <v>26</v>
      </c>
      <c r="F98" s="10" t="s">
        <v>26</v>
      </c>
      <c r="G98" s="9">
        <v>492620721.81999999</v>
      </c>
      <c r="H98" s="10">
        <v>2.7464426661199999E-3</v>
      </c>
      <c r="I98" s="1" t="s">
        <v>26</v>
      </c>
      <c r="J98" s="1" t="s">
        <v>26</v>
      </c>
      <c r="K98" s="9" t="s">
        <v>26</v>
      </c>
      <c r="L98" s="10" t="s">
        <v>26</v>
      </c>
      <c r="M98" s="1" t="s">
        <v>26</v>
      </c>
      <c r="N98" s="1" t="s">
        <v>26</v>
      </c>
      <c r="O98" s="9">
        <v>4260313574.9499998</v>
      </c>
      <c r="P98" s="10">
        <v>1.6395420136030001E-2</v>
      </c>
      <c r="Q98" s="1" t="s">
        <v>26</v>
      </c>
      <c r="R98" s="1" t="s">
        <v>26</v>
      </c>
      <c r="S98" s="9">
        <v>960145901.63999999</v>
      </c>
      <c r="T98" s="10">
        <v>7.43524975996E-3</v>
      </c>
      <c r="U98" s="1" t="s">
        <v>26</v>
      </c>
      <c r="V98" s="1" t="s">
        <v>26</v>
      </c>
      <c r="W98" s="9" t="s">
        <v>26</v>
      </c>
      <c r="X98" s="10" t="s">
        <v>26</v>
      </c>
      <c r="Y98" s="10" t="s">
        <v>26</v>
      </c>
      <c r="Z98" s="10" t="s">
        <v>26</v>
      </c>
      <c r="AA98" s="9">
        <v>1319832371.5999999</v>
      </c>
      <c r="AB98" s="10">
        <v>8.2371253321999998E-3</v>
      </c>
      <c r="AC98" s="1" t="s">
        <v>26</v>
      </c>
      <c r="AD98" s="1" t="s">
        <v>26</v>
      </c>
      <c r="AE98" s="9">
        <v>7032912570.0100002</v>
      </c>
      <c r="AF98" s="10">
        <v>9.3935020352700002E-3</v>
      </c>
      <c r="AG98" s="1" t="s">
        <v>26</v>
      </c>
      <c r="AH98" s="1" t="s">
        <v>26</v>
      </c>
      <c r="AI98" s="9" t="s">
        <v>26</v>
      </c>
      <c r="AJ98" s="10" t="s">
        <v>26</v>
      </c>
      <c r="AK98" s="10" t="s">
        <v>26</v>
      </c>
      <c r="AL98" s="10" t="s">
        <v>26</v>
      </c>
      <c r="AM98" s="9" t="s">
        <v>26</v>
      </c>
      <c r="AN98" s="10" t="s">
        <v>26</v>
      </c>
      <c r="AO98" s="10" t="s">
        <v>26</v>
      </c>
      <c r="AP98" s="10" t="s">
        <v>26</v>
      </c>
      <c r="AQ98" s="9" t="s">
        <v>26</v>
      </c>
      <c r="AR98" s="10" t="s">
        <v>26</v>
      </c>
      <c r="AS98" s="10" t="s">
        <v>26</v>
      </c>
      <c r="AT98" s="10" t="s">
        <v>26</v>
      </c>
      <c r="AU98" s="9">
        <v>366715177.52999997</v>
      </c>
      <c r="AV98" s="10">
        <v>6.7531226251800001E-3</v>
      </c>
      <c r="AW98" s="1" t="s">
        <v>26</v>
      </c>
      <c r="AX98" s="1" t="s">
        <v>26</v>
      </c>
      <c r="AY98" s="9">
        <v>7399627747.54</v>
      </c>
      <c r="AZ98" s="10">
        <v>8.7341200892799998E-3</v>
      </c>
      <c r="BA98" s="1" t="s">
        <v>26</v>
      </c>
      <c r="BB98" s="1" t="s">
        <v>26</v>
      </c>
    </row>
    <row r="99" spans="1:54" s="7" customFormat="1">
      <c r="A99" s="3" t="s">
        <v>88</v>
      </c>
      <c r="B99" s="23" t="s">
        <v>47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492620721.81999999</v>
      </c>
      <c r="H99" s="1">
        <v>1</v>
      </c>
      <c r="I99" s="1" t="s">
        <v>26</v>
      </c>
      <c r="J99" s="1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4260313574.9499998</v>
      </c>
      <c r="P99" s="1">
        <v>1</v>
      </c>
      <c r="Q99" s="1" t="s">
        <v>26</v>
      </c>
      <c r="R99" s="1" t="s">
        <v>26</v>
      </c>
      <c r="S99" s="2">
        <v>960145901.63999999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1319832371.5999999</v>
      </c>
      <c r="AB99" s="1">
        <v>1</v>
      </c>
      <c r="AC99" s="1" t="s">
        <v>26</v>
      </c>
      <c r="AD99" s="1" t="s">
        <v>26</v>
      </c>
      <c r="AE99" s="2">
        <v>7032912570.0100002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>
        <v>366715177.52999997</v>
      </c>
      <c r="AV99" s="1">
        <v>1</v>
      </c>
      <c r="AW99" s="1" t="s">
        <v>26</v>
      </c>
      <c r="AX99" s="1" t="s">
        <v>26</v>
      </c>
      <c r="AY99" s="2">
        <v>7399627747.54</v>
      </c>
      <c r="AZ99" s="1">
        <v>1</v>
      </c>
      <c r="BA99" s="1" t="s">
        <v>26</v>
      </c>
      <c r="BB99" s="1" t="s">
        <v>26</v>
      </c>
    </row>
    <row r="100" spans="1:54" s="28" customFormat="1">
      <c r="A100" s="5" t="s">
        <v>92</v>
      </c>
      <c r="B100" s="20" t="s">
        <v>25</v>
      </c>
      <c r="C100" s="9" t="s">
        <v>26</v>
      </c>
      <c r="D100" s="10" t="s">
        <v>26</v>
      </c>
      <c r="E100" s="10" t="s">
        <v>26</v>
      </c>
      <c r="F100" s="10" t="s">
        <v>26</v>
      </c>
      <c r="G100" s="9" t="s">
        <v>26</v>
      </c>
      <c r="H100" s="10" t="s">
        <v>26</v>
      </c>
      <c r="I100" s="10" t="s">
        <v>26</v>
      </c>
      <c r="J100" s="10" t="s">
        <v>26</v>
      </c>
      <c r="K100" s="9" t="s">
        <v>26</v>
      </c>
      <c r="L100" s="10" t="s">
        <v>26</v>
      </c>
      <c r="M100" s="1" t="s">
        <v>26</v>
      </c>
      <c r="N100" s="1" t="s">
        <v>26</v>
      </c>
      <c r="O100" s="9">
        <v>2437641434.1799998</v>
      </c>
      <c r="P100" s="10">
        <v>9.3810361024500005E-3</v>
      </c>
      <c r="Q100" s="1" t="s">
        <v>26</v>
      </c>
      <c r="R100" s="1" t="s">
        <v>26</v>
      </c>
      <c r="S100" s="9" t="s">
        <v>26</v>
      </c>
      <c r="T100" s="10" t="s">
        <v>26</v>
      </c>
      <c r="U100" s="10" t="s">
        <v>26</v>
      </c>
      <c r="V100" s="10" t="s">
        <v>26</v>
      </c>
      <c r="W100" s="9" t="s">
        <v>26</v>
      </c>
      <c r="X100" s="10" t="s">
        <v>26</v>
      </c>
      <c r="Y100" s="10" t="s">
        <v>26</v>
      </c>
      <c r="Z100" s="10" t="s">
        <v>26</v>
      </c>
      <c r="AA100" s="9" t="s">
        <v>26</v>
      </c>
      <c r="AB100" s="10" t="s">
        <v>26</v>
      </c>
      <c r="AC100" s="1" t="s">
        <v>26</v>
      </c>
      <c r="AD100" s="1" t="s">
        <v>26</v>
      </c>
      <c r="AE100" s="9">
        <v>2437641434.1799998</v>
      </c>
      <c r="AF100" s="10">
        <v>3.2558331339000001E-3</v>
      </c>
      <c r="AG100" s="1" t="s">
        <v>26</v>
      </c>
      <c r="AH100" s="1" t="s">
        <v>26</v>
      </c>
      <c r="AI100" s="9" t="s">
        <v>26</v>
      </c>
      <c r="AJ100" s="10" t="s">
        <v>26</v>
      </c>
      <c r="AK100" s="10" t="s">
        <v>26</v>
      </c>
      <c r="AL100" s="10" t="s">
        <v>26</v>
      </c>
      <c r="AM100" s="9" t="s">
        <v>26</v>
      </c>
      <c r="AN100" s="10" t="s">
        <v>26</v>
      </c>
      <c r="AO100" s="10" t="s">
        <v>26</v>
      </c>
      <c r="AP100" s="10" t="s">
        <v>26</v>
      </c>
      <c r="AQ100" s="9" t="s">
        <v>26</v>
      </c>
      <c r="AR100" s="10" t="s">
        <v>26</v>
      </c>
      <c r="AS100" s="10" t="s">
        <v>26</v>
      </c>
      <c r="AT100" s="10" t="s">
        <v>26</v>
      </c>
      <c r="AU100" s="9" t="s">
        <v>26</v>
      </c>
      <c r="AV100" s="10" t="s">
        <v>26</v>
      </c>
      <c r="AW100" s="1" t="s">
        <v>26</v>
      </c>
      <c r="AX100" s="1" t="s">
        <v>26</v>
      </c>
      <c r="AY100" s="9">
        <v>2437641434.1799998</v>
      </c>
      <c r="AZ100" s="10">
        <v>2.8772600118700002E-3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2" t="s">
        <v>26</v>
      </c>
      <c r="D101" s="1" t="s">
        <v>26</v>
      </c>
      <c r="E101" s="1" t="s">
        <v>26</v>
      </c>
      <c r="F101" s="1" t="s">
        <v>26</v>
      </c>
      <c r="G101" s="2" t="s">
        <v>26</v>
      </c>
      <c r="H101" s="1" t="s">
        <v>26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2437641434.1799998</v>
      </c>
      <c r="P101" s="1">
        <v>1</v>
      </c>
      <c r="Q101" s="1" t="s">
        <v>26</v>
      </c>
      <c r="R101" s="1" t="s">
        <v>26</v>
      </c>
      <c r="S101" s="2" t="s">
        <v>26</v>
      </c>
      <c r="T101" s="1" t="s">
        <v>26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 t="s">
        <v>26</v>
      </c>
      <c r="AB101" s="1" t="s">
        <v>26</v>
      </c>
      <c r="AC101" s="1" t="s">
        <v>26</v>
      </c>
      <c r="AD101" s="1" t="s">
        <v>26</v>
      </c>
      <c r="AE101" s="2">
        <v>2437641434.1799998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" t="s">
        <v>26</v>
      </c>
      <c r="AX101" s="1" t="s">
        <v>26</v>
      </c>
      <c r="AY101" s="2">
        <v>2437641434.1799998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93</v>
      </c>
      <c r="B102" s="20" t="s">
        <v>25</v>
      </c>
      <c r="C102" s="9" t="s">
        <v>26</v>
      </c>
      <c r="D102" s="10" t="s">
        <v>26</v>
      </c>
      <c r="E102" s="10" t="s">
        <v>26</v>
      </c>
      <c r="F102" s="10" t="s">
        <v>26</v>
      </c>
      <c r="G102" s="9" t="s">
        <v>26</v>
      </c>
      <c r="H102" s="10" t="s">
        <v>26</v>
      </c>
      <c r="I102" s="10" t="s">
        <v>26</v>
      </c>
      <c r="J102" s="10" t="s">
        <v>26</v>
      </c>
      <c r="K102" s="9" t="s">
        <v>26</v>
      </c>
      <c r="L102" s="10" t="s">
        <v>26</v>
      </c>
      <c r="M102" s="1" t="s">
        <v>26</v>
      </c>
      <c r="N102" s="1" t="s">
        <v>26</v>
      </c>
      <c r="O102" s="9">
        <v>326069064.82999998</v>
      </c>
      <c r="P102" s="10">
        <v>1.25484643729E-3</v>
      </c>
      <c r="Q102" s="1" t="s">
        <v>26</v>
      </c>
      <c r="R102" s="1" t="s">
        <v>26</v>
      </c>
      <c r="S102" s="9" t="s">
        <v>26</v>
      </c>
      <c r="T102" s="10" t="s">
        <v>26</v>
      </c>
      <c r="U102" s="10" t="s">
        <v>26</v>
      </c>
      <c r="V102" s="10" t="s">
        <v>26</v>
      </c>
      <c r="W102" s="9" t="s">
        <v>26</v>
      </c>
      <c r="X102" s="10" t="s">
        <v>26</v>
      </c>
      <c r="Y102" s="10" t="s">
        <v>26</v>
      </c>
      <c r="Z102" s="10" t="s">
        <v>26</v>
      </c>
      <c r="AA102" s="9">
        <v>326069064.82999998</v>
      </c>
      <c r="AB102" s="10">
        <v>2.0350097571100001E-3</v>
      </c>
      <c r="AC102" s="1" t="s">
        <v>26</v>
      </c>
      <c r="AD102" s="1" t="s">
        <v>26</v>
      </c>
      <c r="AE102" s="9">
        <v>652138129.65999997</v>
      </c>
      <c r="AF102" s="10">
        <v>8.7102758455000001E-4</v>
      </c>
      <c r="AG102" s="1" t="s">
        <v>26</v>
      </c>
      <c r="AH102" s="1" t="s">
        <v>26</v>
      </c>
      <c r="AI102" s="9" t="s">
        <v>26</v>
      </c>
      <c r="AJ102" s="10" t="s">
        <v>26</v>
      </c>
      <c r="AK102" s="10" t="s">
        <v>26</v>
      </c>
      <c r="AL102" s="10" t="s">
        <v>26</v>
      </c>
      <c r="AM102" s="9" t="s">
        <v>26</v>
      </c>
      <c r="AN102" s="10" t="s">
        <v>26</v>
      </c>
      <c r="AO102" s="10" t="s">
        <v>26</v>
      </c>
      <c r="AP102" s="10" t="s">
        <v>26</v>
      </c>
      <c r="AQ102" s="9" t="s">
        <v>26</v>
      </c>
      <c r="AR102" s="10" t="s">
        <v>26</v>
      </c>
      <c r="AS102" s="10" t="s">
        <v>26</v>
      </c>
      <c r="AT102" s="10" t="s">
        <v>26</v>
      </c>
      <c r="AU102" s="9" t="s">
        <v>26</v>
      </c>
      <c r="AV102" s="10" t="s">
        <v>26</v>
      </c>
      <c r="AW102" s="1" t="s">
        <v>26</v>
      </c>
      <c r="AX102" s="1" t="s">
        <v>26</v>
      </c>
      <c r="AY102" s="9">
        <v>652138129.65999997</v>
      </c>
      <c r="AZ102" s="10">
        <v>7.6974855135999998E-4</v>
      </c>
      <c r="BA102" s="1" t="s">
        <v>26</v>
      </c>
      <c r="BB102" s="1" t="s">
        <v>26</v>
      </c>
    </row>
    <row r="103" spans="1:54" s="28" customFormat="1">
      <c r="A103" s="3" t="s">
        <v>88</v>
      </c>
      <c r="B103" s="23" t="s">
        <v>47</v>
      </c>
      <c r="C103" s="2" t="s">
        <v>26</v>
      </c>
      <c r="D103" s="1" t="s">
        <v>26</v>
      </c>
      <c r="E103" s="1" t="s">
        <v>26</v>
      </c>
      <c r="F103" s="1" t="s">
        <v>26</v>
      </c>
      <c r="G103" s="2" t="s">
        <v>26</v>
      </c>
      <c r="H103" s="1" t="s">
        <v>26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326069064.82999998</v>
      </c>
      <c r="P103" s="1">
        <v>1</v>
      </c>
      <c r="Q103" s="1" t="s">
        <v>26</v>
      </c>
      <c r="R103" s="1" t="s">
        <v>26</v>
      </c>
      <c r="S103" s="2" t="s">
        <v>26</v>
      </c>
      <c r="T103" s="1" t="s">
        <v>26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326069064.82999998</v>
      </c>
      <c r="AB103" s="1">
        <v>1</v>
      </c>
      <c r="AC103" s="1" t="s">
        <v>26</v>
      </c>
      <c r="AD103" s="1" t="s">
        <v>26</v>
      </c>
      <c r="AE103" s="2">
        <v>652138129.65999997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 t="s">
        <v>26</v>
      </c>
      <c r="AV103" s="1" t="s">
        <v>26</v>
      </c>
      <c r="AW103" s="1" t="s">
        <v>26</v>
      </c>
      <c r="AX103" s="1" t="s">
        <v>26</v>
      </c>
      <c r="AY103" s="2">
        <v>652138129.65999997</v>
      </c>
      <c r="AZ103" s="1">
        <v>1</v>
      </c>
      <c r="BA103" s="1" t="s">
        <v>26</v>
      </c>
      <c r="BB103" s="1" t="s">
        <v>26</v>
      </c>
    </row>
    <row r="104" spans="1:54" s="28" customFormat="1">
      <c r="A104" s="5" t="s">
        <v>94</v>
      </c>
      <c r="B104" s="20" t="s">
        <v>25</v>
      </c>
      <c r="C104" s="9" t="s">
        <v>26</v>
      </c>
      <c r="D104" s="10" t="s">
        <v>26</v>
      </c>
      <c r="E104" s="10" t="s">
        <v>26</v>
      </c>
      <c r="F104" s="10" t="s">
        <v>26</v>
      </c>
      <c r="G104" s="9" t="s">
        <v>26</v>
      </c>
      <c r="H104" s="10" t="s">
        <v>26</v>
      </c>
      <c r="I104" s="10" t="s">
        <v>26</v>
      </c>
      <c r="J104" s="10" t="s">
        <v>26</v>
      </c>
      <c r="K104" s="9" t="s">
        <v>26</v>
      </c>
      <c r="L104" s="10" t="s">
        <v>26</v>
      </c>
      <c r="M104" s="1" t="s">
        <v>26</v>
      </c>
      <c r="N104" s="1" t="s">
        <v>26</v>
      </c>
      <c r="O104" s="9">
        <v>6356707538.9899998</v>
      </c>
      <c r="P104" s="10">
        <v>2.4463197121550002E-2</v>
      </c>
      <c r="Q104" s="1" t="s">
        <v>26</v>
      </c>
      <c r="R104" s="1" t="s">
        <v>26</v>
      </c>
      <c r="S104" s="9" t="s">
        <v>26</v>
      </c>
      <c r="T104" s="10" t="s">
        <v>26</v>
      </c>
      <c r="U104" s="10" t="s">
        <v>26</v>
      </c>
      <c r="V104" s="10" t="s">
        <v>26</v>
      </c>
      <c r="W104" s="9" t="s">
        <v>26</v>
      </c>
      <c r="X104" s="10" t="s">
        <v>26</v>
      </c>
      <c r="Y104" s="10" t="s">
        <v>26</v>
      </c>
      <c r="Z104" s="10" t="s">
        <v>26</v>
      </c>
      <c r="AA104" s="9" t="s">
        <v>26</v>
      </c>
      <c r="AB104" s="10" t="s">
        <v>26</v>
      </c>
      <c r="AC104" s="1" t="s">
        <v>26</v>
      </c>
      <c r="AD104" s="1" t="s">
        <v>26</v>
      </c>
      <c r="AE104" s="9">
        <v>6356707538.9899998</v>
      </c>
      <c r="AF104" s="10">
        <v>8.4903295200599999E-3</v>
      </c>
      <c r="AG104" s="1" t="s">
        <v>26</v>
      </c>
      <c r="AH104" s="1" t="s">
        <v>26</v>
      </c>
      <c r="AI104" s="9" t="s">
        <v>26</v>
      </c>
      <c r="AJ104" s="10" t="s">
        <v>26</v>
      </c>
      <c r="AK104" s="10" t="s">
        <v>26</v>
      </c>
      <c r="AL104" s="10" t="s">
        <v>26</v>
      </c>
      <c r="AM104" s="9" t="s">
        <v>26</v>
      </c>
      <c r="AN104" s="10" t="s">
        <v>26</v>
      </c>
      <c r="AO104" s="10" t="s">
        <v>26</v>
      </c>
      <c r="AP104" s="10" t="s">
        <v>26</v>
      </c>
      <c r="AQ104" s="9" t="s">
        <v>26</v>
      </c>
      <c r="AR104" s="10" t="s">
        <v>26</v>
      </c>
      <c r="AS104" s="10" t="s">
        <v>26</v>
      </c>
      <c r="AT104" s="10" t="s">
        <v>26</v>
      </c>
      <c r="AU104" s="9" t="s">
        <v>26</v>
      </c>
      <c r="AV104" s="10" t="s">
        <v>26</v>
      </c>
      <c r="AW104" s="1" t="s">
        <v>26</v>
      </c>
      <c r="AX104" s="1" t="s">
        <v>26</v>
      </c>
      <c r="AY104" s="9">
        <v>6356707538.9899998</v>
      </c>
      <c r="AZ104" s="10">
        <v>7.50311352303E-3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6356707538.9899998</v>
      </c>
      <c r="P105" s="1">
        <v>1</v>
      </c>
      <c r="Q105" s="1" t="s">
        <v>26</v>
      </c>
      <c r="R105" s="1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 t="s">
        <v>26</v>
      </c>
      <c r="AB105" s="1" t="s">
        <v>26</v>
      </c>
      <c r="AC105" s="1" t="s">
        <v>26</v>
      </c>
      <c r="AD105" s="1" t="s">
        <v>26</v>
      </c>
      <c r="AE105" s="2">
        <v>6356707538.9899998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6356707538.9899998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95</v>
      </c>
      <c r="B106" s="20" t="s">
        <v>25</v>
      </c>
      <c r="C106" s="9" t="s">
        <v>26</v>
      </c>
      <c r="D106" s="10" t="s">
        <v>26</v>
      </c>
      <c r="E106" s="10" t="s">
        <v>26</v>
      </c>
      <c r="F106" s="10" t="s">
        <v>26</v>
      </c>
      <c r="G106" s="9" t="s">
        <v>26</v>
      </c>
      <c r="H106" s="10" t="s">
        <v>26</v>
      </c>
      <c r="I106" s="10" t="s">
        <v>26</v>
      </c>
      <c r="J106" s="10" t="s">
        <v>26</v>
      </c>
      <c r="K106" s="9" t="s">
        <v>26</v>
      </c>
      <c r="L106" s="10" t="s">
        <v>26</v>
      </c>
      <c r="M106" s="1" t="s">
        <v>26</v>
      </c>
      <c r="N106" s="1" t="s">
        <v>26</v>
      </c>
      <c r="O106" s="9" t="s">
        <v>26</v>
      </c>
      <c r="P106" s="10" t="s">
        <v>26</v>
      </c>
      <c r="Q106" s="10" t="s">
        <v>26</v>
      </c>
      <c r="R106" s="10" t="s">
        <v>26</v>
      </c>
      <c r="S106" s="9">
        <v>137476543.34999999</v>
      </c>
      <c r="T106" s="10">
        <v>1.06460115509E-3</v>
      </c>
      <c r="U106" s="1" t="s">
        <v>26</v>
      </c>
      <c r="V106" s="1" t="s">
        <v>26</v>
      </c>
      <c r="W106" s="9" t="s">
        <v>26</v>
      </c>
      <c r="X106" s="10" t="s">
        <v>26</v>
      </c>
      <c r="Y106" s="10" t="s">
        <v>26</v>
      </c>
      <c r="Z106" s="10" t="s">
        <v>26</v>
      </c>
      <c r="AA106" s="9" t="s">
        <v>26</v>
      </c>
      <c r="AB106" s="10" t="s">
        <v>26</v>
      </c>
      <c r="AC106" s="1" t="s">
        <v>26</v>
      </c>
      <c r="AD106" s="1" t="s">
        <v>26</v>
      </c>
      <c r="AE106" s="9">
        <v>137476543.34999999</v>
      </c>
      <c r="AF106" s="10">
        <v>1.8362039579999999E-4</v>
      </c>
      <c r="AG106" s="1" t="s">
        <v>26</v>
      </c>
      <c r="AH106" s="1" t="s">
        <v>26</v>
      </c>
      <c r="AI106" s="9" t="s">
        <v>26</v>
      </c>
      <c r="AJ106" s="10" t="s">
        <v>26</v>
      </c>
      <c r="AK106" s="10" t="s">
        <v>26</v>
      </c>
      <c r="AL106" s="10" t="s">
        <v>26</v>
      </c>
      <c r="AM106" s="9" t="s">
        <v>26</v>
      </c>
      <c r="AN106" s="10" t="s">
        <v>26</v>
      </c>
      <c r="AO106" s="10" t="s">
        <v>26</v>
      </c>
      <c r="AP106" s="10" t="s">
        <v>26</v>
      </c>
      <c r="AQ106" s="9" t="s">
        <v>26</v>
      </c>
      <c r="AR106" s="10" t="s">
        <v>26</v>
      </c>
      <c r="AS106" s="10" t="s">
        <v>26</v>
      </c>
      <c r="AT106" s="10" t="s">
        <v>26</v>
      </c>
      <c r="AU106" s="9">
        <v>176110462.47</v>
      </c>
      <c r="AV106" s="10">
        <v>3.24310424414E-3</v>
      </c>
      <c r="AW106" s="1" t="s">
        <v>26</v>
      </c>
      <c r="AX106" s="1" t="s">
        <v>26</v>
      </c>
      <c r="AY106" s="9">
        <v>313587005.81999999</v>
      </c>
      <c r="AZ106" s="10">
        <v>3.7014112880999998E-4</v>
      </c>
      <c r="BA106" s="1" t="s">
        <v>26</v>
      </c>
      <c r="BB106" s="1" t="s">
        <v>26</v>
      </c>
    </row>
    <row r="107" spans="1:54" s="28" customFormat="1">
      <c r="A107" s="3" t="s">
        <v>88</v>
      </c>
      <c r="B107" s="23" t="s">
        <v>47</v>
      </c>
      <c r="C107" s="2" t="s">
        <v>26</v>
      </c>
      <c r="D107" s="1" t="s">
        <v>26</v>
      </c>
      <c r="E107" s="10" t="s">
        <v>26</v>
      </c>
      <c r="F107" s="10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 t="s">
        <v>26</v>
      </c>
      <c r="P107" s="1" t="s">
        <v>26</v>
      </c>
      <c r="Q107" s="1" t="s">
        <v>26</v>
      </c>
      <c r="R107" s="1" t="s">
        <v>26</v>
      </c>
      <c r="S107" s="2">
        <v>137476543.34999999</v>
      </c>
      <c r="T107" s="1">
        <v>1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 t="s">
        <v>26</v>
      </c>
      <c r="AB107" s="1" t="s">
        <v>26</v>
      </c>
      <c r="AC107" s="1" t="s">
        <v>26</v>
      </c>
      <c r="AD107" s="1" t="s">
        <v>26</v>
      </c>
      <c r="AE107" s="2">
        <v>137476543.34999999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>
        <v>176110462.47</v>
      </c>
      <c r="AV107" s="1">
        <v>1</v>
      </c>
      <c r="AW107" s="1" t="s">
        <v>26</v>
      </c>
      <c r="AX107" s="1" t="s">
        <v>26</v>
      </c>
      <c r="AY107" s="2">
        <v>313587005.81999999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96</v>
      </c>
      <c r="B108" s="20" t="s">
        <v>25</v>
      </c>
      <c r="C108" s="9">
        <v>58272608.159999996</v>
      </c>
      <c r="D108" s="10">
        <v>7.1015285229000004E-3</v>
      </c>
      <c r="E108" s="10" t="s">
        <v>26</v>
      </c>
      <c r="F108" s="10" t="s">
        <v>26</v>
      </c>
      <c r="G108" s="9" t="s">
        <v>26</v>
      </c>
      <c r="H108" s="10" t="s">
        <v>26</v>
      </c>
      <c r="I108" s="10" t="s">
        <v>26</v>
      </c>
      <c r="J108" s="10" t="s">
        <v>26</v>
      </c>
      <c r="K108" s="9">
        <v>147945080.13</v>
      </c>
      <c r="L108" s="10">
        <v>3.3379109691969999E-2</v>
      </c>
      <c r="M108" s="1" t="s">
        <v>26</v>
      </c>
      <c r="N108" s="1" t="s">
        <v>26</v>
      </c>
      <c r="O108" s="9" t="s">
        <v>26</v>
      </c>
      <c r="P108" s="10" t="s">
        <v>26</v>
      </c>
      <c r="Q108" s="10" t="s">
        <v>26</v>
      </c>
      <c r="R108" s="10" t="s">
        <v>26</v>
      </c>
      <c r="S108" s="9">
        <v>284788361.44</v>
      </c>
      <c r="T108" s="10">
        <v>2.2053654475000001E-3</v>
      </c>
      <c r="U108" s="1" t="s">
        <v>26</v>
      </c>
      <c r="V108" s="1" t="s">
        <v>26</v>
      </c>
      <c r="W108" s="9" t="s">
        <v>26</v>
      </c>
      <c r="X108" s="10" t="s">
        <v>26</v>
      </c>
      <c r="Y108" s="10" t="s">
        <v>26</v>
      </c>
      <c r="Z108" s="10" t="s">
        <v>26</v>
      </c>
      <c r="AA108" s="9" t="s">
        <v>26</v>
      </c>
      <c r="AB108" s="10" t="s">
        <v>26</v>
      </c>
      <c r="AC108" s="1" t="s">
        <v>26</v>
      </c>
      <c r="AD108" s="1" t="s">
        <v>26</v>
      </c>
      <c r="AE108" s="9">
        <v>491006049.73000002</v>
      </c>
      <c r="AF108" s="10">
        <v>6.5581169701000002E-4</v>
      </c>
      <c r="AG108" s="1" t="s">
        <v>26</v>
      </c>
      <c r="AH108" s="1" t="s">
        <v>26</v>
      </c>
      <c r="AI108" s="9" t="s">
        <v>26</v>
      </c>
      <c r="AJ108" s="10" t="s">
        <v>26</v>
      </c>
      <c r="AK108" s="10" t="s">
        <v>26</v>
      </c>
      <c r="AL108" s="10" t="s">
        <v>26</v>
      </c>
      <c r="AM108" s="9" t="s">
        <v>26</v>
      </c>
      <c r="AN108" s="10" t="s">
        <v>26</v>
      </c>
      <c r="AO108" s="10" t="s">
        <v>26</v>
      </c>
      <c r="AP108" s="10" t="s">
        <v>26</v>
      </c>
      <c r="AQ108" s="9" t="s">
        <v>26</v>
      </c>
      <c r="AR108" s="10" t="s">
        <v>26</v>
      </c>
      <c r="AS108" s="10" t="s">
        <v>26</v>
      </c>
      <c r="AT108" s="10" t="s">
        <v>26</v>
      </c>
      <c r="AU108" s="9" t="s">
        <v>26</v>
      </c>
      <c r="AV108" s="10" t="s">
        <v>26</v>
      </c>
      <c r="AW108" s="1" t="s">
        <v>26</v>
      </c>
      <c r="AX108" s="1" t="s">
        <v>26</v>
      </c>
      <c r="AY108" s="9">
        <v>491006049.73000002</v>
      </c>
      <c r="AZ108" s="10">
        <v>5.7955696545999998E-4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2">
        <v>58272608.159999996</v>
      </c>
      <c r="D109" s="1">
        <v>1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>
        <v>147945080.13</v>
      </c>
      <c r="L109" s="1">
        <v>1</v>
      </c>
      <c r="M109" s="1" t="s">
        <v>26</v>
      </c>
      <c r="N109" s="1" t="s">
        <v>26</v>
      </c>
      <c r="O109" s="2" t="s">
        <v>26</v>
      </c>
      <c r="P109" s="1" t="s">
        <v>26</v>
      </c>
      <c r="Q109" s="1" t="s">
        <v>26</v>
      </c>
      <c r="R109" s="1" t="s">
        <v>26</v>
      </c>
      <c r="S109" s="2">
        <v>284788361.44</v>
      </c>
      <c r="T109" s="1">
        <v>1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491006049.73000002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491006049.73000002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117</v>
      </c>
      <c r="B110" s="20" t="s">
        <v>25</v>
      </c>
      <c r="C110" s="9" t="s">
        <v>26</v>
      </c>
      <c r="D110" s="10" t="s">
        <v>26</v>
      </c>
      <c r="E110" s="10" t="s">
        <v>26</v>
      </c>
      <c r="F110" s="10" t="s">
        <v>26</v>
      </c>
      <c r="G110" s="9">
        <v>974726186.05999994</v>
      </c>
      <c r="H110" s="10">
        <v>5.4342610178699999E-3</v>
      </c>
      <c r="I110" s="1" t="s">
        <v>26</v>
      </c>
      <c r="J110" s="1" t="s">
        <v>26</v>
      </c>
      <c r="K110" s="9" t="s">
        <v>26</v>
      </c>
      <c r="L110" s="10" t="s">
        <v>26</v>
      </c>
      <c r="M110" s="10" t="s">
        <v>26</v>
      </c>
      <c r="N110" s="10" t="s">
        <v>26</v>
      </c>
      <c r="O110" s="9" t="s">
        <v>26</v>
      </c>
      <c r="P110" s="10" t="s">
        <v>26</v>
      </c>
      <c r="Q110" s="10" t="s">
        <v>26</v>
      </c>
      <c r="R110" s="10" t="s">
        <v>26</v>
      </c>
      <c r="S110" s="9" t="s">
        <v>26</v>
      </c>
      <c r="T110" s="10" t="s">
        <v>26</v>
      </c>
      <c r="U110" s="1" t="s">
        <v>26</v>
      </c>
      <c r="V110" s="1" t="s">
        <v>26</v>
      </c>
      <c r="W110" s="9" t="s">
        <v>26</v>
      </c>
      <c r="X110" s="10" t="s">
        <v>26</v>
      </c>
      <c r="Y110" s="10" t="s">
        <v>26</v>
      </c>
      <c r="Z110" s="10" t="s">
        <v>26</v>
      </c>
      <c r="AA110" s="9" t="s">
        <v>26</v>
      </c>
      <c r="AB110" s="10" t="s">
        <v>26</v>
      </c>
      <c r="AC110" s="1" t="s">
        <v>26</v>
      </c>
      <c r="AD110" s="1" t="s">
        <v>26</v>
      </c>
      <c r="AE110" s="9">
        <v>974726186.05999994</v>
      </c>
      <c r="AF110" s="10">
        <v>1.3018919717000001E-3</v>
      </c>
      <c r="AG110" s="1" t="s">
        <v>26</v>
      </c>
      <c r="AH110" s="1" t="s">
        <v>26</v>
      </c>
      <c r="AI110" s="9" t="s">
        <v>26</v>
      </c>
      <c r="AJ110" s="10" t="s">
        <v>26</v>
      </c>
      <c r="AK110" s="10" t="s">
        <v>26</v>
      </c>
      <c r="AL110" s="10" t="s">
        <v>26</v>
      </c>
      <c r="AM110" s="9" t="s">
        <v>26</v>
      </c>
      <c r="AN110" s="10" t="s">
        <v>26</v>
      </c>
      <c r="AO110" s="10" t="s">
        <v>26</v>
      </c>
      <c r="AP110" s="10" t="s">
        <v>26</v>
      </c>
      <c r="AQ110" s="9" t="s">
        <v>26</v>
      </c>
      <c r="AR110" s="10" t="s">
        <v>26</v>
      </c>
      <c r="AS110" s="10" t="s">
        <v>26</v>
      </c>
      <c r="AT110" s="10" t="s">
        <v>26</v>
      </c>
      <c r="AU110" s="9" t="s">
        <v>26</v>
      </c>
      <c r="AV110" s="10" t="s">
        <v>26</v>
      </c>
      <c r="AW110" s="1" t="s">
        <v>26</v>
      </c>
      <c r="AX110" s="1" t="s">
        <v>26</v>
      </c>
      <c r="AY110" s="9">
        <v>974726186.05999994</v>
      </c>
      <c r="AZ110" s="10">
        <v>1.15051403309E-3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2" t="s">
        <v>26</v>
      </c>
      <c r="D111" s="1" t="s">
        <v>26</v>
      </c>
      <c r="E111" s="1" t="s">
        <v>26</v>
      </c>
      <c r="F111" s="1" t="s">
        <v>26</v>
      </c>
      <c r="G111" s="2">
        <v>974726186.05999994</v>
      </c>
      <c r="H111" s="1">
        <v>1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 t="s">
        <v>26</v>
      </c>
      <c r="P111" s="1" t="s">
        <v>26</v>
      </c>
      <c r="Q111" s="1" t="s">
        <v>26</v>
      </c>
      <c r="R111" s="1" t="s">
        <v>26</v>
      </c>
      <c r="S111" s="2" t="s">
        <v>26</v>
      </c>
      <c r="T111" s="1" t="s">
        <v>26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974726186.05999994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 t="s">
        <v>26</v>
      </c>
      <c r="AV111" s="1" t="s">
        <v>26</v>
      </c>
      <c r="AW111" s="1" t="s">
        <v>26</v>
      </c>
      <c r="AX111" s="1" t="s">
        <v>26</v>
      </c>
      <c r="AY111" s="2">
        <v>974726186.05999994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97</v>
      </c>
      <c r="B112" s="20" t="s">
        <v>25</v>
      </c>
      <c r="C112" s="9" t="s">
        <v>26</v>
      </c>
      <c r="D112" s="10" t="s">
        <v>26</v>
      </c>
      <c r="E112" s="10" t="s">
        <v>26</v>
      </c>
      <c r="F112" s="10" t="s">
        <v>26</v>
      </c>
      <c r="G112" s="9">
        <v>726710714.79999995</v>
      </c>
      <c r="H112" s="10">
        <v>4.0515334102900003E-3</v>
      </c>
      <c r="I112" s="1" t="s">
        <v>26</v>
      </c>
      <c r="J112" s="1" t="s">
        <v>26</v>
      </c>
      <c r="K112" s="9" t="s">
        <v>26</v>
      </c>
      <c r="L112" s="10" t="s">
        <v>26</v>
      </c>
      <c r="M112" s="10" t="s">
        <v>26</v>
      </c>
      <c r="N112" s="10" t="s">
        <v>26</v>
      </c>
      <c r="O112" s="9">
        <v>2094531129.4300001</v>
      </c>
      <c r="P112" s="10">
        <v>8.0606080399599992E-3</v>
      </c>
      <c r="Q112" s="1" t="s">
        <v>26</v>
      </c>
      <c r="R112" s="1" t="s">
        <v>26</v>
      </c>
      <c r="S112" s="9">
        <v>110443267.61</v>
      </c>
      <c r="T112" s="10">
        <v>8.5525884929E-4</v>
      </c>
      <c r="U112" s="1" t="s">
        <v>26</v>
      </c>
      <c r="V112" s="1" t="s">
        <v>26</v>
      </c>
      <c r="W112" s="9" t="s">
        <v>26</v>
      </c>
      <c r="X112" s="10" t="s">
        <v>26</v>
      </c>
      <c r="Y112" s="10" t="s">
        <v>26</v>
      </c>
      <c r="Z112" s="10" t="s">
        <v>26</v>
      </c>
      <c r="AA112" s="9" t="s">
        <v>26</v>
      </c>
      <c r="AB112" s="10" t="s">
        <v>26</v>
      </c>
      <c r="AC112" s="1" t="s">
        <v>26</v>
      </c>
      <c r="AD112" s="1" t="s">
        <v>26</v>
      </c>
      <c r="AE112" s="9">
        <v>2931685111.8400002</v>
      </c>
      <c r="AF112" s="10">
        <v>3.9157020353499999E-3</v>
      </c>
      <c r="AG112" s="1" t="s">
        <v>26</v>
      </c>
      <c r="AH112" s="1" t="s">
        <v>26</v>
      </c>
      <c r="AI112" s="9" t="s">
        <v>26</v>
      </c>
      <c r="AJ112" s="10" t="s">
        <v>26</v>
      </c>
      <c r="AK112" s="10" t="s">
        <v>26</v>
      </c>
      <c r="AL112" s="10" t="s">
        <v>26</v>
      </c>
      <c r="AM112" s="9" t="s">
        <v>26</v>
      </c>
      <c r="AN112" s="10" t="s">
        <v>26</v>
      </c>
      <c r="AO112" s="10" t="s">
        <v>26</v>
      </c>
      <c r="AP112" s="10" t="s">
        <v>26</v>
      </c>
      <c r="AQ112" s="9" t="s">
        <v>26</v>
      </c>
      <c r="AR112" s="10" t="s">
        <v>26</v>
      </c>
      <c r="AS112" s="10" t="s">
        <v>26</v>
      </c>
      <c r="AT112" s="10" t="s">
        <v>26</v>
      </c>
      <c r="AU112" s="9" t="s">
        <v>26</v>
      </c>
      <c r="AV112" s="10" t="s">
        <v>26</v>
      </c>
      <c r="AW112" s="1" t="s">
        <v>26</v>
      </c>
      <c r="AX112" s="1" t="s">
        <v>26</v>
      </c>
      <c r="AY112" s="9">
        <v>2931685111.8400002</v>
      </c>
      <c r="AZ112" s="10">
        <v>3.46040242893E-3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 t="s">
        <v>26</v>
      </c>
      <c r="D113" s="1" t="s">
        <v>26</v>
      </c>
      <c r="E113" s="1" t="s">
        <v>26</v>
      </c>
      <c r="F113" s="1" t="s">
        <v>26</v>
      </c>
      <c r="G113" s="2">
        <v>726710714.79999995</v>
      </c>
      <c r="H113" s="1">
        <v>1</v>
      </c>
      <c r="I113" s="1" t="s">
        <v>26</v>
      </c>
      <c r="J113" s="1" t="s">
        <v>26</v>
      </c>
      <c r="K113" s="2" t="s">
        <v>26</v>
      </c>
      <c r="L113" s="1" t="s">
        <v>26</v>
      </c>
      <c r="M113" s="1" t="s">
        <v>26</v>
      </c>
      <c r="N113" s="1" t="s">
        <v>26</v>
      </c>
      <c r="O113" s="2">
        <v>2094531129.4300001</v>
      </c>
      <c r="P113" s="1">
        <v>1</v>
      </c>
      <c r="Q113" s="1" t="s">
        <v>26</v>
      </c>
      <c r="R113" s="1" t="s">
        <v>26</v>
      </c>
      <c r="S113" s="2">
        <v>110443267.61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2931685111.8400002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2931685111.8400002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98</v>
      </c>
      <c r="B114" s="20" t="s">
        <v>25</v>
      </c>
      <c r="C114" s="9" t="s">
        <v>26</v>
      </c>
      <c r="D114" s="10" t="s">
        <v>26</v>
      </c>
      <c r="E114" s="10" t="s">
        <v>26</v>
      </c>
      <c r="F114" s="10" t="s">
        <v>26</v>
      </c>
      <c r="G114" s="9">
        <v>1494764407.6300001</v>
      </c>
      <c r="H114" s="10">
        <v>8.3335608168200008E-3</v>
      </c>
      <c r="I114" s="1" t="s">
        <v>26</v>
      </c>
      <c r="J114" s="1" t="s">
        <v>26</v>
      </c>
      <c r="K114" s="9" t="s">
        <v>26</v>
      </c>
      <c r="L114" s="10" t="s">
        <v>26</v>
      </c>
      <c r="M114" s="10" t="s">
        <v>26</v>
      </c>
      <c r="N114" s="10" t="s">
        <v>26</v>
      </c>
      <c r="O114" s="9">
        <v>3561385586.5999999</v>
      </c>
      <c r="P114" s="10">
        <v>1.3705660846669999E-2</v>
      </c>
      <c r="Q114" s="1" t="s">
        <v>26</v>
      </c>
      <c r="R114" s="1" t="s">
        <v>26</v>
      </c>
      <c r="S114" s="9">
        <v>997187964.25</v>
      </c>
      <c r="T114" s="10">
        <v>7.72209885931E-3</v>
      </c>
      <c r="U114" s="1" t="s">
        <v>26</v>
      </c>
      <c r="V114" s="1" t="s">
        <v>26</v>
      </c>
      <c r="W114" s="9" t="s">
        <v>26</v>
      </c>
      <c r="X114" s="10" t="s">
        <v>26</v>
      </c>
      <c r="Y114" s="10" t="s">
        <v>26</v>
      </c>
      <c r="Z114" s="10" t="s">
        <v>26</v>
      </c>
      <c r="AA114" s="9" t="s">
        <v>26</v>
      </c>
      <c r="AB114" s="10" t="s">
        <v>26</v>
      </c>
      <c r="AC114" s="1" t="s">
        <v>26</v>
      </c>
      <c r="AD114" s="1" t="s">
        <v>26</v>
      </c>
      <c r="AE114" s="9">
        <v>6053337958.4799995</v>
      </c>
      <c r="AF114" s="10">
        <v>8.0851342693600003E-3</v>
      </c>
      <c r="AG114" s="1" t="s">
        <v>26</v>
      </c>
      <c r="AH114" s="1" t="s">
        <v>26</v>
      </c>
      <c r="AI114" s="9" t="s">
        <v>26</v>
      </c>
      <c r="AJ114" s="10" t="s">
        <v>26</v>
      </c>
      <c r="AK114" s="10" t="s">
        <v>26</v>
      </c>
      <c r="AL114" s="10" t="s">
        <v>26</v>
      </c>
      <c r="AM114" s="9" t="s">
        <v>26</v>
      </c>
      <c r="AN114" s="10" t="s">
        <v>26</v>
      </c>
      <c r="AO114" s="10" t="s">
        <v>26</v>
      </c>
      <c r="AP114" s="10" t="s">
        <v>26</v>
      </c>
      <c r="AQ114" s="9" t="s">
        <v>26</v>
      </c>
      <c r="AR114" s="10" t="s">
        <v>26</v>
      </c>
      <c r="AS114" s="10" t="s">
        <v>26</v>
      </c>
      <c r="AT114" s="10" t="s">
        <v>26</v>
      </c>
      <c r="AU114" s="9">
        <v>997187964.25</v>
      </c>
      <c r="AV114" s="10">
        <v>1.8363386670529998E-2</v>
      </c>
      <c r="AW114" s="1" t="s">
        <v>26</v>
      </c>
      <c r="AX114" s="1" t="s">
        <v>26</v>
      </c>
      <c r="AY114" s="9">
        <v>7050525922.7299995</v>
      </c>
      <c r="AZ114" s="10">
        <v>8.32205919036E-3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40</v>
      </c>
      <c r="C115" s="2" t="s">
        <v>26</v>
      </c>
      <c r="D115" s="1" t="s">
        <v>26</v>
      </c>
      <c r="E115" s="1" t="s">
        <v>26</v>
      </c>
      <c r="F115" s="1" t="s">
        <v>26</v>
      </c>
      <c r="G115" s="2">
        <v>1494764407.6300001</v>
      </c>
      <c r="H115" s="1">
        <v>1</v>
      </c>
      <c r="I115" s="1" t="s">
        <v>26</v>
      </c>
      <c r="J115" s="1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3561385586.5999999</v>
      </c>
      <c r="P115" s="1">
        <v>1</v>
      </c>
      <c r="Q115" s="1" t="s">
        <v>26</v>
      </c>
      <c r="R115" s="1" t="s">
        <v>26</v>
      </c>
      <c r="S115" s="2">
        <v>997187964.25</v>
      </c>
      <c r="T115" s="1">
        <v>1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 t="s">
        <v>26</v>
      </c>
      <c r="AB115" s="1" t="s">
        <v>26</v>
      </c>
      <c r="AC115" s="1" t="s">
        <v>26</v>
      </c>
      <c r="AD115" s="1" t="s">
        <v>26</v>
      </c>
      <c r="AE115" s="2">
        <v>6053337958.4799995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>
        <v>997187964.25</v>
      </c>
      <c r="AV115" s="1">
        <v>1</v>
      </c>
      <c r="AW115" s="1" t="s">
        <v>26</v>
      </c>
      <c r="AX115" s="1" t="s">
        <v>26</v>
      </c>
      <c r="AY115" s="2">
        <v>7050525922.7299995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99</v>
      </c>
      <c r="B116" s="20" t="s">
        <v>25</v>
      </c>
      <c r="C116" s="9" t="s">
        <v>26</v>
      </c>
      <c r="D116" s="10" t="s">
        <v>26</v>
      </c>
      <c r="E116" s="10" t="s">
        <v>26</v>
      </c>
      <c r="F116" s="10" t="s">
        <v>26</v>
      </c>
      <c r="G116" s="9">
        <v>566518922.5</v>
      </c>
      <c r="H116" s="10">
        <v>3.1584374570600001E-3</v>
      </c>
      <c r="I116" s="1" t="s">
        <v>26</v>
      </c>
      <c r="J116" s="1" t="s">
        <v>26</v>
      </c>
      <c r="K116" s="9" t="s">
        <v>26</v>
      </c>
      <c r="L116" s="10" t="s">
        <v>26</v>
      </c>
      <c r="M116" s="10" t="s">
        <v>26</v>
      </c>
      <c r="N116" s="10" t="s">
        <v>26</v>
      </c>
      <c r="O116" s="9">
        <v>785523807.55999994</v>
      </c>
      <c r="P116" s="10">
        <v>3.0230152370800002E-3</v>
      </c>
      <c r="Q116" s="1" t="s">
        <v>26</v>
      </c>
      <c r="R116" s="1" t="s">
        <v>26</v>
      </c>
      <c r="S116" s="9">
        <v>261958349.75999999</v>
      </c>
      <c r="T116" s="10">
        <v>2.0285726927999998E-3</v>
      </c>
      <c r="U116" s="1" t="s">
        <v>26</v>
      </c>
      <c r="V116" s="1" t="s">
        <v>26</v>
      </c>
      <c r="W116" s="9" t="s">
        <v>26</v>
      </c>
      <c r="X116" s="10" t="s">
        <v>26</v>
      </c>
      <c r="Y116" s="10" t="s">
        <v>26</v>
      </c>
      <c r="Z116" s="10" t="s">
        <v>26</v>
      </c>
      <c r="AA116" s="9">
        <v>849778383.75</v>
      </c>
      <c r="AB116" s="10">
        <v>5.3035000520999997E-3</v>
      </c>
      <c r="AC116" s="1" t="s">
        <v>26</v>
      </c>
      <c r="AD116" s="1" t="s">
        <v>26</v>
      </c>
      <c r="AE116" s="9">
        <v>2463779463.5700002</v>
      </c>
      <c r="AF116" s="10">
        <v>3.2907443644599999E-3</v>
      </c>
      <c r="AG116" s="1" t="s">
        <v>26</v>
      </c>
      <c r="AH116" s="1" t="s">
        <v>26</v>
      </c>
      <c r="AI116" s="9" t="s">
        <v>26</v>
      </c>
      <c r="AJ116" s="10" t="s">
        <v>26</v>
      </c>
      <c r="AK116" s="10" t="s">
        <v>26</v>
      </c>
      <c r="AL116" s="10" t="s">
        <v>26</v>
      </c>
      <c r="AM116" s="9" t="s">
        <v>26</v>
      </c>
      <c r="AN116" s="10" t="s">
        <v>26</v>
      </c>
      <c r="AO116" s="10" t="s">
        <v>26</v>
      </c>
      <c r="AP116" s="10" t="s">
        <v>26</v>
      </c>
      <c r="AQ116" s="9" t="s">
        <v>26</v>
      </c>
      <c r="AR116" s="10" t="s">
        <v>26</v>
      </c>
      <c r="AS116" s="10" t="s">
        <v>26</v>
      </c>
      <c r="AT116" s="10" t="s">
        <v>26</v>
      </c>
      <c r="AU116" s="9" t="s">
        <v>26</v>
      </c>
      <c r="AV116" s="10" t="s">
        <v>26</v>
      </c>
      <c r="AW116" s="10" t="s">
        <v>26</v>
      </c>
      <c r="AX116" s="10" t="s">
        <v>26</v>
      </c>
      <c r="AY116" s="9">
        <v>2463779463.5700002</v>
      </c>
      <c r="AZ116" s="10">
        <v>2.9081119270499998E-3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2" t="s">
        <v>26</v>
      </c>
      <c r="D117" s="1" t="s">
        <v>26</v>
      </c>
      <c r="E117" s="1" t="s">
        <v>26</v>
      </c>
      <c r="F117" s="1" t="s">
        <v>26</v>
      </c>
      <c r="G117" s="2">
        <v>566518922.5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785523807.55999994</v>
      </c>
      <c r="P117" s="1">
        <v>1</v>
      </c>
      <c r="Q117" s="1" t="s">
        <v>26</v>
      </c>
      <c r="R117" s="1" t="s">
        <v>26</v>
      </c>
      <c r="S117" s="2">
        <v>261958349.75999999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>
        <v>849778383.75</v>
      </c>
      <c r="AB117" s="1">
        <v>1</v>
      </c>
      <c r="AC117" s="1" t="s">
        <v>26</v>
      </c>
      <c r="AD117" s="1" t="s">
        <v>26</v>
      </c>
      <c r="AE117" s="2">
        <v>2463779463.5700002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2463779463.5700002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100</v>
      </c>
      <c r="B118" s="20" t="s">
        <v>25</v>
      </c>
      <c r="C118" s="9" t="s">
        <v>26</v>
      </c>
      <c r="D118" s="10" t="s">
        <v>26</v>
      </c>
      <c r="E118" s="10" t="s">
        <v>26</v>
      </c>
      <c r="F118" s="10" t="s">
        <v>26</v>
      </c>
      <c r="G118" s="9" t="s">
        <v>26</v>
      </c>
      <c r="H118" s="10" t="s">
        <v>26</v>
      </c>
      <c r="I118" s="1" t="s">
        <v>26</v>
      </c>
      <c r="J118" s="1" t="s">
        <v>26</v>
      </c>
      <c r="K118" s="9" t="s">
        <v>26</v>
      </c>
      <c r="L118" s="10" t="s">
        <v>26</v>
      </c>
      <c r="M118" s="10" t="s">
        <v>26</v>
      </c>
      <c r="N118" s="10" t="s">
        <v>26</v>
      </c>
      <c r="O118" s="9">
        <v>387019359.55000001</v>
      </c>
      <c r="P118" s="10">
        <v>1.48940797173E-3</v>
      </c>
      <c r="Q118" s="1" t="s">
        <v>26</v>
      </c>
      <c r="R118" s="1" t="s">
        <v>26</v>
      </c>
      <c r="S118" s="9" t="s">
        <v>26</v>
      </c>
      <c r="T118" s="10" t="s">
        <v>26</v>
      </c>
      <c r="U118" s="10" t="s">
        <v>26</v>
      </c>
      <c r="V118" s="10" t="s">
        <v>26</v>
      </c>
      <c r="W118" s="9" t="s">
        <v>26</v>
      </c>
      <c r="X118" s="10" t="s">
        <v>26</v>
      </c>
      <c r="Y118" s="10" t="s">
        <v>26</v>
      </c>
      <c r="Z118" s="10" t="s">
        <v>26</v>
      </c>
      <c r="AA118" s="9" t="s">
        <v>26</v>
      </c>
      <c r="AB118" s="10" t="s">
        <v>26</v>
      </c>
      <c r="AC118" s="1" t="s">
        <v>26</v>
      </c>
      <c r="AD118" s="1" t="s">
        <v>26</v>
      </c>
      <c r="AE118" s="9">
        <v>387019359.55000001</v>
      </c>
      <c r="AF118" s="10">
        <v>5.1692198722000002E-4</v>
      </c>
      <c r="AG118" s="1" t="s">
        <v>26</v>
      </c>
      <c r="AH118" s="1" t="s">
        <v>26</v>
      </c>
      <c r="AI118" s="9" t="s">
        <v>26</v>
      </c>
      <c r="AJ118" s="10" t="s">
        <v>26</v>
      </c>
      <c r="AK118" s="10" t="s">
        <v>26</v>
      </c>
      <c r="AL118" s="10" t="s">
        <v>26</v>
      </c>
      <c r="AM118" s="9" t="s">
        <v>26</v>
      </c>
      <c r="AN118" s="10" t="s">
        <v>26</v>
      </c>
      <c r="AO118" s="10" t="s">
        <v>26</v>
      </c>
      <c r="AP118" s="10" t="s">
        <v>26</v>
      </c>
      <c r="AQ118" s="9" t="s">
        <v>26</v>
      </c>
      <c r="AR118" s="10" t="s">
        <v>26</v>
      </c>
      <c r="AS118" s="10" t="s">
        <v>26</v>
      </c>
      <c r="AT118" s="10" t="s">
        <v>26</v>
      </c>
      <c r="AU118" s="9" t="s">
        <v>26</v>
      </c>
      <c r="AV118" s="10" t="s">
        <v>26</v>
      </c>
      <c r="AW118" s="10" t="s">
        <v>26</v>
      </c>
      <c r="AX118" s="10" t="s">
        <v>26</v>
      </c>
      <c r="AY118" s="9">
        <v>387019359.55000001</v>
      </c>
      <c r="AZ118" s="10">
        <v>4.5681670464000002E-4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57</v>
      </c>
      <c r="C119" s="2" t="s">
        <v>26</v>
      </c>
      <c r="D119" s="1" t="s">
        <v>26</v>
      </c>
      <c r="E119" s="1" t="s">
        <v>26</v>
      </c>
      <c r="F119" s="1" t="s">
        <v>26</v>
      </c>
      <c r="G119" s="2" t="s">
        <v>26</v>
      </c>
      <c r="H119" s="1" t="s">
        <v>26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387019359.55000001</v>
      </c>
      <c r="P119" s="1">
        <v>1</v>
      </c>
      <c r="Q119" s="1" t="s">
        <v>26</v>
      </c>
      <c r="R119" s="1" t="s">
        <v>26</v>
      </c>
      <c r="S119" s="2" t="s">
        <v>26</v>
      </c>
      <c r="T119" s="1" t="s">
        <v>26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387019359.55000001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 t="s">
        <v>26</v>
      </c>
      <c r="AV119" s="1" t="s">
        <v>26</v>
      </c>
      <c r="AW119" s="1" t="s">
        <v>26</v>
      </c>
      <c r="AX119" s="1" t="s">
        <v>26</v>
      </c>
      <c r="AY119" s="2">
        <v>387019359.55000001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101</v>
      </c>
      <c r="B120" s="20" t="s">
        <v>25</v>
      </c>
      <c r="C120" s="9" t="s">
        <v>26</v>
      </c>
      <c r="D120" s="10" t="s">
        <v>26</v>
      </c>
      <c r="E120" s="10" t="s">
        <v>26</v>
      </c>
      <c r="F120" s="10" t="s">
        <v>26</v>
      </c>
      <c r="G120" s="9" t="s">
        <v>26</v>
      </c>
      <c r="H120" s="10" t="s">
        <v>26</v>
      </c>
      <c r="I120" s="1" t="s">
        <v>26</v>
      </c>
      <c r="J120" s="1" t="s">
        <v>26</v>
      </c>
      <c r="K120" s="9" t="s">
        <v>26</v>
      </c>
      <c r="L120" s="10" t="s">
        <v>26</v>
      </c>
      <c r="M120" s="10" t="s">
        <v>26</v>
      </c>
      <c r="N120" s="10" t="s">
        <v>26</v>
      </c>
      <c r="O120" s="9">
        <v>32214960.969999999</v>
      </c>
      <c r="P120" s="10">
        <v>1.2397627791000001E-4</v>
      </c>
      <c r="Q120" s="1" t="s">
        <v>26</v>
      </c>
      <c r="R120" s="1" t="s">
        <v>26</v>
      </c>
      <c r="S120" s="9" t="s">
        <v>26</v>
      </c>
      <c r="T120" s="10" t="s">
        <v>26</v>
      </c>
      <c r="U120" s="10" t="s">
        <v>26</v>
      </c>
      <c r="V120" s="10" t="s">
        <v>26</v>
      </c>
      <c r="W120" s="9" t="s">
        <v>26</v>
      </c>
      <c r="X120" s="10" t="s">
        <v>26</v>
      </c>
      <c r="Y120" s="10" t="s">
        <v>26</v>
      </c>
      <c r="Z120" s="10" t="s">
        <v>26</v>
      </c>
      <c r="AA120" s="9" t="s">
        <v>26</v>
      </c>
      <c r="AB120" s="10" t="s">
        <v>26</v>
      </c>
      <c r="AC120" s="1" t="s">
        <v>26</v>
      </c>
      <c r="AD120" s="1" t="s">
        <v>26</v>
      </c>
      <c r="AE120" s="9">
        <v>32214960.969999999</v>
      </c>
      <c r="AF120" s="10">
        <v>4.3027877629999998E-5</v>
      </c>
      <c r="AG120" s="1" t="s">
        <v>26</v>
      </c>
      <c r="AH120" s="1" t="s">
        <v>26</v>
      </c>
      <c r="AI120" s="9" t="s">
        <v>26</v>
      </c>
      <c r="AJ120" s="10" t="s">
        <v>26</v>
      </c>
      <c r="AK120" s="10" t="s">
        <v>26</v>
      </c>
      <c r="AL120" s="10" t="s">
        <v>26</v>
      </c>
      <c r="AM120" s="9" t="s">
        <v>26</v>
      </c>
      <c r="AN120" s="10" t="s">
        <v>26</v>
      </c>
      <c r="AO120" s="10" t="s">
        <v>26</v>
      </c>
      <c r="AP120" s="10" t="s">
        <v>26</v>
      </c>
      <c r="AQ120" s="9" t="s">
        <v>26</v>
      </c>
      <c r="AR120" s="10" t="s">
        <v>26</v>
      </c>
      <c r="AS120" s="10" t="s">
        <v>26</v>
      </c>
      <c r="AT120" s="10" t="s">
        <v>26</v>
      </c>
      <c r="AU120" s="9" t="s">
        <v>26</v>
      </c>
      <c r="AV120" s="10" t="s">
        <v>26</v>
      </c>
      <c r="AW120" s="10" t="s">
        <v>26</v>
      </c>
      <c r="AX120" s="10" t="s">
        <v>26</v>
      </c>
      <c r="AY120" s="9">
        <v>32214960.969999999</v>
      </c>
      <c r="AZ120" s="10">
        <v>3.8024796299999999E-5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57</v>
      </c>
      <c r="C121" s="2" t="s">
        <v>26</v>
      </c>
      <c r="D121" s="1" t="s">
        <v>26</v>
      </c>
      <c r="E121" s="1" t="s">
        <v>26</v>
      </c>
      <c r="F121" s="1" t="s">
        <v>26</v>
      </c>
      <c r="G121" s="2" t="s">
        <v>26</v>
      </c>
      <c r="H121" s="1" t="s">
        <v>26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32214960.969999999</v>
      </c>
      <c r="P121" s="1">
        <v>1</v>
      </c>
      <c r="Q121" s="1" t="s">
        <v>26</v>
      </c>
      <c r="R121" s="1" t="s">
        <v>26</v>
      </c>
      <c r="S121" s="2" t="s">
        <v>26</v>
      </c>
      <c r="T121" s="1" t="s">
        <v>26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 t="s">
        <v>26</v>
      </c>
      <c r="AB121" s="1" t="s">
        <v>26</v>
      </c>
      <c r="AC121" s="1" t="s">
        <v>26</v>
      </c>
      <c r="AD121" s="1" t="s">
        <v>26</v>
      </c>
      <c r="AE121" s="2">
        <v>32214960.969999999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32214960.969999999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102</v>
      </c>
      <c r="B122" s="20" t="s">
        <v>25</v>
      </c>
      <c r="C122" s="9" t="s">
        <v>26</v>
      </c>
      <c r="D122" s="10" t="s">
        <v>26</v>
      </c>
      <c r="E122" s="10" t="s">
        <v>26</v>
      </c>
      <c r="F122" s="10" t="s">
        <v>26</v>
      </c>
      <c r="G122" s="9" t="s">
        <v>26</v>
      </c>
      <c r="H122" s="10" t="s">
        <v>26</v>
      </c>
      <c r="I122" s="1" t="s">
        <v>26</v>
      </c>
      <c r="J122" s="1" t="s">
        <v>26</v>
      </c>
      <c r="K122" s="9" t="s">
        <v>26</v>
      </c>
      <c r="L122" s="10" t="s">
        <v>26</v>
      </c>
      <c r="M122" s="10" t="s">
        <v>26</v>
      </c>
      <c r="N122" s="10" t="s">
        <v>26</v>
      </c>
      <c r="O122" s="9">
        <v>1816931403.1400001</v>
      </c>
      <c r="P122" s="10">
        <v>6.9922913392999999E-3</v>
      </c>
      <c r="Q122" s="1" t="s">
        <v>26</v>
      </c>
      <c r="R122" s="1" t="s">
        <v>26</v>
      </c>
      <c r="S122" s="9" t="s">
        <v>26</v>
      </c>
      <c r="T122" s="10" t="s">
        <v>26</v>
      </c>
      <c r="U122" s="10" t="s">
        <v>26</v>
      </c>
      <c r="V122" s="10" t="s">
        <v>26</v>
      </c>
      <c r="W122" s="9" t="s">
        <v>26</v>
      </c>
      <c r="X122" s="10" t="s">
        <v>26</v>
      </c>
      <c r="Y122" s="10" t="s">
        <v>26</v>
      </c>
      <c r="Z122" s="10" t="s">
        <v>26</v>
      </c>
      <c r="AA122" s="9" t="s">
        <v>26</v>
      </c>
      <c r="AB122" s="10" t="s">
        <v>26</v>
      </c>
      <c r="AC122" s="10" t="s">
        <v>26</v>
      </c>
      <c r="AD122" s="10" t="s">
        <v>26</v>
      </c>
      <c r="AE122" s="9">
        <v>1816931403.1400001</v>
      </c>
      <c r="AF122" s="10">
        <v>2.4267824551299998E-3</v>
      </c>
      <c r="AG122" s="1" t="s">
        <v>26</v>
      </c>
      <c r="AH122" s="1" t="s">
        <v>26</v>
      </c>
      <c r="AI122" s="9" t="s">
        <v>26</v>
      </c>
      <c r="AJ122" s="10" t="s">
        <v>26</v>
      </c>
      <c r="AK122" s="10" t="s">
        <v>26</v>
      </c>
      <c r="AL122" s="10" t="s">
        <v>26</v>
      </c>
      <c r="AM122" s="9" t="s">
        <v>26</v>
      </c>
      <c r="AN122" s="10" t="s">
        <v>26</v>
      </c>
      <c r="AO122" s="10" t="s">
        <v>26</v>
      </c>
      <c r="AP122" s="10" t="s">
        <v>26</v>
      </c>
      <c r="AQ122" s="9" t="s">
        <v>26</v>
      </c>
      <c r="AR122" s="10" t="s">
        <v>26</v>
      </c>
      <c r="AS122" s="10" t="s">
        <v>26</v>
      </c>
      <c r="AT122" s="10" t="s">
        <v>26</v>
      </c>
      <c r="AU122" s="9" t="s">
        <v>26</v>
      </c>
      <c r="AV122" s="10" t="s">
        <v>26</v>
      </c>
      <c r="AW122" s="10" t="s">
        <v>26</v>
      </c>
      <c r="AX122" s="10" t="s">
        <v>26</v>
      </c>
      <c r="AY122" s="9">
        <v>1816931403.1400001</v>
      </c>
      <c r="AZ122" s="10">
        <v>2.1446074870799998E-3</v>
      </c>
      <c r="BA122" s="1" t="s">
        <v>26</v>
      </c>
      <c r="BB122" s="1" t="s">
        <v>26</v>
      </c>
    </row>
    <row r="123" spans="1:54" s="7" customFormat="1">
      <c r="A123" s="3" t="s">
        <v>88</v>
      </c>
      <c r="B123" s="23" t="s">
        <v>47</v>
      </c>
      <c r="C123" s="2" t="s">
        <v>26</v>
      </c>
      <c r="D123" s="1" t="s">
        <v>26</v>
      </c>
      <c r="E123" s="1" t="s">
        <v>26</v>
      </c>
      <c r="F123" s="1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1816931403.1400001</v>
      </c>
      <c r="P123" s="1">
        <v>1</v>
      </c>
      <c r="Q123" s="1" t="s">
        <v>26</v>
      </c>
      <c r="R123" s="1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1816931403.1400001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1816931403.1400001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132</v>
      </c>
      <c r="B124" s="20" t="s">
        <v>25</v>
      </c>
      <c r="C124" s="9">
        <v>49372495.659999996</v>
      </c>
      <c r="D124" s="10">
        <v>6.0168953689799997E-3</v>
      </c>
      <c r="E124" s="1" t="s">
        <v>26</v>
      </c>
      <c r="F124" s="1" t="s">
        <v>26</v>
      </c>
      <c r="G124" s="9">
        <v>740587434.83000004</v>
      </c>
      <c r="H124" s="10">
        <v>4.1288984383299997E-3</v>
      </c>
      <c r="I124" s="1" t="s">
        <v>26</v>
      </c>
      <c r="J124" s="1" t="s">
        <v>26</v>
      </c>
      <c r="K124" s="9">
        <v>18267823.390000001</v>
      </c>
      <c r="L124" s="10">
        <v>4.12155429726E-3</v>
      </c>
      <c r="M124" s="1" t="s">
        <v>26</v>
      </c>
      <c r="N124" s="1" t="s">
        <v>26</v>
      </c>
      <c r="O124" s="9" t="s">
        <v>26</v>
      </c>
      <c r="P124" s="10" t="s">
        <v>26</v>
      </c>
      <c r="Q124" s="1" t="s">
        <v>26</v>
      </c>
      <c r="R124" s="1" t="s">
        <v>26</v>
      </c>
      <c r="S124" s="9">
        <v>493724956.55000001</v>
      </c>
      <c r="T124" s="10">
        <v>3.8233443046600001E-3</v>
      </c>
      <c r="U124" s="1" t="s">
        <v>26</v>
      </c>
      <c r="V124" s="1" t="s">
        <v>26</v>
      </c>
      <c r="W124" s="9" t="s">
        <v>26</v>
      </c>
      <c r="X124" s="10" t="s">
        <v>26</v>
      </c>
      <c r="Y124" s="10" t="s">
        <v>26</v>
      </c>
      <c r="Z124" s="10" t="s">
        <v>26</v>
      </c>
      <c r="AA124" s="9" t="s">
        <v>26</v>
      </c>
      <c r="AB124" s="10" t="s">
        <v>26</v>
      </c>
      <c r="AC124" s="10" t="s">
        <v>26</v>
      </c>
      <c r="AD124" s="10" t="s">
        <v>26</v>
      </c>
      <c r="AE124" s="9">
        <v>1301952710.4300001</v>
      </c>
      <c r="AF124" s="10">
        <v>1.73895172356E-3</v>
      </c>
      <c r="AG124" s="1" t="s">
        <v>26</v>
      </c>
      <c r="AH124" s="1" t="s">
        <v>26</v>
      </c>
      <c r="AI124" s="9" t="s">
        <v>26</v>
      </c>
      <c r="AJ124" s="10" t="s">
        <v>26</v>
      </c>
      <c r="AK124" s="10" t="s">
        <v>26</v>
      </c>
      <c r="AL124" s="10" t="s">
        <v>26</v>
      </c>
      <c r="AM124" s="9" t="s">
        <v>26</v>
      </c>
      <c r="AN124" s="10" t="s">
        <v>26</v>
      </c>
      <c r="AO124" s="10" t="s">
        <v>26</v>
      </c>
      <c r="AP124" s="10" t="s">
        <v>26</v>
      </c>
      <c r="AQ124" s="9" t="s">
        <v>26</v>
      </c>
      <c r="AR124" s="10" t="s">
        <v>26</v>
      </c>
      <c r="AS124" s="10" t="s">
        <v>26</v>
      </c>
      <c r="AT124" s="10" t="s">
        <v>26</v>
      </c>
      <c r="AU124" s="9" t="s">
        <v>26</v>
      </c>
      <c r="AV124" s="10" t="s">
        <v>26</v>
      </c>
      <c r="AW124" s="10" t="s">
        <v>26</v>
      </c>
      <c r="AX124" s="10" t="s">
        <v>26</v>
      </c>
      <c r="AY124" s="9">
        <v>1301952710.4300001</v>
      </c>
      <c r="AZ124" s="10">
        <v>1.5367545113699999E-3</v>
      </c>
      <c r="BA124" s="1" t="s">
        <v>26</v>
      </c>
      <c r="BB124" s="1" t="s">
        <v>26</v>
      </c>
    </row>
    <row r="125" spans="1:54" s="7" customFormat="1">
      <c r="A125" s="3" t="s">
        <v>88</v>
      </c>
      <c r="B125" s="23" t="s">
        <v>47</v>
      </c>
      <c r="C125" s="2">
        <v>49372495.659999996</v>
      </c>
      <c r="D125" s="1">
        <v>1</v>
      </c>
      <c r="E125" s="1" t="s">
        <v>26</v>
      </c>
      <c r="F125" s="1" t="s">
        <v>26</v>
      </c>
      <c r="G125" s="2">
        <v>740587434.83000004</v>
      </c>
      <c r="H125" s="1">
        <v>1</v>
      </c>
      <c r="I125" s="1" t="s">
        <v>26</v>
      </c>
      <c r="J125" s="1" t="s">
        <v>26</v>
      </c>
      <c r="K125" s="2">
        <v>18267823.390000001</v>
      </c>
      <c r="L125" s="1">
        <v>1</v>
      </c>
      <c r="M125" s="1" t="s">
        <v>26</v>
      </c>
      <c r="N125" s="1" t="s">
        <v>26</v>
      </c>
      <c r="O125" s="2" t="s">
        <v>26</v>
      </c>
      <c r="P125" s="1" t="s">
        <v>26</v>
      </c>
      <c r="Q125" s="1" t="s">
        <v>26</v>
      </c>
      <c r="R125" s="1" t="s">
        <v>26</v>
      </c>
      <c r="S125" s="2">
        <v>493724956.55000001</v>
      </c>
      <c r="T125" s="1">
        <v>1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1301952710.4300001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1301952710.4300001</v>
      </c>
      <c r="AZ125" s="1">
        <v>1</v>
      </c>
      <c r="BA125" s="1" t="s">
        <v>26</v>
      </c>
      <c r="BB125" s="1" t="s">
        <v>26</v>
      </c>
    </row>
    <row r="126" spans="1:54" s="28" customFormat="1">
      <c r="A126" s="5" t="s">
        <v>103</v>
      </c>
      <c r="B126" s="20" t="s">
        <v>25</v>
      </c>
      <c r="C126" s="9" t="s">
        <v>26</v>
      </c>
      <c r="D126" s="10" t="s">
        <v>26</v>
      </c>
      <c r="E126" s="1" t="s">
        <v>26</v>
      </c>
      <c r="F126" s="1" t="s">
        <v>26</v>
      </c>
      <c r="G126" s="9" t="s">
        <v>26</v>
      </c>
      <c r="H126" s="10" t="s">
        <v>26</v>
      </c>
      <c r="I126" s="1" t="s">
        <v>26</v>
      </c>
      <c r="J126" s="1" t="s">
        <v>26</v>
      </c>
      <c r="K126" s="9" t="s">
        <v>26</v>
      </c>
      <c r="L126" s="10" t="s">
        <v>26</v>
      </c>
      <c r="M126" s="1" t="s">
        <v>26</v>
      </c>
      <c r="N126" s="1" t="s">
        <v>26</v>
      </c>
      <c r="O126" s="9">
        <v>641003902</v>
      </c>
      <c r="P126" s="10">
        <v>2.4668438360800002E-3</v>
      </c>
      <c r="Q126" s="1" t="s">
        <v>26</v>
      </c>
      <c r="R126" s="1" t="s">
        <v>26</v>
      </c>
      <c r="S126" s="9" t="s">
        <v>26</v>
      </c>
      <c r="T126" s="10" t="s">
        <v>26</v>
      </c>
      <c r="U126" s="10" t="s">
        <v>26</v>
      </c>
      <c r="V126" s="10" t="s">
        <v>26</v>
      </c>
      <c r="W126" s="9" t="s">
        <v>26</v>
      </c>
      <c r="X126" s="10" t="s">
        <v>26</v>
      </c>
      <c r="Y126" s="10" t="s">
        <v>26</v>
      </c>
      <c r="Z126" s="10" t="s">
        <v>26</v>
      </c>
      <c r="AA126" s="9" t="s">
        <v>26</v>
      </c>
      <c r="AB126" s="10" t="s">
        <v>26</v>
      </c>
      <c r="AC126" s="10" t="s">
        <v>26</v>
      </c>
      <c r="AD126" s="10" t="s">
        <v>26</v>
      </c>
      <c r="AE126" s="9">
        <v>641003902</v>
      </c>
      <c r="AF126" s="10">
        <v>8.5615616546999996E-4</v>
      </c>
      <c r="AG126" s="1" t="s">
        <v>26</v>
      </c>
      <c r="AH126" s="1" t="s">
        <v>26</v>
      </c>
      <c r="AI126" s="9" t="s">
        <v>26</v>
      </c>
      <c r="AJ126" s="10" t="s">
        <v>26</v>
      </c>
      <c r="AK126" s="10" t="s">
        <v>26</v>
      </c>
      <c r="AL126" s="10" t="s">
        <v>26</v>
      </c>
      <c r="AM126" s="9" t="s">
        <v>26</v>
      </c>
      <c r="AN126" s="10" t="s">
        <v>26</v>
      </c>
      <c r="AO126" s="10" t="s">
        <v>26</v>
      </c>
      <c r="AP126" s="10" t="s">
        <v>26</v>
      </c>
      <c r="AQ126" s="9" t="s">
        <v>26</v>
      </c>
      <c r="AR126" s="10" t="s">
        <v>26</v>
      </c>
      <c r="AS126" s="10" t="s">
        <v>26</v>
      </c>
      <c r="AT126" s="10" t="s">
        <v>26</v>
      </c>
      <c r="AU126" s="9" t="s">
        <v>26</v>
      </c>
      <c r="AV126" s="10" t="s">
        <v>26</v>
      </c>
      <c r="AW126" s="10" t="s">
        <v>26</v>
      </c>
      <c r="AX126" s="10" t="s">
        <v>26</v>
      </c>
      <c r="AY126" s="9">
        <v>641003902</v>
      </c>
      <c r="AZ126" s="10">
        <v>7.5660631166999997E-4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120</v>
      </c>
      <c r="C127" s="2" t="s">
        <v>26</v>
      </c>
      <c r="D127" s="1" t="s">
        <v>26</v>
      </c>
      <c r="E127" s="1" t="s">
        <v>26</v>
      </c>
      <c r="F127" s="1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641003902</v>
      </c>
      <c r="P127" s="1">
        <v>1</v>
      </c>
      <c r="Q127" s="1" t="s">
        <v>26</v>
      </c>
      <c r="R127" s="1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641003902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641003902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121</v>
      </c>
      <c r="B128" s="20" t="s">
        <v>25</v>
      </c>
      <c r="C128" s="9">
        <v>58651148.409999996</v>
      </c>
      <c r="D128" s="10">
        <v>7.14766022126E-3</v>
      </c>
      <c r="E128" s="1" t="s">
        <v>26</v>
      </c>
      <c r="F128" s="1" t="s">
        <v>26</v>
      </c>
      <c r="G128" s="9" t="s">
        <v>26</v>
      </c>
      <c r="H128" s="10" t="s">
        <v>26</v>
      </c>
      <c r="I128" s="10" t="s">
        <v>26</v>
      </c>
      <c r="J128" s="10" t="s">
        <v>26</v>
      </c>
      <c r="K128" s="9">
        <v>46303538.219999999</v>
      </c>
      <c r="L128" s="10">
        <v>1.0446923142109999E-2</v>
      </c>
      <c r="M128" s="1" t="s">
        <v>26</v>
      </c>
      <c r="N128" s="1" t="s">
        <v>26</v>
      </c>
      <c r="O128" s="9" t="s">
        <v>26</v>
      </c>
      <c r="P128" s="10" t="s">
        <v>26</v>
      </c>
      <c r="Q128" s="1" t="s">
        <v>26</v>
      </c>
      <c r="R128" s="1" t="s">
        <v>26</v>
      </c>
      <c r="S128" s="9" t="s">
        <v>26</v>
      </c>
      <c r="T128" s="10" t="s">
        <v>26</v>
      </c>
      <c r="U128" s="10" t="s">
        <v>26</v>
      </c>
      <c r="V128" s="10" t="s">
        <v>26</v>
      </c>
      <c r="W128" s="9" t="s">
        <v>26</v>
      </c>
      <c r="X128" s="10" t="s">
        <v>26</v>
      </c>
      <c r="Y128" s="10" t="s">
        <v>26</v>
      </c>
      <c r="Z128" s="10" t="s">
        <v>26</v>
      </c>
      <c r="AA128" s="9" t="s">
        <v>26</v>
      </c>
      <c r="AB128" s="10" t="s">
        <v>26</v>
      </c>
      <c r="AC128" s="10" t="s">
        <v>26</v>
      </c>
      <c r="AD128" s="10" t="s">
        <v>26</v>
      </c>
      <c r="AE128" s="9">
        <v>104954686.63</v>
      </c>
      <c r="AF128" s="10">
        <v>1.4018261320000001E-4</v>
      </c>
      <c r="AG128" s="1" t="s">
        <v>26</v>
      </c>
      <c r="AH128" s="1" t="s">
        <v>26</v>
      </c>
      <c r="AI128" s="9" t="s">
        <v>26</v>
      </c>
      <c r="AJ128" s="10" t="s">
        <v>26</v>
      </c>
      <c r="AK128" s="10" t="s">
        <v>26</v>
      </c>
      <c r="AL128" s="10" t="s">
        <v>26</v>
      </c>
      <c r="AM128" s="9" t="s">
        <v>26</v>
      </c>
      <c r="AN128" s="10" t="s">
        <v>26</v>
      </c>
      <c r="AO128" s="10" t="s">
        <v>26</v>
      </c>
      <c r="AP128" s="10" t="s">
        <v>26</v>
      </c>
      <c r="AQ128" s="9" t="s">
        <v>26</v>
      </c>
      <c r="AR128" s="10" t="s">
        <v>26</v>
      </c>
      <c r="AS128" s="10" t="s">
        <v>26</v>
      </c>
      <c r="AT128" s="10" t="s">
        <v>26</v>
      </c>
      <c r="AU128" s="9" t="s">
        <v>26</v>
      </c>
      <c r="AV128" s="10" t="s">
        <v>26</v>
      </c>
      <c r="AW128" s="10" t="s">
        <v>26</v>
      </c>
      <c r="AX128" s="10" t="s">
        <v>26</v>
      </c>
      <c r="AY128" s="9">
        <v>104954686.63</v>
      </c>
      <c r="AZ128" s="10">
        <v>1.2388283144000001E-4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47</v>
      </c>
      <c r="C129" s="2">
        <v>58651148.409999996</v>
      </c>
      <c r="D129" s="1">
        <v>1</v>
      </c>
      <c r="E129" s="1" t="s">
        <v>26</v>
      </c>
      <c r="F129" s="1" t="s">
        <v>26</v>
      </c>
      <c r="G129" s="2" t="s">
        <v>26</v>
      </c>
      <c r="H129" s="1" t="s">
        <v>26</v>
      </c>
      <c r="I129" s="1" t="s">
        <v>26</v>
      </c>
      <c r="J129" s="1" t="s">
        <v>26</v>
      </c>
      <c r="K129" s="2">
        <v>46303538.219999999</v>
      </c>
      <c r="L129" s="1">
        <v>1</v>
      </c>
      <c r="M129" s="1" t="s">
        <v>26</v>
      </c>
      <c r="N129" s="1" t="s">
        <v>26</v>
      </c>
      <c r="O129" s="2" t="s">
        <v>26</v>
      </c>
      <c r="P129" s="1" t="s">
        <v>26</v>
      </c>
      <c r="Q129" s="1" t="s">
        <v>26</v>
      </c>
      <c r="R129" s="1" t="s">
        <v>26</v>
      </c>
      <c r="S129" s="2" t="s">
        <v>26</v>
      </c>
      <c r="T129" s="1" t="s">
        <v>26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104954686.63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104954686.63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133</v>
      </c>
      <c r="B130" s="20" t="s">
        <v>25</v>
      </c>
      <c r="C130" s="9" t="s">
        <v>26</v>
      </c>
      <c r="D130" s="10" t="s">
        <v>26</v>
      </c>
      <c r="E130" s="1" t="s">
        <v>26</v>
      </c>
      <c r="F130" s="1" t="s">
        <v>26</v>
      </c>
      <c r="G130" s="9" t="s">
        <v>26</v>
      </c>
      <c r="H130" s="10" t="s">
        <v>26</v>
      </c>
      <c r="I130" s="10" t="s">
        <v>26</v>
      </c>
      <c r="J130" s="10" t="s">
        <v>26</v>
      </c>
      <c r="K130" s="9">
        <v>48502017.909999996</v>
      </c>
      <c r="L130" s="10">
        <v>1.0942940276740001E-2</v>
      </c>
      <c r="M130" s="1" t="s">
        <v>26</v>
      </c>
      <c r="N130" s="1" t="s">
        <v>26</v>
      </c>
      <c r="O130" s="9" t="s">
        <v>26</v>
      </c>
      <c r="P130" s="10" t="s">
        <v>26</v>
      </c>
      <c r="Q130" s="10" t="s">
        <v>26</v>
      </c>
      <c r="R130" s="10" t="s">
        <v>26</v>
      </c>
      <c r="S130" s="9" t="s">
        <v>26</v>
      </c>
      <c r="T130" s="10" t="s">
        <v>26</v>
      </c>
      <c r="U130" s="10" t="s">
        <v>26</v>
      </c>
      <c r="V130" s="10" t="s">
        <v>26</v>
      </c>
      <c r="W130" s="9" t="s">
        <v>26</v>
      </c>
      <c r="X130" s="10" t="s">
        <v>26</v>
      </c>
      <c r="Y130" s="10" t="s">
        <v>26</v>
      </c>
      <c r="Z130" s="10" t="s">
        <v>26</v>
      </c>
      <c r="AA130" s="9" t="s">
        <v>26</v>
      </c>
      <c r="AB130" s="10" t="s">
        <v>26</v>
      </c>
      <c r="AC130" s="10" t="s">
        <v>26</v>
      </c>
      <c r="AD130" s="10" t="s">
        <v>26</v>
      </c>
      <c r="AE130" s="9">
        <v>48502017.909999996</v>
      </c>
      <c r="AF130" s="10">
        <v>6.4781667540000004E-5</v>
      </c>
      <c r="AG130" s="1" t="s">
        <v>26</v>
      </c>
      <c r="AH130" s="1" t="s">
        <v>26</v>
      </c>
      <c r="AI130" s="9" t="s">
        <v>26</v>
      </c>
      <c r="AJ130" s="10" t="s">
        <v>26</v>
      </c>
      <c r="AK130" s="10" t="s">
        <v>26</v>
      </c>
      <c r="AL130" s="10" t="s">
        <v>26</v>
      </c>
      <c r="AM130" s="9" t="s">
        <v>26</v>
      </c>
      <c r="AN130" s="10" t="s">
        <v>26</v>
      </c>
      <c r="AO130" s="10" t="s">
        <v>26</v>
      </c>
      <c r="AP130" s="10" t="s">
        <v>26</v>
      </c>
      <c r="AQ130" s="9" t="s">
        <v>26</v>
      </c>
      <c r="AR130" s="10" t="s">
        <v>26</v>
      </c>
      <c r="AS130" s="10" t="s">
        <v>26</v>
      </c>
      <c r="AT130" s="10" t="s">
        <v>26</v>
      </c>
      <c r="AU130" s="9" t="s">
        <v>26</v>
      </c>
      <c r="AV130" s="10" t="s">
        <v>26</v>
      </c>
      <c r="AW130" s="10" t="s">
        <v>26</v>
      </c>
      <c r="AX130" s="10" t="s">
        <v>26</v>
      </c>
      <c r="AY130" s="9">
        <v>48502017.909999996</v>
      </c>
      <c r="AZ130" s="10">
        <v>5.724915678E-5</v>
      </c>
      <c r="BA130" s="1" t="s">
        <v>26</v>
      </c>
      <c r="BB130" s="1" t="s">
        <v>26</v>
      </c>
    </row>
    <row r="131" spans="1:54" s="7" customFormat="1">
      <c r="A131" s="3" t="s">
        <v>88</v>
      </c>
      <c r="B131" s="23" t="s">
        <v>47</v>
      </c>
      <c r="C131" s="2" t="s">
        <v>26</v>
      </c>
      <c r="D131" s="1" t="s">
        <v>26</v>
      </c>
      <c r="E131" s="1" t="s">
        <v>26</v>
      </c>
      <c r="F131" s="1" t="s">
        <v>26</v>
      </c>
      <c r="G131" s="2" t="s">
        <v>26</v>
      </c>
      <c r="H131" s="1" t="s">
        <v>26</v>
      </c>
      <c r="I131" s="1" t="s">
        <v>26</v>
      </c>
      <c r="J131" s="1" t="s">
        <v>26</v>
      </c>
      <c r="K131" s="2">
        <v>48502017.909999996</v>
      </c>
      <c r="L131" s="1">
        <v>1</v>
      </c>
      <c r="M131" s="1" t="s">
        <v>26</v>
      </c>
      <c r="N131" s="1" t="s">
        <v>26</v>
      </c>
      <c r="O131" s="2" t="s">
        <v>26</v>
      </c>
      <c r="P131" s="1" t="s">
        <v>26</v>
      </c>
      <c r="Q131" s="1" t="s">
        <v>26</v>
      </c>
      <c r="R131" s="1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48502017.909999996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48502017.909999996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140</v>
      </c>
      <c r="B132" s="20" t="s">
        <v>25</v>
      </c>
      <c r="C132" s="9" t="s">
        <v>26</v>
      </c>
      <c r="D132" s="10" t="s">
        <v>26</v>
      </c>
      <c r="E132" s="10" t="s">
        <v>26</v>
      </c>
      <c r="F132" s="10" t="s">
        <v>26</v>
      </c>
      <c r="G132" s="9" t="s">
        <v>26</v>
      </c>
      <c r="H132" s="10" t="s">
        <v>26</v>
      </c>
      <c r="I132" s="10" t="s">
        <v>26</v>
      </c>
      <c r="J132" s="10" t="s">
        <v>26</v>
      </c>
      <c r="K132" s="9">
        <v>63908404.969999999</v>
      </c>
      <c r="L132" s="10">
        <v>1.4418902324149999E-2</v>
      </c>
      <c r="M132" s="1" t="s">
        <v>26</v>
      </c>
      <c r="N132" s="1" t="s">
        <v>26</v>
      </c>
      <c r="O132" s="9" t="s">
        <v>26</v>
      </c>
      <c r="P132" s="10" t="s">
        <v>26</v>
      </c>
      <c r="Q132" s="10" t="s">
        <v>26</v>
      </c>
      <c r="R132" s="10" t="s">
        <v>26</v>
      </c>
      <c r="S132" s="9" t="s">
        <v>26</v>
      </c>
      <c r="T132" s="10" t="s">
        <v>26</v>
      </c>
      <c r="U132" s="10" t="s">
        <v>26</v>
      </c>
      <c r="V132" s="10" t="s">
        <v>26</v>
      </c>
      <c r="W132" s="9" t="s">
        <v>26</v>
      </c>
      <c r="X132" s="10" t="s">
        <v>26</v>
      </c>
      <c r="Y132" s="10" t="s">
        <v>26</v>
      </c>
      <c r="Z132" s="10" t="s">
        <v>26</v>
      </c>
      <c r="AA132" s="9" t="s">
        <v>26</v>
      </c>
      <c r="AB132" s="10" t="s">
        <v>26</v>
      </c>
      <c r="AC132" s="10" t="s">
        <v>26</v>
      </c>
      <c r="AD132" s="10" t="s">
        <v>26</v>
      </c>
      <c r="AE132" s="9">
        <v>63908404.969999999</v>
      </c>
      <c r="AF132" s="10">
        <v>8.5359191680000005E-5</v>
      </c>
      <c r="AG132" s="1" t="s">
        <v>26</v>
      </c>
      <c r="AH132" s="1" t="s">
        <v>26</v>
      </c>
      <c r="AI132" s="9" t="s">
        <v>26</v>
      </c>
      <c r="AJ132" s="10" t="s">
        <v>26</v>
      </c>
      <c r="AK132" s="10" t="s">
        <v>26</v>
      </c>
      <c r="AL132" s="10" t="s">
        <v>26</v>
      </c>
      <c r="AM132" s="9" t="s">
        <v>26</v>
      </c>
      <c r="AN132" s="10" t="s">
        <v>26</v>
      </c>
      <c r="AO132" s="10" t="s">
        <v>26</v>
      </c>
      <c r="AP132" s="10" t="s">
        <v>26</v>
      </c>
      <c r="AQ132" s="9" t="s">
        <v>26</v>
      </c>
      <c r="AR132" s="10" t="s">
        <v>26</v>
      </c>
      <c r="AS132" s="10" t="s">
        <v>26</v>
      </c>
      <c r="AT132" s="10" t="s">
        <v>26</v>
      </c>
      <c r="AU132" s="9" t="s">
        <v>26</v>
      </c>
      <c r="AV132" s="10" t="s">
        <v>26</v>
      </c>
      <c r="AW132" s="10" t="s">
        <v>26</v>
      </c>
      <c r="AX132" s="10" t="s">
        <v>26</v>
      </c>
      <c r="AY132" s="9">
        <v>63908404.969999999</v>
      </c>
      <c r="AZ132" s="10">
        <v>7.5434022189999997E-5</v>
      </c>
      <c r="BA132" s="1" t="s">
        <v>26</v>
      </c>
      <c r="BB132" s="1" t="s">
        <v>26</v>
      </c>
    </row>
    <row r="133" spans="1:54" s="7" customFormat="1">
      <c r="A133" s="3" t="s">
        <v>88</v>
      </c>
      <c r="B133" s="23" t="s">
        <v>47</v>
      </c>
      <c r="C133" s="2" t="s">
        <v>26</v>
      </c>
      <c r="D133" s="1" t="s">
        <v>26</v>
      </c>
      <c r="E133" s="1" t="s">
        <v>26</v>
      </c>
      <c r="F133" s="1" t="s">
        <v>26</v>
      </c>
      <c r="G133" s="2" t="s">
        <v>26</v>
      </c>
      <c r="H133" s="1" t="s">
        <v>26</v>
      </c>
      <c r="I133" s="1" t="s">
        <v>26</v>
      </c>
      <c r="J133" s="1" t="s">
        <v>26</v>
      </c>
      <c r="K133" s="2">
        <v>63908404.969999999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" t="s">
        <v>26</v>
      </c>
      <c r="R133" s="1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63908404.969999999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63908404.969999999</v>
      </c>
      <c r="AZ133" s="1">
        <v>1</v>
      </c>
      <c r="BA133" s="1" t="s">
        <v>26</v>
      </c>
      <c r="BB133" s="1" t="s">
        <v>26</v>
      </c>
    </row>
    <row r="134" spans="1:54" s="7" customFormat="1">
      <c r="A134" s="12" t="s">
        <v>106</v>
      </c>
      <c r="B134" s="40" t="s">
        <v>25</v>
      </c>
      <c r="C134" s="42" t="s">
        <v>26</v>
      </c>
      <c r="D134" s="43" t="s">
        <v>26</v>
      </c>
      <c r="E134" s="43" t="s">
        <v>26</v>
      </c>
      <c r="F134" s="43" t="s">
        <v>26</v>
      </c>
      <c r="G134" s="42">
        <v>127524091.27</v>
      </c>
      <c r="H134" s="43">
        <v>7.1096807282E-4</v>
      </c>
      <c r="I134" s="43">
        <v>0.05</v>
      </c>
      <c r="J134" s="43">
        <f>+I134-H134</f>
        <v>4.9289031927180003E-2</v>
      </c>
      <c r="K134" s="42" t="s">
        <v>26</v>
      </c>
      <c r="L134" s="43" t="s">
        <v>26</v>
      </c>
      <c r="M134" s="43" t="s">
        <v>26</v>
      </c>
      <c r="N134" s="43" t="s">
        <v>26</v>
      </c>
      <c r="O134" s="42" t="s">
        <v>26</v>
      </c>
      <c r="P134" s="43" t="s">
        <v>26</v>
      </c>
      <c r="Q134" s="43" t="s">
        <v>26</v>
      </c>
      <c r="R134" s="43" t="s">
        <v>26</v>
      </c>
      <c r="S134" s="42">
        <v>127524091.27</v>
      </c>
      <c r="T134" s="43">
        <v>9.8753061110999998E-4</v>
      </c>
      <c r="U134" s="43">
        <v>0.05</v>
      </c>
      <c r="V134" s="43">
        <f>+U134-T134</f>
        <v>4.901246938889E-2</v>
      </c>
      <c r="W134" s="42" t="s">
        <v>26</v>
      </c>
      <c r="X134" s="43" t="s">
        <v>26</v>
      </c>
      <c r="Y134" s="43" t="s">
        <v>26</v>
      </c>
      <c r="Z134" s="43" t="s">
        <v>26</v>
      </c>
      <c r="AA134" s="42">
        <v>127524091.27</v>
      </c>
      <c r="AB134" s="43">
        <v>7.9588282971999999E-4</v>
      </c>
      <c r="AC134" s="43">
        <v>0.05</v>
      </c>
      <c r="AD134" s="43">
        <f>+AC134-AB134</f>
        <v>4.9204117170280004E-2</v>
      </c>
      <c r="AE134" s="42">
        <v>382572273.81</v>
      </c>
      <c r="AF134" s="43">
        <v>5.1098224198000005E-4</v>
      </c>
      <c r="AG134" s="43">
        <v>0.05</v>
      </c>
      <c r="AH134" s="43">
        <f>+AG134-AF134</f>
        <v>4.9489017758020004E-2</v>
      </c>
      <c r="AI134" s="42" t="s">
        <v>26</v>
      </c>
      <c r="AJ134" s="43" t="s">
        <v>26</v>
      </c>
      <c r="AK134" s="43" t="s">
        <v>26</v>
      </c>
      <c r="AL134" s="43" t="s">
        <v>26</v>
      </c>
      <c r="AM134" s="42" t="s">
        <v>26</v>
      </c>
      <c r="AN134" s="43" t="s">
        <v>26</v>
      </c>
      <c r="AO134" s="43" t="s">
        <v>26</v>
      </c>
      <c r="AP134" s="43" t="s">
        <v>26</v>
      </c>
      <c r="AQ134" s="42" t="s">
        <v>26</v>
      </c>
      <c r="AR134" s="43" t="s">
        <v>26</v>
      </c>
      <c r="AS134" s="43" t="s">
        <v>26</v>
      </c>
      <c r="AT134" s="43" t="s">
        <v>26</v>
      </c>
      <c r="AU134" s="42" t="s">
        <v>26</v>
      </c>
      <c r="AV134" s="43" t="s">
        <v>26</v>
      </c>
      <c r="AW134" s="43" t="s">
        <v>26</v>
      </c>
      <c r="AX134" s="43" t="s">
        <v>26</v>
      </c>
      <c r="AY134" s="42">
        <v>382572273.81</v>
      </c>
      <c r="AZ134" s="43">
        <v>4.5156760532999999E-4</v>
      </c>
      <c r="BA134" s="43">
        <v>0.05</v>
      </c>
      <c r="BB134" s="43">
        <f>+BA134*AZ134</f>
        <v>2.25783802665E-5</v>
      </c>
    </row>
    <row r="135" spans="1:54" s="7" customFormat="1">
      <c r="A135" s="5" t="s">
        <v>139</v>
      </c>
      <c r="B135" s="20" t="s">
        <v>25</v>
      </c>
      <c r="C135" s="9" t="s">
        <v>26</v>
      </c>
      <c r="D135" s="10" t="s">
        <v>26</v>
      </c>
      <c r="E135" s="10" t="s">
        <v>26</v>
      </c>
      <c r="F135" s="10" t="s">
        <v>26</v>
      </c>
      <c r="G135" s="9">
        <v>127524091.27</v>
      </c>
      <c r="H135" s="10">
        <v>7.1096807282E-4</v>
      </c>
      <c r="I135" s="10" t="s">
        <v>26</v>
      </c>
      <c r="J135" s="10" t="s">
        <v>26</v>
      </c>
      <c r="K135" s="9" t="s">
        <v>26</v>
      </c>
      <c r="L135" s="10" t="s">
        <v>26</v>
      </c>
      <c r="M135" s="10" t="s">
        <v>26</v>
      </c>
      <c r="N135" s="10" t="s">
        <v>26</v>
      </c>
      <c r="O135" s="9" t="s">
        <v>26</v>
      </c>
      <c r="P135" s="10" t="s">
        <v>26</v>
      </c>
      <c r="Q135" s="10" t="s">
        <v>26</v>
      </c>
      <c r="R135" s="10" t="s">
        <v>26</v>
      </c>
      <c r="S135" s="9">
        <v>127524091.27</v>
      </c>
      <c r="T135" s="10">
        <v>9.8753061110999998E-4</v>
      </c>
      <c r="U135" s="10" t="s">
        <v>26</v>
      </c>
      <c r="V135" s="10" t="s">
        <v>26</v>
      </c>
      <c r="W135" s="9" t="s">
        <v>26</v>
      </c>
      <c r="X135" s="10" t="s">
        <v>26</v>
      </c>
      <c r="Y135" s="10" t="s">
        <v>26</v>
      </c>
      <c r="Z135" s="10" t="s">
        <v>26</v>
      </c>
      <c r="AA135" s="9">
        <v>127524091.27</v>
      </c>
      <c r="AB135" s="10">
        <v>7.9588282971999999E-4</v>
      </c>
      <c r="AC135" s="10" t="s">
        <v>26</v>
      </c>
      <c r="AD135" s="10" t="s">
        <v>26</v>
      </c>
      <c r="AE135" s="9">
        <v>382572273.81</v>
      </c>
      <c r="AF135" s="10">
        <v>5.1098224198000005E-4</v>
      </c>
      <c r="AG135" s="10" t="s">
        <v>26</v>
      </c>
      <c r="AH135" s="10" t="s">
        <v>26</v>
      </c>
      <c r="AI135" s="9" t="s">
        <v>26</v>
      </c>
      <c r="AJ135" s="10" t="s">
        <v>26</v>
      </c>
      <c r="AK135" s="10" t="s">
        <v>26</v>
      </c>
      <c r="AL135" s="10" t="s">
        <v>26</v>
      </c>
      <c r="AM135" s="9" t="s">
        <v>26</v>
      </c>
      <c r="AN135" s="10" t="s">
        <v>26</v>
      </c>
      <c r="AO135" s="10" t="s">
        <v>26</v>
      </c>
      <c r="AP135" s="10" t="s">
        <v>26</v>
      </c>
      <c r="AQ135" s="9" t="s">
        <v>26</v>
      </c>
      <c r="AR135" s="10" t="s">
        <v>26</v>
      </c>
      <c r="AS135" s="10" t="s">
        <v>26</v>
      </c>
      <c r="AT135" s="10" t="s">
        <v>26</v>
      </c>
      <c r="AU135" s="9" t="s">
        <v>26</v>
      </c>
      <c r="AV135" s="10" t="s">
        <v>26</v>
      </c>
      <c r="AW135" s="10" t="s">
        <v>26</v>
      </c>
      <c r="AX135" s="10" t="s">
        <v>26</v>
      </c>
      <c r="AY135" s="9">
        <v>382572273.81</v>
      </c>
      <c r="AZ135" s="10">
        <v>4.5156760532999999E-4</v>
      </c>
      <c r="BA135" s="10" t="s">
        <v>26</v>
      </c>
      <c r="BB135" s="10" t="s">
        <v>26</v>
      </c>
    </row>
    <row r="136" spans="1:54" s="7" customFormat="1">
      <c r="A136" s="3" t="s">
        <v>108</v>
      </c>
      <c r="B136" s="23" t="s">
        <v>40</v>
      </c>
      <c r="C136" s="2" t="s">
        <v>26</v>
      </c>
      <c r="D136" s="1" t="s">
        <v>26</v>
      </c>
      <c r="E136" s="1" t="s">
        <v>26</v>
      </c>
      <c r="F136" s="1" t="s">
        <v>26</v>
      </c>
      <c r="G136" s="2">
        <v>127524091.27</v>
      </c>
      <c r="H136" s="1">
        <v>1</v>
      </c>
      <c r="I136" s="1" t="s">
        <v>26</v>
      </c>
      <c r="J136" s="1" t="s">
        <v>26</v>
      </c>
      <c r="K136" s="2" t="s">
        <v>26</v>
      </c>
      <c r="L136" s="1" t="s">
        <v>26</v>
      </c>
      <c r="M136" s="1" t="s">
        <v>26</v>
      </c>
      <c r="N136" s="1" t="s">
        <v>26</v>
      </c>
      <c r="O136" s="2" t="s">
        <v>26</v>
      </c>
      <c r="P136" s="1" t="s">
        <v>26</v>
      </c>
      <c r="Q136" s="1" t="s">
        <v>26</v>
      </c>
      <c r="R136" s="1" t="s">
        <v>26</v>
      </c>
      <c r="S136" s="2">
        <v>127524091.27</v>
      </c>
      <c r="T136" s="1">
        <v>1</v>
      </c>
      <c r="U136" s="1" t="s">
        <v>26</v>
      </c>
      <c r="V136" s="1" t="s">
        <v>26</v>
      </c>
      <c r="W136" s="2" t="s">
        <v>26</v>
      </c>
      <c r="X136" s="1" t="s">
        <v>26</v>
      </c>
      <c r="Y136" s="1" t="s">
        <v>26</v>
      </c>
      <c r="Z136" s="1" t="s">
        <v>26</v>
      </c>
      <c r="AA136" s="2">
        <v>127524091.27</v>
      </c>
      <c r="AB136" s="1">
        <v>1</v>
      </c>
      <c r="AC136" s="1" t="s">
        <v>26</v>
      </c>
      <c r="AD136" s="1" t="s">
        <v>26</v>
      </c>
      <c r="AE136" s="2">
        <v>382572273.81</v>
      </c>
      <c r="AF136" s="1">
        <v>1</v>
      </c>
      <c r="AG136" s="1" t="s">
        <v>26</v>
      </c>
      <c r="AH136" s="1" t="s">
        <v>26</v>
      </c>
      <c r="AI136" s="2" t="s">
        <v>26</v>
      </c>
      <c r="AJ136" s="1" t="s">
        <v>26</v>
      </c>
      <c r="AK136" s="1" t="s">
        <v>26</v>
      </c>
      <c r="AL136" s="1" t="s">
        <v>26</v>
      </c>
      <c r="AM136" s="2" t="s">
        <v>26</v>
      </c>
      <c r="AN136" s="1" t="s">
        <v>26</v>
      </c>
      <c r="AO136" s="1" t="s">
        <v>26</v>
      </c>
      <c r="AP136" s="1" t="s">
        <v>26</v>
      </c>
      <c r="AQ136" s="2" t="s">
        <v>26</v>
      </c>
      <c r="AR136" s="1" t="s">
        <v>26</v>
      </c>
      <c r="AS136" s="1" t="s">
        <v>26</v>
      </c>
      <c r="AT136" s="1" t="s">
        <v>26</v>
      </c>
      <c r="AU136" s="2" t="s">
        <v>26</v>
      </c>
      <c r="AV136" s="1" t="s">
        <v>26</v>
      </c>
      <c r="AW136" s="1" t="s">
        <v>26</v>
      </c>
      <c r="AX136" s="1" t="s">
        <v>26</v>
      </c>
      <c r="AY136" s="2">
        <v>382572273.81</v>
      </c>
      <c r="AZ136" s="1">
        <v>1</v>
      </c>
      <c r="BA136" s="1" t="s">
        <v>26</v>
      </c>
      <c r="BB136" s="1" t="s">
        <v>26</v>
      </c>
    </row>
    <row r="137" spans="1:54" s="7" customFormat="1">
      <c r="A137" s="12" t="s">
        <v>109</v>
      </c>
      <c r="B137" s="40" t="s">
        <v>25</v>
      </c>
      <c r="C137" s="42">
        <v>8203953958</v>
      </c>
      <c r="D137" s="43">
        <v>0.99980000000000002</v>
      </c>
      <c r="E137" s="43" t="s">
        <v>26</v>
      </c>
      <c r="F137" s="43" t="s">
        <v>26</v>
      </c>
      <c r="G137" s="42">
        <v>179365748874.60001</v>
      </c>
      <c r="H137" s="43">
        <v>1</v>
      </c>
      <c r="I137" s="43" t="s">
        <v>26</v>
      </c>
      <c r="J137" s="43" t="s">
        <v>26</v>
      </c>
      <c r="K137" s="42">
        <v>4396543465.5900002</v>
      </c>
      <c r="L137" s="43">
        <v>0.9919</v>
      </c>
      <c r="M137" s="43" t="s">
        <v>26</v>
      </c>
      <c r="N137" s="43" t="s">
        <v>26</v>
      </c>
      <c r="O137" s="42">
        <v>259847588684.62</v>
      </c>
      <c r="P137" s="43">
        <v>1</v>
      </c>
      <c r="Q137" s="43" t="s">
        <v>26</v>
      </c>
      <c r="R137" s="43" t="s">
        <v>26</v>
      </c>
      <c r="S137" s="42">
        <v>129134163603.08</v>
      </c>
      <c r="T137" s="43">
        <v>1</v>
      </c>
      <c r="U137" s="43" t="s">
        <v>26</v>
      </c>
      <c r="V137" s="43" t="s">
        <v>26</v>
      </c>
      <c r="W137" s="42">
        <v>7466356409.6800003</v>
      </c>
      <c r="X137" s="43">
        <v>0.99780000000000002</v>
      </c>
      <c r="Y137" s="43" t="s">
        <v>26</v>
      </c>
      <c r="Z137" s="43" t="s">
        <v>26</v>
      </c>
      <c r="AA137" s="42">
        <v>160229545992.69</v>
      </c>
      <c r="AB137" s="43">
        <v>1</v>
      </c>
      <c r="AC137" s="43" t="s">
        <v>26</v>
      </c>
      <c r="AD137" s="43" t="s">
        <v>26</v>
      </c>
      <c r="AE137" s="42">
        <v>748643900988.26001</v>
      </c>
      <c r="AF137" s="43">
        <v>0.99990000000000001</v>
      </c>
      <c r="AG137" s="43" t="s">
        <v>26</v>
      </c>
      <c r="AH137" s="43" t="s">
        <v>26</v>
      </c>
      <c r="AI137" s="42">
        <v>19013150495.689999</v>
      </c>
      <c r="AJ137" s="43">
        <v>1</v>
      </c>
      <c r="AK137" s="43" t="s">
        <v>26</v>
      </c>
      <c r="AL137" s="43" t="s">
        <v>26</v>
      </c>
      <c r="AM137" s="42">
        <v>25192520647.57</v>
      </c>
      <c r="AN137" s="43">
        <v>1</v>
      </c>
      <c r="AO137" s="43" t="s">
        <v>26</v>
      </c>
      <c r="AP137" s="43" t="s">
        <v>26</v>
      </c>
      <c r="AQ137" s="42">
        <v>44205671143.260002</v>
      </c>
      <c r="AR137" s="43">
        <v>1</v>
      </c>
      <c r="AS137" s="43" t="s">
        <v>26</v>
      </c>
      <c r="AT137" s="43" t="s">
        <v>26</v>
      </c>
      <c r="AU137" s="42">
        <v>54302978401.190002</v>
      </c>
      <c r="AV137" s="43">
        <v>1</v>
      </c>
      <c r="AW137" s="43" t="s">
        <v>26</v>
      </c>
      <c r="AX137" s="43" t="s">
        <v>26</v>
      </c>
      <c r="AY137" s="42">
        <v>847152550532.70996</v>
      </c>
      <c r="AZ137" s="43">
        <v>0.99990000000000001</v>
      </c>
      <c r="BA137" s="43" t="s">
        <v>26</v>
      </c>
      <c r="BB137" s="43" t="s">
        <v>26</v>
      </c>
    </row>
    <row r="138" spans="1:54" s="28" customFormat="1">
      <c r="A138" s="5" t="s">
        <v>110</v>
      </c>
      <c r="B138" s="20" t="s">
        <v>25</v>
      </c>
      <c r="C138" s="9">
        <v>1689090.83</v>
      </c>
      <c r="D138" s="10">
        <v>2.0000000000000001E-4</v>
      </c>
      <c r="E138" s="10" t="s">
        <v>26</v>
      </c>
      <c r="F138" s="10" t="s">
        <v>26</v>
      </c>
      <c r="G138" s="9">
        <v>1083681.81</v>
      </c>
      <c r="H138" s="10">
        <v>0</v>
      </c>
      <c r="I138" s="10" t="s">
        <v>26</v>
      </c>
      <c r="J138" s="10" t="s">
        <v>26</v>
      </c>
      <c r="K138" s="9">
        <v>35722148.899999999</v>
      </c>
      <c r="L138" s="10">
        <v>8.0999999999999996E-3</v>
      </c>
      <c r="M138" s="10" t="s">
        <v>26</v>
      </c>
      <c r="N138" s="10" t="s">
        <v>26</v>
      </c>
      <c r="O138" s="9">
        <v>194391.56</v>
      </c>
      <c r="P138" s="10">
        <v>0</v>
      </c>
      <c r="Q138" s="10" t="s">
        <v>26</v>
      </c>
      <c r="R138" s="10" t="s">
        <v>26</v>
      </c>
      <c r="S138" s="9">
        <v>153687.89000000001</v>
      </c>
      <c r="T138" s="10">
        <v>0</v>
      </c>
      <c r="U138" s="10" t="s">
        <v>26</v>
      </c>
      <c r="V138" s="10" t="s">
        <v>26</v>
      </c>
      <c r="W138" s="9">
        <v>16815660.760000002</v>
      </c>
      <c r="X138" s="10">
        <v>2.2000000000000001E-3</v>
      </c>
      <c r="Y138" s="10" t="s">
        <v>26</v>
      </c>
      <c r="Z138" s="10" t="s">
        <v>26</v>
      </c>
      <c r="AA138" s="9">
        <v>184449.79</v>
      </c>
      <c r="AB138" s="10">
        <v>0</v>
      </c>
      <c r="AC138" s="10" t="s">
        <v>26</v>
      </c>
      <c r="AD138" s="10" t="s">
        <v>26</v>
      </c>
      <c r="AE138" s="9">
        <v>55843111.539999999</v>
      </c>
      <c r="AF138" s="10">
        <v>1E-4</v>
      </c>
      <c r="AG138" s="10" t="s">
        <v>26</v>
      </c>
      <c r="AH138" s="10" t="s">
        <v>26</v>
      </c>
      <c r="AI138" s="9">
        <v>111918.46</v>
      </c>
      <c r="AJ138" s="10">
        <v>0</v>
      </c>
      <c r="AK138" s="10" t="s">
        <v>26</v>
      </c>
      <c r="AL138" s="10" t="s">
        <v>26</v>
      </c>
      <c r="AM138" s="9">
        <v>717364.18</v>
      </c>
      <c r="AN138" s="10">
        <v>0</v>
      </c>
      <c r="AO138" s="10" t="s">
        <v>26</v>
      </c>
      <c r="AP138" s="10" t="s">
        <v>26</v>
      </c>
      <c r="AQ138" s="9">
        <v>829282.64</v>
      </c>
      <c r="AR138" s="10">
        <v>0</v>
      </c>
      <c r="AS138" s="10" t="s">
        <v>26</v>
      </c>
      <c r="AT138" s="10" t="s">
        <v>26</v>
      </c>
      <c r="AU138" s="9">
        <v>74850.429999999993</v>
      </c>
      <c r="AV138" s="10">
        <v>0</v>
      </c>
      <c r="AW138" s="10" t="s">
        <v>26</v>
      </c>
      <c r="AX138" s="10" t="s">
        <v>26</v>
      </c>
      <c r="AY138" s="9">
        <v>56747244.609999999</v>
      </c>
      <c r="AZ138" s="10">
        <v>1E-4</v>
      </c>
      <c r="BA138" s="10" t="s">
        <v>26</v>
      </c>
      <c r="BB138" s="10" t="s">
        <v>26</v>
      </c>
    </row>
    <row r="139" spans="1:54" s="7" customFormat="1">
      <c r="A139" s="12" t="s">
        <v>111</v>
      </c>
      <c r="B139" s="40" t="s">
        <v>25</v>
      </c>
      <c r="C139" s="42">
        <v>8205643048.8299999</v>
      </c>
      <c r="D139" s="43">
        <v>1</v>
      </c>
      <c r="E139" s="43" t="s">
        <v>26</v>
      </c>
      <c r="F139" s="43" t="s">
        <v>26</v>
      </c>
      <c r="G139" s="42">
        <v>179366832556.41</v>
      </c>
      <c r="H139" s="43">
        <v>1</v>
      </c>
      <c r="I139" s="43" t="s">
        <v>26</v>
      </c>
      <c r="J139" s="43" t="s">
        <v>26</v>
      </c>
      <c r="K139" s="42">
        <v>4432265614.4899998</v>
      </c>
      <c r="L139" s="43">
        <v>1</v>
      </c>
      <c r="M139" s="43" t="s">
        <v>26</v>
      </c>
      <c r="N139" s="43" t="s">
        <v>26</v>
      </c>
      <c r="O139" s="42">
        <v>259847783076.17999</v>
      </c>
      <c r="P139" s="43">
        <v>1</v>
      </c>
      <c r="Q139" s="43" t="s">
        <v>26</v>
      </c>
      <c r="R139" s="43" t="s">
        <v>26</v>
      </c>
      <c r="S139" s="42">
        <v>129134317290.97</v>
      </c>
      <c r="T139" s="43">
        <v>1</v>
      </c>
      <c r="U139" s="43" t="s">
        <v>26</v>
      </c>
      <c r="V139" s="43" t="s">
        <v>26</v>
      </c>
      <c r="W139" s="42">
        <v>7483172070.4399996</v>
      </c>
      <c r="X139" s="43">
        <v>1</v>
      </c>
      <c r="Y139" s="43" t="s">
        <v>26</v>
      </c>
      <c r="Z139" s="43" t="s">
        <v>26</v>
      </c>
      <c r="AA139" s="42">
        <v>160229730442.48001</v>
      </c>
      <c r="AB139" s="43">
        <v>1</v>
      </c>
      <c r="AC139" s="43" t="s">
        <v>26</v>
      </c>
      <c r="AD139" s="43" t="s">
        <v>26</v>
      </c>
      <c r="AE139" s="42">
        <v>748699744099.80005</v>
      </c>
      <c r="AF139" s="43">
        <v>1</v>
      </c>
      <c r="AG139" s="43" t="s">
        <v>26</v>
      </c>
      <c r="AH139" s="43" t="s">
        <v>26</v>
      </c>
      <c r="AI139" s="42">
        <v>19013262414.150002</v>
      </c>
      <c r="AJ139" s="43">
        <v>1</v>
      </c>
      <c r="AK139" s="43" t="s">
        <v>26</v>
      </c>
      <c r="AL139" s="43" t="s">
        <v>26</v>
      </c>
      <c r="AM139" s="42">
        <v>25193238011.75</v>
      </c>
      <c r="AN139" s="43">
        <v>1</v>
      </c>
      <c r="AO139" s="43" t="s">
        <v>26</v>
      </c>
      <c r="AP139" s="43" t="s">
        <v>26</v>
      </c>
      <c r="AQ139" s="42">
        <v>44206500425.900002</v>
      </c>
      <c r="AR139" s="43">
        <v>1</v>
      </c>
      <c r="AS139" s="43" t="s">
        <v>26</v>
      </c>
      <c r="AT139" s="43" t="s">
        <v>26</v>
      </c>
      <c r="AU139" s="42">
        <v>54303053251.620003</v>
      </c>
      <c r="AV139" s="43">
        <v>1</v>
      </c>
      <c r="AW139" s="43" t="s">
        <v>26</v>
      </c>
      <c r="AX139" s="43" t="s">
        <v>26</v>
      </c>
      <c r="AY139" s="42">
        <v>847209297777.31995</v>
      </c>
      <c r="AZ139" s="43">
        <v>1</v>
      </c>
      <c r="BA139" s="43" t="s">
        <v>26</v>
      </c>
      <c r="BB139" s="43" t="s">
        <v>26</v>
      </c>
    </row>
    <row r="140" spans="1:54">
      <c r="A140" s="24"/>
    </row>
    <row r="141" spans="1:54" s="13" customFormat="1">
      <c r="A141" s="17" t="s">
        <v>112</v>
      </c>
      <c r="B141" s="8"/>
      <c r="C141" s="8"/>
      <c r="D141" s="3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Y141" s="39"/>
      <c r="BA141" s="8"/>
      <c r="BB141" s="8"/>
    </row>
    <row r="142" spans="1:54" s="13" customFormat="1">
      <c r="A142" s="24" t="s">
        <v>113</v>
      </c>
      <c r="B142" s="8"/>
      <c r="C142" s="8"/>
      <c r="D142" s="3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Y142" s="8"/>
      <c r="BA142" s="8"/>
      <c r="BB142" s="8"/>
    </row>
    <row r="143" spans="1:54" s="13" customFormat="1">
      <c r="A143" s="24" t="s">
        <v>114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Y143" s="37"/>
      <c r="BA143" s="8"/>
      <c r="BB143" s="8"/>
    </row>
  </sheetData>
  <mergeCells count="15">
    <mergeCell ref="AQ6:AT6"/>
    <mergeCell ref="AU6:AX6"/>
    <mergeCell ref="AY6:BB6"/>
    <mergeCell ref="S6:V6"/>
    <mergeCell ref="W6:Z6"/>
    <mergeCell ref="AA6:AD6"/>
    <mergeCell ref="AE6:AH6"/>
    <mergeCell ref="AI6:AL6"/>
    <mergeCell ref="AM6:AP6"/>
    <mergeCell ref="O6:R6"/>
    <mergeCell ref="A6:A7"/>
    <mergeCell ref="B6:B7"/>
    <mergeCell ref="C6:F6"/>
    <mergeCell ref="G6:J6"/>
    <mergeCell ref="K6:N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A89" sqref="BA89"/>
    </sheetView>
  </sheetViews>
  <sheetFormatPr baseColWidth="10" defaultColWidth="9.140625" defaultRowHeight="15"/>
  <cols>
    <col min="1" max="1" width="86.28515625" style="8" customWidth="1"/>
    <col min="2" max="2" width="17.85546875" style="8" customWidth="1"/>
    <col min="3" max="3" width="16.7109375" style="8" customWidth="1"/>
    <col min="4" max="4" width="13.28515625" style="8" customWidth="1"/>
    <col min="5" max="5" width="10.140625" style="8" customWidth="1"/>
    <col min="6" max="6" width="11.28515625" style="8" customWidth="1"/>
    <col min="7" max="7" width="19.28515625" style="8" customWidth="1"/>
    <col min="8" max="8" width="13.28515625" style="8" customWidth="1"/>
    <col min="9" max="9" width="9.85546875" style="8" customWidth="1"/>
    <col min="10" max="10" width="10.28515625" style="8" customWidth="1"/>
    <col min="11" max="11" width="15.28515625" style="8" bestFit="1" customWidth="1"/>
    <col min="12" max="12" width="13.28515625" style="8" customWidth="1"/>
    <col min="13" max="13" width="10.140625" style="8" customWidth="1"/>
    <col min="14" max="14" width="11.28515625" style="8" customWidth="1"/>
    <col min="15" max="15" width="17.28515625" style="8" customWidth="1"/>
    <col min="16" max="16" width="13.28515625" style="8" customWidth="1"/>
    <col min="17" max="17" width="10" style="8" customWidth="1"/>
    <col min="18" max="18" width="10.28515625" style="8" customWidth="1"/>
    <col min="19" max="19" width="17.140625" style="8" customWidth="1"/>
    <col min="20" max="20" width="13.28515625" style="8" customWidth="1"/>
    <col min="21" max="21" width="9.85546875" style="8" customWidth="1"/>
    <col min="22" max="22" width="10.28515625" style="8" customWidth="1"/>
    <col min="23" max="23" width="15.140625" style="8" customWidth="1"/>
    <col min="24" max="24" width="13.28515625" style="8" customWidth="1"/>
    <col min="25" max="25" width="9.7109375" style="8" customWidth="1"/>
    <col min="26" max="26" width="10.28515625" style="8" customWidth="1"/>
    <col min="27" max="27" width="17.42578125" style="8" bestFit="1" customWidth="1"/>
    <col min="28" max="28" width="13.28515625" style="8" customWidth="1"/>
    <col min="29" max="29" width="10" style="8" customWidth="1"/>
    <col min="30" max="30" width="10.28515625" style="8" customWidth="1"/>
    <col min="31" max="31" width="17.28515625" style="8" customWidth="1"/>
    <col min="32" max="32" width="13.28515625" style="8" customWidth="1"/>
    <col min="33" max="33" width="9.7109375" style="8" customWidth="1"/>
    <col min="34" max="34" width="10.42578125" style="8" customWidth="1"/>
    <col min="35" max="35" width="16.140625" style="8" customWidth="1"/>
    <col min="36" max="36" width="13.28515625" style="8" customWidth="1"/>
    <col min="37" max="37" width="9.85546875" style="8" customWidth="1"/>
    <col min="38" max="38" width="10.28515625" style="8" customWidth="1"/>
    <col min="39" max="39" width="16.140625" style="8" customWidth="1"/>
    <col min="40" max="40" width="13.28515625" style="8" customWidth="1"/>
    <col min="41" max="41" width="10.140625" style="8" customWidth="1"/>
    <col min="42" max="42" width="11.28515625" style="8" customWidth="1"/>
    <col min="43" max="43" width="16.140625" style="8" customWidth="1"/>
    <col min="44" max="44" width="13.28515625" style="8" customWidth="1"/>
    <col min="45" max="45" width="10" style="8" customWidth="1"/>
    <col min="46" max="46" width="10.7109375" style="8" customWidth="1"/>
    <col min="47" max="47" width="16.140625" style="8" customWidth="1"/>
    <col min="48" max="48" width="13.28515625" style="13" customWidth="1"/>
    <col min="49" max="49" width="10" style="13" customWidth="1"/>
    <col min="50" max="50" width="10.28515625" style="13" customWidth="1"/>
    <col min="51" max="51" width="18.42578125" style="8" customWidth="1"/>
    <col min="52" max="52" width="13.42578125" style="13" customWidth="1"/>
    <col min="53" max="53" width="9.7109375" style="8" customWidth="1"/>
    <col min="54" max="54" width="10.42578125" style="8" customWidth="1"/>
    <col min="55" max="16384" width="9.140625" style="8"/>
  </cols>
  <sheetData>
    <row r="1" spans="1:54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6"/>
      <c r="AW1" s="6"/>
      <c r="AX1" s="6"/>
      <c r="AY1" s="4"/>
      <c r="AZ1" s="6"/>
      <c r="BA1" s="4"/>
      <c r="BB1" s="4"/>
    </row>
    <row r="2" spans="1:54">
      <c r="A2" s="11" t="s">
        <v>1</v>
      </c>
      <c r="B2" s="4"/>
      <c r="C2" s="4"/>
      <c r="D2" s="1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6"/>
      <c r="AW2" s="6"/>
      <c r="AX2" s="6"/>
      <c r="AY2" s="4"/>
      <c r="AZ2" s="6"/>
      <c r="BA2" s="4"/>
      <c r="BB2" s="4"/>
    </row>
    <row r="3" spans="1:54">
      <c r="A3" s="11" t="s">
        <v>141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6"/>
      <c r="AW3" s="6"/>
      <c r="AX3" s="6"/>
      <c r="AY3" s="4"/>
      <c r="AZ3" s="6"/>
      <c r="BA3" s="4"/>
      <c r="BB3" s="4"/>
    </row>
    <row r="4" spans="1:5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32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6"/>
      <c r="AW4" s="6"/>
      <c r="AX4" s="6"/>
      <c r="AY4" s="4"/>
      <c r="AZ4" s="6"/>
      <c r="BA4" s="4"/>
      <c r="BB4" s="4"/>
    </row>
    <row r="6" spans="1:54" ht="15" customHeight="1">
      <c r="A6" s="57" t="s">
        <v>4</v>
      </c>
      <c r="B6" s="57" t="s">
        <v>5</v>
      </c>
      <c r="C6" s="57" t="s">
        <v>6</v>
      </c>
      <c r="D6" s="57"/>
      <c r="E6" s="57"/>
      <c r="F6" s="57"/>
      <c r="G6" s="57" t="s">
        <v>7</v>
      </c>
      <c r="H6" s="57"/>
      <c r="I6" s="57"/>
      <c r="J6" s="57"/>
      <c r="K6" s="57" t="s">
        <v>8</v>
      </c>
      <c r="L6" s="57"/>
      <c r="M6" s="57"/>
      <c r="N6" s="57"/>
      <c r="O6" s="57" t="s">
        <v>9</v>
      </c>
      <c r="P6" s="57"/>
      <c r="Q6" s="57"/>
      <c r="R6" s="57"/>
      <c r="S6" s="57" t="s">
        <v>10</v>
      </c>
      <c r="T6" s="57"/>
      <c r="U6" s="57"/>
      <c r="V6" s="57"/>
      <c r="W6" s="57" t="s">
        <v>11</v>
      </c>
      <c r="X6" s="57"/>
      <c r="Y6" s="57"/>
      <c r="Z6" s="57"/>
      <c r="AA6" s="57" t="s">
        <v>12</v>
      </c>
      <c r="AB6" s="57"/>
      <c r="AC6" s="57"/>
      <c r="AD6" s="57"/>
      <c r="AE6" s="57" t="s">
        <v>13</v>
      </c>
      <c r="AF6" s="57"/>
      <c r="AG6" s="57"/>
      <c r="AH6" s="57"/>
      <c r="AI6" s="57" t="s">
        <v>14</v>
      </c>
      <c r="AJ6" s="57"/>
      <c r="AK6" s="57"/>
      <c r="AL6" s="57"/>
      <c r="AM6" s="57" t="s">
        <v>15</v>
      </c>
      <c r="AN6" s="57"/>
      <c r="AO6" s="57"/>
      <c r="AP6" s="57"/>
      <c r="AQ6" s="57" t="s">
        <v>16</v>
      </c>
      <c r="AR6" s="57"/>
      <c r="AS6" s="57"/>
      <c r="AT6" s="57"/>
      <c r="AU6" s="57" t="s">
        <v>17</v>
      </c>
      <c r="AV6" s="57"/>
      <c r="AW6" s="57"/>
      <c r="AX6" s="57"/>
      <c r="AY6" s="57" t="s">
        <v>18</v>
      </c>
      <c r="AZ6" s="57"/>
      <c r="BA6" s="57"/>
      <c r="BB6" s="57"/>
    </row>
    <row r="7" spans="1:54" ht="25.5">
      <c r="A7" s="57" t="s">
        <v>4</v>
      </c>
      <c r="B7" s="57" t="s">
        <v>19</v>
      </c>
      <c r="C7" s="14" t="s">
        <v>20</v>
      </c>
      <c r="D7" s="15" t="s">
        <v>21</v>
      </c>
      <c r="E7" s="15" t="s">
        <v>22</v>
      </c>
      <c r="F7" s="15" t="s">
        <v>23</v>
      </c>
      <c r="G7" s="14" t="s">
        <v>20</v>
      </c>
      <c r="H7" s="15" t="s">
        <v>21</v>
      </c>
      <c r="I7" s="15" t="s">
        <v>22</v>
      </c>
      <c r="J7" s="15" t="s">
        <v>23</v>
      </c>
      <c r="K7" s="14" t="s">
        <v>20</v>
      </c>
      <c r="L7" s="15" t="s">
        <v>21</v>
      </c>
      <c r="M7" s="15" t="s">
        <v>22</v>
      </c>
      <c r="N7" s="15" t="s">
        <v>23</v>
      </c>
      <c r="O7" s="14" t="s">
        <v>20</v>
      </c>
      <c r="P7" s="15" t="s">
        <v>21</v>
      </c>
      <c r="Q7" s="15" t="s">
        <v>22</v>
      </c>
      <c r="R7" s="15" t="s">
        <v>23</v>
      </c>
      <c r="S7" s="14" t="s">
        <v>20</v>
      </c>
      <c r="T7" s="15" t="s">
        <v>21</v>
      </c>
      <c r="U7" s="15" t="s">
        <v>22</v>
      </c>
      <c r="V7" s="15" t="s">
        <v>23</v>
      </c>
      <c r="W7" s="14" t="s">
        <v>20</v>
      </c>
      <c r="X7" s="15" t="s">
        <v>21</v>
      </c>
      <c r="Y7" s="15" t="s">
        <v>22</v>
      </c>
      <c r="Z7" s="15" t="s">
        <v>23</v>
      </c>
      <c r="AA7" s="14" t="s">
        <v>20</v>
      </c>
      <c r="AB7" s="15" t="s">
        <v>21</v>
      </c>
      <c r="AC7" s="15" t="s">
        <v>22</v>
      </c>
      <c r="AD7" s="15" t="s">
        <v>23</v>
      </c>
      <c r="AE7" s="14" t="s">
        <v>20</v>
      </c>
      <c r="AF7" s="15" t="s">
        <v>21</v>
      </c>
      <c r="AG7" s="15" t="s">
        <v>22</v>
      </c>
      <c r="AH7" s="15" t="s">
        <v>23</v>
      </c>
      <c r="AI7" s="14" t="s">
        <v>20</v>
      </c>
      <c r="AJ7" s="15" t="s">
        <v>21</v>
      </c>
      <c r="AK7" s="15" t="s">
        <v>22</v>
      </c>
      <c r="AL7" s="15" t="s">
        <v>23</v>
      </c>
      <c r="AM7" s="14" t="s">
        <v>20</v>
      </c>
      <c r="AN7" s="15" t="s">
        <v>21</v>
      </c>
      <c r="AO7" s="15" t="s">
        <v>22</v>
      </c>
      <c r="AP7" s="15" t="s">
        <v>23</v>
      </c>
      <c r="AQ7" s="14" t="s">
        <v>20</v>
      </c>
      <c r="AR7" s="15" t="s">
        <v>21</v>
      </c>
      <c r="AS7" s="15" t="s">
        <v>22</v>
      </c>
      <c r="AT7" s="15" t="s">
        <v>23</v>
      </c>
      <c r="AU7" s="14" t="s">
        <v>20</v>
      </c>
      <c r="AV7" s="15" t="s">
        <v>21</v>
      </c>
      <c r="AW7" s="15" t="s">
        <v>22</v>
      </c>
      <c r="AX7" s="15" t="s">
        <v>23</v>
      </c>
      <c r="AY7" s="14" t="s">
        <v>20</v>
      </c>
      <c r="AZ7" s="15" t="s">
        <v>21</v>
      </c>
      <c r="BA7" s="15" t="s">
        <v>22</v>
      </c>
      <c r="BB7" s="15" t="s">
        <v>23</v>
      </c>
    </row>
    <row r="8" spans="1:54" s="41" customFormat="1">
      <c r="A8" s="50" t="s">
        <v>24</v>
      </c>
      <c r="B8" s="40" t="s">
        <v>25</v>
      </c>
      <c r="C8" s="42">
        <v>3844653472.3600001</v>
      </c>
      <c r="D8" s="43">
        <v>0.45811360198760998</v>
      </c>
      <c r="E8" s="43" t="s">
        <v>26</v>
      </c>
      <c r="F8" s="43" t="s">
        <v>26</v>
      </c>
      <c r="G8" s="42">
        <v>102093657430.58</v>
      </c>
      <c r="H8" s="43">
        <v>0.56270906024014999</v>
      </c>
      <c r="I8" s="43" t="s">
        <v>26</v>
      </c>
      <c r="J8" s="43" t="s">
        <v>26</v>
      </c>
      <c r="K8" s="42">
        <v>1782427728.52</v>
      </c>
      <c r="L8" s="43">
        <v>0.38761328272911999</v>
      </c>
      <c r="M8" s="43" t="s">
        <v>26</v>
      </c>
      <c r="N8" s="43" t="s">
        <v>26</v>
      </c>
      <c r="O8" s="42">
        <v>134221097437.57001</v>
      </c>
      <c r="P8" s="43">
        <v>0.50984506139715002</v>
      </c>
      <c r="Q8" s="43" t="s">
        <v>26</v>
      </c>
      <c r="R8" s="43" t="s">
        <v>26</v>
      </c>
      <c r="S8" s="42">
        <v>75436412776.289993</v>
      </c>
      <c r="T8" s="43">
        <v>0.57639195261317999</v>
      </c>
      <c r="U8" s="43" t="s">
        <v>26</v>
      </c>
      <c r="V8" s="43" t="s">
        <v>26</v>
      </c>
      <c r="W8" s="42">
        <v>2711708578.8000002</v>
      </c>
      <c r="X8" s="43">
        <v>0.36006975470782998</v>
      </c>
      <c r="Y8" s="43" t="s">
        <v>26</v>
      </c>
      <c r="Z8" s="43" t="s">
        <v>26</v>
      </c>
      <c r="AA8" s="42">
        <v>83124510320.130005</v>
      </c>
      <c r="AB8" s="43">
        <v>0.51207439525731002</v>
      </c>
      <c r="AC8" s="43" t="s">
        <v>26</v>
      </c>
      <c r="AD8" s="43" t="s">
        <v>26</v>
      </c>
      <c r="AE8" s="42">
        <v>403214467744.25</v>
      </c>
      <c r="AF8" s="43">
        <v>0.53165146370220995</v>
      </c>
      <c r="AG8" s="43" t="s">
        <v>26</v>
      </c>
      <c r="AH8" s="43" t="s">
        <v>26</v>
      </c>
      <c r="AI8" s="42">
        <v>11110742077.309999</v>
      </c>
      <c r="AJ8" s="43">
        <v>0.58109925096907</v>
      </c>
      <c r="AK8" s="43" t="s">
        <v>26</v>
      </c>
      <c r="AL8" s="43" t="s">
        <v>26</v>
      </c>
      <c r="AM8" s="42">
        <v>8726351956.7700005</v>
      </c>
      <c r="AN8" s="43">
        <v>0.34371958738828001</v>
      </c>
      <c r="AO8" s="43" t="s">
        <v>26</v>
      </c>
      <c r="AP8" s="43" t="s">
        <v>26</v>
      </c>
      <c r="AQ8" s="42">
        <v>19837094034.080002</v>
      </c>
      <c r="AR8" s="43">
        <v>0.44569515199603998</v>
      </c>
      <c r="AS8" s="43" t="s">
        <v>26</v>
      </c>
      <c r="AT8" s="43" t="s">
        <v>26</v>
      </c>
      <c r="AU8" s="42">
        <v>32178504565.470001</v>
      </c>
      <c r="AV8" s="43">
        <v>0.58466562183260995</v>
      </c>
      <c r="AW8" s="43" t="s">
        <v>26</v>
      </c>
      <c r="AX8" s="43" t="s">
        <v>26</v>
      </c>
      <c r="AY8" s="42">
        <v>455230066343.79999</v>
      </c>
      <c r="AZ8" s="43">
        <v>0.53059314755708997</v>
      </c>
      <c r="BA8" s="43" t="s">
        <v>26</v>
      </c>
      <c r="BB8" s="43" t="s">
        <v>26</v>
      </c>
    </row>
    <row r="9" spans="1:54" s="7" customFormat="1">
      <c r="A9" s="5" t="s">
        <v>27</v>
      </c>
      <c r="B9" s="20" t="s">
        <v>25</v>
      </c>
      <c r="C9" s="9">
        <v>3844653472.3600001</v>
      </c>
      <c r="D9" s="10">
        <v>0.45811360198760998</v>
      </c>
      <c r="E9" s="10">
        <v>0.6</v>
      </c>
      <c r="F9" s="10">
        <f>+E9-D9</f>
        <v>0.14188639801239</v>
      </c>
      <c r="G9" s="9">
        <f>+G10</f>
        <v>96173904136.580002</v>
      </c>
      <c r="H9" s="10">
        <f>+G9/G141</f>
        <v>0.53008394167274298</v>
      </c>
      <c r="I9" s="10">
        <v>0.6</v>
      </c>
      <c r="J9" s="10">
        <f>+I9-H9</f>
        <v>6.9916058327257002E-2</v>
      </c>
      <c r="K9" s="9">
        <v>1782427728.52</v>
      </c>
      <c r="L9" s="10">
        <v>0.38761328272911999</v>
      </c>
      <c r="M9" s="10">
        <v>0.6</v>
      </c>
      <c r="N9" s="10">
        <f>+M9-L9</f>
        <v>0.21238671727087999</v>
      </c>
      <c r="O9" s="9">
        <f>+O10</f>
        <v>132647492131.57001</v>
      </c>
      <c r="P9" s="10">
        <f>+O9/O141</f>
        <v>0.50386804047151623</v>
      </c>
      <c r="Q9" s="10">
        <v>0.6</v>
      </c>
      <c r="R9" s="10">
        <f>+Q9-P9</f>
        <v>9.6131959528483746E-2</v>
      </c>
      <c r="S9" s="9">
        <f>+S10</f>
        <v>73880361586.289993</v>
      </c>
      <c r="T9" s="10">
        <f>+S9/S141</f>
        <v>0.56450366830122445</v>
      </c>
      <c r="U9" s="10">
        <v>0.6</v>
      </c>
      <c r="V9" s="10">
        <f>+U9-T9</f>
        <v>3.549633169877553E-2</v>
      </c>
      <c r="W9" s="9">
        <v>2711708578.8000002</v>
      </c>
      <c r="X9" s="10">
        <v>0.36006975470782998</v>
      </c>
      <c r="Y9" s="10">
        <v>0.6</v>
      </c>
      <c r="Z9" s="10">
        <f>+Y9-X9</f>
        <v>0.23993024529217</v>
      </c>
      <c r="AA9" s="9">
        <f>+AA10</f>
        <v>81750727910.130005</v>
      </c>
      <c r="AB9" s="10">
        <f>+AA9/AA141</f>
        <v>0.50361203017598255</v>
      </c>
      <c r="AC9" s="10">
        <v>0.6</v>
      </c>
      <c r="AD9" s="10">
        <f>+AC9-AB9</f>
        <v>9.6387969824017428E-2</v>
      </c>
      <c r="AE9" s="9">
        <f>+AE10</f>
        <v>392791275544.25</v>
      </c>
      <c r="AF9" s="10">
        <f>+AE9/AE141</f>
        <v>0.51792048049940176</v>
      </c>
      <c r="AG9" s="10">
        <v>0.6</v>
      </c>
      <c r="AH9" s="10">
        <f>+AG9-AF9</f>
        <v>8.2079519500598219E-2</v>
      </c>
      <c r="AI9" s="9">
        <v>11110742077.309999</v>
      </c>
      <c r="AJ9" s="10">
        <v>0.58109925096907</v>
      </c>
      <c r="AK9" s="10">
        <v>0.6</v>
      </c>
      <c r="AL9" s="10">
        <f>+AK9-AJ9</f>
        <v>1.8900749030929975E-2</v>
      </c>
      <c r="AM9" s="9">
        <v>8726351956.7700005</v>
      </c>
      <c r="AN9" s="10">
        <v>0.34371958738828001</v>
      </c>
      <c r="AO9" s="10">
        <v>0.6</v>
      </c>
      <c r="AP9" s="10">
        <f>+AO9-AN9</f>
        <v>0.25628041261171997</v>
      </c>
      <c r="AQ9" s="9">
        <v>19837094034.080002</v>
      </c>
      <c r="AR9" s="10">
        <v>0.44569515199603998</v>
      </c>
      <c r="AS9" s="10">
        <v>0.6</v>
      </c>
      <c r="AT9" s="10">
        <f>+AS9-AR9</f>
        <v>0.15430484800395999</v>
      </c>
      <c r="AU9" s="9">
        <v>32178504565.470001</v>
      </c>
      <c r="AV9" s="10">
        <v>0.58466562183260995</v>
      </c>
      <c r="AW9" s="10">
        <v>0.6</v>
      </c>
      <c r="AX9" s="10">
        <f>+AW9-AV9</f>
        <v>1.5334378167390028E-2</v>
      </c>
      <c r="AY9" s="9">
        <f>+AY10</f>
        <v>444806874143.79999</v>
      </c>
      <c r="AZ9" s="10">
        <f>+AY9/AY141</f>
        <v>0.5184564269256241</v>
      </c>
      <c r="BA9" s="10">
        <v>0.6</v>
      </c>
      <c r="BB9" s="10">
        <f>+BA9-AZ9</f>
        <v>8.1543573074375875E-2</v>
      </c>
    </row>
    <row r="10" spans="1:54">
      <c r="A10" s="3" t="s">
        <v>137</v>
      </c>
      <c r="B10" s="23" t="s">
        <v>29</v>
      </c>
      <c r="C10" s="2">
        <v>3844653472.3600001</v>
      </c>
      <c r="D10" s="1">
        <v>1</v>
      </c>
      <c r="E10" s="1" t="s">
        <v>26</v>
      </c>
      <c r="F10" s="1" t="s">
        <v>26</v>
      </c>
      <c r="G10" s="2">
        <v>96173904136.580002</v>
      </c>
      <c r="H10" s="1">
        <v>1</v>
      </c>
      <c r="I10" s="1" t="s">
        <v>26</v>
      </c>
      <c r="J10" s="1" t="s">
        <v>26</v>
      </c>
      <c r="K10" s="2">
        <v>1782427728.52</v>
      </c>
      <c r="L10" s="1">
        <v>1</v>
      </c>
      <c r="M10" s="1" t="s">
        <v>26</v>
      </c>
      <c r="N10" s="1" t="s">
        <v>26</v>
      </c>
      <c r="O10" s="2">
        <v>132647492131.57001</v>
      </c>
      <c r="P10" s="1">
        <v>1</v>
      </c>
      <c r="Q10" s="1" t="s">
        <v>26</v>
      </c>
      <c r="R10" s="1" t="s">
        <v>26</v>
      </c>
      <c r="S10" s="2">
        <v>73880361586.289993</v>
      </c>
      <c r="T10" s="1">
        <v>1</v>
      </c>
      <c r="U10" s="1" t="s">
        <v>26</v>
      </c>
      <c r="V10" s="1" t="s">
        <v>26</v>
      </c>
      <c r="W10" s="2">
        <v>2711708578.8000002</v>
      </c>
      <c r="X10" s="1">
        <v>1</v>
      </c>
      <c r="Y10" s="1" t="s">
        <v>26</v>
      </c>
      <c r="Z10" s="1" t="s">
        <v>26</v>
      </c>
      <c r="AA10" s="2">
        <v>81750727910.130005</v>
      </c>
      <c r="AB10" s="1">
        <v>1</v>
      </c>
      <c r="AC10" s="1" t="s">
        <v>26</v>
      </c>
      <c r="AD10" s="1" t="s">
        <v>26</v>
      </c>
      <c r="AE10" s="2">
        <v>392791275544.25</v>
      </c>
      <c r="AF10" s="1">
        <v>1</v>
      </c>
      <c r="AG10" s="1" t="s">
        <v>26</v>
      </c>
      <c r="AH10" s="1" t="s">
        <v>26</v>
      </c>
      <c r="AI10" s="2">
        <v>11110742077.309999</v>
      </c>
      <c r="AJ10" s="1">
        <v>1</v>
      </c>
      <c r="AK10" s="1" t="s">
        <v>26</v>
      </c>
      <c r="AL10" s="1" t="s">
        <v>26</v>
      </c>
      <c r="AM10" s="2">
        <v>8726351956.7700005</v>
      </c>
      <c r="AN10" s="1">
        <v>1</v>
      </c>
      <c r="AO10" s="1" t="s">
        <v>26</v>
      </c>
      <c r="AP10" s="1" t="s">
        <v>26</v>
      </c>
      <c r="AQ10" s="2">
        <v>19837094034.080002</v>
      </c>
      <c r="AR10" s="1">
        <v>1</v>
      </c>
      <c r="AS10" s="1" t="s">
        <v>26</v>
      </c>
      <c r="AT10" s="1" t="s">
        <v>26</v>
      </c>
      <c r="AU10" s="2">
        <v>32178504565.470001</v>
      </c>
      <c r="AV10" s="1">
        <v>1</v>
      </c>
      <c r="AW10" s="1" t="s">
        <v>26</v>
      </c>
      <c r="AX10" s="1" t="s">
        <v>26</v>
      </c>
      <c r="AY10" s="2">
        <v>444806874143.79999</v>
      </c>
      <c r="AZ10" s="1">
        <v>1</v>
      </c>
      <c r="BA10" s="1" t="s">
        <v>26</v>
      </c>
      <c r="BB10" s="1" t="s">
        <v>26</v>
      </c>
    </row>
    <row r="11" spans="1:54" s="7" customFormat="1">
      <c r="A11" s="5" t="s">
        <v>27</v>
      </c>
      <c r="B11" s="20"/>
      <c r="C11" s="9" t="s">
        <v>26</v>
      </c>
      <c r="D11" s="10" t="s">
        <v>26</v>
      </c>
      <c r="E11" s="10" t="s">
        <v>26</v>
      </c>
      <c r="F11" s="10" t="s">
        <v>26</v>
      </c>
      <c r="G11" s="9">
        <f>+G12</f>
        <v>5919753294</v>
      </c>
      <c r="H11" s="10">
        <f>+G11/G141</f>
        <v>3.2628041754002066E-2</v>
      </c>
      <c r="I11" s="10">
        <v>0.1</v>
      </c>
      <c r="J11" s="10">
        <f>+I11-H11</f>
        <v>6.737195824599794E-2</v>
      </c>
      <c r="K11" s="9" t="s">
        <v>26</v>
      </c>
      <c r="L11" s="10" t="s">
        <v>26</v>
      </c>
      <c r="M11" s="10" t="s">
        <v>26</v>
      </c>
      <c r="N11" s="10" t="s">
        <v>26</v>
      </c>
      <c r="O11" s="9">
        <f>+O12</f>
        <v>1573605306</v>
      </c>
      <c r="P11" s="10">
        <f>+O11/O141</f>
        <v>5.9774173583572298E-3</v>
      </c>
      <c r="Q11" s="10">
        <v>0.1</v>
      </c>
      <c r="R11" s="10">
        <f>+Q11-P11</f>
        <v>9.4022582641642774E-2</v>
      </c>
      <c r="S11" s="9">
        <f>+S12</f>
        <v>1556051190</v>
      </c>
      <c r="T11" s="10">
        <f>+S11/S141</f>
        <v>1.1889446477512772E-2</v>
      </c>
      <c r="U11" s="10">
        <v>0.1</v>
      </c>
      <c r="V11" s="10">
        <f>+U11-T11</f>
        <v>8.8110553522487228E-2</v>
      </c>
      <c r="W11" s="9" t="s">
        <v>26</v>
      </c>
      <c r="X11" s="10" t="s">
        <v>26</v>
      </c>
      <c r="Y11" s="10" t="s">
        <v>26</v>
      </c>
      <c r="Z11" s="10" t="s">
        <v>26</v>
      </c>
      <c r="AA11" s="9">
        <f>+AA12</f>
        <v>1373782410</v>
      </c>
      <c r="AB11" s="10">
        <f>+AA11/AA141</f>
        <v>8.4629625473270458E-3</v>
      </c>
      <c r="AC11" s="10">
        <v>0.1</v>
      </c>
      <c r="AD11" s="10">
        <f>+AC11-AB11</f>
        <v>9.1537037452672956E-2</v>
      </c>
      <c r="AE11" s="9">
        <f>+AE12</f>
        <v>10423192200</v>
      </c>
      <c r="AF11" s="10">
        <f>+AE11/AE141</f>
        <v>1.3743647195528048E-2</v>
      </c>
      <c r="AG11" s="10">
        <v>0.1</v>
      </c>
      <c r="AH11" s="10">
        <f>+AG11-AF11</f>
        <v>8.6256352804471956E-2</v>
      </c>
      <c r="AI11" s="9" t="s">
        <v>26</v>
      </c>
      <c r="AJ11" s="10" t="s">
        <v>26</v>
      </c>
      <c r="AK11" s="10" t="s">
        <v>26</v>
      </c>
      <c r="AL11" s="10" t="s">
        <v>26</v>
      </c>
      <c r="AM11" s="9" t="s">
        <v>26</v>
      </c>
      <c r="AN11" s="10" t="s">
        <v>26</v>
      </c>
      <c r="AO11" s="10" t="s">
        <v>26</v>
      </c>
      <c r="AP11" s="10" t="s">
        <v>26</v>
      </c>
      <c r="AQ11" s="9" t="s">
        <v>26</v>
      </c>
      <c r="AR11" s="10" t="s">
        <v>26</v>
      </c>
      <c r="AS11" s="10" t="s">
        <v>26</v>
      </c>
      <c r="AT11" s="10" t="s">
        <v>26</v>
      </c>
      <c r="AU11" s="9" t="s">
        <v>26</v>
      </c>
      <c r="AV11" s="10" t="s">
        <v>26</v>
      </c>
      <c r="AW11" s="10" t="s">
        <v>26</v>
      </c>
      <c r="AX11" s="10" t="s">
        <v>26</v>
      </c>
      <c r="AY11" s="9">
        <f>+AY12</f>
        <v>10423192200</v>
      </c>
      <c r="AZ11" s="10">
        <f>+AY11/AY141</f>
        <v>1.2149027587698669E-2</v>
      </c>
      <c r="BA11" s="10">
        <v>0.1</v>
      </c>
      <c r="BB11" s="10">
        <f>+BA11-AZ11</f>
        <v>8.7850972412301331E-2</v>
      </c>
    </row>
    <row r="12" spans="1:54" ht="17.25">
      <c r="A12" s="3" t="s">
        <v>30</v>
      </c>
      <c r="B12" s="23" t="s">
        <v>29</v>
      </c>
      <c r="C12" s="2" t="s">
        <v>26</v>
      </c>
      <c r="D12" s="1" t="s">
        <v>26</v>
      </c>
      <c r="E12" s="1" t="s">
        <v>26</v>
      </c>
      <c r="F12" s="1" t="s">
        <v>26</v>
      </c>
      <c r="G12" s="2">
        <v>5919753294</v>
      </c>
      <c r="H12" s="1">
        <v>1</v>
      </c>
      <c r="I12" s="1" t="s">
        <v>26</v>
      </c>
      <c r="J12" s="1" t="s">
        <v>26</v>
      </c>
      <c r="K12" s="2" t="s">
        <v>26</v>
      </c>
      <c r="L12" s="1" t="s">
        <v>26</v>
      </c>
      <c r="M12" s="1" t="s">
        <v>26</v>
      </c>
      <c r="N12" s="1" t="s">
        <v>26</v>
      </c>
      <c r="O12" s="2">
        <v>1573605306</v>
      </c>
      <c r="P12" s="1">
        <v>1</v>
      </c>
      <c r="Q12" s="1" t="s">
        <v>26</v>
      </c>
      <c r="R12" s="1" t="s">
        <v>26</v>
      </c>
      <c r="S12" s="2">
        <v>1556051190</v>
      </c>
      <c r="T12" s="1">
        <v>1</v>
      </c>
      <c r="U12" s="1" t="s">
        <v>26</v>
      </c>
      <c r="V12" s="1" t="s">
        <v>26</v>
      </c>
      <c r="W12" s="2" t="s">
        <v>26</v>
      </c>
      <c r="X12" s="1" t="s">
        <v>26</v>
      </c>
      <c r="Y12" s="1" t="s">
        <v>26</v>
      </c>
      <c r="Z12" s="1" t="s">
        <v>26</v>
      </c>
      <c r="AA12" s="2">
        <v>1373782410</v>
      </c>
      <c r="AB12" s="1">
        <v>1</v>
      </c>
      <c r="AC12" s="1" t="s">
        <v>26</v>
      </c>
      <c r="AD12" s="1" t="s">
        <v>26</v>
      </c>
      <c r="AE12" s="2">
        <v>10423192200</v>
      </c>
      <c r="AF12" s="1">
        <v>1</v>
      </c>
      <c r="AG12" s="1" t="s">
        <v>26</v>
      </c>
      <c r="AH12" s="1" t="s">
        <v>26</v>
      </c>
      <c r="AI12" s="2" t="s">
        <v>26</v>
      </c>
      <c r="AJ12" s="1" t="s">
        <v>26</v>
      </c>
      <c r="AK12" s="1" t="s">
        <v>26</v>
      </c>
      <c r="AL12" s="1" t="s">
        <v>26</v>
      </c>
      <c r="AM12" s="2" t="s">
        <v>26</v>
      </c>
      <c r="AN12" s="1" t="s">
        <v>26</v>
      </c>
      <c r="AO12" s="1" t="s">
        <v>26</v>
      </c>
      <c r="AP12" s="1" t="s">
        <v>26</v>
      </c>
      <c r="AQ12" s="2" t="s">
        <v>26</v>
      </c>
      <c r="AR12" s="1" t="s">
        <v>26</v>
      </c>
      <c r="AS12" s="1" t="s">
        <v>26</v>
      </c>
      <c r="AT12" s="1" t="s">
        <v>26</v>
      </c>
      <c r="AU12" s="2" t="s">
        <v>26</v>
      </c>
      <c r="AV12" s="1" t="s">
        <v>26</v>
      </c>
      <c r="AW12" s="1" t="s">
        <v>26</v>
      </c>
      <c r="AX12" s="1" t="s">
        <v>26</v>
      </c>
      <c r="AY12" s="2">
        <v>10423192200</v>
      </c>
      <c r="AZ12" s="1">
        <v>1</v>
      </c>
      <c r="BA12" s="1" t="s">
        <v>26</v>
      </c>
      <c r="BB12" s="1" t="s">
        <v>26</v>
      </c>
    </row>
    <row r="13" spans="1:54" s="7" customFormat="1">
      <c r="A13" s="12" t="s">
        <v>31</v>
      </c>
      <c r="B13" s="40" t="s">
        <v>25</v>
      </c>
      <c r="C13" s="42">
        <v>2369407047.02</v>
      </c>
      <c r="D13" s="43">
        <v>0.28232911098197999</v>
      </c>
      <c r="E13" s="43" t="s">
        <v>26</v>
      </c>
      <c r="F13" s="43" t="s">
        <v>26</v>
      </c>
      <c r="G13" s="42">
        <v>46594412417.639999</v>
      </c>
      <c r="H13" s="43">
        <v>0.25681417126035</v>
      </c>
      <c r="I13" s="43" t="s">
        <v>26</v>
      </c>
      <c r="J13" s="43" t="s">
        <v>26</v>
      </c>
      <c r="K13" s="42">
        <v>991225823.44000006</v>
      </c>
      <c r="L13" s="43">
        <v>0.21555560946555999</v>
      </c>
      <c r="M13" s="43" t="s">
        <v>26</v>
      </c>
      <c r="N13" s="43" t="s">
        <v>26</v>
      </c>
      <c r="O13" s="42">
        <v>63963947654.739998</v>
      </c>
      <c r="P13" s="43">
        <v>0.24297002067355999</v>
      </c>
      <c r="Q13" s="43" t="s">
        <v>26</v>
      </c>
      <c r="R13" s="43" t="s">
        <v>26</v>
      </c>
      <c r="S13" s="42">
        <v>29657656586.900002</v>
      </c>
      <c r="T13" s="43">
        <v>0.22660720414621</v>
      </c>
      <c r="U13" s="43" t="s">
        <v>26</v>
      </c>
      <c r="V13" s="43" t="s">
        <v>26</v>
      </c>
      <c r="W13" s="42">
        <v>3360583730.54</v>
      </c>
      <c r="X13" s="43">
        <v>0.44622957237763</v>
      </c>
      <c r="Y13" s="43" t="s">
        <v>26</v>
      </c>
      <c r="Z13" s="43" t="s">
        <v>26</v>
      </c>
      <c r="AA13" s="42">
        <v>43178497833.860001</v>
      </c>
      <c r="AB13" s="43">
        <v>0.26599378548204999</v>
      </c>
      <c r="AC13" s="43" t="s">
        <v>26</v>
      </c>
      <c r="AD13" s="43" t="s">
        <v>26</v>
      </c>
      <c r="AE13" s="42">
        <v>190115731094.14001</v>
      </c>
      <c r="AF13" s="43">
        <v>0.25067380958444002</v>
      </c>
      <c r="AG13" s="43" t="s">
        <v>26</v>
      </c>
      <c r="AH13" s="43" t="s">
        <v>26</v>
      </c>
      <c r="AI13" s="42">
        <v>5661898768.8999996</v>
      </c>
      <c r="AJ13" s="43">
        <v>0.29612109711280998</v>
      </c>
      <c r="AK13" s="43" t="s">
        <v>26</v>
      </c>
      <c r="AL13" s="43" t="s">
        <v>26</v>
      </c>
      <c r="AM13" s="42">
        <v>12366103658.370001</v>
      </c>
      <c r="AN13" s="43">
        <v>0.48708464523459999</v>
      </c>
      <c r="AO13" s="43" t="s">
        <v>26</v>
      </c>
      <c r="AP13" s="43" t="s">
        <v>26</v>
      </c>
      <c r="AQ13" s="42">
        <v>18028002427.27</v>
      </c>
      <c r="AR13" s="43">
        <v>0.40504890828279</v>
      </c>
      <c r="AS13" s="43" t="s">
        <v>26</v>
      </c>
      <c r="AT13" s="43" t="s">
        <v>26</v>
      </c>
      <c r="AU13" s="42">
        <v>11644952677.66</v>
      </c>
      <c r="AV13" s="43">
        <v>0.21158234636550999</v>
      </c>
      <c r="AW13" s="43" t="s">
        <v>26</v>
      </c>
      <c r="AX13" s="43" t="s">
        <v>26</v>
      </c>
      <c r="AY13" s="42">
        <v>219788686199.07001</v>
      </c>
      <c r="AZ13" s="43">
        <v>0.25617457947017003</v>
      </c>
      <c r="BA13" s="43" t="s">
        <v>26</v>
      </c>
      <c r="BB13" s="43" t="s">
        <v>26</v>
      </c>
    </row>
    <row r="14" spans="1:54" s="7" customFormat="1">
      <c r="A14" s="5" t="s">
        <v>32</v>
      </c>
      <c r="B14" s="20" t="s">
        <v>25</v>
      </c>
      <c r="C14" s="9">
        <v>2369407047.02</v>
      </c>
      <c r="D14" s="10">
        <v>0.28232911098197999</v>
      </c>
      <c r="E14" s="10">
        <v>0.5</v>
      </c>
      <c r="F14" s="10">
        <v>0.2177</v>
      </c>
      <c r="G14" s="9">
        <v>46594412417.639999</v>
      </c>
      <c r="H14" s="10">
        <v>0.25681417126035</v>
      </c>
      <c r="I14" s="10">
        <v>0.5</v>
      </c>
      <c r="J14" s="10">
        <v>0.2432</v>
      </c>
      <c r="K14" s="9">
        <v>991225823.44000006</v>
      </c>
      <c r="L14" s="10">
        <v>0.21555560946555999</v>
      </c>
      <c r="M14" s="10">
        <v>0.5</v>
      </c>
      <c r="N14" s="10">
        <v>0.28439999999999999</v>
      </c>
      <c r="O14" s="9">
        <v>63963947654.739998</v>
      </c>
      <c r="P14" s="10">
        <v>0.24297002067355999</v>
      </c>
      <c r="Q14" s="10">
        <v>0.5</v>
      </c>
      <c r="R14" s="10">
        <v>0.25700000000000001</v>
      </c>
      <c r="S14" s="9">
        <v>29657656586.900002</v>
      </c>
      <c r="T14" s="10">
        <v>0.22660720414621</v>
      </c>
      <c r="U14" s="10">
        <v>0.5</v>
      </c>
      <c r="V14" s="10">
        <v>0.27339999999999998</v>
      </c>
      <c r="W14" s="9">
        <v>3360583730.54</v>
      </c>
      <c r="X14" s="10">
        <v>0.44622957237763</v>
      </c>
      <c r="Y14" s="10">
        <v>0.5</v>
      </c>
      <c r="Z14" s="10">
        <v>5.3800000000000001E-2</v>
      </c>
      <c r="AA14" s="9">
        <v>43178497833.860001</v>
      </c>
      <c r="AB14" s="10">
        <v>0.26599378548204999</v>
      </c>
      <c r="AC14" s="10">
        <v>0.5</v>
      </c>
      <c r="AD14" s="10">
        <v>0.23400000000000001</v>
      </c>
      <c r="AE14" s="9">
        <v>190115731094.14001</v>
      </c>
      <c r="AF14" s="10">
        <v>0.25067380958444002</v>
      </c>
      <c r="AG14" s="10">
        <v>0.5</v>
      </c>
      <c r="AH14" s="10">
        <v>0.24929999999999999</v>
      </c>
      <c r="AI14" s="9">
        <v>5661898768.8999996</v>
      </c>
      <c r="AJ14" s="10">
        <v>0.29612109711280998</v>
      </c>
      <c r="AK14" s="10">
        <v>0.5</v>
      </c>
      <c r="AL14" s="10">
        <v>0.2039</v>
      </c>
      <c r="AM14" s="9">
        <v>12366103658.370001</v>
      </c>
      <c r="AN14" s="10">
        <v>0.48708464523459999</v>
      </c>
      <c r="AO14" s="10">
        <v>0.5</v>
      </c>
      <c r="AP14" s="10">
        <v>1.29E-2</v>
      </c>
      <c r="AQ14" s="9">
        <v>18028002427.27</v>
      </c>
      <c r="AR14" s="10">
        <v>0.40504890828279</v>
      </c>
      <c r="AS14" s="10">
        <v>0.5</v>
      </c>
      <c r="AT14" s="10">
        <v>9.5000000000000001E-2</v>
      </c>
      <c r="AU14" s="9">
        <v>11644952677.66</v>
      </c>
      <c r="AV14" s="10">
        <v>0.21158234636550999</v>
      </c>
      <c r="AW14" s="10">
        <v>0.5</v>
      </c>
      <c r="AX14" s="10">
        <v>0.28839999999999999</v>
      </c>
      <c r="AY14" s="9">
        <v>219788686199.07001</v>
      </c>
      <c r="AZ14" s="10">
        <v>0.25617457947017003</v>
      </c>
      <c r="BA14" s="10">
        <v>0.50009999999999999</v>
      </c>
      <c r="BB14" s="10">
        <v>0.24390000000000001</v>
      </c>
    </row>
    <row r="15" spans="1:54" s="7" customFormat="1">
      <c r="A15" s="3" t="s">
        <v>33</v>
      </c>
      <c r="B15" s="23" t="s">
        <v>29</v>
      </c>
      <c r="C15" s="2">
        <v>715431008.27999997</v>
      </c>
      <c r="D15" s="1">
        <v>0.30194516774979002</v>
      </c>
      <c r="E15" s="1" t="s">
        <v>26</v>
      </c>
      <c r="F15" s="1" t="s">
        <v>26</v>
      </c>
      <c r="G15" s="2">
        <v>14482442645.76</v>
      </c>
      <c r="H15" s="1">
        <v>0.31081929987547002</v>
      </c>
      <c r="I15" s="1" t="s">
        <v>26</v>
      </c>
      <c r="J15" s="1" t="s">
        <v>26</v>
      </c>
      <c r="K15" s="2">
        <v>221412812.22</v>
      </c>
      <c r="L15" s="1">
        <v>0.22337272393852001</v>
      </c>
      <c r="M15" s="1" t="s">
        <v>26</v>
      </c>
      <c r="N15" s="1" t="s">
        <v>26</v>
      </c>
      <c r="O15" s="2">
        <v>18456025796.610001</v>
      </c>
      <c r="P15" s="1">
        <v>0.28853794165786001</v>
      </c>
      <c r="Q15" s="1" t="s">
        <v>26</v>
      </c>
      <c r="R15" s="1" t="s">
        <v>26</v>
      </c>
      <c r="S15" s="2">
        <v>11015629825.030001</v>
      </c>
      <c r="T15" s="1">
        <v>0.37142617093676999</v>
      </c>
      <c r="U15" s="1" t="s">
        <v>26</v>
      </c>
      <c r="V15" s="1" t="s">
        <v>26</v>
      </c>
      <c r="W15" s="2">
        <v>1143671188.0899999</v>
      </c>
      <c r="X15" s="1">
        <v>0.34031920636187002</v>
      </c>
      <c r="Y15" s="1" t="s">
        <v>26</v>
      </c>
      <c r="Z15" s="1" t="s">
        <v>26</v>
      </c>
      <c r="AA15" s="2">
        <v>18135559480.389999</v>
      </c>
      <c r="AB15" s="1">
        <v>0.42001367324474997</v>
      </c>
      <c r="AC15" s="1" t="s">
        <v>26</v>
      </c>
      <c r="AD15" s="1" t="s">
        <v>26</v>
      </c>
      <c r="AE15" s="2">
        <v>64170172756.379997</v>
      </c>
      <c r="AF15" s="1">
        <v>0.33753215679246001</v>
      </c>
      <c r="AG15" s="1" t="s">
        <v>26</v>
      </c>
      <c r="AH15" s="1" t="s">
        <v>26</v>
      </c>
      <c r="AI15" s="2">
        <v>1592418273.4200001</v>
      </c>
      <c r="AJ15" s="1">
        <v>0.28125163278561999</v>
      </c>
      <c r="AK15" s="1" t="s">
        <v>26</v>
      </c>
      <c r="AL15" s="1" t="s">
        <v>26</v>
      </c>
      <c r="AM15" s="2">
        <v>6326049134.5900002</v>
      </c>
      <c r="AN15" s="1">
        <v>0.51156365087625999</v>
      </c>
      <c r="AO15" s="1" t="s">
        <v>26</v>
      </c>
      <c r="AP15" s="1" t="s">
        <v>26</v>
      </c>
      <c r="AQ15" s="2">
        <v>7918467408.0100002</v>
      </c>
      <c r="AR15" s="1">
        <v>0.43923154769672001</v>
      </c>
      <c r="AS15" s="1" t="s">
        <v>26</v>
      </c>
      <c r="AT15" s="1" t="s">
        <v>26</v>
      </c>
      <c r="AU15" s="2">
        <v>5555419083.8100004</v>
      </c>
      <c r="AV15" s="1">
        <v>0.47706669469492002</v>
      </c>
      <c r="AW15" s="1" t="s">
        <v>26</v>
      </c>
      <c r="AX15" s="1" t="s">
        <v>26</v>
      </c>
      <c r="AY15" s="2">
        <v>77644059248.199997</v>
      </c>
      <c r="AZ15" s="1">
        <v>0.3532668609606</v>
      </c>
      <c r="BA15" s="1" t="s">
        <v>26</v>
      </c>
      <c r="BB15" s="1" t="s">
        <v>26</v>
      </c>
    </row>
    <row r="16" spans="1:54" s="7" customFormat="1">
      <c r="A16" s="3" t="s">
        <v>34</v>
      </c>
      <c r="B16" s="23" t="s">
        <v>35</v>
      </c>
      <c r="C16" s="2" t="s">
        <v>26</v>
      </c>
      <c r="D16" s="1" t="s">
        <v>26</v>
      </c>
      <c r="E16" s="1" t="s">
        <v>26</v>
      </c>
      <c r="F16" s="1" t="s">
        <v>26</v>
      </c>
      <c r="G16" s="2">
        <v>2426090414</v>
      </c>
      <c r="H16" s="1">
        <v>5.2068269307790002E-2</v>
      </c>
      <c r="I16" s="1" t="s">
        <v>26</v>
      </c>
      <c r="J16" s="1" t="s">
        <v>26</v>
      </c>
      <c r="K16" s="2">
        <v>43898223.590000004</v>
      </c>
      <c r="L16" s="1">
        <v>4.4286803826049999E-2</v>
      </c>
      <c r="M16" s="1" t="s">
        <v>26</v>
      </c>
      <c r="N16" s="1" t="s">
        <v>26</v>
      </c>
      <c r="O16" s="2">
        <v>1391041988</v>
      </c>
      <c r="P16" s="1">
        <v>2.1747281695440001E-2</v>
      </c>
      <c r="Q16" s="1" t="s">
        <v>26</v>
      </c>
      <c r="R16" s="1" t="s">
        <v>26</v>
      </c>
      <c r="S16" s="2" t="s">
        <v>26</v>
      </c>
      <c r="T16" s="1" t="s">
        <v>26</v>
      </c>
      <c r="U16" s="1" t="s">
        <v>26</v>
      </c>
      <c r="V16" s="1" t="s">
        <v>26</v>
      </c>
      <c r="W16" s="2" t="s">
        <v>26</v>
      </c>
      <c r="X16" s="1" t="s">
        <v>26</v>
      </c>
      <c r="Y16" s="1" t="s">
        <v>26</v>
      </c>
      <c r="Z16" s="1" t="s">
        <v>26</v>
      </c>
      <c r="AA16" s="2">
        <v>5304530326.1700001</v>
      </c>
      <c r="AB16" s="1">
        <v>0.12285120122937999</v>
      </c>
      <c r="AC16" s="1" t="s">
        <v>26</v>
      </c>
      <c r="AD16" s="1" t="s">
        <v>26</v>
      </c>
      <c r="AE16" s="2">
        <v>9165560951.7600002</v>
      </c>
      <c r="AF16" s="1">
        <v>4.8210428979290003E-2</v>
      </c>
      <c r="AG16" s="1" t="s">
        <v>26</v>
      </c>
      <c r="AH16" s="1" t="s">
        <v>26</v>
      </c>
      <c r="AI16" s="2" t="s">
        <v>26</v>
      </c>
      <c r="AJ16" s="1" t="s">
        <v>26</v>
      </c>
      <c r="AK16" s="1" t="s">
        <v>26</v>
      </c>
      <c r="AL16" s="1" t="s">
        <v>26</v>
      </c>
      <c r="AM16" s="2">
        <v>1022717130.51</v>
      </c>
      <c r="AN16" s="1">
        <v>8.2703263595709994E-2</v>
      </c>
      <c r="AO16" s="1" t="s">
        <v>26</v>
      </c>
      <c r="AP16" s="1" t="s">
        <v>26</v>
      </c>
      <c r="AQ16" s="2">
        <v>1022717130.51</v>
      </c>
      <c r="AR16" s="1">
        <v>5.6729365032870002E-2</v>
      </c>
      <c r="AS16" s="1" t="s">
        <v>26</v>
      </c>
      <c r="AT16" s="1" t="s">
        <v>26</v>
      </c>
      <c r="AU16" s="2" t="s">
        <v>26</v>
      </c>
      <c r="AV16" s="1" t="s">
        <v>26</v>
      </c>
      <c r="AW16" s="1" t="s">
        <v>26</v>
      </c>
      <c r="AX16" s="1" t="s">
        <v>26</v>
      </c>
      <c r="AY16" s="2">
        <v>10188278082.27</v>
      </c>
      <c r="AZ16" s="1">
        <v>4.635487958212E-2</v>
      </c>
      <c r="BA16" s="1" t="s">
        <v>26</v>
      </c>
      <c r="BB16" s="1" t="s">
        <v>26</v>
      </c>
    </row>
    <row r="17" spans="1:54" s="7" customFormat="1">
      <c r="A17" s="3" t="s">
        <v>36</v>
      </c>
      <c r="B17" s="23" t="s">
        <v>29</v>
      </c>
      <c r="C17" s="2">
        <v>1653976038.74</v>
      </c>
      <c r="D17" s="1">
        <v>0.69805483225021003</v>
      </c>
      <c r="E17" s="1" t="s">
        <v>26</v>
      </c>
      <c r="F17" s="1" t="s">
        <v>26</v>
      </c>
      <c r="G17" s="2">
        <v>29685879357.880001</v>
      </c>
      <c r="H17" s="1">
        <v>0.63711243081672997</v>
      </c>
      <c r="I17" s="1" t="s">
        <v>26</v>
      </c>
      <c r="J17" s="1" t="s">
        <v>26</v>
      </c>
      <c r="K17" s="2">
        <v>725914787.63</v>
      </c>
      <c r="L17" s="1">
        <v>0.73234047223542997</v>
      </c>
      <c r="M17" s="1" t="s">
        <v>26</v>
      </c>
      <c r="N17" s="1" t="s">
        <v>26</v>
      </c>
      <c r="O17" s="2">
        <v>44116879870.129997</v>
      </c>
      <c r="P17" s="1">
        <v>0.6897147766467</v>
      </c>
      <c r="Q17" s="1" t="s">
        <v>26</v>
      </c>
      <c r="R17" s="1" t="s">
        <v>26</v>
      </c>
      <c r="S17" s="2">
        <v>18642026761.869999</v>
      </c>
      <c r="T17" s="1">
        <v>0.62857382906323001</v>
      </c>
      <c r="U17" s="1" t="s">
        <v>26</v>
      </c>
      <c r="V17" s="1" t="s">
        <v>26</v>
      </c>
      <c r="W17" s="2">
        <v>2216912542.4499998</v>
      </c>
      <c r="X17" s="1">
        <v>0.65968079363813004</v>
      </c>
      <c r="Y17" s="1" t="s">
        <v>26</v>
      </c>
      <c r="Z17" s="1" t="s">
        <v>26</v>
      </c>
      <c r="AA17" s="2">
        <v>19738408027.299999</v>
      </c>
      <c r="AB17" s="1">
        <v>0.45713512552586999</v>
      </c>
      <c r="AC17" s="1" t="s">
        <v>26</v>
      </c>
      <c r="AD17" s="1" t="s">
        <v>26</v>
      </c>
      <c r="AE17" s="2">
        <v>116779997386</v>
      </c>
      <c r="AF17" s="1">
        <v>0.61425741422824998</v>
      </c>
      <c r="AG17" s="1" t="s">
        <v>26</v>
      </c>
      <c r="AH17" s="1" t="s">
        <v>26</v>
      </c>
      <c r="AI17" s="2">
        <v>4069480495.48</v>
      </c>
      <c r="AJ17" s="1">
        <v>0.71874836721437996</v>
      </c>
      <c r="AK17" s="1" t="s">
        <v>26</v>
      </c>
      <c r="AL17" s="1" t="s">
        <v>26</v>
      </c>
      <c r="AM17" s="2">
        <v>5017337393.2700005</v>
      </c>
      <c r="AN17" s="1">
        <v>0.40573308552803999</v>
      </c>
      <c r="AO17" s="1" t="s">
        <v>26</v>
      </c>
      <c r="AP17" s="1" t="s">
        <v>26</v>
      </c>
      <c r="AQ17" s="2">
        <v>9086817888.75</v>
      </c>
      <c r="AR17" s="1">
        <v>0.50403908727042002</v>
      </c>
      <c r="AS17" s="1" t="s">
        <v>26</v>
      </c>
      <c r="AT17" s="1" t="s">
        <v>26</v>
      </c>
      <c r="AU17" s="2">
        <v>6089533593.8500004</v>
      </c>
      <c r="AV17" s="1">
        <v>0.52293330530507998</v>
      </c>
      <c r="AW17" s="1" t="s">
        <v>26</v>
      </c>
      <c r="AX17" s="1" t="s">
        <v>26</v>
      </c>
      <c r="AY17" s="2">
        <v>131956348868.60001</v>
      </c>
      <c r="AZ17" s="1">
        <v>0.60037825945727996</v>
      </c>
      <c r="BA17" s="1" t="s">
        <v>26</v>
      </c>
      <c r="BB17" s="1" t="s">
        <v>26</v>
      </c>
    </row>
    <row r="18" spans="1:54" s="7" customFormat="1">
      <c r="A18" s="12" t="s">
        <v>37</v>
      </c>
      <c r="B18" s="40" t="s">
        <v>25</v>
      </c>
      <c r="C18" s="42">
        <v>241031047.49000001</v>
      </c>
      <c r="D18" s="43">
        <v>2.8720300060930001E-2</v>
      </c>
      <c r="E18" s="43" t="s">
        <v>26</v>
      </c>
      <c r="F18" s="43" t="s">
        <v>26</v>
      </c>
      <c r="G18" s="42">
        <v>5404420015.8400002</v>
      </c>
      <c r="H18" s="43">
        <v>2.978751261139E-2</v>
      </c>
      <c r="I18" s="43" t="s">
        <v>26</v>
      </c>
      <c r="J18" s="43" t="s">
        <v>26</v>
      </c>
      <c r="K18" s="42">
        <v>434362158.42000002</v>
      </c>
      <c r="L18" s="43">
        <v>9.4457990876450001E-2</v>
      </c>
      <c r="M18" s="43" t="s">
        <v>26</v>
      </c>
      <c r="N18" s="43" t="s">
        <v>26</v>
      </c>
      <c r="O18" s="42">
        <v>19787949487.919998</v>
      </c>
      <c r="P18" s="43">
        <v>7.5165443542019997E-2</v>
      </c>
      <c r="Q18" s="43" t="s">
        <v>26</v>
      </c>
      <c r="R18" s="43" t="s">
        <v>26</v>
      </c>
      <c r="S18" s="42">
        <v>8381877289.79</v>
      </c>
      <c r="T18" s="43">
        <v>6.4043960201999997E-2</v>
      </c>
      <c r="U18" s="43" t="s">
        <v>26</v>
      </c>
      <c r="V18" s="43" t="s">
        <v>26</v>
      </c>
      <c r="W18" s="42">
        <v>1194250269.5899999</v>
      </c>
      <c r="X18" s="43">
        <v>0.15857655390879999</v>
      </c>
      <c r="Y18" s="43" t="s">
        <v>26</v>
      </c>
      <c r="Z18" s="43" t="s">
        <v>26</v>
      </c>
      <c r="AA18" s="42">
        <v>18585115082.66</v>
      </c>
      <c r="AB18" s="43">
        <v>0.11449043765899</v>
      </c>
      <c r="AC18" s="43" t="s">
        <v>26</v>
      </c>
      <c r="AD18" s="43" t="s">
        <v>26</v>
      </c>
      <c r="AE18" s="42">
        <v>54029005351.709999</v>
      </c>
      <c r="AF18" s="43">
        <v>7.1239010689050003E-2</v>
      </c>
      <c r="AG18" s="43" t="s">
        <v>26</v>
      </c>
      <c r="AH18" s="43" t="s">
        <v>26</v>
      </c>
      <c r="AI18" s="42">
        <v>1620008595.29</v>
      </c>
      <c r="AJ18" s="43">
        <v>8.4727534374949995E-2</v>
      </c>
      <c r="AK18" s="43" t="s">
        <v>26</v>
      </c>
      <c r="AL18" s="43" t="s">
        <v>26</v>
      </c>
      <c r="AM18" s="42">
        <v>3429146347.5300002</v>
      </c>
      <c r="AN18" s="43">
        <v>0.13506958847249001</v>
      </c>
      <c r="AO18" s="43" t="s">
        <v>26</v>
      </c>
      <c r="AP18" s="43" t="s">
        <v>26</v>
      </c>
      <c r="AQ18" s="42">
        <v>5049154942.8199997</v>
      </c>
      <c r="AR18" s="43">
        <v>0.11344322287456</v>
      </c>
      <c r="AS18" s="43" t="s">
        <v>26</v>
      </c>
      <c r="AT18" s="43" t="s">
        <v>26</v>
      </c>
      <c r="AU18" s="42">
        <v>6132941502.8000002</v>
      </c>
      <c r="AV18" s="43">
        <v>0.11143215341477999</v>
      </c>
      <c r="AW18" s="43" t="s">
        <v>26</v>
      </c>
      <c r="AX18" s="43" t="s">
        <v>26</v>
      </c>
      <c r="AY18" s="42">
        <v>65211101797.330002</v>
      </c>
      <c r="AZ18" s="43">
        <v>7.6006762989550003E-2</v>
      </c>
      <c r="BA18" s="43" t="s">
        <v>26</v>
      </c>
      <c r="BB18" s="43" t="s">
        <v>26</v>
      </c>
    </row>
    <row r="19" spans="1:54" s="28" customFormat="1">
      <c r="A19" s="5" t="s">
        <v>38</v>
      </c>
      <c r="B19" s="20" t="s">
        <v>25</v>
      </c>
      <c r="C19" s="9">
        <v>11721360.310000001</v>
      </c>
      <c r="D19" s="10">
        <v>1.3966706311499999E-3</v>
      </c>
      <c r="E19" s="10">
        <v>0.15</v>
      </c>
      <c r="F19" s="10">
        <v>0.14860000000000001</v>
      </c>
      <c r="G19" s="9">
        <v>360050969.19999999</v>
      </c>
      <c r="H19" s="10">
        <v>1.9844909822600001E-3</v>
      </c>
      <c r="I19" s="10">
        <v>0.15</v>
      </c>
      <c r="J19" s="10">
        <v>0.14799999999999999</v>
      </c>
      <c r="K19" s="9" t="s">
        <v>26</v>
      </c>
      <c r="L19" s="10" t="s">
        <v>26</v>
      </c>
      <c r="M19" s="10" t="s">
        <v>26</v>
      </c>
      <c r="N19" s="10" t="s">
        <v>26</v>
      </c>
      <c r="O19" s="9">
        <v>6738205394.6300001</v>
      </c>
      <c r="P19" s="10">
        <v>2.559538558929E-2</v>
      </c>
      <c r="Q19" s="10">
        <v>0.1411</v>
      </c>
      <c r="R19" s="10">
        <v>0.11550000000000001</v>
      </c>
      <c r="S19" s="9">
        <v>4815537001.6700001</v>
      </c>
      <c r="T19" s="10">
        <v>3.6794389779710002E-2</v>
      </c>
      <c r="U19" s="10">
        <v>0.05</v>
      </c>
      <c r="V19" s="10">
        <v>1.32E-2</v>
      </c>
      <c r="W19" s="9">
        <v>7876706.96</v>
      </c>
      <c r="X19" s="10">
        <v>1.04589555278E-3</v>
      </c>
      <c r="Y19" s="10">
        <v>0.15</v>
      </c>
      <c r="Z19" s="10">
        <v>0.14899999999999999</v>
      </c>
      <c r="AA19" s="9">
        <v>7433317266.1999998</v>
      </c>
      <c r="AB19" s="10">
        <v>4.5791685619390003E-2</v>
      </c>
      <c r="AC19" s="10">
        <v>0.1419</v>
      </c>
      <c r="AD19" s="10">
        <v>9.6100000000000005E-2</v>
      </c>
      <c r="AE19" s="9">
        <v>19366708698.970001</v>
      </c>
      <c r="AF19" s="10">
        <v>2.5535638848729999E-2</v>
      </c>
      <c r="AG19" s="10">
        <v>0.14299999999999999</v>
      </c>
      <c r="AH19" s="10">
        <v>0.11749999999999999</v>
      </c>
      <c r="AI19" s="9">
        <v>869461328.82000005</v>
      </c>
      <c r="AJ19" s="10">
        <v>4.5473409733419998E-2</v>
      </c>
      <c r="AK19" s="10">
        <v>0.05</v>
      </c>
      <c r="AL19" s="10">
        <v>4.4999999999999997E-3</v>
      </c>
      <c r="AM19" s="9">
        <v>10930000.01</v>
      </c>
      <c r="AN19" s="10">
        <v>4.3051840130000003E-4</v>
      </c>
      <c r="AO19" s="10">
        <v>0.15</v>
      </c>
      <c r="AP19" s="10">
        <v>0.14960000000000001</v>
      </c>
      <c r="AQ19" s="9">
        <v>880391328.83000004</v>
      </c>
      <c r="AR19" s="10">
        <v>1.9780424816500001E-2</v>
      </c>
      <c r="AS19" s="10">
        <v>0.1439</v>
      </c>
      <c r="AT19" s="10">
        <v>0.1241</v>
      </c>
      <c r="AU19" s="9">
        <v>2620276502.75</v>
      </c>
      <c r="AV19" s="10">
        <v>4.7608974113039999E-2</v>
      </c>
      <c r="AW19" s="10">
        <v>0.05</v>
      </c>
      <c r="AX19" s="10">
        <v>2.3999999999999998E-3</v>
      </c>
      <c r="AY19" s="9">
        <v>22867376530.549999</v>
      </c>
      <c r="AZ19" s="10">
        <v>2.6653057842089999E-2</v>
      </c>
      <c r="BA19" s="10">
        <v>0.14349999999999999</v>
      </c>
      <c r="BB19" s="10">
        <v>0.1168</v>
      </c>
    </row>
    <row r="20" spans="1:54" s="7" customFormat="1">
      <c r="A20" s="3" t="s">
        <v>39</v>
      </c>
      <c r="B20" s="23" t="s">
        <v>40</v>
      </c>
      <c r="C20" s="2" t="s">
        <v>26</v>
      </c>
      <c r="D20" s="1" t="s">
        <v>26</v>
      </c>
      <c r="E20" s="1" t="s">
        <v>26</v>
      </c>
      <c r="F20" s="1" t="s">
        <v>26</v>
      </c>
      <c r="G20" s="2" t="s">
        <v>26</v>
      </c>
      <c r="H20" s="1" t="s">
        <v>26</v>
      </c>
      <c r="I20" s="1" t="s">
        <v>26</v>
      </c>
      <c r="J20" s="1" t="s">
        <v>26</v>
      </c>
      <c r="K20" s="2" t="s">
        <v>26</v>
      </c>
      <c r="L20" s="1" t="s">
        <v>26</v>
      </c>
      <c r="M20" s="1" t="s">
        <v>26</v>
      </c>
      <c r="N20" s="1" t="s">
        <v>26</v>
      </c>
      <c r="O20" s="2">
        <v>4001052600</v>
      </c>
      <c r="P20" s="1">
        <v>0.59378608482143003</v>
      </c>
      <c r="Q20" s="1" t="s">
        <v>26</v>
      </c>
      <c r="R20" s="1" t="s">
        <v>26</v>
      </c>
      <c r="S20" s="2">
        <v>986259465.89999998</v>
      </c>
      <c r="T20" s="1">
        <v>0.20480778479284001</v>
      </c>
      <c r="U20" s="1" t="s">
        <v>26</v>
      </c>
      <c r="V20" s="1" t="s">
        <v>26</v>
      </c>
      <c r="W20" s="2" t="s">
        <v>26</v>
      </c>
      <c r="X20" s="1" t="s">
        <v>26</v>
      </c>
      <c r="Y20" s="1" t="s">
        <v>26</v>
      </c>
      <c r="Z20" s="1" t="s">
        <v>26</v>
      </c>
      <c r="AA20" s="2">
        <v>4001052600</v>
      </c>
      <c r="AB20" s="1">
        <v>0.53825936075582004</v>
      </c>
      <c r="AC20" s="1" t="s">
        <v>26</v>
      </c>
      <c r="AD20" s="1" t="s">
        <v>26</v>
      </c>
      <c r="AE20" s="2">
        <v>8988364665.8999996</v>
      </c>
      <c r="AF20" s="1">
        <v>0.46411420781983997</v>
      </c>
      <c r="AG20" s="1" t="s">
        <v>26</v>
      </c>
      <c r="AH20" s="1" t="s">
        <v>26</v>
      </c>
      <c r="AI20" s="2">
        <v>358094207.69999999</v>
      </c>
      <c r="AJ20" s="1">
        <v>0.41185754424062998</v>
      </c>
      <c r="AK20" s="1" t="s">
        <v>26</v>
      </c>
      <c r="AL20" s="1" t="s">
        <v>26</v>
      </c>
      <c r="AM20" s="2" t="s">
        <v>26</v>
      </c>
      <c r="AN20" s="1" t="s">
        <v>26</v>
      </c>
      <c r="AO20" s="1" t="s">
        <v>26</v>
      </c>
      <c r="AP20" s="1" t="s">
        <v>26</v>
      </c>
      <c r="AQ20" s="2">
        <v>358094207.69999999</v>
      </c>
      <c r="AR20" s="1">
        <v>0.40674436011982001</v>
      </c>
      <c r="AS20" s="1" t="s">
        <v>26</v>
      </c>
      <c r="AT20" s="1" t="s">
        <v>26</v>
      </c>
      <c r="AU20" s="2">
        <v>639168152.85000002</v>
      </c>
      <c r="AV20" s="1">
        <v>0.24393156683243</v>
      </c>
      <c r="AW20" s="1" t="s">
        <v>26</v>
      </c>
      <c r="AX20" s="1" t="s">
        <v>26</v>
      </c>
      <c r="AY20" s="2">
        <v>9985627026.4500008</v>
      </c>
      <c r="AZ20" s="1">
        <v>0.43667567257265</v>
      </c>
      <c r="BA20" s="1" t="s">
        <v>26</v>
      </c>
      <c r="BB20" s="1" t="s">
        <v>26</v>
      </c>
    </row>
    <row r="21" spans="1:54" s="28" customFormat="1">
      <c r="A21" s="3" t="s">
        <v>41</v>
      </c>
      <c r="B21" s="23" t="s">
        <v>35</v>
      </c>
      <c r="C21" s="2">
        <v>11721360.310000001</v>
      </c>
      <c r="D21" s="1">
        <v>1</v>
      </c>
      <c r="E21" s="1" t="s">
        <v>26</v>
      </c>
      <c r="F21" s="1" t="s">
        <v>26</v>
      </c>
      <c r="G21" s="2">
        <v>360050969.19999999</v>
      </c>
      <c r="H21" s="1">
        <v>1</v>
      </c>
      <c r="I21" s="1" t="s">
        <v>26</v>
      </c>
      <c r="J21" s="1" t="s">
        <v>26</v>
      </c>
      <c r="K21" s="2" t="s">
        <v>26</v>
      </c>
      <c r="L21" s="1" t="s">
        <v>26</v>
      </c>
      <c r="M21" s="1" t="s">
        <v>26</v>
      </c>
      <c r="N21" s="1" t="s">
        <v>26</v>
      </c>
      <c r="O21" s="2">
        <v>2737152794.6300001</v>
      </c>
      <c r="P21" s="1">
        <v>0.40621391517856997</v>
      </c>
      <c r="Q21" s="1" t="s">
        <v>26</v>
      </c>
      <c r="R21" s="1" t="s">
        <v>26</v>
      </c>
      <c r="S21" s="2">
        <v>3829277535.77</v>
      </c>
      <c r="T21" s="1">
        <v>0.79519221520715999</v>
      </c>
      <c r="U21" s="1" t="s">
        <v>26</v>
      </c>
      <c r="V21" s="1" t="s">
        <v>26</v>
      </c>
      <c r="W21" s="2">
        <v>7876706.96</v>
      </c>
      <c r="X21" s="1">
        <v>1</v>
      </c>
      <c r="Y21" s="1" t="s">
        <v>26</v>
      </c>
      <c r="Z21" s="1" t="s">
        <v>26</v>
      </c>
      <c r="AA21" s="2">
        <v>3432264666.1999998</v>
      </c>
      <c r="AB21" s="1">
        <v>0.46174063924418002</v>
      </c>
      <c r="AC21" s="1" t="s">
        <v>26</v>
      </c>
      <c r="AD21" s="1" t="s">
        <v>26</v>
      </c>
      <c r="AE21" s="2">
        <v>10378344033.07</v>
      </c>
      <c r="AF21" s="1">
        <v>0.53588579218015997</v>
      </c>
      <c r="AG21" s="1" t="s">
        <v>26</v>
      </c>
      <c r="AH21" s="1" t="s">
        <v>26</v>
      </c>
      <c r="AI21" s="2">
        <v>511367121.12</v>
      </c>
      <c r="AJ21" s="1">
        <v>0.58814245575936996</v>
      </c>
      <c r="AK21" s="1" t="s">
        <v>26</v>
      </c>
      <c r="AL21" s="1" t="s">
        <v>26</v>
      </c>
      <c r="AM21" s="2">
        <v>10930000.01</v>
      </c>
      <c r="AN21" s="1">
        <v>1</v>
      </c>
      <c r="AO21" s="1" t="s">
        <v>26</v>
      </c>
      <c r="AP21" s="1" t="s">
        <v>26</v>
      </c>
      <c r="AQ21" s="2">
        <v>522297121.13</v>
      </c>
      <c r="AR21" s="1">
        <v>0.59325563988018004</v>
      </c>
      <c r="AS21" s="1" t="s">
        <v>26</v>
      </c>
      <c r="AT21" s="1" t="s">
        <v>26</v>
      </c>
      <c r="AU21" s="2">
        <v>1981108349.9000001</v>
      </c>
      <c r="AV21" s="1">
        <v>0.75606843316757</v>
      </c>
      <c r="AW21" s="1" t="s">
        <v>26</v>
      </c>
      <c r="AX21" s="1" t="s">
        <v>26</v>
      </c>
      <c r="AY21" s="2">
        <v>12881749504.1</v>
      </c>
      <c r="AZ21" s="1">
        <v>0.56332432742734995</v>
      </c>
      <c r="BA21" s="1" t="s">
        <v>26</v>
      </c>
      <c r="BB21" s="1" t="s">
        <v>26</v>
      </c>
    </row>
    <row r="22" spans="1:54" s="7" customFormat="1">
      <c r="A22" s="5" t="s">
        <v>42</v>
      </c>
      <c r="B22" s="20" t="s">
        <v>25</v>
      </c>
      <c r="C22" s="9" t="s">
        <v>26</v>
      </c>
      <c r="D22" s="10" t="s">
        <v>26</v>
      </c>
      <c r="E22" s="10" t="s">
        <v>26</v>
      </c>
      <c r="F22" s="10" t="s">
        <v>26</v>
      </c>
      <c r="G22" s="9" t="s">
        <v>26</v>
      </c>
      <c r="H22" s="10" t="s">
        <v>26</v>
      </c>
      <c r="I22" s="10" t="s">
        <v>26</v>
      </c>
      <c r="J22" s="10" t="s">
        <v>26</v>
      </c>
      <c r="K22" s="9" t="s">
        <v>26</v>
      </c>
      <c r="L22" s="10" t="s">
        <v>26</v>
      </c>
      <c r="M22" s="10" t="s">
        <v>26</v>
      </c>
      <c r="N22" s="10" t="s">
        <v>26</v>
      </c>
      <c r="O22" s="9" t="s">
        <v>26</v>
      </c>
      <c r="P22" s="10" t="s">
        <v>26</v>
      </c>
      <c r="Q22" s="10" t="s">
        <v>26</v>
      </c>
      <c r="R22" s="10" t="s">
        <v>26</v>
      </c>
      <c r="S22" s="9" t="s">
        <v>26</v>
      </c>
      <c r="T22" s="10" t="s">
        <v>26</v>
      </c>
      <c r="U22" s="10" t="s">
        <v>26</v>
      </c>
      <c r="V22" s="10" t="s">
        <v>26</v>
      </c>
      <c r="W22" s="9">
        <v>59963183.259999998</v>
      </c>
      <c r="X22" s="10">
        <v>7.9621124691399998E-3</v>
      </c>
      <c r="Y22" s="10">
        <v>0.15</v>
      </c>
      <c r="Z22" s="10">
        <v>0.14199999999999999</v>
      </c>
      <c r="AA22" s="9">
        <v>157008816.09999999</v>
      </c>
      <c r="AB22" s="10">
        <v>9.6722608343999998E-4</v>
      </c>
      <c r="AC22" s="10">
        <v>0.15</v>
      </c>
      <c r="AD22" s="10">
        <v>0.14899999999999999</v>
      </c>
      <c r="AE22" s="9">
        <v>216971999.36000001</v>
      </c>
      <c r="AF22" s="10">
        <v>2.8608467767999999E-4</v>
      </c>
      <c r="AG22" s="10">
        <v>0.15</v>
      </c>
      <c r="AH22" s="10">
        <v>0.1497</v>
      </c>
      <c r="AI22" s="9" t="s">
        <v>26</v>
      </c>
      <c r="AJ22" s="10" t="s">
        <v>26</v>
      </c>
      <c r="AK22" s="10" t="s">
        <v>26</v>
      </c>
      <c r="AL22" s="10" t="s">
        <v>26</v>
      </c>
      <c r="AM22" s="9" t="s">
        <v>26</v>
      </c>
      <c r="AN22" s="10" t="s">
        <v>26</v>
      </c>
      <c r="AO22" s="10" t="s">
        <v>26</v>
      </c>
      <c r="AP22" s="10" t="s">
        <v>26</v>
      </c>
      <c r="AQ22" s="9" t="s">
        <v>26</v>
      </c>
      <c r="AR22" s="10" t="s">
        <v>26</v>
      </c>
      <c r="AS22" s="10" t="s">
        <v>26</v>
      </c>
      <c r="AT22" s="10" t="s">
        <v>26</v>
      </c>
      <c r="AU22" s="9">
        <v>100200000.13</v>
      </c>
      <c r="AV22" s="10">
        <v>1.82057855624E-3</v>
      </c>
      <c r="AW22" s="10">
        <v>0.15</v>
      </c>
      <c r="AX22" s="10">
        <v>0.1482</v>
      </c>
      <c r="AY22" s="9">
        <v>317171999.49000001</v>
      </c>
      <c r="AZ22" s="10">
        <v>3.6967964545000002E-4</v>
      </c>
      <c r="BA22" s="10">
        <v>0.15</v>
      </c>
      <c r="BB22" s="10">
        <v>0.14960000000000001</v>
      </c>
    </row>
    <row r="23" spans="1:54" s="7" customFormat="1">
      <c r="A23" s="3" t="s">
        <v>41</v>
      </c>
      <c r="B23" s="23" t="s">
        <v>35</v>
      </c>
      <c r="C23" s="2" t="s">
        <v>26</v>
      </c>
      <c r="D23" s="1" t="s">
        <v>26</v>
      </c>
      <c r="E23" s="1" t="s">
        <v>26</v>
      </c>
      <c r="F23" s="1" t="s">
        <v>26</v>
      </c>
      <c r="G23" s="2" t="s">
        <v>26</v>
      </c>
      <c r="H23" s="1" t="s">
        <v>26</v>
      </c>
      <c r="I23" s="1" t="s">
        <v>26</v>
      </c>
      <c r="J23" s="1" t="s">
        <v>26</v>
      </c>
      <c r="K23" s="2" t="s">
        <v>26</v>
      </c>
      <c r="L23" s="1" t="s">
        <v>26</v>
      </c>
      <c r="M23" s="1" t="s">
        <v>26</v>
      </c>
      <c r="N23" s="1" t="s">
        <v>26</v>
      </c>
      <c r="O23" s="2" t="s">
        <v>26</v>
      </c>
      <c r="P23" s="1" t="s">
        <v>26</v>
      </c>
      <c r="Q23" s="1" t="s">
        <v>26</v>
      </c>
      <c r="R23" s="1" t="s">
        <v>26</v>
      </c>
      <c r="S23" s="2" t="s">
        <v>26</v>
      </c>
      <c r="T23" s="1" t="s">
        <v>26</v>
      </c>
      <c r="U23" s="1" t="s">
        <v>26</v>
      </c>
      <c r="V23" s="1" t="s">
        <v>26</v>
      </c>
      <c r="W23" s="2">
        <v>59963183.259999998</v>
      </c>
      <c r="X23" s="1">
        <v>1</v>
      </c>
      <c r="Y23" s="1" t="s">
        <v>26</v>
      </c>
      <c r="Z23" s="1" t="s">
        <v>26</v>
      </c>
      <c r="AA23" s="2">
        <v>157008816.09999999</v>
      </c>
      <c r="AB23" s="1">
        <v>1</v>
      </c>
      <c r="AC23" s="1" t="s">
        <v>26</v>
      </c>
      <c r="AD23" s="1" t="s">
        <v>26</v>
      </c>
      <c r="AE23" s="2">
        <v>216971999.36000001</v>
      </c>
      <c r="AF23" s="1">
        <v>1</v>
      </c>
      <c r="AG23" s="1" t="s">
        <v>26</v>
      </c>
      <c r="AH23" s="1" t="s">
        <v>26</v>
      </c>
      <c r="AI23" s="2" t="s">
        <v>26</v>
      </c>
      <c r="AJ23" s="1" t="s">
        <v>26</v>
      </c>
      <c r="AK23" s="1" t="s">
        <v>26</v>
      </c>
      <c r="AL23" s="1" t="s">
        <v>26</v>
      </c>
      <c r="AM23" s="2" t="s">
        <v>26</v>
      </c>
      <c r="AN23" s="1" t="s">
        <v>26</v>
      </c>
      <c r="AO23" s="1" t="s">
        <v>26</v>
      </c>
      <c r="AP23" s="1" t="s">
        <v>26</v>
      </c>
      <c r="AQ23" s="2" t="s">
        <v>26</v>
      </c>
      <c r="AR23" s="1" t="s">
        <v>26</v>
      </c>
      <c r="AS23" s="1" t="s">
        <v>26</v>
      </c>
      <c r="AT23" s="1" t="s">
        <v>26</v>
      </c>
      <c r="AU23" s="2">
        <v>100200000.13</v>
      </c>
      <c r="AV23" s="1">
        <v>1</v>
      </c>
      <c r="AW23" s="1" t="s">
        <v>26</v>
      </c>
      <c r="AX23" s="1" t="s">
        <v>26</v>
      </c>
      <c r="AY23" s="2">
        <v>317171999.49000001</v>
      </c>
      <c r="AZ23" s="1">
        <v>1</v>
      </c>
      <c r="BA23" s="1" t="s">
        <v>26</v>
      </c>
      <c r="BB23" s="1" t="s">
        <v>26</v>
      </c>
    </row>
    <row r="24" spans="1:54" s="28" customFormat="1">
      <c r="A24" s="5" t="s">
        <v>43</v>
      </c>
      <c r="B24" s="20" t="s">
        <v>25</v>
      </c>
      <c r="C24" s="9">
        <v>183835354.16999999</v>
      </c>
      <c r="D24" s="10">
        <v>2.1905088944150001E-2</v>
      </c>
      <c r="E24" s="10">
        <v>0.13500000000000001</v>
      </c>
      <c r="F24" s="10">
        <v>0.11310000000000001</v>
      </c>
      <c r="G24" s="9">
        <v>20107212.010000002</v>
      </c>
      <c r="H24" s="10">
        <v>1.1082481183E-4</v>
      </c>
      <c r="I24" s="10">
        <v>0.13500000000000001</v>
      </c>
      <c r="J24" s="10">
        <v>0.13489999999999999</v>
      </c>
      <c r="K24" s="9" t="s">
        <v>26</v>
      </c>
      <c r="L24" s="10" t="s">
        <v>26</v>
      </c>
      <c r="M24" s="10" t="s">
        <v>26</v>
      </c>
      <c r="N24" s="10" t="s">
        <v>26</v>
      </c>
      <c r="O24" s="9" t="s">
        <v>26</v>
      </c>
      <c r="P24" s="10" t="s">
        <v>26</v>
      </c>
      <c r="Q24" s="10" t="s">
        <v>26</v>
      </c>
      <c r="R24" s="10" t="s">
        <v>26</v>
      </c>
      <c r="S24" s="9" t="s">
        <v>26</v>
      </c>
      <c r="T24" s="10" t="s">
        <v>26</v>
      </c>
      <c r="U24" s="10" t="s">
        <v>26</v>
      </c>
      <c r="V24" s="10" t="s">
        <v>26</v>
      </c>
      <c r="W24" s="9" t="s">
        <v>26</v>
      </c>
      <c r="X24" s="10" t="s">
        <v>26</v>
      </c>
      <c r="Y24" s="10" t="s">
        <v>26</v>
      </c>
      <c r="Z24" s="10" t="s">
        <v>26</v>
      </c>
      <c r="AA24" s="9" t="s">
        <v>26</v>
      </c>
      <c r="AB24" s="10" t="s">
        <v>26</v>
      </c>
      <c r="AC24" s="10" t="s">
        <v>26</v>
      </c>
      <c r="AD24" s="10" t="s">
        <v>26</v>
      </c>
      <c r="AE24" s="9">
        <v>203942566.18000001</v>
      </c>
      <c r="AF24" s="10">
        <v>2.6890494388000002E-4</v>
      </c>
      <c r="AG24" s="10">
        <v>0.13500000000000001</v>
      </c>
      <c r="AH24" s="10">
        <v>0.13469999999999999</v>
      </c>
      <c r="AI24" s="9" t="s">
        <v>26</v>
      </c>
      <c r="AJ24" s="10" t="s">
        <v>26</v>
      </c>
      <c r="AK24" s="10" t="s">
        <v>26</v>
      </c>
      <c r="AL24" s="10" t="s">
        <v>26</v>
      </c>
      <c r="AM24" s="9" t="s">
        <v>26</v>
      </c>
      <c r="AN24" s="10" t="s">
        <v>26</v>
      </c>
      <c r="AO24" s="10" t="s">
        <v>26</v>
      </c>
      <c r="AP24" s="10" t="s">
        <v>26</v>
      </c>
      <c r="AQ24" s="9" t="s">
        <v>26</v>
      </c>
      <c r="AR24" s="10" t="s">
        <v>26</v>
      </c>
      <c r="AS24" s="10" t="s">
        <v>26</v>
      </c>
      <c r="AT24" s="10" t="s">
        <v>26</v>
      </c>
      <c r="AU24" s="9" t="s">
        <v>26</v>
      </c>
      <c r="AV24" s="10" t="s">
        <v>26</v>
      </c>
      <c r="AW24" s="10" t="s">
        <v>26</v>
      </c>
      <c r="AX24" s="10" t="s">
        <v>26</v>
      </c>
      <c r="AY24" s="9">
        <v>203942566.18000001</v>
      </c>
      <c r="AZ24" s="10">
        <v>2.3770514320000001E-4</v>
      </c>
      <c r="BA24" s="10">
        <v>0.13500000000000001</v>
      </c>
      <c r="BB24" s="10">
        <v>0.1348</v>
      </c>
    </row>
    <row r="25" spans="1:54" s="7" customFormat="1">
      <c r="A25" s="3" t="s">
        <v>41</v>
      </c>
      <c r="B25" s="23" t="s">
        <v>44</v>
      </c>
      <c r="C25" s="2">
        <v>183835354.16999999</v>
      </c>
      <c r="D25" s="1">
        <v>1</v>
      </c>
      <c r="E25" s="1" t="s">
        <v>26</v>
      </c>
      <c r="F25" s="1" t="s">
        <v>26</v>
      </c>
      <c r="G25" s="2">
        <v>20107212.010000002</v>
      </c>
      <c r="H25" s="1">
        <v>1</v>
      </c>
      <c r="I25" s="1" t="s">
        <v>26</v>
      </c>
      <c r="J25" s="1" t="s">
        <v>26</v>
      </c>
      <c r="K25" s="2" t="s">
        <v>26</v>
      </c>
      <c r="L25" s="1" t="s">
        <v>26</v>
      </c>
      <c r="M25" s="1" t="s">
        <v>26</v>
      </c>
      <c r="N25" s="1" t="s">
        <v>26</v>
      </c>
      <c r="O25" s="2" t="s">
        <v>26</v>
      </c>
      <c r="P25" s="1" t="s">
        <v>26</v>
      </c>
      <c r="Q25" s="1" t="s">
        <v>26</v>
      </c>
      <c r="R25" s="1" t="s">
        <v>26</v>
      </c>
      <c r="S25" s="2" t="s">
        <v>26</v>
      </c>
      <c r="T25" s="1" t="s">
        <v>26</v>
      </c>
      <c r="U25" s="1" t="s">
        <v>26</v>
      </c>
      <c r="V25" s="1" t="s">
        <v>26</v>
      </c>
      <c r="W25" s="2" t="s">
        <v>26</v>
      </c>
      <c r="X25" s="1" t="s">
        <v>26</v>
      </c>
      <c r="Y25" s="1" t="s">
        <v>26</v>
      </c>
      <c r="Z25" s="1" t="s">
        <v>26</v>
      </c>
      <c r="AA25" s="2" t="s">
        <v>26</v>
      </c>
      <c r="AB25" s="1" t="s">
        <v>26</v>
      </c>
      <c r="AC25" s="1" t="s">
        <v>26</v>
      </c>
      <c r="AD25" s="1" t="s">
        <v>26</v>
      </c>
      <c r="AE25" s="2">
        <v>203942566.18000001</v>
      </c>
      <c r="AF25" s="1">
        <v>1</v>
      </c>
      <c r="AG25" s="1" t="s">
        <v>26</v>
      </c>
      <c r="AH25" s="1" t="s">
        <v>26</v>
      </c>
      <c r="AI25" s="2" t="s">
        <v>26</v>
      </c>
      <c r="AJ25" s="1" t="s">
        <v>26</v>
      </c>
      <c r="AK25" s="1" t="s">
        <v>26</v>
      </c>
      <c r="AL25" s="1" t="s">
        <v>26</v>
      </c>
      <c r="AM25" s="2" t="s">
        <v>26</v>
      </c>
      <c r="AN25" s="1" t="s">
        <v>26</v>
      </c>
      <c r="AO25" s="1" t="s">
        <v>26</v>
      </c>
      <c r="AP25" s="1" t="s">
        <v>26</v>
      </c>
      <c r="AQ25" s="2" t="s">
        <v>26</v>
      </c>
      <c r="AR25" s="1" t="s">
        <v>26</v>
      </c>
      <c r="AS25" s="1" t="s">
        <v>26</v>
      </c>
      <c r="AT25" s="1" t="s">
        <v>26</v>
      </c>
      <c r="AU25" s="2" t="s">
        <v>26</v>
      </c>
      <c r="AV25" s="1" t="s">
        <v>26</v>
      </c>
      <c r="AW25" s="1" t="s">
        <v>26</v>
      </c>
      <c r="AX25" s="1" t="s">
        <v>26</v>
      </c>
      <c r="AY25" s="2">
        <v>203942566.18000001</v>
      </c>
      <c r="AZ25" s="1">
        <v>1</v>
      </c>
      <c r="BA25" s="1" t="s">
        <v>26</v>
      </c>
      <c r="BB25" s="1" t="s">
        <v>26</v>
      </c>
    </row>
    <row r="26" spans="1:54" s="28" customFormat="1">
      <c r="A26" s="5" t="s">
        <v>45</v>
      </c>
      <c r="B26" s="20" t="s">
        <v>25</v>
      </c>
      <c r="C26" s="9">
        <v>20824315.800000001</v>
      </c>
      <c r="D26" s="10">
        <v>2.4813425679700001E-3</v>
      </c>
      <c r="E26" s="10">
        <v>0.13500000000000001</v>
      </c>
      <c r="F26" s="10">
        <v>0.13250000000000001</v>
      </c>
      <c r="G26" s="9">
        <v>1493276780.0999999</v>
      </c>
      <c r="H26" s="10">
        <v>8.23048556351E-3</v>
      </c>
      <c r="I26" s="10">
        <v>0.13500000000000001</v>
      </c>
      <c r="J26" s="10">
        <v>0.1268</v>
      </c>
      <c r="K26" s="9" t="s">
        <v>26</v>
      </c>
      <c r="L26" s="10" t="s">
        <v>26</v>
      </c>
      <c r="M26" s="10" t="s">
        <v>26</v>
      </c>
      <c r="N26" s="10" t="s">
        <v>26</v>
      </c>
      <c r="O26" s="9">
        <v>1872884454.03</v>
      </c>
      <c r="P26" s="10">
        <v>7.1142384296099996E-3</v>
      </c>
      <c r="Q26" s="10">
        <v>0.1368</v>
      </c>
      <c r="R26" s="10">
        <v>0.12970000000000001</v>
      </c>
      <c r="S26" s="9">
        <v>828923327</v>
      </c>
      <c r="T26" s="10">
        <v>6.3336088956499996E-3</v>
      </c>
      <c r="U26" s="10">
        <v>0.13500000000000001</v>
      </c>
      <c r="V26" s="10">
        <v>0.12870000000000001</v>
      </c>
      <c r="W26" s="9" t="s">
        <v>26</v>
      </c>
      <c r="X26" s="10" t="s">
        <v>26</v>
      </c>
      <c r="Y26" s="10" t="s">
        <v>26</v>
      </c>
      <c r="Z26" s="10" t="s">
        <v>26</v>
      </c>
      <c r="AA26" s="9">
        <v>4314866645.0200005</v>
      </c>
      <c r="AB26" s="10">
        <v>2.6581001432129998E-2</v>
      </c>
      <c r="AC26" s="10">
        <v>0.05</v>
      </c>
      <c r="AD26" s="10">
        <v>2.3400000000000001E-2</v>
      </c>
      <c r="AE26" s="9">
        <v>8530775521.9499998</v>
      </c>
      <c r="AF26" s="10">
        <v>1.124810654274E-2</v>
      </c>
      <c r="AG26" s="10">
        <v>0.14000000000000001</v>
      </c>
      <c r="AH26" s="10">
        <v>0.1288</v>
      </c>
      <c r="AI26" s="9">
        <v>386906415.38999999</v>
      </c>
      <c r="AJ26" s="10">
        <v>2.0235464617379999E-2</v>
      </c>
      <c r="AK26" s="10">
        <v>0.15</v>
      </c>
      <c r="AL26" s="10">
        <v>0.1298</v>
      </c>
      <c r="AM26" s="9" t="s">
        <v>26</v>
      </c>
      <c r="AN26" s="10" t="s">
        <v>26</v>
      </c>
      <c r="AO26" s="10" t="s">
        <v>26</v>
      </c>
      <c r="AP26" s="10" t="s">
        <v>26</v>
      </c>
      <c r="AQ26" s="9">
        <v>386906415.38999999</v>
      </c>
      <c r="AR26" s="10">
        <v>8.6929221245400003E-3</v>
      </c>
      <c r="AS26" s="10">
        <v>0.15</v>
      </c>
      <c r="AT26" s="10">
        <v>0.14130000000000001</v>
      </c>
      <c r="AU26" s="9">
        <v>2042429059.6500001</v>
      </c>
      <c r="AV26" s="10">
        <v>3.7109805826419998E-2</v>
      </c>
      <c r="AW26" s="10">
        <v>0.1429</v>
      </c>
      <c r="AX26" s="10">
        <v>0.10580000000000001</v>
      </c>
      <c r="AY26" s="9">
        <v>10960110996.99</v>
      </c>
      <c r="AZ26" s="10">
        <v>1.2774551202590001E-2</v>
      </c>
      <c r="BA26" s="10">
        <v>0.1409</v>
      </c>
      <c r="BB26" s="10">
        <v>0.12809999999999999</v>
      </c>
    </row>
    <row r="27" spans="1:54" s="7" customFormat="1">
      <c r="A27" s="3" t="s">
        <v>39</v>
      </c>
      <c r="B27" s="23" t="s">
        <v>40</v>
      </c>
      <c r="C27" s="2">
        <v>20824315.800000001</v>
      </c>
      <c r="D27" s="1">
        <v>1</v>
      </c>
      <c r="E27" s="1" t="s">
        <v>26</v>
      </c>
      <c r="F27" s="1" t="s">
        <v>26</v>
      </c>
      <c r="G27" s="2">
        <v>1493276780.0999999</v>
      </c>
      <c r="H27" s="1">
        <v>1</v>
      </c>
      <c r="I27" s="1" t="s">
        <v>26</v>
      </c>
      <c r="J27" s="1" t="s">
        <v>26</v>
      </c>
      <c r="K27" s="2" t="s">
        <v>26</v>
      </c>
      <c r="L27" s="1" t="s">
        <v>26</v>
      </c>
      <c r="M27" s="1" t="s">
        <v>26</v>
      </c>
      <c r="N27" s="1" t="s">
        <v>26</v>
      </c>
      <c r="O27" s="2">
        <v>1651772696.5</v>
      </c>
      <c r="P27" s="1">
        <v>0.88194052385121002</v>
      </c>
      <c r="Q27" s="1" t="s">
        <v>26</v>
      </c>
      <c r="R27" s="1" t="s">
        <v>26</v>
      </c>
      <c r="S27" s="2">
        <v>828923327</v>
      </c>
      <c r="T27" s="1">
        <v>1</v>
      </c>
      <c r="U27" s="1" t="s">
        <v>26</v>
      </c>
      <c r="V27" s="1" t="s">
        <v>26</v>
      </c>
      <c r="W27" s="2" t="s">
        <v>26</v>
      </c>
      <c r="X27" s="1" t="s">
        <v>26</v>
      </c>
      <c r="Y27" s="1" t="s">
        <v>26</v>
      </c>
      <c r="Z27" s="1" t="s">
        <v>26</v>
      </c>
      <c r="AA27" s="2">
        <v>1670687917.96</v>
      </c>
      <c r="AB27" s="1">
        <v>0.38719340721415002</v>
      </c>
      <c r="AC27" s="1" t="s">
        <v>26</v>
      </c>
      <c r="AD27" s="1" t="s">
        <v>26</v>
      </c>
      <c r="AE27" s="2">
        <v>5665485037.3599997</v>
      </c>
      <c r="AF27" s="1">
        <v>0.66412309441063999</v>
      </c>
      <c r="AG27" s="1" t="s">
        <v>26</v>
      </c>
      <c r="AH27" s="1" t="s">
        <v>26</v>
      </c>
      <c r="AI27" s="2" t="s">
        <v>26</v>
      </c>
      <c r="AJ27" s="1" t="s">
        <v>26</v>
      </c>
      <c r="AK27" s="1" t="s">
        <v>26</v>
      </c>
      <c r="AL27" s="1" t="s">
        <v>26</v>
      </c>
      <c r="AM27" s="2" t="s">
        <v>26</v>
      </c>
      <c r="AN27" s="1" t="s">
        <v>26</v>
      </c>
      <c r="AO27" s="1" t="s">
        <v>26</v>
      </c>
      <c r="AP27" s="1" t="s">
        <v>26</v>
      </c>
      <c r="AQ27" s="2" t="s">
        <v>26</v>
      </c>
      <c r="AR27" s="1" t="s">
        <v>26</v>
      </c>
      <c r="AS27" s="1" t="s">
        <v>26</v>
      </c>
      <c r="AT27" s="1" t="s">
        <v>26</v>
      </c>
      <c r="AU27" s="2">
        <v>972957780.5</v>
      </c>
      <c r="AV27" s="1">
        <v>0.47637286392054001</v>
      </c>
      <c r="AW27" s="1" t="s">
        <v>26</v>
      </c>
      <c r="AX27" s="1" t="s">
        <v>26</v>
      </c>
      <c r="AY27" s="2">
        <v>6638442817.8599997</v>
      </c>
      <c r="AZ27" s="1">
        <v>0.60569120328098003</v>
      </c>
      <c r="BA27" s="1" t="s">
        <v>26</v>
      </c>
      <c r="BB27" s="1" t="s">
        <v>26</v>
      </c>
    </row>
    <row r="28" spans="1:54" s="7" customFormat="1">
      <c r="A28" s="3" t="s">
        <v>41</v>
      </c>
      <c r="B28" s="23" t="s">
        <v>35</v>
      </c>
      <c r="C28" s="2" t="s">
        <v>26</v>
      </c>
      <c r="D28" s="1" t="s">
        <v>26</v>
      </c>
      <c r="E28" s="1" t="s">
        <v>26</v>
      </c>
      <c r="F28" s="1" t="s">
        <v>26</v>
      </c>
      <c r="G28" s="2" t="s">
        <v>26</v>
      </c>
      <c r="H28" s="1" t="s">
        <v>26</v>
      </c>
      <c r="I28" s="1" t="s">
        <v>26</v>
      </c>
      <c r="J28" s="1" t="s">
        <v>26</v>
      </c>
      <c r="K28" s="2" t="s">
        <v>26</v>
      </c>
      <c r="L28" s="1" t="s">
        <v>26</v>
      </c>
      <c r="M28" s="1" t="s">
        <v>26</v>
      </c>
      <c r="N28" s="1" t="s">
        <v>26</v>
      </c>
      <c r="O28" s="2">
        <v>221111757.53</v>
      </c>
      <c r="P28" s="1">
        <v>0.11805947614879</v>
      </c>
      <c r="Q28" s="1" t="s">
        <v>26</v>
      </c>
      <c r="R28" s="1" t="s">
        <v>26</v>
      </c>
      <c r="S28" s="2" t="s">
        <v>26</v>
      </c>
      <c r="T28" s="1" t="s">
        <v>26</v>
      </c>
      <c r="U28" s="1" t="s">
        <v>26</v>
      </c>
      <c r="V28" s="1" t="s">
        <v>26</v>
      </c>
      <c r="W28" s="2" t="s">
        <v>26</v>
      </c>
      <c r="X28" s="1" t="s">
        <v>26</v>
      </c>
      <c r="Y28" s="1" t="s">
        <v>26</v>
      </c>
      <c r="Z28" s="1" t="s">
        <v>26</v>
      </c>
      <c r="AA28" s="2">
        <v>2644178727.0599999</v>
      </c>
      <c r="AB28" s="1">
        <v>0.61280659278585004</v>
      </c>
      <c r="AC28" s="1" t="s">
        <v>26</v>
      </c>
      <c r="AD28" s="1" t="s">
        <v>26</v>
      </c>
      <c r="AE28" s="2">
        <v>2865290484.5900002</v>
      </c>
      <c r="AF28" s="1">
        <v>0.33587690558936001</v>
      </c>
      <c r="AG28" s="1" t="s">
        <v>26</v>
      </c>
      <c r="AH28" s="1" t="s">
        <v>26</v>
      </c>
      <c r="AI28" s="2">
        <v>386906415.38999999</v>
      </c>
      <c r="AJ28" s="1">
        <v>1</v>
      </c>
      <c r="AK28" s="1" t="s">
        <v>26</v>
      </c>
      <c r="AL28" s="1" t="s">
        <v>26</v>
      </c>
      <c r="AM28" s="2" t="s">
        <v>26</v>
      </c>
      <c r="AN28" s="1" t="s">
        <v>26</v>
      </c>
      <c r="AO28" s="1" t="s">
        <v>26</v>
      </c>
      <c r="AP28" s="1" t="s">
        <v>26</v>
      </c>
      <c r="AQ28" s="2">
        <v>386906415.38999999</v>
      </c>
      <c r="AR28" s="1">
        <v>1</v>
      </c>
      <c r="AS28" s="1" t="s">
        <v>26</v>
      </c>
      <c r="AT28" s="1" t="s">
        <v>26</v>
      </c>
      <c r="AU28" s="2">
        <v>1069471279.15</v>
      </c>
      <c r="AV28" s="1">
        <v>0.52362713607945999</v>
      </c>
      <c r="AW28" s="1" t="s">
        <v>26</v>
      </c>
      <c r="AX28" s="1" t="s">
        <v>26</v>
      </c>
      <c r="AY28" s="2">
        <v>4321668179.1300001</v>
      </c>
      <c r="AZ28" s="1">
        <v>0.39430879671902003</v>
      </c>
      <c r="BA28" s="1" t="s">
        <v>26</v>
      </c>
      <c r="BB28" s="1" t="s">
        <v>26</v>
      </c>
    </row>
    <row r="29" spans="1:54" s="7" customFormat="1">
      <c r="A29" s="5" t="s">
        <v>46</v>
      </c>
      <c r="B29" s="20" t="s">
        <v>25</v>
      </c>
      <c r="C29" s="9" t="s">
        <v>26</v>
      </c>
      <c r="D29" s="10" t="s">
        <v>26</v>
      </c>
      <c r="E29" s="10" t="s">
        <v>26</v>
      </c>
      <c r="F29" s="10" t="s">
        <v>26</v>
      </c>
      <c r="G29" s="9" t="s">
        <v>26</v>
      </c>
      <c r="H29" s="10" t="s">
        <v>26</v>
      </c>
      <c r="I29" s="10" t="s">
        <v>26</v>
      </c>
      <c r="J29" s="10" t="s">
        <v>26</v>
      </c>
      <c r="K29" s="9">
        <v>20455033.489999998</v>
      </c>
      <c r="L29" s="10">
        <v>4.4482267373500001E-3</v>
      </c>
      <c r="M29" s="10">
        <v>0.13500000000000001</v>
      </c>
      <c r="N29" s="10">
        <v>0.13059999999999999</v>
      </c>
      <c r="O29" s="9" t="s">
        <v>26</v>
      </c>
      <c r="P29" s="10" t="s">
        <v>26</v>
      </c>
      <c r="Q29" s="10" t="s">
        <v>26</v>
      </c>
      <c r="R29" s="10" t="s">
        <v>26</v>
      </c>
      <c r="S29" s="9" t="s">
        <v>26</v>
      </c>
      <c r="T29" s="10" t="s">
        <v>26</v>
      </c>
      <c r="U29" s="10" t="s">
        <v>26</v>
      </c>
      <c r="V29" s="10" t="s">
        <v>26</v>
      </c>
      <c r="W29" s="9" t="s">
        <v>26</v>
      </c>
      <c r="X29" s="10" t="s">
        <v>26</v>
      </c>
      <c r="Y29" s="10" t="s">
        <v>26</v>
      </c>
      <c r="Z29" s="10" t="s">
        <v>26</v>
      </c>
      <c r="AA29" s="9" t="s">
        <v>26</v>
      </c>
      <c r="AB29" s="10" t="s">
        <v>26</v>
      </c>
      <c r="AC29" s="10" t="s">
        <v>26</v>
      </c>
      <c r="AD29" s="10" t="s">
        <v>26</v>
      </c>
      <c r="AE29" s="9">
        <v>20455033.489999998</v>
      </c>
      <c r="AF29" s="10">
        <v>2.6970630679999999E-5</v>
      </c>
      <c r="AG29" s="10">
        <v>0.13500000000000001</v>
      </c>
      <c r="AH29" s="10">
        <v>0.13500000000000001</v>
      </c>
      <c r="AI29" s="9" t="s">
        <v>26</v>
      </c>
      <c r="AJ29" s="10" t="s">
        <v>26</v>
      </c>
      <c r="AK29" s="10" t="s">
        <v>26</v>
      </c>
      <c r="AL29" s="10" t="s">
        <v>26</v>
      </c>
      <c r="AM29" s="9">
        <v>1191216033.5</v>
      </c>
      <c r="AN29" s="10">
        <v>4.6920441159520002E-2</v>
      </c>
      <c r="AO29" s="10">
        <v>0.13500000000000001</v>
      </c>
      <c r="AP29" s="10">
        <v>8.8099999999999998E-2</v>
      </c>
      <c r="AQ29" s="9">
        <v>1191216033.5</v>
      </c>
      <c r="AR29" s="10">
        <v>2.6763961001479999E-2</v>
      </c>
      <c r="AS29" s="10">
        <v>0.13500000000000001</v>
      </c>
      <c r="AT29" s="10">
        <v>0.1082</v>
      </c>
      <c r="AU29" s="9">
        <v>50055470.75</v>
      </c>
      <c r="AV29" s="10">
        <v>9.0948020509999997E-4</v>
      </c>
      <c r="AW29" s="10">
        <v>0.13500000000000001</v>
      </c>
      <c r="AX29" s="10">
        <v>0.1341</v>
      </c>
      <c r="AY29" s="9">
        <v>1261726537.74</v>
      </c>
      <c r="AZ29" s="10">
        <v>1.4706046557800001E-3</v>
      </c>
      <c r="BA29" s="10">
        <v>0.13500000000000001</v>
      </c>
      <c r="BB29" s="10">
        <v>0.13350000000000001</v>
      </c>
    </row>
    <row r="30" spans="1:54" s="7" customFormat="1">
      <c r="A30" s="3" t="s">
        <v>41</v>
      </c>
      <c r="B30" s="23" t="s">
        <v>44</v>
      </c>
      <c r="C30" s="2" t="s">
        <v>26</v>
      </c>
      <c r="D30" s="1" t="s">
        <v>26</v>
      </c>
      <c r="E30" s="1" t="s">
        <v>26</v>
      </c>
      <c r="F30" s="1" t="s">
        <v>26</v>
      </c>
      <c r="G30" s="2" t="s">
        <v>26</v>
      </c>
      <c r="H30" s="1" t="s">
        <v>26</v>
      </c>
      <c r="I30" s="1" t="s">
        <v>26</v>
      </c>
      <c r="J30" s="1" t="s">
        <v>26</v>
      </c>
      <c r="K30" s="2">
        <v>20455033.489999998</v>
      </c>
      <c r="L30" s="1">
        <v>1</v>
      </c>
      <c r="M30" s="1" t="s">
        <v>26</v>
      </c>
      <c r="N30" s="1" t="s">
        <v>26</v>
      </c>
      <c r="O30" s="2" t="s">
        <v>26</v>
      </c>
      <c r="P30" s="1" t="s">
        <v>26</v>
      </c>
      <c r="Q30" s="1" t="s">
        <v>26</v>
      </c>
      <c r="R30" s="1" t="s">
        <v>26</v>
      </c>
      <c r="S30" s="2" t="s">
        <v>26</v>
      </c>
      <c r="T30" s="1" t="s">
        <v>26</v>
      </c>
      <c r="U30" s="1" t="s">
        <v>26</v>
      </c>
      <c r="V30" s="1" t="s">
        <v>26</v>
      </c>
      <c r="W30" s="2" t="s">
        <v>26</v>
      </c>
      <c r="X30" s="1" t="s">
        <v>26</v>
      </c>
      <c r="Y30" s="1" t="s">
        <v>26</v>
      </c>
      <c r="Z30" s="1" t="s">
        <v>26</v>
      </c>
      <c r="AA30" s="2" t="s">
        <v>26</v>
      </c>
      <c r="AB30" s="1" t="s">
        <v>26</v>
      </c>
      <c r="AC30" s="1" t="s">
        <v>26</v>
      </c>
      <c r="AD30" s="1" t="s">
        <v>26</v>
      </c>
      <c r="AE30" s="2">
        <v>20455033.489999998</v>
      </c>
      <c r="AF30" s="1">
        <v>1</v>
      </c>
      <c r="AG30" s="1" t="s">
        <v>26</v>
      </c>
      <c r="AH30" s="1" t="s">
        <v>26</v>
      </c>
      <c r="AI30" s="2" t="s">
        <v>26</v>
      </c>
      <c r="AJ30" s="1" t="s">
        <v>26</v>
      </c>
      <c r="AK30" s="1" t="s">
        <v>26</v>
      </c>
      <c r="AL30" s="1" t="s">
        <v>26</v>
      </c>
      <c r="AM30" s="2">
        <v>1191216033.5</v>
      </c>
      <c r="AN30" s="1">
        <v>1</v>
      </c>
      <c r="AO30" s="1" t="s">
        <v>26</v>
      </c>
      <c r="AP30" s="1" t="s">
        <v>26</v>
      </c>
      <c r="AQ30" s="2">
        <v>1191216033.5</v>
      </c>
      <c r="AR30" s="1">
        <v>1</v>
      </c>
      <c r="AS30" s="1" t="s">
        <v>26</v>
      </c>
      <c r="AT30" s="1" t="s">
        <v>26</v>
      </c>
      <c r="AU30" s="2">
        <v>50055470.75</v>
      </c>
      <c r="AV30" s="1">
        <v>1</v>
      </c>
      <c r="AW30" s="1" t="s">
        <v>26</v>
      </c>
      <c r="AX30" s="1" t="s">
        <v>26</v>
      </c>
      <c r="AY30" s="2">
        <v>1261726537.74</v>
      </c>
      <c r="AZ30" s="1">
        <v>1</v>
      </c>
      <c r="BA30" s="1" t="s">
        <v>26</v>
      </c>
      <c r="BB30" s="1" t="s">
        <v>26</v>
      </c>
    </row>
    <row r="31" spans="1:54" s="7" customFormat="1">
      <c r="A31" s="5" t="s">
        <v>48</v>
      </c>
      <c r="B31" s="20" t="s">
        <v>25</v>
      </c>
      <c r="C31" s="9" t="s">
        <v>26</v>
      </c>
      <c r="D31" s="10" t="s">
        <v>26</v>
      </c>
      <c r="E31" s="10" t="s">
        <v>26</v>
      </c>
      <c r="F31" s="10" t="s">
        <v>26</v>
      </c>
      <c r="G31" s="9">
        <v>20090618.48</v>
      </c>
      <c r="H31" s="10">
        <v>1.1073335336E-4</v>
      </c>
      <c r="I31" s="10">
        <v>0.13500000000000001</v>
      </c>
      <c r="J31" s="10">
        <v>0.13489999999999999</v>
      </c>
      <c r="K31" s="9">
        <v>225309632.68000001</v>
      </c>
      <c r="L31" s="10">
        <v>4.8996660541240002E-2</v>
      </c>
      <c r="M31" s="10">
        <v>0.13500000000000001</v>
      </c>
      <c r="N31" s="10">
        <v>8.5999999999999993E-2</v>
      </c>
      <c r="O31" s="9" t="s">
        <v>26</v>
      </c>
      <c r="P31" s="10" t="s">
        <v>26</v>
      </c>
      <c r="Q31" s="10" t="s">
        <v>26</v>
      </c>
      <c r="R31" s="10" t="s">
        <v>26</v>
      </c>
      <c r="S31" s="9" t="s">
        <v>26</v>
      </c>
      <c r="T31" s="10" t="s">
        <v>26</v>
      </c>
      <c r="U31" s="10" t="s">
        <v>26</v>
      </c>
      <c r="V31" s="10" t="s">
        <v>26</v>
      </c>
      <c r="W31" s="9" t="s">
        <v>26</v>
      </c>
      <c r="X31" s="10" t="s">
        <v>26</v>
      </c>
      <c r="Y31" s="10" t="s">
        <v>26</v>
      </c>
      <c r="Z31" s="10" t="s">
        <v>26</v>
      </c>
      <c r="AA31" s="9" t="s">
        <v>26</v>
      </c>
      <c r="AB31" s="10" t="s">
        <v>26</v>
      </c>
      <c r="AC31" s="10" t="s">
        <v>26</v>
      </c>
      <c r="AD31" s="10" t="s">
        <v>26</v>
      </c>
      <c r="AE31" s="9">
        <v>245400251.16</v>
      </c>
      <c r="AF31" s="10">
        <v>3.2356825749000001E-4</v>
      </c>
      <c r="AG31" s="10">
        <v>0.13500000000000001</v>
      </c>
      <c r="AH31" s="10">
        <v>0.13469999999999999</v>
      </c>
      <c r="AI31" s="9">
        <v>19058967.280000001</v>
      </c>
      <c r="AJ31" s="10">
        <v>9.9679675161000003E-4</v>
      </c>
      <c r="AK31" s="10">
        <v>0.13500000000000001</v>
      </c>
      <c r="AL31" s="10">
        <v>0.13400000000000001</v>
      </c>
      <c r="AM31" s="9" t="s">
        <v>26</v>
      </c>
      <c r="AN31" s="10" t="s">
        <v>26</v>
      </c>
      <c r="AO31" s="10" t="s">
        <v>26</v>
      </c>
      <c r="AP31" s="10" t="s">
        <v>26</v>
      </c>
      <c r="AQ31" s="9">
        <v>19058967.280000001</v>
      </c>
      <c r="AR31" s="10">
        <v>4.2821238354000002E-4</v>
      </c>
      <c r="AS31" s="10">
        <v>0.13500000000000001</v>
      </c>
      <c r="AT31" s="10">
        <v>0.1346</v>
      </c>
      <c r="AU31" s="9" t="s">
        <v>26</v>
      </c>
      <c r="AV31" s="10" t="s">
        <v>26</v>
      </c>
      <c r="AW31" s="10" t="s">
        <v>26</v>
      </c>
      <c r="AX31" s="10" t="s">
        <v>26</v>
      </c>
      <c r="AY31" s="9">
        <v>264459218.44</v>
      </c>
      <c r="AZ31" s="10">
        <v>3.0824029318000002E-4</v>
      </c>
      <c r="BA31" s="10">
        <v>0.13500000000000001</v>
      </c>
      <c r="BB31" s="10">
        <v>0.13469999999999999</v>
      </c>
    </row>
    <row r="32" spans="1:54" s="7" customFormat="1">
      <c r="A32" s="3" t="s">
        <v>41</v>
      </c>
      <c r="B32" s="23" t="s">
        <v>44</v>
      </c>
      <c r="C32" s="2" t="s">
        <v>26</v>
      </c>
      <c r="D32" s="1" t="s">
        <v>26</v>
      </c>
      <c r="E32" s="1" t="s">
        <v>26</v>
      </c>
      <c r="F32" s="1" t="s">
        <v>26</v>
      </c>
      <c r="G32" s="2">
        <v>20090618.48</v>
      </c>
      <c r="H32" s="1">
        <v>1</v>
      </c>
      <c r="I32" s="1" t="s">
        <v>26</v>
      </c>
      <c r="J32" s="1" t="s">
        <v>26</v>
      </c>
      <c r="K32" s="2">
        <v>225309632.68000001</v>
      </c>
      <c r="L32" s="1">
        <v>1</v>
      </c>
      <c r="M32" s="1" t="s">
        <v>26</v>
      </c>
      <c r="N32" s="1" t="s">
        <v>26</v>
      </c>
      <c r="O32" s="2" t="s">
        <v>26</v>
      </c>
      <c r="P32" s="1" t="s">
        <v>26</v>
      </c>
      <c r="Q32" s="1" t="s">
        <v>26</v>
      </c>
      <c r="R32" s="1" t="s">
        <v>26</v>
      </c>
      <c r="S32" s="2" t="s">
        <v>26</v>
      </c>
      <c r="T32" s="1" t="s">
        <v>26</v>
      </c>
      <c r="U32" s="1" t="s">
        <v>26</v>
      </c>
      <c r="V32" s="1" t="s">
        <v>26</v>
      </c>
      <c r="W32" s="2" t="s">
        <v>26</v>
      </c>
      <c r="X32" s="1" t="s">
        <v>26</v>
      </c>
      <c r="Y32" s="1" t="s">
        <v>26</v>
      </c>
      <c r="Z32" s="1" t="s">
        <v>26</v>
      </c>
      <c r="AA32" s="2" t="s">
        <v>26</v>
      </c>
      <c r="AB32" s="1" t="s">
        <v>26</v>
      </c>
      <c r="AC32" s="1" t="s">
        <v>26</v>
      </c>
      <c r="AD32" s="1" t="s">
        <v>26</v>
      </c>
      <c r="AE32" s="2">
        <v>245400251.16</v>
      </c>
      <c r="AF32" s="1">
        <v>1</v>
      </c>
      <c r="AG32" s="1" t="s">
        <v>26</v>
      </c>
      <c r="AH32" s="1" t="s">
        <v>26</v>
      </c>
      <c r="AI32" s="2">
        <v>19058967.280000001</v>
      </c>
      <c r="AJ32" s="1">
        <v>1</v>
      </c>
      <c r="AK32" s="1" t="s">
        <v>26</v>
      </c>
      <c r="AL32" s="1" t="s">
        <v>26</v>
      </c>
      <c r="AM32" s="2" t="s">
        <v>26</v>
      </c>
      <c r="AN32" s="1" t="s">
        <v>26</v>
      </c>
      <c r="AO32" s="1" t="s">
        <v>26</v>
      </c>
      <c r="AP32" s="1" t="s">
        <v>26</v>
      </c>
      <c r="AQ32" s="2">
        <v>19058967.280000001</v>
      </c>
      <c r="AR32" s="1">
        <v>1</v>
      </c>
      <c r="AS32" s="1" t="s">
        <v>26</v>
      </c>
      <c r="AT32" s="1" t="s">
        <v>26</v>
      </c>
      <c r="AU32" s="2" t="s">
        <v>26</v>
      </c>
      <c r="AV32" s="1" t="s">
        <v>26</v>
      </c>
      <c r="AW32" s="1" t="s">
        <v>26</v>
      </c>
      <c r="AX32" s="1" t="s">
        <v>26</v>
      </c>
      <c r="AY32" s="2">
        <v>264459218.44</v>
      </c>
      <c r="AZ32" s="1">
        <v>1</v>
      </c>
      <c r="BA32" s="1" t="s">
        <v>26</v>
      </c>
      <c r="BB32" s="1" t="s">
        <v>26</v>
      </c>
    </row>
    <row r="33" spans="1:54" s="7" customFormat="1">
      <c r="A33" s="5" t="s">
        <v>49</v>
      </c>
      <c r="B33" s="20" t="s">
        <v>25</v>
      </c>
      <c r="C33" s="9" t="s">
        <v>26</v>
      </c>
      <c r="D33" s="10" t="s">
        <v>26</v>
      </c>
      <c r="E33" s="10" t="s">
        <v>26</v>
      </c>
      <c r="F33" s="10" t="s">
        <v>26</v>
      </c>
      <c r="G33" s="9">
        <v>221044201.80000001</v>
      </c>
      <c r="H33" s="10">
        <v>1.2183281331800001E-3</v>
      </c>
      <c r="I33" s="10">
        <v>0.13500000000000001</v>
      </c>
      <c r="J33" s="10">
        <v>0.1338</v>
      </c>
      <c r="K33" s="9">
        <v>143740883.38999999</v>
      </c>
      <c r="L33" s="10">
        <v>3.1258420625810003E-2</v>
      </c>
      <c r="M33" s="10">
        <v>0.13500000000000001</v>
      </c>
      <c r="N33" s="10">
        <v>0.1037</v>
      </c>
      <c r="O33" s="9" t="s">
        <v>26</v>
      </c>
      <c r="P33" s="10" t="s">
        <v>26</v>
      </c>
      <c r="Q33" s="10" t="s">
        <v>26</v>
      </c>
      <c r="R33" s="10" t="s">
        <v>26</v>
      </c>
      <c r="S33" s="9">
        <v>17056703.190000001</v>
      </c>
      <c r="T33" s="10">
        <v>1.3032627209E-4</v>
      </c>
      <c r="U33" s="10">
        <v>0.13500000000000001</v>
      </c>
      <c r="V33" s="10">
        <v>0.13489999999999999</v>
      </c>
      <c r="W33" s="9" t="s">
        <v>26</v>
      </c>
      <c r="X33" s="10" t="s">
        <v>26</v>
      </c>
      <c r="Y33" s="10" t="s">
        <v>26</v>
      </c>
      <c r="Z33" s="10" t="s">
        <v>26</v>
      </c>
      <c r="AA33" s="9">
        <v>61227636.329999998</v>
      </c>
      <c r="AB33" s="10">
        <v>3.7718243061999999E-4</v>
      </c>
      <c r="AC33" s="10">
        <v>0.13500000000000001</v>
      </c>
      <c r="AD33" s="10">
        <v>0.1346</v>
      </c>
      <c r="AE33" s="9">
        <v>443069424.70999998</v>
      </c>
      <c r="AF33" s="10">
        <v>5.8420152799999996E-4</v>
      </c>
      <c r="AG33" s="10">
        <v>0.13500000000000001</v>
      </c>
      <c r="AH33" s="10">
        <v>0.13439999999999999</v>
      </c>
      <c r="AI33" s="9">
        <v>3676230.69</v>
      </c>
      <c r="AJ33" s="10">
        <v>1.9226932687999999E-4</v>
      </c>
      <c r="AK33" s="10">
        <v>0.13500000000000001</v>
      </c>
      <c r="AL33" s="10">
        <v>0.1348</v>
      </c>
      <c r="AM33" s="9" t="s">
        <v>26</v>
      </c>
      <c r="AN33" s="10" t="s">
        <v>26</v>
      </c>
      <c r="AO33" s="10" t="s">
        <v>26</v>
      </c>
      <c r="AP33" s="10" t="s">
        <v>26</v>
      </c>
      <c r="AQ33" s="9">
        <v>3676230.69</v>
      </c>
      <c r="AR33" s="10">
        <v>8.2596684440000004E-5</v>
      </c>
      <c r="AS33" s="10">
        <v>0.13500000000000001</v>
      </c>
      <c r="AT33" s="10">
        <v>0.13489999999999999</v>
      </c>
      <c r="AU33" s="9" t="s">
        <v>26</v>
      </c>
      <c r="AV33" s="10" t="s">
        <v>26</v>
      </c>
      <c r="AW33" s="10" t="s">
        <v>26</v>
      </c>
      <c r="AX33" s="10" t="s">
        <v>26</v>
      </c>
      <c r="AY33" s="9">
        <v>446745655.39999998</v>
      </c>
      <c r="AZ33" s="10">
        <v>5.2070414715999999E-4</v>
      </c>
      <c r="BA33" s="10">
        <v>0.13500000000000001</v>
      </c>
      <c r="BB33" s="10">
        <v>0.13450000000000001</v>
      </c>
    </row>
    <row r="34" spans="1:54" s="7" customFormat="1">
      <c r="A34" s="3" t="s">
        <v>41</v>
      </c>
      <c r="B34" s="23" t="s">
        <v>44</v>
      </c>
      <c r="C34" s="2" t="s">
        <v>26</v>
      </c>
      <c r="D34" s="1" t="s">
        <v>26</v>
      </c>
      <c r="E34" s="1" t="s">
        <v>26</v>
      </c>
      <c r="F34" s="1" t="s">
        <v>26</v>
      </c>
      <c r="G34" s="2">
        <v>221044201.80000001</v>
      </c>
      <c r="H34" s="1">
        <v>1</v>
      </c>
      <c r="I34" s="1" t="s">
        <v>26</v>
      </c>
      <c r="J34" s="1" t="s">
        <v>26</v>
      </c>
      <c r="K34" s="2">
        <v>143740883.38999999</v>
      </c>
      <c r="L34" s="1">
        <v>1</v>
      </c>
      <c r="M34" s="1" t="s">
        <v>26</v>
      </c>
      <c r="N34" s="1" t="s">
        <v>26</v>
      </c>
      <c r="O34" s="2" t="s">
        <v>26</v>
      </c>
      <c r="P34" s="1" t="s">
        <v>26</v>
      </c>
      <c r="Q34" s="1" t="s">
        <v>26</v>
      </c>
      <c r="R34" s="1" t="s">
        <v>26</v>
      </c>
      <c r="S34" s="2">
        <v>17056703.190000001</v>
      </c>
      <c r="T34" s="1">
        <v>1</v>
      </c>
      <c r="U34" s="1" t="s">
        <v>26</v>
      </c>
      <c r="V34" s="1" t="s">
        <v>26</v>
      </c>
      <c r="W34" s="2" t="s">
        <v>26</v>
      </c>
      <c r="X34" s="1" t="s">
        <v>26</v>
      </c>
      <c r="Y34" s="1" t="s">
        <v>26</v>
      </c>
      <c r="Z34" s="1" t="s">
        <v>26</v>
      </c>
      <c r="AA34" s="2">
        <v>61227636.329999998</v>
      </c>
      <c r="AB34" s="1">
        <v>1</v>
      </c>
      <c r="AC34" s="1" t="s">
        <v>26</v>
      </c>
      <c r="AD34" s="1" t="s">
        <v>26</v>
      </c>
      <c r="AE34" s="2">
        <v>443069424.70999998</v>
      </c>
      <c r="AF34" s="1">
        <v>1</v>
      </c>
      <c r="AG34" s="1" t="s">
        <v>26</v>
      </c>
      <c r="AH34" s="1" t="s">
        <v>26</v>
      </c>
      <c r="AI34" s="2">
        <v>3676230.69</v>
      </c>
      <c r="AJ34" s="1">
        <v>1</v>
      </c>
      <c r="AK34" s="1" t="s">
        <v>26</v>
      </c>
      <c r="AL34" s="1" t="s">
        <v>26</v>
      </c>
      <c r="AM34" s="2" t="s">
        <v>26</v>
      </c>
      <c r="AN34" s="1" t="s">
        <v>26</v>
      </c>
      <c r="AO34" s="1" t="s">
        <v>26</v>
      </c>
      <c r="AP34" s="1" t="s">
        <v>26</v>
      </c>
      <c r="AQ34" s="2">
        <v>3676230.69</v>
      </c>
      <c r="AR34" s="1">
        <v>1</v>
      </c>
      <c r="AS34" s="1" t="s">
        <v>26</v>
      </c>
      <c r="AT34" s="1" t="s">
        <v>26</v>
      </c>
      <c r="AU34" s="2" t="s">
        <v>26</v>
      </c>
      <c r="AV34" s="1" t="s">
        <v>26</v>
      </c>
      <c r="AW34" s="1" t="s">
        <v>26</v>
      </c>
      <c r="AX34" s="1" t="s">
        <v>26</v>
      </c>
      <c r="AY34" s="2">
        <v>446745655.39999998</v>
      </c>
      <c r="AZ34" s="1">
        <v>1</v>
      </c>
      <c r="BA34" s="1" t="s">
        <v>26</v>
      </c>
      <c r="BB34" s="1" t="s">
        <v>26</v>
      </c>
    </row>
    <row r="35" spans="1:54" s="7" customFormat="1">
      <c r="A35" s="5" t="s">
        <v>50</v>
      </c>
      <c r="B35" s="20" t="s">
        <v>25</v>
      </c>
      <c r="C35" s="9" t="s">
        <v>26</v>
      </c>
      <c r="D35" s="10" t="s">
        <v>26</v>
      </c>
      <c r="E35" s="10" t="s">
        <v>26</v>
      </c>
      <c r="F35" s="10" t="s">
        <v>26</v>
      </c>
      <c r="G35" s="9">
        <v>568076375.94000006</v>
      </c>
      <c r="H35" s="10">
        <v>3.1310634930200002E-3</v>
      </c>
      <c r="I35" s="10">
        <v>0.09</v>
      </c>
      <c r="J35" s="10">
        <v>8.6900000000000005E-2</v>
      </c>
      <c r="K35" s="9">
        <v>26394208.890000001</v>
      </c>
      <c r="L35" s="10">
        <v>5.7397816411799999E-3</v>
      </c>
      <c r="M35" s="10">
        <v>0.13500000000000001</v>
      </c>
      <c r="N35" s="10">
        <v>0.1293</v>
      </c>
      <c r="O35" s="9">
        <v>2318713725.5</v>
      </c>
      <c r="P35" s="10">
        <v>8.8077415869E-3</v>
      </c>
      <c r="Q35" s="10">
        <v>0.1242</v>
      </c>
      <c r="R35" s="10">
        <v>0.1154</v>
      </c>
      <c r="S35" s="9">
        <v>434137561.00999999</v>
      </c>
      <c r="T35" s="10">
        <v>3.3171433699399999E-3</v>
      </c>
      <c r="U35" s="10">
        <v>0.10349999999999999</v>
      </c>
      <c r="V35" s="10">
        <v>0.1002</v>
      </c>
      <c r="W35" s="9" t="s">
        <v>26</v>
      </c>
      <c r="X35" s="10" t="s">
        <v>26</v>
      </c>
      <c r="Y35" s="10" t="s">
        <v>26</v>
      </c>
      <c r="Z35" s="10" t="s">
        <v>26</v>
      </c>
      <c r="AA35" s="9">
        <v>770605370.5</v>
      </c>
      <c r="AB35" s="10">
        <v>4.7471832021799996E-3</v>
      </c>
      <c r="AC35" s="10">
        <v>0.10249999999999999</v>
      </c>
      <c r="AD35" s="10">
        <v>9.7799999999999998E-2</v>
      </c>
      <c r="AE35" s="9">
        <v>4117927241.8400002</v>
      </c>
      <c r="AF35" s="10">
        <v>5.42962175388E-3</v>
      </c>
      <c r="AG35" s="10">
        <v>0.1133</v>
      </c>
      <c r="AH35" s="10">
        <v>0.1079</v>
      </c>
      <c r="AI35" s="9">
        <v>84091090.090000004</v>
      </c>
      <c r="AJ35" s="10">
        <v>4.3980203234400004E-3</v>
      </c>
      <c r="AK35" s="10">
        <v>0.1077</v>
      </c>
      <c r="AL35" s="10">
        <v>0.1033</v>
      </c>
      <c r="AM35" s="9">
        <v>254916649.13999999</v>
      </c>
      <c r="AN35" s="10">
        <v>1.00408333167E-2</v>
      </c>
      <c r="AO35" s="10">
        <v>0.13500000000000001</v>
      </c>
      <c r="AP35" s="10">
        <v>0.125</v>
      </c>
      <c r="AQ35" s="9">
        <v>339007739.23000002</v>
      </c>
      <c r="AR35" s="10">
        <v>7.6167459611000002E-3</v>
      </c>
      <c r="AS35" s="10">
        <v>0.12820000000000001</v>
      </c>
      <c r="AT35" s="10">
        <v>0.1206</v>
      </c>
      <c r="AU35" s="9">
        <v>185916638.38</v>
      </c>
      <c r="AV35" s="10">
        <v>3.3780024415499999E-3</v>
      </c>
      <c r="AW35" s="10">
        <v>0.13500000000000001</v>
      </c>
      <c r="AX35" s="10">
        <v>0.13159999999999999</v>
      </c>
      <c r="AY35" s="9">
        <v>4642851619.4499998</v>
      </c>
      <c r="AZ35" s="10">
        <v>5.4114730913799999E-3</v>
      </c>
      <c r="BA35" s="10">
        <v>0.1153</v>
      </c>
      <c r="BB35" s="10">
        <v>0.1099</v>
      </c>
    </row>
    <row r="36" spans="1:54" s="7" customFormat="1">
      <c r="A36" s="3" t="s">
        <v>39</v>
      </c>
      <c r="B36" s="23" t="s">
        <v>47</v>
      </c>
      <c r="C36" s="2" t="s">
        <v>26</v>
      </c>
      <c r="D36" s="1" t="s">
        <v>26</v>
      </c>
      <c r="E36" s="1" t="s">
        <v>26</v>
      </c>
      <c r="F36" s="1" t="s">
        <v>26</v>
      </c>
      <c r="G36" s="2">
        <v>568076375.94000006</v>
      </c>
      <c r="H36" s="1">
        <v>1</v>
      </c>
      <c r="I36" s="1" t="s">
        <v>26</v>
      </c>
      <c r="J36" s="1" t="s">
        <v>26</v>
      </c>
      <c r="K36" s="2" t="s">
        <v>26</v>
      </c>
      <c r="L36" s="1" t="s">
        <v>26</v>
      </c>
      <c r="M36" s="1" t="s">
        <v>26</v>
      </c>
      <c r="N36" s="1" t="s">
        <v>26</v>
      </c>
      <c r="O36" s="2">
        <v>556576991.24000001</v>
      </c>
      <c r="P36" s="1">
        <v>0.24003695890487001</v>
      </c>
      <c r="Q36" s="1" t="s">
        <v>26</v>
      </c>
      <c r="R36" s="1" t="s">
        <v>26</v>
      </c>
      <c r="S36" s="2">
        <v>303566148</v>
      </c>
      <c r="T36" s="1">
        <v>0.69923953894652002</v>
      </c>
      <c r="U36" s="1" t="s">
        <v>26</v>
      </c>
      <c r="V36" s="1" t="s">
        <v>26</v>
      </c>
      <c r="W36" s="2" t="s">
        <v>26</v>
      </c>
      <c r="X36" s="1" t="s">
        <v>26</v>
      </c>
      <c r="Y36" s="1" t="s">
        <v>26</v>
      </c>
      <c r="Z36" s="1" t="s">
        <v>26</v>
      </c>
      <c r="AA36" s="2">
        <v>556576991.24000001</v>
      </c>
      <c r="AB36" s="1">
        <v>0.72225942427428003</v>
      </c>
      <c r="AC36" s="1" t="s">
        <v>26</v>
      </c>
      <c r="AD36" s="1" t="s">
        <v>26</v>
      </c>
      <c r="AE36" s="2">
        <v>1984796506.4200001</v>
      </c>
      <c r="AF36" s="1">
        <v>0.48198921201268002</v>
      </c>
      <c r="AG36" s="1" t="s">
        <v>26</v>
      </c>
      <c r="AH36" s="1" t="s">
        <v>26</v>
      </c>
      <c r="AI36" s="2">
        <v>50974172</v>
      </c>
      <c r="AJ36" s="1">
        <v>0.60617803795198999</v>
      </c>
      <c r="AK36" s="1" t="s">
        <v>26</v>
      </c>
      <c r="AL36" s="1" t="s">
        <v>26</v>
      </c>
      <c r="AM36" s="2" t="s">
        <v>26</v>
      </c>
      <c r="AN36" s="1" t="s">
        <v>26</v>
      </c>
      <c r="AO36" s="1" t="s">
        <v>26</v>
      </c>
      <c r="AP36" s="1" t="s">
        <v>26</v>
      </c>
      <c r="AQ36" s="2">
        <v>50974172</v>
      </c>
      <c r="AR36" s="1">
        <v>0.15036285636363</v>
      </c>
      <c r="AS36" s="1" t="s">
        <v>26</v>
      </c>
      <c r="AT36" s="1" t="s">
        <v>26</v>
      </c>
      <c r="AU36" s="2" t="s">
        <v>26</v>
      </c>
      <c r="AV36" s="1" t="s">
        <v>26</v>
      </c>
      <c r="AW36" s="1" t="s">
        <v>26</v>
      </c>
      <c r="AX36" s="1" t="s">
        <v>26</v>
      </c>
      <c r="AY36" s="2">
        <v>2035770678.4200001</v>
      </c>
      <c r="AZ36" s="1">
        <v>0.43847420621664002</v>
      </c>
      <c r="BA36" s="1" t="s">
        <v>26</v>
      </c>
      <c r="BB36" s="1" t="s">
        <v>26</v>
      </c>
    </row>
    <row r="37" spans="1:54" s="7" customFormat="1">
      <c r="A37" s="3" t="s">
        <v>41</v>
      </c>
      <c r="B37" s="23" t="s">
        <v>44</v>
      </c>
      <c r="C37" s="2" t="s">
        <v>26</v>
      </c>
      <c r="D37" s="1" t="s">
        <v>26</v>
      </c>
      <c r="E37" s="1" t="s">
        <v>26</v>
      </c>
      <c r="F37" s="1" t="s">
        <v>26</v>
      </c>
      <c r="G37" s="2" t="s">
        <v>26</v>
      </c>
      <c r="H37" s="1" t="s">
        <v>26</v>
      </c>
      <c r="I37" s="1" t="s">
        <v>26</v>
      </c>
      <c r="J37" s="1" t="s">
        <v>26</v>
      </c>
      <c r="K37" s="2">
        <v>26394208.890000001</v>
      </c>
      <c r="L37" s="1">
        <v>1</v>
      </c>
      <c r="M37" s="1" t="s">
        <v>26</v>
      </c>
      <c r="N37" s="1" t="s">
        <v>26</v>
      </c>
      <c r="O37" s="2">
        <v>1762136734.26</v>
      </c>
      <c r="P37" s="1">
        <v>0.75996304109513002</v>
      </c>
      <c r="Q37" s="1" t="s">
        <v>26</v>
      </c>
      <c r="R37" s="1" t="s">
        <v>26</v>
      </c>
      <c r="S37" s="2">
        <v>130571413.01000001</v>
      </c>
      <c r="T37" s="1">
        <v>0.30076046105347998</v>
      </c>
      <c r="U37" s="1" t="s">
        <v>26</v>
      </c>
      <c r="V37" s="1" t="s">
        <v>26</v>
      </c>
      <c r="W37" s="2" t="s">
        <v>26</v>
      </c>
      <c r="X37" s="1" t="s">
        <v>26</v>
      </c>
      <c r="Y37" s="1" t="s">
        <v>26</v>
      </c>
      <c r="Z37" s="1" t="s">
        <v>26</v>
      </c>
      <c r="AA37" s="2">
        <v>214028379.25999999</v>
      </c>
      <c r="AB37" s="1">
        <v>0.27774057572571997</v>
      </c>
      <c r="AC37" s="1" t="s">
        <v>26</v>
      </c>
      <c r="AD37" s="1" t="s">
        <v>26</v>
      </c>
      <c r="AE37" s="2">
        <v>2133130735.4200001</v>
      </c>
      <c r="AF37" s="1">
        <v>0.51801078798732003</v>
      </c>
      <c r="AG37" s="1" t="s">
        <v>26</v>
      </c>
      <c r="AH37" s="1" t="s">
        <v>26</v>
      </c>
      <c r="AI37" s="2">
        <v>33116918.09</v>
      </c>
      <c r="AJ37" s="1">
        <v>0.39382196204801001</v>
      </c>
      <c r="AK37" s="1" t="s">
        <v>26</v>
      </c>
      <c r="AL37" s="1" t="s">
        <v>26</v>
      </c>
      <c r="AM37" s="2">
        <v>254916649.13999999</v>
      </c>
      <c r="AN37" s="1">
        <v>1</v>
      </c>
      <c r="AO37" s="1" t="s">
        <v>26</v>
      </c>
      <c r="AP37" s="1" t="s">
        <v>26</v>
      </c>
      <c r="AQ37" s="2">
        <v>288033567.23000002</v>
      </c>
      <c r="AR37" s="1">
        <v>0.84963714363637</v>
      </c>
      <c r="AS37" s="1" t="s">
        <v>26</v>
      </c>
      <c r="AT37" s="1" t="s">
        <v>26</v>
      </c>
      <c r="AU37" s="2">
        <v>185916638.38</v>
      </c>
      <c r="AV37" s="1">
        <v>1</v>
      </c>
      <c r="AW37" s="1" t="s">
        <v>26</v>
      </c>
      <c r="AX37" s="1" t="s">
        <v>26</v>
      </c>
      <c r="AY37" s="2">
        <v>2607080941.0300002</v>
      </c>
      <c r="AZ37" s="1">
        <v>0.56152579378335998</v>
      </c>
      <c r="BA37" s="1" t="s">
        <v>26</v>
      </c>
      <c r="BB37" s="1" t="s">
        <v>26</v>
      </c>
    </row>
    <row r="38" spans="1:54" s="7" customFormat="1">
      <c r="A38" s="5" t="s">
        <v>51</v>
      </c>
      <c r="B38" s="20" t="s">
        <v>25</v>
      </c>
      <c r="C38" s="9" t="s">
        <v>26</v>
      </c>
      <c r="D38" s="10" t="s">
        <v>26</v>
      </c>
      <c r="E38" s="10" t="s">
        <v>26</v>
      </c>
      <c r="F38" s="10" t="s">
        <v>26</v>
      </c>
      <c r="G38" s="9" t="s">
        <v>26</v>
      </c>
      <c r="H38" s="10" t="s">
        <v>26</v>
      </c>
      <c r="I38" s="10" t="s">
        <v>26</v>
      </c>
      <c r="J38" s="10" t="s">
        <v>26</v>
      </c>
      <c r="K38" s="9" t="s">
        <v>26</v>
      </c>
      <c r="L38" s="10" t="s">
        <v>26</v>
      </c>
      <c r="M38" s="10" t="s">
        <v>26</v>
      </c>
      <c r="N38" s="10" t="s">
        <v>26</v>
      </c>
      <c r="O38" s="9">
        <v>100322203.86</v>
      </c>
      <c r="P38" s="10">
        <v>3.8107854251999998E-4</v>
      </c>
      <c r="Q38" s="10">
        <v>0.13500000000000001</v>
      </c>
      <c r="R38" s="10">
        <v>0.1346</v>
      </c>
      <c r="S38" s="9">
        <v>121781032.15000001</v>
      </c>
      <c r="T38" s="10">
        <v>9.3050032906999999E-4</v>
      </c>
      <c r="U38" s="10">
        <v>0.13500000000000001</v>
      </c>
      <c r="V38" s="10">
        <v>0.1341</v>
      </c>
      <c r="W38" s="9" t="s">
        <v>26</v>
      </c>
      <c r="X38" s="10" t="s">
        <v>26</v>
      </c>
      <c r="Y38" s="10" t="s">
        <v>26</v>
      </c>
      <c r="Z38" s="10" t="s">
        <v>26</v>
      </c>
      <c r="AA38" s="9" t="s">
        <v>26</v>
      </c>
      <c r="AB38" s="10" t="s">
        <v>26</v>
      </c>
      <c r="AC38" s="10" t="s">
        <v>26</v>
      </c>
      <c r="AD38" s="10" t="s">
        <v>26</v>
      </c>
      <c r="AE38" s="9">
        <v>222103236.00999999</v>
      </c>
      <c r="AF38" s="10">
        <v>2.9285038103000002E-4</v>
      </c>
      <c r="AG38" s="10">
        <v>0.13500000000000001</v>
      </c>
      <c r="AH38" s="10">
        <v>0.13469999999999999</v>
      </c>
      <c r="AI38" s="9">
        <v>16718527.220000001</v>
      </c>
      <c r="AJ38" s="10">
        <v>8.7439016918999996E-4</v>
      </c>
      <c r="AK38" s="10">
        <v>0.13500000000000001</v>
      </c>
      <c r="AL38" s="10">
        <v>0.1341</v>
      </c>
      <c r="AM38" s="9" t="s">
        <v>26</v>
      </c>
      <c r="AN38" s="10" t="s">
        <v>26</v>
      </c>
      <c r="AO38" s="10" t="s">
        <v>26</v>
      </c>
      <c r="AP38" s="10" t="s">
        <v>26</v>
      </c>
      <c r="AQ38" s="9">
        <v>16718527.220000001</v>
      </c>
      <c r="AR38" s="10">
        <v>3.7562792804999998E-4</v>
      </c>
      <c r="AS38" s="10">
        <v>0.13500000000000001</v>
      </c>
      <c r="AT38" s="10">
        <v>0.1346</v>
      </c>
      <c r="AU38" s="9">
        <v>23822904.010000002</v>
      </c>
      <c r="AV38" s="10">
        <v>4.3284898335000001E-4</v>
      </c>
      <c r="AW38" s="10">
        <v>0.13500000000000001</v>
      </c>
      <c r="AX38" s="10">
        <v>0.1346</v>
      </c>
      <c r="AY38" s="9">
        <v>262644667.24000001</v>
      </c>
      <c r="AZ38" s="10">
        <v>3.0612534405E-4</v>
      </c>
      <c r="BA38" s="10">
        <v>0.13500000000000001</v>
      </c>
      <c r="BB38" s="10">
        <v>0.13469999999999999</v>
      </c>
    </row>
    <row r="39" spans="1:54" s="7" customFormat="1">
      <c r="A39" s="3" t="s">
        <v>41</v>
      </c>
      <c r="B39" s="23" t="s">
        <v>44</v>
      </c>
      <c r="C39" s="2" t="s">
        <v>26</v>
      </c>
      <c r="D39" s="1" t="s">
        <v>26</v>
      </c>
      <c r="E39" s="1" t="s">
        <v>26</v>
      </c>
      <c r="F39" s="1" t="s">
        <v>26</v>
      </c>
      <c r="G39" s="2" t="s">
        <v>26</v>
      </c>
      <c r="H39" s="1" t="s">
        <v>26</v>
      </c>
      <c r="I39" s="1" t="s">
        <v>26</v>
      </c>
      <c r="J39" s="1" t="s">
        <v>26</v>
      </c>
      <c r="K39" s="2" t="s">
        <v>26</v>
      </c>
      <c r="L39" s="1" t="s">
        <v>26</v>
      </c>
      <c r="M39" s="1" t="s">
        <v>26</v>
      </c>
      <c r="N39" s="1" t="s">
        <v>26</v>
      </c>
      <c r="O39" s="2">
        <v>100322203.86</v>
      </c>
      <c r="P39" s="1">
        <v>1</v>
      </c>
      <c r="Q39" s="1" t="s">
        <v>26</v>
      </c>
      <c r="R39" s="1" t="s">
        <v>26</v>
      </c>
      <c r="S39" s="2">
        <v>121781032.15000001</v>
      </c>
      <c r="T39" s="1">
        <v>1</v>
      </c>
      <c r="U39" s="1" t="s">
        <v>26</v>
      </c>
      <c r="V39" s="1" t="s">
        <v>26</v>
      </c>
      <c r="W39" s="2" t="s">
        <v>26</v>
      </c>
      <c r="X39" s="1" t="s">
        <v>26</v>
      </c>
      <c r="Y39" s="1" t="s">
        <v>26</v>
      </c>
      <c r="Z39" s="1" t="s">
        <v>26</v>
      </c>
      <c r="AA39" s="2" t="s">
        <v>26</v>
      </c>
      <c r="AB39" s="1" t="s">
        <v>26</v>
      </c>
      <c r="AC39" s="1" t="s">
        <v>26</v>
      </c>
      <c r="AD39" s="1" t="s">
        <v>26</v>
      </c>
      <c r="AE39" s="2">
        <v>222103236.00999999</v>
      </c>
      <c r="AF39" s="1">
        <v>1</v>
      </c>
      <c r="AG39" s="1" t="s">
        <v>26</v>
      </c>
      <c r="AH39" s="1" t="s">
        <v>26</v>
      </c>
      <c r="AI39" s="2">
        <v>16718527.220000001</v>
      </c>
      <c r="AJ39" s="1">
        <v>1</v>
      </c>
      <c r="AK39" s="1" t="s">
        <v>26</v>
      </c>
      <c r="AL39" s="1" t="s">
        <v>26</v>
      </c>
      <c r="AM39" s="2" t="s">
        <v>26</v>
      </c>
      <c r="AN39" s="1" t="s">
        <v>26</v>
      </c>
      <c r="AO39" s="1" t="s">
        <v>26</v>
      </c>
      <c r="AP39" s="1" t="s">
        <v>26</v>
      </c>
      <c r="AQ39" s="2">
        <v>16718527.220000001</v>
      </c>
      <c r="AR39" s="1">
        <v>1</v>
      </c>
      <c r="AS39" s="1" t="s">
        <v>26</v>
      </c>
      <c r="AT39" s="1" t="s">
        <v>26</v>
      </c>
      <c r="AU39" s="2">
        <v>23822904.010000002</v>
      </c>
      <c r="AV39" s="1">
        <v>1</v>
      </c>
      <c r="AW39" s="1" t="s">
        <v>26</v>
      </c>
      <c r="AX39" s="1" t="s">
        <v>26</v>
      </c>
      <c r="AY39" s="2">
        <v>262644667.24000001</v>
      </c>
      <c r="AZ39" s="1">
        <v>1</v>
      </c>
      <c r="BA39" s="1" t="s">
        <v>26</v>
      </c>
      <c r="BB39" s="1" t="s">
        <v>26</v>
      </c>
    </row>
    <row r="40" spans="1:54" s="7" customFormat="1">
      <c r="A40" s="5" t="s">
        <v>52</v>
      </c>
      <c r="B40" s="20" t="s">
        <v>25</v>
      </c>
      <c r="C40" s="9">
        <v>24650017.210000001</v>
      </c>
      <c r="D40" s="10">
        <v>2.93719791766E-3</v>
      </c>
      <c r="E40" s="10">
        <v>0.13500000000000001</v>
      </c>
      <c r="F40" s="10">
        <v>0.1321</v>
      </c>
      <c r="G40" s="9">
        <v>2705081934</v>
      </c>
      <c r="H40" s="10">
        <v>1.490958548516E-2</v>
      </c>
      <c r="I40" s="10">
        <v>0.13500000000000001</v>
      </c>
      <c r="J40" s="10">
        <v>0.1201</v>
      </c>
      <c r="K40" s="9" t="s">
        <v>26</v>
      </c>
      <c r="L40" s="10" t="s">
        <v>26</v>
      </c>
      <c r="M40" s="10" t="s">
        <v>26</v>
      </c>
      <c r="N40" s="10" t="s">
        <v>26</v>
      </c>
      <c r="O40" s="9">
        <v>7599468152.4200001</v>
      </c>
      <c r="P40" s="10">
        <v>2.8866932104760001E-2</v>
      </c>
      <c r="Q40" s="10">
        <v>0.05</v>
      </c>
      <c r="R40" s="10">
        <v>2.1100000000000001E-2</v>
      </c>
      <c r="S40" s="9">
        <v>2164441664.77</v>
      </c>
      <c r="T40" s="10">
        <v>1.6537991555529999E-2</v>
      </c>
      <c r="U40" s="10">
        <v>0.13500000000000001</v>
      </c>
      <c r="V40" s="10">
        <v>0.11849999999999999</v>
      </c>
      <c r="W40" s="9">
        <v>1126410379.3699999</v>
      </c>
      <c r="X40" s="10">
        <v>0.14956854588689</v>
      </c>
      <c r="Y40" s="10">
        <v>0.15</v>
      </c>
      <c r="Z40" s="10">
        <v>4.0000000000000002E-4</v>
      </c>
      <c r="AA40" s="9">
        <v>5697204416.1899996</v>
      </c>
      <c r="AB40" s="10">
        <v>3.5096657951329997E-2</v>
      </c>
      <c r="AC40" s="10">
        <v>0.1396</v>
      </c>
      <c r="AD40" s="10">
        <v>0.1045</v>
      </c>
      <c r="AE40" s="9">
        <v>19317256563.959999</v>
      </c>
      <c r="AF40" s="10">
        <v>2.547043459129E-2</v>
      </c>
      <c r="AG40" s="10">
        <v>0.13950000000000001</v>
      </c>
      <c r="AH40" s="10">
        <v>0.114</v>
      </c>
      <c r="AI40" s="9">
        <v>240096035.80000001</v>
      </c>
      <c r="AJ40" s="10">
        <v>1.255718345302E-2</v>
      </c>
      <c r="AK40" s="10">
        <v>0.13500000000000001</v>
      </c>
      <c r="AL40" s="10">
        <v>0.12239999999999999</v>
      </c>
      <c r="AM40" s="9">
        <v>185429008.22999999</v>
      </c>
      <c r="AN40" s="10">
        <v>7.3038060479799997E-3</v>
      </c>
      <c r="AO40" s="10">
        <v>0.15</v>
      </c>
      <c r="AP40" s="10">
        <v>0.14269999999999999</v>
      </c>
      <c r="AQ40" s="9">
        <v>425525044.02999997</v>
      </c>
      <c r="AR40" s="10">
        <v>9.5605963681600001E-3</v>
      </c>
      <c r="AS40" s="10">
        <v>0.14149999999999999</v>
      </c>
      <c r="AT40" s="10">
        <v>0.13189999999999999</v>
      </c>
      <c r="AU40" s="9">
        <v>1110240927.1300001</v>
      </c>
      <c r="AV40" s="10">
        <v>2.0172463289080001E-2</v>
      </c>
      <c r="AW40" s="10">
        <v>0.13500000000000001</v>
      </c>
      <c r="AX40" s="10">
        <v>0.1148</v>
      </c>
      <c r="AY40" s="9">
        <v>20853022535.119999</v>
      </c>
      <c r="AZ40" s="10">
        <v>2.4305228676679998E-2</v>
      </c>
      <c r="BA40" s="10">
        <v>0.13930000000000001</v>
      </c>
      <c r="BB40" s="10">
        <v>0.115</v>
      </c>
    </row>
    <row r="41" spans="1:54" s="7" customFormat="1">
      <c r="A41" s="3" t="s">
        <v>39</v>
      </c>
      <c r="B41" s="23" t="s">
        <v>40</v>
      </c>
      <c r="C41" s="2">
        <v>24650017.210000001</v>
      </c>
      <c r="D41" s="1">
        <v>1</v>
      </c>
      <c r="E41" s="1" t="s">
        <v>26</v>
      </c>
      <c r="F41" s="1" t="s">
        <v>26</v>
      </c>
      <c r="G41" s="2">
        <v>2705081934</v>
      </c>
      <c r="H41" s="1">
        <v>1</v>
      </c>
      <c r="I41" s="1" t="s">
        <v>26</v>
      </c>
      <c r="J41" s="1" t="s">
        <v>26</v>
      </c>
      <c r="K41" s="2" t="s">
        <v>26</v>
      </c>
      <c r="L41" s="1" t="s">
        <v>26</v>
      </c>
      <c r="M41" s="1" t="s">
        <v>26</v>
      </c>
      <c r="N41" s="1" t="s">
        <v>26</v>
      </c>
      <c r="O41" s="2">
        <v>4699361970.5299997</v>
      </c>
      <c r="P41" s="1">
        <v>0.61838037561004</v>
      </c>
      <c r="Q41" s="1" t="s">
        <v>26</v>
      </c>
      <c r="R41" s="1" t="s">
        <v>26</v>
      </c>
      <c r="S41" s="2">
        <v>2164441664.77</v>
      </c>
      <c r="T41" s="1">
        <v>1</v>
      </c>
      <c r="U41" s="1" t="s">
        <v>26</v>
      </c>
      <c r="V41" s="1" t="s">
        <v>26</v>
      </c>
      <c r="W41" s="2" t="s">
        <v>26</v>
      </c>
      <c r="X41" s="1" t="s">
        <v>26</v>
      </c>
      <c r="Y41" s="1" t="s">
        <v>26</v>
      </c>
      <c r="Z41" s="1" t="s">
        <v>26</v>
      </c>
      <c r="AA41" s="2">
        <v>3955841272.5</v>
      </c>
      <c r="AB41" s="1">
        <v>0.69434778595243996</v>
      </c>
      <c r="AC41" s="1" t="s">
        <v>26</v>
      </c>
      <c r="AD41" s="1" t="s">
        <v>26</v>
      </c>
      <c r="AE41" s="2">
        <v>13549376859.01</v>
      </c>
      <c r="AF41" s="1">
        <v>0.70141310253594003</v>
      </c>
      <c r="AG41" s="1" t="s">
        <v>26</v>
      </c>
      <c r="AH41" s="1" t="s">
        <v>26</v>
      </c>
      <c r="AI41" s="2">
        <v>240096035.80000001</v>
      </c>
      <c r="AJ41" s="1">
        <v>1</v>
      </c>
      <c r="AK41" s="1" t="s">
        <v>26</v>
      </c>
      <c r="AL41" s="1" t="s">
        <v>26</v>
      </c>
      <c r="AM41" s="2" t="s">
        <v>26</v>
      </c>
      <c r="AN41" s="1" t="s">
        <v>26</v>
      </c>
      <c r="AO41" s="1" t="s">
        <v>26</v>
      </c>
      <c r="AP41" s="1" t="s">
        <v>26</v>
      </c>
      <c r="AQ41" s="2">
        <v>240096035.80000001</v>
      </c>
      <c r="AR41" s="1">
        <v>0.56423479456376002</v>
      </c>
      <c r="AS41" s="1" t="s">
        <v>26</v>
      </c>
      <c r="AT41" s="1" t="s">
        <v>26</v>
      </c>
      <c r="AU41" s="2">
        <v>1110240927.1300001</v>
      </c>
      <c r="AV41" s="1">
        <v>1</v>
      </c>
      <c r="AW41" s="1" t="s">
        <v>26</v>
      </c>
      <c r="AX41" s="1" t="s">
        <v>26</v>
      </c>
      <c r="AY41" s="2">
        <v>14899713821.940001</v>
      </c>
      <c r="AZ41" s="1">
        <v>0.71451099220012004</v>
      </c>
      <c r="BA41" s="1" t="s">
        <v>26</v>
      </c>
      <c r="BB41" s="1" t="s">
        <v>26</v>
      </c>
    </row>
    <row r="42" spans="1:54" s="7" customFormat="1">
      <c r="A42" s="3" t="s">
        <v>41</v>
      </c>
      <c r="B42" s="23" t="s">
        <v>35</v>
      </c>
      <c r="C42" s="2" t="s">
        <v>26</v>
      </c>
      <c r="D42" s="1" t="s">
        <v>26</v>
      </c>
      <c r="E42" s="1" t="s">
        <v>26</v>
      </c>
      <c r="F42" s="1" t="s">
        <v>26</v>
      </c>
      <c r="G42" s="2" t="s">
        <v>26</v>
      </c>
      <c r="H42" s="1" t="s">
        <v>26</v>
      </c>
      <c r="I42" s="1" t="s">
        <v>26</v>
      </c>
      <c r="J42" s="1" t="s">
        <v>26</v>
      </c>
      <c r="K42" s="2" t="s">
        <v>26</v>
      </c>
      <c r="L42" s="1" t="s">
        <v>26</v>
      </c>
      <c r="M42" s="1" t="s">
        <v>26</v>
      </c>
      <c r="N42" s="1" t="s">
        <v>26</v>
      </c>
      <c r="O42" s="2">
        <v>2900106181.8899999</v>
      </c>
      <c r="P42" s="1">
        <v>0.38161962438996</v>
      </c>
      <c r="Q42" s="1" t="s">
        <v>26</v>
      </c>
      <c r="R42" s="1" t="s">
        <v>26</v>
      </c>
      <c r="S42" s="2" t="s">
        <v>26</v>
      </c>
      <c r="T42" s="1" t="s">
        <v>26</v>
      </c>
      <c r="U42" s="1" t="s">
        <v>26</v>
      </c>
      <c r="V42" s="1" t="s">
        <v>26</v>
      </c>
      <c r="W42" s="2">
        <v>1126410379.3699999</v>
      </c>
      <c r="X42" s="1">
        <v>1</v>
      </c>
      <c r="Y42" s="1" t="s">
        <v>26</v>
      </c>
      <c r="Z42" s="1" t="s">
        <v>26</v>
      </c>
      <c r="AA42" s="2">
        <v>1741363143.6900001</v>
      </c>
      <c r="AB42" s="1">
        <v>0.30565221404755999</v>
      </c>
      <c r="AC42" s="1" t="s">
        <v>26</v>
      </c>
      <c r="AD42" s="1" t="s">
        <v>26</v>
      </c>
      <c r="AE42" s="2">
        <v>5767879704.9499998</v>
      </c>
      <c r="AF42" s="1">
        <v>0.29858689746405997</v>
      </c>
      <c r="AG42" s="1" t="s">
        <v>26</v>
      </c>
      <c r="AH42" s="1" t="s">
        <v>26</v>
      </c>
      <c r="AI42" s="2" t="s">
        <v>26</v>
      </c>
      <c r="AJ42" s="1" t="s">
        <v>26</v>
      </c>
      <c r="AK42" s="1" t="s">
        <v>26</v>
      </c>
      <c r="AL42" s="1" t="s">
        <v>26</v>
      </c>
      <c r="AM42" s="2">
        <v>185429008.22999999</v>
      </c>
      <c r="AN42" s="1">
        <v>1</v>
      </c>
      <c r="AO42" s="1" t="s">
        <v>26</v>
      </c>
      <c r="AP42" s="1" t="s">
        <v>26</v>
      </c>
      <c r="AQ42" s="2">
        <v>185429008.22999999</v>
      </c>
      <c r="AR42" s="1">
        <v>0.43576520543623998</v>
      </c>
      <c r="AS42" s="1" t="s">
        <v>26</v>
      </c>
      <c r="AT42" s="1" t="s">
        <v>26</v>
      </c>
      <c r="AU42" s="2" t="s">
        <v>26</v>
      </c>
      <c r="AV42" s="1" t="s">
        <v>26</v>
      </c>
      <c r="AW42" s="1" t="s">
        <v>26</v>
      </c>
      <c r="AX42" s="1" t="s">
        <v>26</v>
      </c>
      <c r="AY42" s="2">
        <v>5953308713.1800003</v>
      </c>
      <c r="AZ42" s="1">
        <v>0.28548900779988001</v>
      </c>
      <c r="BA42" s="1" t="s">
        <v>26</v>
      </c>
      <c r="BB42" s="1" t="s">
        <v>26</v>
      </c>
    </row>
    <row r="43" spans="1:54" s="7" customFormat="1">
      <c r="A43" s="5" t="s">
        <v>53</v>
      </c>
      <c r="B43" s="20" t="s">
        <v>25</v>
      </c>
      <c r="C43" s="9" t="s">
        <v>26</v>
      </c>
      <c r="D43" s="10" t="s">
        <v>26</v>
      </c>
      <c r="E43" s="10" t="s">
        <v>26</v>
      </c>
      <c r="F43" s="10" t="s">
        <v>26</v>
      </c>
      <c r="G43" s="9" t="s">
        <v>26</v>
      </c>
      <c r="H43" s="10" t="s">
        <v>26</v>
      </c>
      <c r="I43" s="10" t="s">
        <v>26</v>
      </c>
      <c r="J43" s="10" t="s">
        <v>26</v>
      </c>
      <c r="K43" s="9">
        <v>18462399.969999999</v>
      </c>
      <c r="L43" s="10">
        <v>4.01490133088E-3</v>
      </c>
      <c r="M43" s="10">
        <v>0.15</v>
      </c>
      <c r="N43" s="10">
        <v>0.14599999999999999</v>
      </c>
      <c r="O43" s="9" t="s">
        <v>26</v>
      </c>
      <c r="P43" s="10" t="s">
        <v>26</v>
      </c>
      <c r="Q43" s="10" t="s">
        <v>26</v>
      </c>
      <c r="R43" s="10" t="s">
        <v>26</v>
      </c>
      <c r="S43" s="9" t="s">
        <v>26</v>
      </c>
      <c r="T43" s="10" t="s">
        <v>26</v>
      </c>
      <c r="U43" s="10" t="s">
        <v>26</v>
      </c>
      <c r="V43" s="10" t="s">
        <v>26</v>
      </c>
      <c r="W43" s="9" t="s">
        <v>26</v>
      </c>
      <c r="X43" s="10" t="s">
        <v>26</v>
      </c>
      <c r="Y43" s="10" t="s">
        <v>26</v>
      </c>
      <c r="Z43" s="10" t="s">
        <v>26</v>
      </c>
      <c r="AA43" s="9">
        <v>150884932.31999999</v>
      </c>
      <c r="AB43" s="10">
        <v>9.2950093990000005E-4</v>
      </c>
      <c r="AC43" s="10">
        <v>0.15</v>
      </c>
      <c r="AD43" s="10">
        <v>0.14910000000000001</v>
      </c>
      <c r="AE43" s="9">
        <v>169347332.28999999</v>
      </c>
      <c r="AF43" s="10">
        <v>2.2328999649E-4</v>
      </c>
      <c r="AG43" s="10">
        <v>0.15</v>
      </c>
      <c r="AH43" s="10">
        <v>0.14979999999999999</v>
      </c>
      <c r="AI43" s="9" t="s">
        <v>26</v>
      </c>
      <c r="AJ43" s="10" t="s">
        <v>26</v>
      </c>
      <c r="AK43" s="10" t="s">
        <v>26</v>
      </c>
      <c r="AL43" s="10" t="s">
        <v>26</v>
      </c>
      <c r="AM43" s="9">
        <v>1786654656.6500001</v>
      </c>
      <c r="AN43" s="10">
        <v>7.0373989546990007E-2</v>
      </c>
      <c r="AO43" s="10">
        <v>0.15</v>
      </c>
      <c r="AP43" s="10">
        <v>7.9600000000000004E-2</v>
      </c>
      <c r="AQ43" s="9">
        <v>1786654656.6500001</v>
      </c>
      <c r="AR43" s="10">
        <v>4.0142135606759999E-2</v>
      </c>
      <c r="AS43" s="10">
        <v>0.15</v>
      </c>
      <c r="AT43" s="10">
        <v>0.1099</v>
      </c>
      <c r="AU43" s="9" t="s">
        <v>26</v>
      </c>
      <c r="AV43" s="10" t="s">
        <v>26</v>
      </c>
      <c r="AW43" s="10" t="s">
        <v>26</v>
      </c>
      <c r="AX43" s="10" t="s">
        <v>26</v>
      </c>
      <c r="AY43" s="9">
        <v>1956001988.9400001</v>
      </c>
      <c r="AZ43" s="10">
        <v>2.2798170170899999E-3</v>
      </c>
      <c r="BA43" s="10">
        <v>0.15</v>
      </c>
      <c r="BB43" s="10">
        <v>0.1477</v>
      </c>
    </row>
    <row r="44" spans="1:54" s="7" customFormat="1">
      <c r="A44" s="3" t="s">
        <v>41</v>
      </c>
      <c r="B44" s="23" t="s">
        <v>35</v>
      </c>
      <c r="C44" s="2" t="s">
        <v>26</v>
      </c>
      <c r="D44" s="1" t="s">
        <v>26</v>
      </c>
      <c r="E44" s="1" t="s">
        <v>26</v>
      </c>
      <c r="F44" s="1" t="s">
        <v>26</v>
      </c>
      <c r="G44" s="2" t="s">
        <v>26</v>
      </c>
      <c r="H44" s="1" t="s">
        <v>26</v>
      </c>
      <c r="I44" s="1" t="s">
        <v>26</v>
      </c>
      <c r="J44" s="1" t="s">
        <v>26</v>
      </c>
      <c r="K44" s="2">
        <v>18462399.969999999</v>
      </c>
      <c r="L44" s="1">
        <v>1</v>
      </c>
      <c r="M44" s="1" t="s">
        <v>26</v>
      </c>
      <c r="N44" s="1" t="s">
        <v>26</v>
      </c>
      <c r="O44" s="2" t="s">
        <v>26</v>
      </c>
      <c r="P44" s="1" t="s">
        <v>26</v>
      </c>
      <c r="Q44" s="1" t="s">
        <v>26</v>
      </c>
      <c r="R44" s="1" t="s">
        <v>26</v>
      </c>
      <c r="S44" s="2" t="s">
        <v>26</v>
      </c>
      <c r="T44" s="1" t="s">
        <v>26</v>
      </c>
      <c r="U44" s="1" t="s">
        <v>26</v>
      </c>
      <c r="V44" s="1" t="s">
        <v>26</v>
      </c>
      <c r="W44" s="2" t="s">
        <v>26</v>
      </c>
      <c r="X44" s="1" t="s">
        <v>26</v>
      </c>
      <c r="Y44" s="1" t="s">
        <v>26</v>
      </c>
      <c r="Z44" s="1" t="s">
        <v>26</v>
      </c>
      <c r="AA44" s="2">
        <v>150884932.31999999</v>
      </c>
      <c r="AB44" s="1">
        <v>1</v>
      </c>
      <c r="AC44" s="1" t="s">
        <v>26</v>
      </c>
      <c r="AD44" s="1" t="s">
        <v>26</v>
      </c>
      <c r="AE44" s="2">
        <v>169347332.28999999</v>
      </c>
      <c r="AF44" s="1">
        <v>1</v>
      </c>
      <c r="AG44" s="1" t="s">
        <v>26</v>
      </c>
      <c r="AH44" s="1" t="s">
        <v>26</v>
      </c>
      <c r="AI44" s="2" t="s">
        <v>26</v>
      </c>
      <c r="AJ44" s="1" t="s">
        <v>26</v>
      </c>
      <c r="AK44" s="1" t="s">
        <v>26</v>
      </c>
      <c r="AL44" s="1" t="s">
        <v>26</v>
      </c>
      <c r="AM44" s="2">
        <v>1786654656.6500001</v>
      </c>
      <c r="AN44" s="1">
        <v>1</v>
      </c>
      <c r="AO44" s="1" t="s">
        <v>26</v>
      </c>
      <c r="AP44" s="1" t="s">
        <v>26</v>
      </c>
      <c r="AQ44" s="2">
        <v>1786654656.6500001</v>
      </c>
      <c r="AR44" s="1">
        <v>1</v>
      </c>
      <c r="AS44" s="1" t="s">
        <v>26</v>
      </c>
      <c r="AT44" s="1" t="s">
        <v>26</v>
      </c>
      <c r="AU44" s="2" t="s">
        <v>26</v>
      </c>
      <c r="AV44" s="1" t="s">
        <v>26</v>
      </c>
      <c r="AW44" s="1" t="s">
        <v>26</v>
      </c>
      <c r="AX44" s="1" t="s">
        <v>26</v>
      </c>
      <c r="AY44" s="2">
        <v>1956001988.9400001</v>
      </c>
      <c r="AZ44" s="1">
        <v>1</v>
      </c>
      <c r="BA44" s="1" t="s">
        <v>26</v>
      </c>
      <c r="BB44" s="1" t="s">
        <v>26</v>
      </c>
    </row>
    <row r="45" spans="1:54" s="7" customFormat="1">
      <c r="A45" s="5" t="s">
        <v>54</v>
      </c>
      <c r="B45" s="20" t="s">
        <v>25</v>
      </c>
      <c r="C45" s="9" t="s">
        <v>26</v>
      </c>
      <c r="D45" s="10" t="s">
        <v>26</v>
      </c>
      <c r="E45" s="10" t="s">
        <v>26</v>
      </c>
      <c r="F45" s="10" t="s">
        <v>26</v>
      </c>
      <c r="G45" s="9" t="s">
        <v>26</v>
      </c>
      <c r="H45" s="10" t="s">
        <v>26</v>
      </c>
      <c r="I45" s="10" t="s">
        <v>26</v>
      </c>
      <c r="J45" s="10" t="s">
        <v>26</v>
      </c>
      <c r="K45" s="9" t="s">
        <v>26</v>
      </c>
      <c r="L45" s="10" t="s">
        <v>26</v>
      </c>
      <c r="M45" s="10" t="s">
        <v>26</v>
      </c>
      <c r="N45" s="10" t="s">
        <v>26</v>
      </c>
      <c r="O45" s="9">
        <v>1158355557.48</v>
      </c>
      <c r="P45" s="10">
        <v>4.4000672889599997E-3</v>
      </c>
      <c r="Q45" s="10">
        <v>0.15</v>
      </c>
      <c r="R45" s="10">
        <v>0.14560000000000001</v>
      </c>
      <c r="S45" s="9" t="s">
        <v>26</v>
      </c>
      <c r="T45" s="10" t="s">
        <v>26</v>
      </c>
      <c r="U45" s="10" t="s">
        <v>26</v>
      </c>
      <c r="V45" s="10" t="s">
        <v>26</v>
      </c>
      <c r="W45" s="9" t="s">
        <v>26</v>
      </c>
      <c r="X45" s="10" t="s">
        <v>26</v>
      </c>
      <c r="Y45" s="10" t="s">
        <v>26</v>
      </c>
      <c r="Z45" s="10" t="s">
        <v>26</v>
      </c>
      <c r="AA45" s="9" t="s">
        <v>26</v>
      </c>
      <c r="AB45" s="10" t="s">
        <v>26</v>
      </c>
      <c r="AC45" s="10" t="s">
        <v>26</v>
      </c>
      <c r="AD45" s="10" t="s">
        <v>26</v>
      </c>
      <c r="AE45" s="9">
        <v>1158355557.48</v>
      </c>
      <c r="AF45" s="10">
        <v>1.5273296890000001E-3</v>
      </c>
      <c r="AG45" s="10">
        <v>0.15</v>
      </c>
      <c r="AH45" s="10">
        <v>0.14849999999999999</v>
      </c>
      <c r="AI45" s="9" t="s">
        <v>26</v>
      </c>
      <c r="AJ45" s="10" t="s">
        <v>26</v>
      </c>
      <c r="AK45" s="10" t="s">
        <v>26</v>
      </c>
      <c r="AL45" s="10" t="s">
        <v>26</v>
      </c>
      <c r="AM45" s="9" t="s">
        <v>26</v>
      </c>
      <c r="AN45" s="10" t="s">
        <v>26</v>
      </c>
      <c r="AO45" s="10" t="s">
        <v>26</v>
      </c>
      <c r="AP45" s="10" t="s">
        <v>26</v>
      </c>
      <c r="AQ45" s="9" t="s">
        <v>26</v>
      </c>
      <c r="AR45" s="10" t="s">
        <v>26</v>
      </c>
      <c r="AS45" s="10" t="s">
        <v>26</v>
      </c>
      <c r="AT45" s="10" t="s">
        <v>26</v>
      </c>
      <c r="AU45" s="9" t="s">
        <v>26</v>
      </c>
      <c r="AV45" s="10" t="s">
        <v>26</v>
      </c>
      <c r="AW45" s="10" t="s">
        <v>26</v>
      </c>
      <c r="AX45" s="10" t="s">
        <v>26</v>
      </c>
      <c r="AY45" s="9">
        <v>1158355557.48</v>
      </c>
      <c r="AZ45" s="10">
        <v>1.3501206679299999E-3</v>
      </c>
      <c r="BA45" s="10">
        <v>0.15</v>
      </c>
      <c r="BB45" s="10">
        <v>0.14860000000000001</v>
      </c>
    </row>
    <row r="46" spans="1:54" s="7" customFormat="1">
      <c r="A46" s="3" t="s">
        <v>41</v>
      </c>
      <c r="B46" s="23" t="s">
        <v>35</v>
      </c>
      <c r="C46" s="2" t="s">
        <v>26</v>
      </c>
      <c r="D46" s="1" t="s">
        <v>26</v>
      </c>
      <c r="E46" s="1" t="s">
        <v>26</v>
      </c>
      <c r="F46" s="1" t="s">
        <v>26</v>
      </c>
      <c r="G46" s="2" t="s">
        <v>26</v>
      </c>
      <c r="H46" s="1" t="s">
        <v>26</v>
      </c>
      <c r="I46" s="1" t="s">
        <v>26</v>
      </c>
      <c r="J46" s="1" t="s">
        <v>26</v>
      </c>
      <c r="K46" s="2" t="s">
        <v>26</v>
      </c>
      <c r="L46" s="1" t="s">
        <v>26</v>
      </c>
      <c r="M46" s="1" t="s">
        <v>26</v>
      </c>
      <c r="N46" s="1" t="s">
        <v>26</v>
      </c>
      <c r="O46" s="2">
        <v>1158355557.48</v>
      </c>
      <c r="P46" s="1">
        <v>1</v>
      </c>
      <c r="Q46" s="1" t="s">
        <v>26</v>
      </c>
      <c r="R46" s="1" t="s">
        <v>26</v>
      </c>
      <c r="S46" s="2" t="s">
        <v>26</v>
      </c>
      <c r="T46" s="1" t="s">
        <v>26</v>
      </c>
      <c r="U46" s="1" t="s">
        <v>26</v>
      </c>
      <c r="V46" s="1" t="s">
        <v>26</v>
      </c>
      <c r="W46" s="2" t="s">
        <v>26</v>
      </c>
      <c r="X46" s="1" t="s">
        <v>26</v>
      </c>
      <c r="Y46" s="1" t="s">
        <v>26</v>
      </c>
      <c r="Z46" s="1" t="s">
        <v>26</v>
      </c>
      <c r="AA46" s="2" t="s">
        <v>26</v>
      </c>
      <c r="AB46" s="1" t="s">
        <v>26</v>
      </c>
      <c r="AC46" s="1" t="s">
        <v>26</v>
      </c>
      <c r="AD46" s="1" t="s">
        <v>26</v>
      </c>
      <c r="AE46" s="2">
        <v>1158355557.48</v>
      </c>
      <c r="AF46" s="1">
        <v>1</v>
      </c>
      <c r="AG46" s="1" t="s">
        <v>26</v>
      </c>
      <c r="AH46" s="1" t="s">
        <v>26</v>
      </c>
      <c r="AI46" s="2" t="s">
        <v>26</v>
      </c>
      <c r="AJ46" s="1" t="s">
        <v>26</v>
      </c>
      <c r="AK46" s="1" t="s">
        <v>26</v>
      </c>
      <c r="AL46" s="1" t="s">
        <v>26</v>
      </c>
      <c r="AM46" s="2" t="s">
        <v>26</v>
      </c>
      <c r="AN46" s="1" t="s">
        <v>26</v>
      </c>
      <c r="AO46" s="1" t="s">
        <v>26</v>
      </c>
      <c r="AP46" s="1" t="s">
        <v>26</v>
      </c>
      <c r="AQ46" s="2" t="s">
        <v>26</v>
      </c>
      <c r="AR46" s="1" t="s">
        <v>26</v>
      </c>
      <c r="AS46" s="1" t="s">
        <v>26</v>
      </c>
      <c r="AT46" s="1" t="s">
        <v>26</v>
      </c>
      <c r="AU46" s="2" t="s">
        <v>26</v>
      </c>
      <c r="AV46" s="1" t="s">
        <v>26</v>
      </c>
      <c r="AW46" s="1" t="s">
        <v>26</v>
      </c>
      <c r="AX46" s="1" t="s">
        <v>26</v>
      </c>
      <c r="AY46" s="2">
        <v>1158355557.48</v>
      </c>
      <c r="AZ46" s="1">
        <v>1</v>
      </c>
      <c r="BA46" s="1" t="s">
        <v>26</v>
      </c>
      <c r="BB46" s="1" t="s">
        <v>26</v>
      </c>
    </row>
    <row r="47" spans="1:54" s="7" customFormat="1">
      <c r="A47" s="5" t="s">
        <v>128</v>
      </c>
      <c r="B47" s="20" t="s">
        <v>25</v>
      </c>
      <c r="C47" s="9" t="s">
        <v>26</v>
      </c>
      <c r="D47" s="10" t="s">
        <v>26</v>
      </c>
      <c r="E47" s="10" t="s">
        <v>26</v>
      </c>
      <c r="F47" s="10" t="s">
        <v>26</v>
      </c>
      <c r="G47" s="9">
        <v>16691924.310000001</v>
      </c>
      <c r="H47" s="10">
        <v>9.2000789059999997E-5</v>
      </c>
      <c r="I47" s="10">
        <v>0.05</v>
      </c>
      <c r="J47" s="10">
        <v>4.99E-2</v>
      </c>
      <c r="K47" s="9" t="s">
        <v>26</v>
      </c>
      <c r="L47" s="10" t="s">
        <v>26</v>
      </c>
      <c r="M47" s="10" t="s">
        <v>26</v>
      </c>
      <c r="N47" s="10" t="s">
        <v>26</v>
      </c>
      <c r="O47" s="9" t="s">
        <v>26</v>
      </c>
      <c r="P47" s="10" t="s">
        <v>26</v>
      </c>
      <c r="Q47" s="10" t="s">
        <v>26</v>
      </c>
      <c r="R47" s="10" t="s">
        <v>26</v>
      </c>
      <c r="S47" s="9" t="s">
        <v>26</v>
      </c>
      <c r="T47" s="10" t="s">
        <v>26</v>
      </c>
      <c r="U47" s="10" t="s">
        <v>26</v>
      </c>
      <c r="V47" s="10" t="s">
        <v>26</v>
      </c>
      <c r="W47" s="9" t="s">
        <v>26</v>
      </c>
      <c r="X47" s="10" t="s">
        <v>26</v>
      </c>
      <c r="Y47" s="10" t="s">
        <v>26</v>
      </c>
      <c r="Z47" s="10" t="s">
        <v>26</v>
      </c>
      <c r="AA47" s="9" t="s">
        <v>26</v>
      </c>
      <c r="AB47" s="10" t="s">
        <v>26</v>
      </c>
      <c r="AC47" s="10" t="s">
        <v>26</v>
      </c>
      <c r="AD47" s="10" t="s">
        <v>26</v>
      </c>
      <c r="AE47" s="9">
        <v>16691924.310000001</v>
      </c>
      <c r="AF47" s="10">
        <v>2.200884815E-5</v>
      </c>
      <c r="AG47" s="10">
        <v>0.15</v>
      </c>
      <c r="AH47" s="10">
        <v>0.15</v>
      </c>
      <c r="AI47" s="9" t="s">
        <v>26</v>
      </c>
      <c r="AJ47" s="10" t="s">
        <v>26</v>
      </c>
      <c r="AK47" s="10" t="s">
        <v>26</v>
      </c>
      <c r="AL47" s="10" t="s">
        <v>26</v>
      </c>
      <c r="AM47" s="9" t="s">
        <v>26</v>
      </c>
      <c r="AN47" s="10" t="s">
        <v>26</v>
      </c>
      <c r="AO47" s="10" t="s">
        <v>26</v>
      </c>
      <c r="AP47" s="10" t="s">
        <v>26</v>
      </c>
      <c r="AQ47" s="9" t="s">
        <v>26</v>
      </c>
      <c r="AR47" s="10" t="s">
        <v>26</v>
      </c>
      <c r="AS47" s="10" t="s">
        <v>26</v>
      </c>
      <c r="AT47" s="10" t="s">
        <v>26</v>
      </c>
      <c r="AU47" s="9" t="s">
        <v>26</v>
      </c>
      <c r="AV47" s="10" t="s">
        <v>26</v>
      </c>
      <c r="AW47" s="10" t="s">
        <v>26</v>
      </c>
      <c r="AX47" s="10" t="s">
        <v>26</v>
      </c>
      <c r="AY47" s="9">
        <v>16691924.310000001</v>
      </c>
      <c r="AZ47" s="10">
        <v>1.9455262979999999E-5</v>
      </c>
      <c r="BA47" s="10">
        <v>0.15</v>
      </c>
      <c r="BB47" s="10">
        <v>0.15</v>
      </c>
    </row>
    <row r="48" spans="1:54" s="7" customFormat="1">
      <c r="A48" s="3" t="s">
        <v>41</v>
      </c>
      <c r="B48" s="23" t="s">
        <v>35</v>
      </c>
      <c r="C48" s="2" t="s">
        <v>26</v>
      </c>
      <c r="D48" s="1" t="s">
        <v>26</v>
      </c>
      <c r="E48" s="1" t="s">
        <v>26</v>
      </c>
      <c r="F48" s="1" t="s">
        <v>26</v>
      </c>
      <c r="G48" s="2">
        <v>16691924.310000001</v>
      </c>
      <c r="H48" s="1">
        <v>1</v>
      </c>
      <c r="I48" s="1" t="s">
        <v>26</v>
      </c>
      <c r="J48" s="1" t="s">
        <v>26</v>
      </c>
      <c r="K48" s="2" t="s">
        <v>26</v>
      </c>
      <c r="L48" s="1" t="s">
        <v>26</v>
      </c>
      <c r="M48" s="1" t="s">
        <v>26</v>
      </c>
      <c r="N48" s="1" t="s">
        <v>26</v>
      </c>
      <c r="O48" s="2" t="s">
        <v>26</v>
      </c>
      <c r="P48" s="1" t="s">
        <v>26</v>
      </c>
      <c r="Q48" s="1" t="s">
        <v>26</v>
      </c>
      <c r="R48" s="1" t="s">
        <v>26</v>
      </c>
      <c r="S48" s="2" t="s">
        <v>26</v>
      </c>
      <c r="T48" s="1" t="s">
        <v>26</v>
      </c>
      <c r="U48" s="1" t="s">
        <v>26</v>
      </c>
      <c r="V48" s="1" t="s">
        <v>26</v>
      </c>
      <c r="W48" s="2" t="s">
        <v>26</v>
      </c>
      <c r="X48" s="1" t="s">
        <v>26</v>
      </c>
      <c r="Y48" s="1" t="s">
        <v>26</v>
      </c>
      <c r="Z48" s="1" t="s">
        <v>26</v>
      </c>
      <c r="AA48" s="2" t="s">
        <v>26</v>
      </c>
      <c r="AB48" s="1" t="s">
        <v>26</v>
      </c>
      <c r="AC48" s="1" t="s">
        <v>26</v>
      </c>
      <c r="AD48" s="1" t="s">
        <v>26</v>
      </c>
      <c r="AE48" s="2">
        <v>16691924.310000001</v>
      </c>
      <c r="AF48" s="1">
        <v>1</v>
      </c>
      <c r="AG48" s="1" t="s">
        <v>26</v>
      </c>
      <c r="AH48" s="1" t="s">
        <v>26</v>
      </c>
      <c r="AI48" s="2" t="s">
        <v>26</v>
      </c>
      <c r="AJ48" s="1" t="s">
        <v>26</v>
      </c>
      <c r="AK48" s="1" t="s">
        <v>26</v>
      </c>
      <c r="AL48" s="1" t="s">
        <v>26</v>
      </c>
      <c r="AM48" s="2" t="s">
        <v>26</v>
      </c>
      <c r="AN48" s="1" t="s">
        <v>26</v>
      </c>
      <c r="AO48" s="1" t="s">
        <v>26</v>
      </c>
      <c r="AP48" s="1" t="s">
        <v>26</v>
      </c>
      <c r="AQ48" s="2" t="s">
        <v>26</v>
      </c>
      <c r="AR48" s="1" t="s">
        <v>26</v>
      </c>
      <c r="AS48" s="1" t="s">
        <v>26</v>
      </c>
      <c r="AT48" s="1" t="s">
        <v>26</v>
      </c>
      <c r="AU48" s="2" t="s">
        <v>26</v>
      </c>
      <c r="AV48" s="1" t="s">
        <v>26</v>
      </c>
      <c r="AW48" s="1" t="s">
        <v>26</v>
      </c>
      <c r="AX48" s="1" t="s">
        <v>26</v>
      </c>
      <c r="AY48" s="2">
        <v>16691924.310000001</v>
      </c>
      <c r="AZ48" s="1">
        <v>1</v>
      </c>
      <c r="BA48" s="1" t="s">
        <v>26</v>
      </c>
      <c r="BB48" s="1" t="s">
        <v>26</v>
      </c>
    </row>
    <row r="49" spans="1:54" s="7" customFormat="1">
      <c r="A49" s="12" t="s">
        <v>55</v>
      </c>
      <c r="B49" s="40" t="s">
        <v>25</v>
      </c>
      <c r="C49" s="42">
        <v>68572436.430000007</v>
      </c>
      <c r="D49" s="43">
        <v>8.1708185343199995E-3</v>
      </c>
      <c r="E49" s="43" t="s">
        <v>26</v>
      </c>
      <c r="F49" s="43" t="s">
        <v>26</v>
      </c>
      <c r="G49" s="42">
        <v>696530091.16999996</v>
      </c>
      <c r="H49" s="43">
        <v>3.8390611414599999E-3</v>
      </c>
      <c r="I49" s="43" t="s">
        <v>26</v>
      </c>
      <c r="J49" s="43" t="s">
        <v>26</v>
      </c>
      <c r="K49" s="42">
        <v>124672122.27</v>
      </c>
      <c r="L49" s="43">
        <v>2.71116577714E-2</v>
      </c>
      <c r="M49" s="43" t="s">
        <v>26</v>
      </c>
      <c r="N49" s="43" t="s">
        <v>26</v>
      </c>
      <c r="O49" s="42">
        <v>5037384930.5699997</v>
      </c>
      <c r="P49" s="43">
        <v>1.9134740202839999E-2</v>
      </c>
      <c r="Q49" s="43" t="s">
        <v>26</v>
      </c>
      <c r="R49" s="43" t="s">
        <v>26</v>
      </c>
      <c r="S49" s="42">
        <v>1919523460.04</v>
      </c>
      <c r="T49" s="43">
        <v>1.466662894616E-2</v>
      </c>
      <c r="U49" s="43" t="s">
        <v>26</v>
      </c>
      <c r="V49" s="43" t="s">
        <v>26</v>
      </c>
      <c r="W49" s="42">
        <v>254378447.61000001</v>
      </c>
      <c r="X49" s="43">
        <v>3.3777222947169998E-2</v>
      </c>
      <c r="Y49" s="43" t="s">
        <v>26</v>
      </c>
      <c r="Z49" s="43" t="s">
        <v>26</v>
      </c>
      <c r="AA49" s="42">
        <v>5117037464.3100004</v>
      </c>
      <c r="AB49" s="43">
        <v>3.1522638208080003E-2</v>
      </c>
      <c r="AC49" s="43" t="s">
        <v>26</v>
      </c>
      <c r="AD49" s="43" t="s">
        <v>26</v>
      </c>
      <c r="AE49" s="42">
        <v>13218098952.4</v>
      </c>
      <c r="AF49" s="43">
        <v>1.7428495794599999E-2</v>
      </c>
      <c r="AG49" s="43" t="s">
        <v>26</v>
      </c>
      <c r="AH49" s="43" t="s">
        <v>26</v>
      </c>
      <c r="AI49" s="42">
        <v>259807105.59</v>
      </c>
      <c r="AJ49" s="43">
        <v>1.358808560259E-2</v>
      </c>
      <c r="AK49" s="43" t="s">
        <v>26</v>
      </c>
      <c r="AL49" s="43" t="s">
        <v>26</v>
      </c>
      <c r="AM49" s="42">
        <v>354979581.27999997</v>
      </c>
      <c r="AN49" s="43">
        <v>1.3982181307069999E-2</v>
      </c>
      <c r="AO49" s="43" t="s">
        <v>26</v>
      </c>
      <c r="AP49" s="43" t="s">
        <v>26</v>
      </c>
      <c r="AQ49" s="42">
        <v>614786686.87</v>
      </c>
      <c r="AR49" s="43">
        <v>1.3812882339469999E-2</v>
      </c>
      <c r="AS49" s="43" t="s">
        <v>26</v>
      </c>
      <c r="AT49" s="43" t="s">
        <v>26</v>
      </c>
      <c r="AU49" s="42">
        <v>1018312243.21</v>
      </c>
      <c r="AV49" s="43">
        <v>1.850216997141E-2</v>
      </c>
      <c r="AW49" s="43" t="s">
        <v>26</v>
      </c>
      <c r="AX49" s="43" t="s">
        <v>26</v>
      </c>
      <c r="AY49" s="42">
        <v>14851197882.48</v>
      </c>
      <c r="AZ49" s="43">
        <v>1.7309805331499999E-2</v>
      </c>
      <c r="BA49" s="43" t="s">
        <v>26</v>
      </c>
      <c r="BB49" s="43" t="s">
        <v>26</v>
      </c>
    </row>
    <row r="50" spans="1:54" s="7" customFormat="1">
      <c r="A50" s="5" t="s">
        <v>56</v>
      </c>
      <c r="B50" s="20" t="s">
        <v>25</v>
      </c>
      <c r="C50" s="9">
        <v>35445820.200000003</v>
      </c>
      <c r="D50" s="10">
        <v>4.2235828232500003E-3</v>
      </c>
      <c r="E50" s="10">
        <v>0.12</v>
      </c>
      <c r="F50" s="10">
        <v>0.1158</v>
      </c>
      <c r="G50" s="9" t="s">
        <v>26</v>
      </c>
      <c r="H50" s="10" t="s">
        <v>26</v>
      </c>
      <c r="I50" s="10" t="s">
        <v>26</v>
      </c>
      <c r="J50" s="10" t="s">
        <v>26</v>
      </c>
      <c r="K50" s="9">
        <v>30382131.600000001</v>
      </c>
      <c r="L50" s="10">
        <v>6.6070099658799997E-3</v>
      </c>
      <c r="M50" s="10">
        <v>0.12</v>
      </c>
      <c r="N50" s="10">
        <v>0.1134</v>
      </c>
      <c r="O50" s="9">
        <v>813228389.15999997</v>
      </c>
      <c r="P50" s="10">
        <v>3.0890857392499999E-3</v>
      </c>
      <c r="Q50" s="10">
        <v>0.12</v>
      </c>
      <c r="R50" s="10">
        <v>0.1169</v>
      </c>
      <c r="S50" s="9">
        <v>303821316</v>
      </c>
      <c r="T50" s="10">
        <v>2.3214274795099999E-3</v>
      </c>
      <c r="U50" s="10">
        <v>0.12</v>
      </c>
      <c r="V50" s="10">
        <v>0.1177</v>
      </c>
      <c r="W50" s="9" t="s">
        <v>26</v>
      </c>
      <c r="X50" s="10" t="s">
        <v>26</v>
      </c>
      <c r="Y50" s="10" t="s">
        <v>26</v>
      </c>
      <c r="Z50" s="10" t="s">
        <v>26</v>
      </c>
      <c r="AA50" s="9">
        <v>891209193.60000002</v>
      </c>
      <c r="AB50" s="10">
        <v>5.4901425235799996E-3</v>
      </c>
      <c r="AC50" s="10">
        <v>0.12</v>
      </c>
      <c r="AD50" s="10">
        <v>0.1145</v>
      </c>
      <c r="AE50" s="9">
        <v>2074086850.5599999</v>
      </c>
      <c r="AF50" s="10">
        <v>2.73475134986E-3</v>
      </c>
      <c r="AG50" s="10">
        <v>0.12</v>
      </c>
      <c r="AH50" s="10">
        <v>0.1173</v>
      </c>
      <c r="AI50" s="9" t="s">
        <v>26</v>
      </c>
      <c r="AJ50" s="10" t="s">
        <v>26</v>
      </c>
      <c r="AK50" s="10" t="s">
        <v>26</v>
      </c>
      <c r="AL50" s="10" t="s">
        <v>26</v>
      </c>
      <c r="AM50" s="9" t="s">
        <v>26</v>
      </c>
      <c r="AN50" s="10" t="s">
        <v>26</v>
      </c>
      <c r="AO50" s="10" t="s">
        <v>26</v>
      </c>
      <c r="AP50" s="10" t="s">
        <v>26</v>
      </c>
      <c r="AQ50" s="9" t="s">
        <v>26</v>
      </c>
      <c r="AR50" s="10" t="s">
        <v>26</v>
      </c>
      <c r="AS50" s="10" t="s">
        <v>26</v>
      </c>
      <c r="AT50" s="10" t="s">
        <v>26</v>
      </c>
      <c r="AU50" s="9">
        <v>202547544</v>
      </c>
      <c r="AV50" s="10">
        <v>3.68017679387E-3</v>
      </c>
      <c r="AW50" s="10">
        <v>0.12</v>
      </c>
      <c r="AX50" s="10">
        <v>0.1163</v>
      </c>
      <c r="AY50" s="9">
        <v>2276634394.5599999</v>
      </c>
      <c r="AZ50" s="10">
        <v>2.65352993696E-3</v>
      </c>
      <c r="BA50" s="10">
        <v>0.12</v>
      </c>
      <c r="BB50" s="10">
        <v>0.1173</v>
      </c>
    </row>
    <row r="51" spans="1:54" s="7" customFormat="1">
      <c r="A51" s="3" t="s">
        <v>39</v>
      </c>
      <c r="B51" s="23" t="s">
        <v>57</v>
      </c>
      <c r="C51" s="2">
        <v>35445820.200000003</v>
      </c>
      <c r="D51" s="1">
        <v>1</v>
      </c>
      <c r="E51" s="1" t="s">
        <v>26</v>
      </c>
      <c r="F51" s="1" t="s">
        <v>26</v>
      </c>
      <c r="G51" s="2" t="s">
        <v>26</v>
      </c>
      <c r="H51" s="1" t="s">
        <v>26</v>
      </c>
      <c r="I51" s="1" t="s">
        <v>26</v>
      </c>
      <c r="J51" s="1" t="s">
        <v>26</v>
      </c>
      <c r="K51" s="2">
        <v>30382131.600000001</v>
      </c>
      <c r="L51" s="1">
        <v>1</v>
      </c>
      <c r="M51" s="1" t="s">
        <v>26</v>
      </c>
      <c r="N51" s="1" t="s">
        <v>26</v>
      </c>
      <c r="O51" s="2">
        <v>813228389.15999997</v>
      </c>
      <c r="P51" s="1">
        <v>1</v>
      </c>
      <c r="Q51" s="1" t="s">
        <v>26</v>
      </c>
      <c r="R51" s="1" t="s">
        <v>26</v>
      </c>
      <c r="S51" s="2">
        <v>303821316</v>
      </c>
      <c r="T51" s="1">
        <v>1</v>
      </c>
      <c r="U51" s="1" t="s">
        <v>26</v>
      </c>
      <c r="V51" s="1" t="s">
        <v>26</v>
      </c>
      <c r="W51" s="2" t="s">
        <v>26</v>
      </c>
      <c r="X51" s="1" t="s">
        <v>26</v>
      </c>
      <c r="Y51" s="1" t="s">
        <v>26</v>
      </c>
      <c r="Z51" s="1" t="s">
        <v>26</v>
      </c>
      <c r="AA51" s="2">
        <v>891209193.60000002</v>
      </c>
      <c r="AB51" s="1">
        <v>1</v>
      </c>
      <c r="AC51" s="1" t="s">
        <v>26</v>
      </c>
      <c r="AD51" s="1" t="s">
        <v>26</v>
      </c>
      <c r="AE51" s="2">
        <v>2074086850.5599999</v>
      </c>
      <c r="AF51" s="1">
        <v>1</v>
      </c>
      <c r="AG51" s="1" t="s">
        <v>26</v>
      </c>
      <c r="AH51" s="1" t="s">
        <v>26</v>
      </c>
      <c r="AI51" s="2" t="s">
        <v>26</v>
      </c>
      <c r="AJ51" s="1" t="s">
        <v>26</v>
      </c>
      <c r="AK51" s="1" t="s">
        <v>26</v>
      </c>
      <c r="AL51" s="1" t="s">
        <v>26</v>
      </c>
      <c r="AM51" s="2" t="s">
        <v>26</v>
      </c>
      <c r="AN51" s="1" t="s">
        <v>26</v>
      </c>
      <c r="AO51" s="1" t="s">
        <v>26</v>
      </c>
      <c r="AP51" s="1" t="s">
        <v>26</v>
      </c>
      <c r="AQ51" s="2" t="s">
        <v>26</v>
      </c>
      <c r="AR51" s="1" t="s">
        <v>26</v>
      </c>
      <c r="AS51" s="1" t="s">
        <v>26</v>
      </c>
      <c r="AT51" s="1" t="s">
        <v>26</v>
      </c>
      <c r="AU51" s="2">
        <v>202547544</v>
      </c>
      <c r="AV51" s="1">
        <v>1</v>
      </c>
      <c r="AW51" s="1" t="s">
        <v>26</v>
      </c>
      <c r="AX51" s="1" t="s">
        <v>26</v>
      </c>
      <c r="AY51" s="2">
        <v>2276634394.5599999</v>
      </c>
      <c r="AZ51" s="1">
        <v>1</v>
      </c>
      <c r="BA51" s="1" t="s">
        <v>26</v>
      </c>
      <c r="BB51" s="1" t="s">
        <v>26</v>
      </c>
    </row>
    <row r="52" spans="1:54" s="7" customFormat="1">
      <c r="A52" s="5" t="s">
        <v>58</v>
      </c>
      <c r="B52" s="20" t="s">
        <v>25</v>
      </c>
      <c r="C52" s="9">
        <v>33126616.23</v>
      </c>
      <c r="D52" s="10">
        <v>3.9472357110700001E-3</v>
      </c>
      <c r="E52" s="10">
        <v>0.09</v>
      </c>
      <c r="F52" s="10">
        <v>8.6099999999999996E-2</v>
      </c>
      <c r="G52" s="9" t="s">
        <v>26</v>
      </c>
      <c r="H52" s="10" t="s">
        <v>26</v>
      </c>
      <c r="I52" s="10" t="s">
        <v>26</v>
      </c>
      <c r="J52" s="10" t="s">
        <v>26</v>
      </c>
      <c r="K52" s="9">
        <v>16433016.02</v>
      </c>
      <c r="L52" s="10">
        <v>3.5735840408800002E-3</v>
      </c>
      <c r="M52" s="10">
        <v>0.09</v>
      </c>
      <c r="N52" s="10">
        <v>8.6400000000000005E-2</v>
      </c>
      <c r="O52" s="9">
        <v>383334550.07999998</v>
      </c>
      <c r="P52" s="10">
        <v>1.4561140607E-3</v>
      </c>
      <c r="Q52" s="10">
        <v>0.09</v>
      </c>
      <c r="R52" s="10">
        <v>8.8499999999999995E-2</v>
      </c>
      <c r="S52" s="9">
        <v>290169498.44999999</v>
      </c>
      <c r="T52" s="10">
        <v>2.2171171407200001E-3</v>
      </c>
      <c r="U52" s="10">
        <v>0.09</v>
      </c>
      <c r="V52" s="10">
        <v>8.7800000000000003E-2</v>
      </c>
      <c r="W52" s="9" t="s">
        <v>26</v>
      </c>
      <c r="X52" s="10" t="s">
        <v>26</v>
      </c>
      <c r="Y52" s="10" t="s">
        <v>26</v>
      </c>
      <c r="Z52" s="10" t="s">
        <v>26</v>
      </c>
      <c r="AA52" s="9">
        <v>104840920.37</v>
      </c>
      <c r="AB52" s="10">
        <v>6.4585464251000002E-4</v>
      </c>
      <c r="AC52" s="10">
        <v>0.09</v>
      </c>
      <c r="AD52" s="10">
        <v>8.9399999999999993E-2</v>
      </c>
      <c r="AE52" s="9">
        <v>827904601.14999998</v>
      </c>
      <c r="AF52" s="10">
        <v>1.0916192949899999E-3</v>
      </c>
      <c r="AG52" s="10">
        <v>0.09</v>
      </c>
      <c r="AH52" s="10">
        <v>8.8900000000000007E-2</v>
      </c>
      <c r="AI52" s="9" t="s">
        <v>26</v>
      </c>
      <c r="AJ52" s="10" t="s">
        <v>26</v>
      </c>
      <c r="AK52" s="10" t="s">
        <v>26</v>
      </c>
      <c r="AL52" s="10" t="s">
        <v>26</v>
      </c>
      <c r="AM52" s="9" t="s">
        <v>26</v>
      </c>
      <c r="AN52" s="10" t="s">
        <v>26</v>
      </c>
      <c r="AO52" s="10" t="s">
        <v>26</v>
      </c>
      <c r="AP52" s="10" t="s">
        <v>26</v>
      </c>
      <c r="AQ52" s="9" t="s">
        <v>26</v>
      </c>
      <c r="AR52" s="10" t="s">
        <v>26</v>
      </c>
      <c r="AS52" s="10" t="s">
        <v>26</v>
      </c>
      <c r="AT52" s="10" t="s">
        <v>26</v>
      </c>
      <c r="AU52" s="9" t="s">
        <v>26</v>
      </c>
      <c r="AV52" s="10" t="s">
        <v>26</v>
      </c>
      <c r="AW52" s="10" t="s">
        <v>26</v>
      </c>
      <c r="AX52" s="10" t="s">
        <v>26</v>
      </c>
      <c r="AY52" s="9">
        <v>827904601.14999998</v>
      </c>
      <c r="AZ52" s="10">
        <v>9.649637418E-4</v>
      </c>
      <c r="BA52" s="10">
        <v>0.09</v>
      </c>
      <c r="BB52" s="10">
        <v>8.8999999999999996E-2</v>
      </c>
    </row>
    <row r="53" spans="1:54" s="7" customFormat="1">
      <c r="A53" s="3" t="s">
        <v>39</v>
      </c>
      <c r="B53" s="23" t="s">
        <v>47</v>
      </c>
      <c r="C53" s="2">
        <v>33126616.23</v>
      </c>
      <c r="D53" s="1">
        <v>1</v>
      </c>
      <c r="E53" s="1" t="s">
        <v>26</v>
      </c>
      <c r="F53" s="1" t="s">
        <v>26</v>
      </c>
      <c r="G53" s="2" t="s">
        <v>26</v>
      </c>
      <c r="H53" s="1" t="s">
        <v>26</v>
      </c>
      <c r="I53" s="1" t="s">
        <v>26</v>
      </c>
      <c r="J53" s="1" t="s">
        <v>26</v>
      </c>
      <c r="K53" s="2">
        <v>16433016.02</v>
      </c>
      <c r="L53" s="1">
        <v>1</v>
      </c>
      <c r="M53" s="1" t="s">
        <v>26</v>
      </c>
      <c r="N53" s="1" t="s">
        <v>26</v>
      </c>
      <c r="O53" s="2">
        <v>383334550.07999998</v>
      </c>
      <c r="P53" s="1">
        <v>1</v>
      </c>
      <c r="Q53" s="1" t="s">
        <v>26</v>
      </c>
      <c r="R53" s="1" t="s">
        <v>26</v>
      </c>
      <c r="S53" s="2">
        <v>290169498.44999999</v>
      </c>
      <c r="T53" s="1">
        <v>1</v>
      </c>
      <c r="U53" s="1" t="s">
        <v>26</v>
      </c>
      <c r="V53" s="1" t="s">
        <v>26</v>
      </c>
      <c r="W53" s="2" t="s">
        <v>26</v>
      </c>
      <c r="X53" s="1" t="s">
        <v>26</v>
      </c>
      <c r="Y53" s="1" t="s">
        <v>26</v>
      </c>
      <c r="Z53" s="1" t="s">
        <v>26</v>
      </c>
      <c r="AA53" s="2">
        <v>104840920.37</v>
      </c>
      <c r="AB53" s="1">
        <v>1</v>
      </c>
      <c r="AC53" s="1" t="s">
        <v>26</v>
      </c>
      <c r="AD53" s="1" t="s">
        <v>26</v>
      </c>
      <c r="AE53" s="2">
        <v>827904601.14999998</v>
      </c>
      <c r="AF53" s="1">
        <v>1</v>
      </c>
      <c r="AG53" s="1" t="s">
        <v>26</v>
      </c>
      <c r="AH53" s="1" t="s">
        <v>26</v>
      </c>
      <c r="AI53" s="2" t="s">
        <v>26</v>
      </c>
      <c r="AJ53" s="1" t="s">
        <v>26</v>
      </c>
      <c r="AK53" s="1" t="s">
        <v>26</v>
      </c>
      <c r="AL53" s="1" t="s">
        <v>26</v>
      </c>
      <c r="AM53" s="2" t="s">
        <v>26</v>
      </c>
      <c r="AN53" s="1" t="s">
        <v>26</v>
      </c>
      <c r="AO53" s="1" t="s">
        <v>26</v>
      </c>
      <c r="AP53" s="1" t="s">
        <v>26</v>
      </c>
      <c r="AQ53" s="2" t="s">
        <v>26</v>
      </c>
      <c r="AR53" s="1" t="s">
        <v>26</v>
      </c>
      <c r="AS53" s="1" t="s">
        <v>26</v>
      </c>
      <c r="AT53" s="1" t="s">
        <v>26</v>
      </c>
      <c r="AU53" s="2" t="s">
        <v>26</v>
      </c>
      <c r="AV53" s="1" t="s">
        <v>26</v>
      </c>
      <c r="AW53" s="1" t="s">
        <v>26</v>
      </c>
      <c r="AX53" s="1" t="s">
        <v>26</v>
      </c>
      <c r="AY53" s="2">
        <v>827904601.14999998</v>
      </c>
      <c r="AZ53" s="1">
        <v>1</v>
      </c>
      <c r="BA53" s="1" t="s">
        <v>26</v>
      </c>
      <c r="BB53" s="1" t="s">
        <v>26</v>
      </c>
    </row>
    <row r="54" spans="1:54" s="7" customFormat="1">
      <c r="A54" s="5" t="s">
        <v>60</v>
      </c>
      <c r="B54" s="20" t="s">
        <v>25</v>
      </c>
      <c r="C54" s="9" t="s">
        <v>26</v>
      </c>
      <c r="D54" s="10" t="s">
        <v>26</v>
      </c>
      <c r="E54" s="10" t="s">
        <v>26</v>
      </c>
      <c r="F54" s="10" t="s">
        <v>26</v>
      </c>
      <c r="G54" s="9">
        <v>696530091.16999996</v>
      </c>
      <c r="H54" s="10">
        <v>3.8390611414599999E-3</v>
      </c>
      <c r="I54" s="10">
        <v>0.12</v>
      </c>
      <c r="J54" s="10">
        <v>0.1162</v>
      </c>
      <c r="K54" s="9">
        <v>77856974.650000006</v>
      </c>
      <c r="L54" s="10">
        <v>1.6931063764649999E-2</v>
      </c>
      <c r="M54" s="10">
        <v>0.12</v>
      </c>
      <c r="N54" s="10">
        <v>0.1031</v>
      </c>
      <c r="O54" s="9">
        <v>3840821991.3299999</v>
      </c>
      <c r="P54" s="10">
        <v>1.4589540402890001E-2</v>
      </c>
      <c r="Q54" s="10">
        <v>0.122</v>
      </c>
      <c r="R54" s="10">
        <v>0.1074</v>
      </c>
      <c r="S54" s="9">
        <v>1325532645.5899999</v>
      </c>
      <c r="T54" s="10">
        <v>1.0128084325930001E-2</v>
      </c>
      <c r="U54" s="10">
        <v>0.12230000000000001</v>
      </c>
      <c r="V54" s="10">
        <v>0.11219999999999999</v>
      </c>
      <c r="W54" s="9">
        <v>254378447.61000001</v>
      </c>
      <c r="X54" s="10">
        <v>3.3777222947169998E-2</v>
      </c>
      <c r="Y54" s="10">
        <v>0.1444</v>
      </c>
      <c r="Z54" s="10">
        <v>0.1106</v>
      </c>
      <c r="AA54" s="9">
        <v>4120987350.3400002</v>
      </c>
      <c r="AB54" s="10">
        <v>2.538664104199E-2</v>
      </c>
      <c r="AC54" s="10">
        <v>0.12959999999999999</v>
      </c>
      <c r="AD54" s="10">
        <v>0.1042</v>
      </c>
      <c r="AE54" s="9">
        <v>10316107500.690001</v>
      </c>
      <c r="AF54" s="10">
        <v>1.3602125149759999E-2</v>
      </c>
      <c r="AG54" s="10">
        <v>0.1255</v>
      </c>
      <c r="AH54" s="10">
        <v>0.1119</v>
      </c>
      <c r="AI54" s="9">
        <v>259807105.59</v>
      </c>
      <c r="AJ54" s="10">
        <v>1.358808560259E-2</v>
      </c>
      <c r="AK54" s="10">
        <v>0.12659999999999999</v>
      </c>
      <c r="AL54" s="10">
        <v>0.113</v>
      </c>
      <c r="AM54" s="9">
        <v>354979581.27999997</v>
      </c>
      <c r="AN54" s="10">
        <v>1.3982181307069999E-2</v>
      </c>
      <c r="AO54" s="10">
        <v>0.12</v>
      </c>
      <c r="AP54" s="10">
        <v>0.106</v>
      </c>
      <c r="AQ54" s="9">
        <v>614786686.87</v>
      </c>
      <c r="AR54" s="10">
        <v>1.3812882339469999E-2</v>
      </c>
      <c r="AS54" s="10">
        <v>0.12280000000000001</v>
      </c>
      <c r="AT54" s="10">
        <v>0.109</v>
      </c>
      <c r="AU54" s="9">
        <v>815764699.21000004</v>
      </c>
      <c r="AV54" s="10">
        <v>1.482199317754E-2</v>
      </c>
      <c r="AW54" s="10">
        <v>0.12640000000000001</v>
      </c>
      <c r="AX54" s="10">
        <v>0.1116</v>
      </c>
      <c r="AY54" s="9">
        <v>11746658886.77</v>
      </c>
      <c r="AZ54" s="10">
        <v>1.369131165274E-2</v>
      </c>
      <c r="BA54" s="10">
        <v>0.12540000000000001</v>
      </c>
      <c r="BB54" s="10">
        <v>0.11169999999999999</v>
      </c>
    </row>
    <row r="55" spans="1:54" s="7" customFormat="1">
      <c r="A55" s="3" t="s">
        <v>39</v>
      </c>
      <c r="B55" s="23" t="s">
        <v>57</v>
      </c>
      <c r="C55" s="2" t="s">
        <v>26</v>
      </c>
      <c r="D55" s="1" t="s">
        <v>26</v>
      </c>
      <c r="E55" s="1" t="s">
        <v>26</v>
      </c>
      <c r="F55" s="1" t="s">
        <v>26</v>
      </c>
      <c r="G55" s="2">
        <v>696530091.16999996</v>
      </c>
      <c r="H55" s="1">
        <v>1</v>
      </c>
      <c r="I55" s="1" t="s">
        <v>26</v>
      </c>
      <c r="J55" s="1" t="s">
        <v>26</v>
      </c>
      <c r="K55" s="2">
        <v>77856974.650000006</v>
      </c>
      <c r="L55" s="1">
        <v>1</v>
      </c>
      <c r="M55" s="1" t="s">
        <v>26</v>
      </c>
      <c r="N55" s="1" t="s">
        <v>26</v>
      </c>
      <c r="O55" s="2">
        <v>3590645595.8600001</v>
      </c>
      <c r="P55" s="1">
        <v>0.93486384007518997</v>
      </c>
      <c r="Q55" s="1" t="s">
        <v>26</v>
      </c>
      <c r="R55" s="1" t="s">
        <v>26</v>
      </c>
      <c r="S55" s="2">
        <v>1223198279.52</v>
      </c>
      <c r="T55" s="1">
        <v>0.92279755130101004</v>
      </c>
      <c r="U55" s="1" t="s">
        <v>26</v>
      </c>
      <c r="V55" s="1" t="s">
        <v>26</v>
      </c>
      <c r="W55" s="2">
        <v>47310301.600000001</v>
      </c>
      <c r="X55" s="1">
        <v>0.18598392294826999</v>
      </c>
      <c r="Y55" s="1" t="s">
        <v>26</v>
      </c>
      <c r="Z55" s="1" t="s">
        <v>26</v>
      </c>
      <c r="AA55" s="2">
        <v>2798719173.0599999</v>
      </c>
      <c r="AB55" s="1">
        <v>0.67913801599733004</v>
      </c>
      <c r="AC55" s="1" t="s">
        <v>26</v>
      </c>
      <c r="AD55" s="1" t="s">
        <v>26</v>
      </c>
      <c r="AE55" s="2">
        <v>8434260415.8599997</v>
      </c>
      <c r="AF55" s="1">
        <v>0.81758167170087004</v>
      </c>
      <c r="AG55" s="1" t="s">
        <v>26</v>
      </c>
      <c r="AH55" s="1" t="s">
        <v>26</v>
      </c>
      <c r="AI55" s="2">
        <v>203017342</v>
      </c>
      <c r="AJ55" s="1">
        <v>0.78141566428278997</v>
      </c>
      <c r="AK55" s="1" t="s">
        <v>26</v>
      </c>
      <c r="AL55" s="1" t="s">
        <v>26</v>
      </c>
      <c r="AM55" s="2">
        <v>354979581.27999997</v>
      </c>
      <c r="AN55" s="1">
        <v>1</v>
      </c>
      <c r="AO55" s="1" t="s">
        <v>26</v>
      </c>
      <c r="AP55" s="1" t="s">
        <v>26</v>
      </c>
      <c r="AQ55" s="2">
        <v>557996923.27999997</v>
      </c>
      <c r="AR55" s="1">
        <v>0.90762688131858005</v>
      </c>
      <c r="AS55" s="1" t="s">
        <v>26</v>
      </c>
      <c r="AT55" s="1" t="s">
        <v>26</v>
      </c>
      <c r="AU55" s="2">
        <v>642051741.05999994</v>
      </c>
      <c r="AV55" s="1">
        <v>0.78705506830801997</v>
      </c>
      <c r="AW55" s="1" t="s">
        <v>26</v>
      </c>
      <c r="AX55" s="1" t="s">
        <v>26</v>
      </c>
      <c r="AY55" s="2">
        <v>9634309080.2000008</v>
      </c>
      <c r="AZ55" s="1">
        <v>0.82017441496073995</v>
      </c>
      <c r="BA55" s="1" t="s">
        <v>26</v>
      </c>
      <c r="BB55" s="1" t="s">
        <v>26</v>
      </c>
    </row>
    <row r="56" spans="1:54" s="28" customFormat="1">
      <c r="A56" s="3" t="s">
        <v>41</v>
      </c>
      <c r="B56" s="23" t="s">
        <v>35</v>
      </c>
      <c r="C56" s="2" t="s">
        <v>26</v>
      </c>
      <c r="D56" s="1" t="s">
        <v>26</v>
      </c>
      <c r="E56" s="1" t="s">
        <v>26</v>
      </c>
      <c r="F56" s="1" t="s">
        <v>26</v>
      </c>
      <c r="G56" s="2" t="s">
        <v>26</v>
      </c>
      <c r="H56" s="1" t="s">
        <v>26</v>
      </c>
      <c r="I56" s="1" t="s">
        <v>26</v>
      </c>
      <c r="J56" s="1" t="s">
        <v>26</v>
      </c>
      <c r="K56" s="2" t="s">
        <v>26</v>
      </c>
      <c r="L56" s="1" t="s">
        <v>26</v>
      </c>
      <c r="M56" s="1" t="s">
        <v>26</v>
      </c>
      <c r="N56" s="1" t="s">
        <v>26</v>
      </c>
      <c r="O56" s="2">
        <v>250176395.47</v>
      </c>
      <c r="P56" s="1">
        <v>6.5136159924810005E-2</v>
      </c>
      <c r="Q56" s="1" t="s">
        <v>26</v>
      </c>
      <c r="R56" s="1" t="s">
        <v>26</v>
      </c>
      <c r="S56" s="2">
        <v>102334366.06999999</v>
      </c>
      <c r="T56" s="1">
        <v>7.7202448698989998E-2</v>
      </c>
      <c r="U56" s="1" t="s">
        <v>26</v>
      </c>
      <c r="V56" s="1" t="s">
        <v>26</v>
      </c>
      <c r="W56" s="2">
        <v>207068146.00999999</v>
      </c>
      <c r="X56" s="1">
        <v>0.81401607705172996</v>
      </c>
      <c r="Y56" s="1" t="s">
        <v>26</v>
      </c>
      <c r="Z56" s="1" t="s">
        <v>26</v>
      </c>
      <c r="AA56" s="2">
        <v>1322268177.28</v>
      </c>
      <c r="AB56" s="1">
        <v>0.32086198400267002</v>
      </c>
      <c r="AC56" s="1" t="s">
        <v>26</v>
      </c>
      <c r="AD56" s="1" t="s">
        <v>26</v>
      </c>
      <c r="AE56" s="2">
        <v>1881847084.8299999</v>
      </c>
      <c r="AF56" s="1">
        <v>0.18241832829912999</v>
      </c>
      <c r="AG56" s="1" t="s">
        <v>26</v>
      </c>
      <c r="AH56" s="1" t="s">
        <v>26</v>
      </c>
      <c r="AI56" s="2">
        <v>56789763.590000004</v>
      </c>
      <c r="AJ56" s="1">
        <v>0.21858433571721</v>
      </c>
      <c r="AK56" s="1" t="s">
        <v>26</v>
      </c>
      <c r="AL56" s="1" t="s">
        <v>26</v>
      </c>
      <c r="AM56" s="2" t="s">
        <v>26</v>
      </c>
      <c r="AN56" s="1" t="s">
        <v>26</v>
      </c>
      <c r="AO56" s="1" t="s">
        <v>26</v>
      </c>
      <c r="AP56" s="1" t="s">
        <v>26</v>
      </c>
      <c r="AQ56" s="2">
        <v>56789763.590000004</v>
      </c>
      <c r="AR56" s="1">
        <v>9.2373118681419994E-2</v>
      </c>
      <c r="AS56" s="1" t="s">
        <v>26</v>
      </c>
      <c r="AT56" s="1" t="s">
        <v>26</v>
      </c>
      <c r="AU56" s="2">
        <v>173712958.15000001</v>
      </c>
      <c r="AV56" s="1">
        <v>0.21294493169198001</v>
      </c>
      <c r="AW56" s="1" t="s">
        <v>26</v>
      </c>
      <c r="AX56" s="1" t="s">
        <v>26</v>
      </c>
      <c r="AY56" s="2">
        <v>2112349806.5699999</v>
      </c>
      <c r="AZ56" s="1">
        <v>0.17982558503925999</v>
      </c>
      <c r="BA56" s="1" t="s">
        <v>26</v>
      </c>
      <c r="BB56" s="1" t="s">
        <v>26</v>
      </c>
    </row>
    <row r="57" spans="1:54" s="7" customFormat="1">
      <c r="A57" s="12" t="s">
        <v>61</v>
      </c>
      <c r="B57" s="40" t="s">
        <v>25</v>
      </c>
      <c r="C57" s="42" t="s">
        <v>26</v>
      </c>
      <c r="D57" s="43" t="s">
        <v>26</v>
      </c>
      <c r="E57" s="43" t="s">
        <v>26</v>
      </c>
      <c r="F57" s="43" t="s">
        <v>26</v>
      </c>
      <c r="G57" s="42" t="s">
        <v>26</v>
      </c>
      <c r="H57" s="43" t="s">
        <v>26</v>
      </c>
      <c r="I57" s="43" t="s">
        <v>26</v>
      </c>
      <c r="J57" s="43" t="s">
        <v>26</v>
      </c>
      <c r="K57" s="42">
        <v>59090989.210000001</v>
      </c>
      <c r="L57" s="43">
        <v>1.285014362205E-2</v>
      </c>
      <c r="M57" s="43" t="s">
        <v>26</v>
      </c>
      <c r="N57" s="43" t="s">
        <v>26</v>
      </c>
      <c r="O57" s="42">
        <v>100670150.86</v>
      </c>
      <c r="P57" s="43">
        <v>3.8240023532999998E-4</v>
      </c>
      <c r="Q57" s="43" t="s">
        <v>26</v>
      </c>
      <c r="R57" s="43" t="s">
        <v>26</v>
      </c>
      <c r="S57" s="42">
        <v>8614962.7400000002</v>
      </c>
      <c r="T57" s="43">
        <v>6.5824911510000005E-5</v>
      </c>
      <c r="U57" s="43" t="s">
        <v>26</v>
      </c>
      <c r="V57" s="43" t="s">
        <v>26</v>
      </c>
      <c r="W57" s="42" t="s">
        <v>26</v>
      </c>
      <c r="X57" s="43" t="s">
        <v>26</v>
      </c>
      <c r="Y57" s="43" t="s">
        <v>26</v>
      </c>
      <c r="Z57" s="43" t="s">
        <v>26</v>
      </c>
      <c r="AA57" s="42">
        <v>152785112.71000001</v>
      </c>
      <c r="AB57" s="43">
        <v>9.4120667772000001E-4</v>
      </c>
      <c r="AC57" s="43" t="s">
        <v>26</v>
      </c>
      <c r="AD57" s="43" t="s">
        <v>26</v>
      </c>
      <c r="AE57" s="42">
        <v>321161215.51999998</v>
      </c>
      <c r="AF57" s="43">
        <v>4.2346156692000002E-4</v>
      </c>
      <c r="AG57" s="43" t="s">
        <v>26</v>
      </c>
      <c r="AH57" s="43" t="s">
        <v>26</v>
      </c>
      <c r="AI57" s="42">
        <v>50810452.659999996</v>
      </c>
      <c r="AJ57" s="43">
        <v>2.65742069942E-3</v>
      </c>
      <c r="AK57" s="43" t="s">
        <v>26</v>
      </c>
      <c r="AL57" s="43" t="s">
        <v>26</v>
      </c>
      <c r="AM57" s="42" t="s">
        <v>26</v>
      </c>
      <c r="AN57" s="43" t="s">
        <v>26</v>
      </c>
      <c r="AO57" s="43" t="s">
        <v>26</v>
      </c>
      <c r="AP57" s="43" t="s">
        <v>26</v>
      </c>
      <c r="AQ57" s="42">
        <v>50810452.659999996</v>
      </c>
      <c r="AR57" s="43">
        <v>1.1415972713700001E-3</v>
      </c>
      <c r="AS57" s="43" t="s">
        <v>26</v>
      </c>
      <c r="AT57" s="43" t="s">
        <v>26</v>
      </c>
      <c r="AU57" s="42">
        <v>7975099.0800000001</v>
      </c>
      <c r="AV57" s="43">
        <v>1.4490313723000001E-4</v>
      </c>
      <c r="AW57" s="43" t="s">
        <v>26</v>
      </c>
      <c r="AX57" s="43" t="s">
        <v>26</v>
      </c>
      <c r="AY57" s="42">
        <v>379946767.25999999</v>
      </c>
      <c r="AZ57" s="43">
        <v>4.4284674069E-4</v>
      </c>
      <c r="BA57" s="43" t="s">
        <v>26</v>
      </c>
      <c r="BB57" s="43" t="s">
        <v>26</v>
      </c>
    </row>
    <row r="58" spans="1:54" s="28" customFormat="1">
      <c r="A58" s="5" t="s">
        <v>63</v>
      </c>
      <c r="B58" s="20" t="s">
        <v>25</v>
      </c>
      <c r="C58" s="9" t="s">
        <v>26</v>
      </c>
      <c r="D58" s="10" t="s">
        <v>26</v>
      </c>
      <c r="E58" s="10" t="s">
        <v>26</v>
      </c>
      <c r="F58" s="10" t="s">
        <v>26</v>
      </c>
      <c r="G58" s="9" t="s">
        <v>26</v>
      </c>
      <c r="H58" s="10" t="s">
        <v>26</v>
      </c>
      <c r="I58" s="10" t="s">
        <v>26</v>
      </c>
      <c r="J58" s="10" t="s">
        <v>26</v>
      </c>
      <c r="K58" s="9" t="s">
        <v>26</v>
      </c>
      <c r="L58" s="10" t="s">
        <v>26</v>
      </c>
      <c r="M58" s="10" t="s">
        <v>26</v>
      </c>
      <c r="N58" s="10" t="s">
        <v>26</v>
      </c>
      <c r="O58" s="9" t="s">
        <v>26</v>
      </c>
      <c r="P58" s="10" t="s">
        <v>26</v>
      </c>
      <c r="Q58" s="10" t="s">
        <v>26</v>
      </c>
      <c r="R58" s="10" t="s">
        <v>26</v>
      </c>
      <c r="S58" s="9" t="s">
        <v>26</v>
      </c>
      <c r="T58" s="10" t="s">
        <v>26</v>
      </c>
      <c r="U58" s="10" t="s">
        <v>26</v>
      </c>
      <c r="V58" s="10" t="s">
        <v>26</v>
      </c>
      <c r="W58" s="9" t="s">
        <v>26</v>
      </c>
      <c r="X58" s="10" t="s">
        <v>26</v>
      </c>
      <c r="Y58" s="10" t="s">
        <v>26</v>
      </c>
      <c r="Z58" s="10" t="s">
        <v>26</v>
      </c>
      <c r="AA58" s="9">
        <v>97168893.769999996</v>
      </c>
      <c r="AB58" s="10">
        <v>5.9859242868000003E-4</v>
      </c>
      <c r="AC58" s="10">
        <v>0.13500000000000001</v>
      </c>
      <c r="AD58" s="10">
        <v>0.13439999999999999</v>
      </c>
      <c r="AE58" s="9">
        <v>97168893.769999996</v>
      </c>
      <c r="AF58" s="10">
        <v>1.2812036455000001E-4</v>
      </c>
      <c r="AG58" s="10">
        <v>0.13500000000000001</v>
      </c>
      <c r="AH58" s="10">
        <v>0.13489999999999999</v>
      </c>
      <c r="AI58" s="9" t="s">
        <v>26</v>
      </c>
      <c r="AJ58" s="10" t="s">
        <v>26</v>
      </c>
      <c r="AK58" s="10" t="s">
        <v>26</v>
      </c>
      <c r="AL58" s="10" t="s">
        <v>26</v>
      </c>
      <c r="AM58" s="9" t="s">
        <v>26</v>
      </c>
      <c r="AN58" s="10" t="s">
        <v>26</v>
      </c>
      <c r="AO58" s="10" t="s">
        <v>26</v>
      </c>
      <c r="AP58" s="10" t="s">
        <v>26</v>
      </c>
      <c r="AQ58" s="9" t="s">
        <v>26</v>
      </c>
      <c r="AR58" s="10" t="s">
        <v>26</v>
      </c>
      <c r="AS58" s="10" t="s">
        <v>26</v>
      </c>
      <c r="AT58" s="10" t="s">
        <v>26</v>
      </c>
      <c r="AU58" s="9" t="s">
        <v>26</v>
      </c>
      <c r="AV58" s="10" t="s">
        <v>26</v>
      </c>
      <c r="AW58" s="10" t="s">
        <v>26</v>
      </c>
      <c r="AX58" s="10" t="s">
        <v>26</v>
      </c>
      <c r="AY58" s="9">
        <v>97168893.769999996</v>
      </c>
      <c r="AZ58" s="10">
        <v>1.1325514943E-4</v>
      </c>
      <c r="BA58" s="10">
        <v>0.13500000000000001</v>
      </c>
      <c r="BB58" s="10">
        <v>0.13489999999999999</v>
      </c>
    </row>
    <row r="59" spans="1:54" s="7" customFormat="1">
      <c r="A59" s="3" t="s">
        <v>41</v>
      </c>
      <c r="B59" s="23" t="s">
        <v>44</v>
      </c>
      <c r="C59" s="2" t="s">
        <v>26</v>
      </c>
      <c r="D59" s="1" t="s">
        <v>26</v>
      </c>
      <c r="E59" s="1" t="s">
        <v>26</v>
      </c>
      <c r="F59" s="1" t="s">
        <v>26</v>
      </c>
      <c r="G59" s="2" t="s">
        <v>26</v>
      </c>
      <c r="H59" s="1" t="s">
        <v>26</v>
      </c>
      <c r="I59" s="1" t="s">
        <v>26</v>
      </c>
      <c r="J59" s="1" t="s">
        <v>26</v>
      </c>
      <c r="K59" s="2" t="s">
        <v>26</v>
      </c>
      <c r="L59" s="1" t="s">
        <v>26</v>
      </c>
      <c r="M59" s="1" t="s">
        <v>26</v>
      </c>
      <c r="N59" s="1" t="s">
        <v>26</v>
      </c>
      <c r="O59" s="2" t="s">
        <v>26</v>
      </c>
      <c r="P59" s="1" t="s">
        <v>26</v>
      </c>
      <c r="Q59" s="1" t="s">
        <v>26</v>
      </c>
      <c r="R59" s="1" t="s">
        <v>26</v>
      </c>
      <c r="S59" s="2" t="s">
        <v>26</v>
      </c>
      <c r="T59" s="1" t="s">
        <v>26</v>
      </c>
      <c r="U59" s="1" t="s">
        <v>26</v>
      </c>
      <c r="V59" s="1" t="s">
        <v>26</v>
      </c>
      <c r="W59" s="2" t="s">
        <v>26</v>
      </c>
      <c r="X59" s="1" t="s">
        <v>26</v>
      </c>
      <c r="Y59" s="1" t="s">
        <v>26</v>
      </c>
      <c r="Z59" s="1" t="s">
        <v>26</v>
      </c>
      <c r="AA59" s="2">
        <v>97168893.769999996</v>
      </c>
      <c r="AB59" s="1">
        <v>1</v>
      </c>
      <c r="AC59" s="1" t="s">
        <v>26</v>
      </c>
      <c r="AD59" s="1" t="s">
        <v>26</v>
      </c>
      <c r="AE59" s="2">
        <v>97168893.769999996</v>
      </c>
      <c r="AF59" s="1">
        <v>1</v>
      </c>
      <c r="AG59" s="1" t="s">
        <v>26</v>
      </c>
      <c r="AH59" s="1" t="s">
        <v>26</v>
      </c>
      <c r="AI59" s="2" t="s">
        <v>26</v>
      </c>
      <c r="AJ59" s="1" t="s">
        <v>26</v>
      </c>
      <c r="AK59" s="1" t="s">
        <v>26</v>
      </c>
      <c r="AL59" s="1" t="s">
        <v>26</v>
      </c>
      <c r="AM59" s="2" t="s">
        <v>26</v>
      </c>
      <c r="AN59" s="1" t="s">
        <v>26</v>
      </c>
      <c r="AO59" s="1" t="s">
        <v>26</v>
      </c>
      <c r="AP59" s="1" t="s">
        <v>26</v>
      </c>
      <c r="AQ59" s="2" t="s">
        <v>26</v>
      </c>
      <c r="AR59" s="1" t="s">
        <v>26</v>
      </c>
      <c r="AS59" s="1" t="s">
        <v>26</v>
      </c>
      <c r="AT59" s="1" t="s">
        <v>26</v>
      </c>
      <c r="AU59" s="2" t="s">
        <v>26</v>
      </c>
      <c r="AV59" s="1" t="s">
        <v>26</v>
      </c>
      <c r="AW59" s="1" t="s">
        <v>26</v>
      </c>
      <c r="AX59" s="1" t="s">
        <v>26</v>
      </c>
      <c r="AY59" s="2">
        <v>97168893.769999996</v>
      </c>
      <c r="AZ59" s="1">
        <v>1</v>
      </c>
      <c r="BA59" s="1" t="s">
        <v>26</v>
      </c>
      <c r="BB59" s="1" t="s">
        <v>26</v>
      </c>
    </row>
    <row r="60" spans="1:54" s="7" customFormat="1">
      <c r="A60" s="5" t="s">
        <v>65</v>
      </c>
      <c r="B60" s="20" t="s">
        <v>25</v>
      </c>
      <c r="C60" s="9" t="s">
        <v>26</v>
      </c>
      <c r="D60" s="10" t="s">
        <v>26</v>
      </c>
      <c r="E60" s="10" t="s">
        <v>26</v>
      </c>
      <c r="F60" s="10" t="s">
        <v>26</v>
      </c>
      <c r="G60" s="9" t="s">
        <v>26</v>
      </c>
      <c r="H60" s="10" t="s">
        <v>26</v>
      </c>
      <c r="I60" s="10" t="s">
        <v>26</v>
      </c>
      <c r="J60" s="10" t="s">
        <v>26</v>
      </c>
      <c r="K60" s="9">
        <v>59090989.210000001</v>
      </c>
      <c r="L60" s="10">
        <v>1.285014362205E-2</v>
      </c>
      <c r="M60" s="10">
        <v>0.13500000000000001</v>
      </c>
      <c r="N60" s="10">
        <v>0.1221</v>
      </c>
      <c r="O60" s="9">
        <v>100670150.86</v>
      </c>
      <c r="P60" s="10">
        <v>3.8240023532999998E-4</v>
      </c>
      <c r="Q60" s="10">
        <v>0.13500000000000001</v>
      </c>
      <c r="R60" s="10">
        <v>0.1346</v>
      </c>
      <c r="S60" s="9">
        <v>8614962.7400000002</v>
      </c>
      <c r="T60" s="10">
        <v>6.5824911510000005E-5</v>
      </c>
      <c r="U60" s="10">
        <v>0.13500000000000001</v>
      </c>
      <c r="V60" s="10">
        <v>0.13489999999999999</v>
      </c>
      <c r="W60" s="9" t="s">
        <v>26</v>
      </c>
      <c r="X60" s="10" t="s">
        <v>26</v>
      </c>
      <c r="Y60" s="10" t="s">
        <v>26</v>
      </c>
      <c r="Z60" s="10" t="s">
        <v>26</v>
      </c>
      <c r="AA60" s="9">
        <v>55616218.939999998</v>
      </c>
      <c r="AB60" s="10">
        <v>3.4261424903999998E-4</v>
      </c>
      <c r="AC60" s="10">
        <v>0.13500000000000001</v>
      </c>
      <c r="AD60" s="10">
        <v>0.13469999999999999</v>
      </c>
      <c r="AE60" s="9">
        <v>223992321.75</v>
      </c>
      <c r="AF60" s="10">
        <v>2.9534120237000001E-4</v>
      </c>
      <c r="AG60" s="10">
        <v>0.13500000000000001</v>
      </c>
      <c r="AH60" s="10">
        <v>0.13469999999999999</v>
      </c>
      <c r="AI60" s="9">
        <v>50810452.659999996</v>
      </c>
      <c r="AJ60" s="10">
        <v>2.65742069942E-3</v>
      </c>
      <c r="AK60" s="10">
        <v>0.13500000000000001</v>
      </c>
      <c r="AL60" s="10">
        <v>0.1323</v>
      </c>
      <c r="AM60" s="9" t="s">
        <v>26</v>
      </c>
      <c r="AN60" s="10" t="s">
        <v>26</v>
      </c>
      <c r="AO60" s="10" t="s">
        <v>26</v>
      </c>
      <c r="AP60" s="10" t="s">
        <v>26</v>
      </c>
      <c r="AQ60" s="9">
        <v>50810452.659999996</v>
      </c>
      <c r="AR60" s="10">
        <v>1.1415972713700001E-3</v>
      </c>
      <c r="AS60" s="10">
        <v>0.13500000000000001</v>
      </c>
      <c r="AT60" s="10">
        <v>0.13389999999999999</v>
      </c>
      <c r="AU60" s="9">
        <v>7975099.0800000001</v>
      </c>
      <c r="AV60" s="10">
        <v>1.4490313723000001E-4</v>
      </c>
      <c r="AW60" s="10">
        <v>0.13500000000000001</v>
      </c>
      <c r="AX60" s="10">
        <v>0.13489999999999999</v>
      </c>
      <c r="AY60" s="9">
        <v>282777873.49000001</v>
      </c>
      <c r="AZ60" s="10">
        <v>3.2959159126000001E-4</v>
      </c>
      <c r="BA60" s="10">
        <v>0.13500000000000001</v>
      </c>
      <c r="BB60" s="10">
        <v>0.13469999999999999</v>
      </c>
    </row>
    <row r="61" spans="1:54" s="7" customFormat="1">
      <c r="A61" s="3" t="s">
        <v>41</v>
      </c>
      <c r="B61" s="23" t="s">
        <v>44</v>
      </c>
      <c r="C61" s="2" t="s">
        <v>26</v>
      </c>
      <c r="D61" s="1" t="s">
        <v>26</v>
      </c>
      <c r="E61" s="1" t="s">
        <v>26</v>
      </c>
      <c r="F61" s="1" t="s">
        <v>26</v>
      </c>
      <c r="G61" s="2" t="s">
        <v>26</v>
      </c>
      <c r="H61" s="1" t="s">
        <v>26</v>
      </c>
      <c r="I61" s="1" t="s">
        <v>26</v>
      </c>
      <c r="J61" s="1" t="s">
        <v>26</v>
      </c>
      <c r="K61" s="2">
        <v>59090989.210000001</v>
      </c>
      <c r="L61" s="1">
        <v>1</v>
      </c>
      <c r="M61" s="1" t="s">
        <v>26</v>
      </c>
      <c r="N61" s="1" t="s">
        <v>26</v>
      </c>
      <c r="O61" s="2">
        <v>100670150.86</v>
      </c>
      <c r="P61" s="1">
        <v>1</v>
      </c>
      <c r="Q61" s="1" t="s">
        <v>26</v>
      </c>
      <c r="R61" s="1" t="s">
        <v>26</v>
      </c>
      <c r="S61" s="2">
        <v>8614962.7400000002</v>
      </c>
      <c r="T61" s="1">
        <v>1</v>
      </c>
      <c r="U61" s="1" t="s">
        <v>26</v>
      </c>
      <c r="V61" s="1" t="s">
        <v>26</v>
      </c>
      <c r="W61" s="2" t="s">
        <v>26</v>
      </c>
      <c r="X61" s="1" t="s">
        <v>26</v>
      </c>
      <c r="Y61" s="1" t="s">
        <v>26</v>
      </c>
      <c r="Z61" s="1" t="s">
        <v>26</v>
      </c>
      <c r="AA61" s="2">
        <v>55616218.939999998</v>
      </c>
      <c r="AB61" s="1">
        <v>1</v>
      </c>
      <c r="AC61" s="1" t="s">
        <v>26</v>
      </c>
      <c r="AD61" s="1" t="s">
        <v>26</v>
      </c>
      <c r="AE61" s="2">
        <v>223992321.75</v>
      </c>
      <c r="AF61" s="1">
        <v>1</v>
      </c>
      <c r="AG61" s="1" t="s">
        <v>26</v>
      </c>
      <c r="AH61" s="1" t="s">
        <v>26</v>
      </c>
      <c r="AI61" s="2">
        <v>50810452.659999996</v>
      </c>
      <c r="AJ61" s="1">
        <v>1</v>
      </c>
      <c r="AK61" s="1" t="s">
        <v>26</v>
      </c>
      <c r="AL61" s="1" t="s">
        <v>26</v>
      </c>
      <c r="AM61" s="2" t="s">
        <v>26</v>
      </c>
      <c r="AN61" s="1" t="s">
        <v>26</v>
      </c>
      <c r="AO61" s="1" t="s">
        <v>26</v>
      </c>
      <c r="AP61" s="1" t="s">
        <v>26</v>
      </c>
      <c r="AQ61" s="2">
        <v>50810452.659999996</v>
      </c>
      <c r="AR61" s="1">
        <v>1</v>
      </c>
      <c r="AS61" s="1" t="s">
        <v>26</v>
      </c>
      <c r="AT61" s="1" t="s">
        <v>26</v>
      </c>
      <c r="AU61" s="2">
        <v>7975099.0800000001</v>
      </c>
      <c r="AV61" s="1">
        <v>1</v>
      </c>
      <c r="AW61" s="1" t="s">
        <v>26</v>
      </c>
      <c r="AX61" s="1" t="s">
        <v>26</v>
      </c>
      <c r="AY61" s="2">
        <v>282777873.49000001</v>
      </c>
      <c r="AZ61" s="1">
        <v>1</v>
      </c>
      <c r="BA61" s="1" t="s">
        <v>26</v>
      </c>
      <c r="BB61" s="1" t="s">
        <v>26</v>
      </c>
    </row>
    <row r="62" spans="1:54" s="7" customFormat="1">
      <c r="A62" s="12" t="s">
        <v>66</v>
      </c>
      <c r="B62" s="40" t="s">
        <v>25</v>
      </c>
      <c r="C62" s="42">
        <v>1674199134.4300001</v>
      </c>
      <c r="D62" s="43">
        <v>0.19949090377903</v>
      </c>
      <c r="E62" s="43" t="s">
        <v>26</v>
      </c>
      <c r="F62" s="43" t="s">
        <v>26</v>
      </c>
      <c r="G62" s="42">
        <v>7594069461.8500004</v>
      </c>
      <c r="H62" s="43">
        <v>4.1856191636410002E-2</v>
      </c>
      <c r="I62" s="43" t="s">
        <v>26</v>
      </c>
      <c r="J62" s="43" t="s">
        <v>26</v>
      </c>
      <c r="K62" s="42">
        <v>698170210.54999995</v>
      </c>
      <c r="L62" s="43">
        <v>0.15182665915978999</v>
      </c>
      <c r="M62" s="43" t="s">
        <v>26</v>
      </c>
      <c r="N62" s="43" t="s">
        <v>26</v>
      </c>
      <c r="O62" s="42">
        <v>7730522149.96</v>
      </c>
      <c r="P62" s="43">
        <v>2.936474679036E-2</v>
      </c>
      <c r="Q62" s="43" t="s">
        <v>26</v>
      </c>
      <c r="R62" s="43" t="s">
        <v>26</v>
      </c>
      <c r="S62" s="42">
        <v>4337081628.5200005</v>
      </c>
      <c r="T62" s="43">
        <v>3.3138624392429997E-2</v>
      </c>
      <c r="U62" s="43" t="s">
        <v>26</v>
      </c>
      <c r="V62" s="43" t="s">
        <v>26</v>
      </c>
      <c r="W62" s="42" t="s">
        <v>26</v>
      </c>
      <c r="X62" s="43" t="s">
        <v>26</v>
      </c>
      <c r="Y62" s="43" t="s">
        <v>26</v>
      </c>
      <c r="Z62" s="43" t="s">
        <v>26</v>
      </c>
      <c r="AA62" s="42">
        <v>3289400832.9200001</v>
      </c>
      <c r="AB62" s="43">
        <v>2.026379386524E-2</v>
      </c>
      <c r="AC62" s="43" t="s">
        <v>26</v>
      </c>
      <c r="AD62" s="43" t="s">
        <v>26</v>
      </c>
      <c r="AE62" s="42">
        <v>25323443418.23</v>
      </c>
      <c r="AF62" s="43">
        <v>3.3389788403680003E-2</v>
      </c>
      <c r="AG62" s="43" t="s">
        <v>26</v>
      </c>
      <c r="AH62" s="43" t="s">
        <v>26</v>
      </c>
      <c r="AI62" s="42">
        <v>282483453.72000003</v>
      </c>
      <c r="AJ62" s="43">
        <v>1.477407379504E-2</v>
      </c>
      <c r="AK62" s="43" t="s">
        <v>26</v>
      </c>
      <c r="AL62" s="43" t="s">
        <v>26</v>
      </c>
      <c r="AM62" s="42">
        <v>509845447.82999998</v>
      </c>
      <c r="AN62" s="43">
        <v>2.0082145188279998E-2</v>
      </c>
      <c r="AO62" s="43" t="s">
        <v>26</v>
      </c>
      <c r="AP62" s="43" t="s">
        <v>26</v>
      </c>
      <c r="AQ62" s="42">
        <v>792328901.54999995</v>
      </c>
      <c r="AR62" s="43">
        <v>1.7801858961830001E-2</v>
      </c>
      <c r="AS62" s="43" t="s">
        <v>26</v>
      </c>
      <c r="AT62" s="43" t="s">
        <v>26</v>
      </c>
      <c r="AU62" s="42">
        <v>933087003.90999997</v>
      </c>
      <c r="AV62" s="43">
        <v>1.69536745331E-2</v>
      </c>
      <c r="AW62" s="43" t="s">
        <v>26</v>
      </c>
      <c r="AX62" s="43" t="s">
        <v>26</v>
      </c>
      <c r="AY62" s="42">
        <v>27048859323.689999</v>
      </c>
      <c r="AZ62" s="43">
        <v>3.1526782757679998E-2</v>
      </c>
      <c r="BA62" s="43" t="s">
        <v>26</v>
      </c>
      <c r="BB62" s="43" t="s">
        <v>26</v>
      </c>
    </row>
    <row r="63" spans="1:54" s="7" customFormat="1">
      <c r="A63" s="5" t="s">
        <v>67</v>
      </c>
      <c r="B63" s="20" t="s">
        <v>25</v>
      </c>
      <c r="C63" s="9">
        <v>292930240.44999999</v>
      </c>
      <c r="D63" s="10">
        <v>3.4904401280480002E-2</v>
      </c>
      <c r="E63" s="10">
        <v>0.08</v>
      </c>
      <c r="F63" s="10">
        <v>4.5100000000000001E-2</v>
      </c>
      <c r="G63" s="9" t="s">
        <v>26</v>
      </c>
      <c r="H63" s="10" t="s">
        <v>26</v>
      </c>
      <c r="I63" s="10" t="s">
        <v>26</v>
      </c>
      <c r="J63" s="10" t="s">
        <v>26</v>
      </c>
      <c r="K63" s="9">
        <v>192530614.19999999</v>
      </c>
      <c r="L63" s="10">
        <v>4.186841474795E-2</v>
      </c>
      <c r="M63" s="10">
        <v>0.08</v>
      </c>
      <c r="N63" s="10">
        <v>3.8100000000000002E-2</v>
      </c>
      <c r="O63" s="9" t="s">
        <v>26</v>
      </c>
      <c r="P63" s="10" t="s">
        <v>26</v>
      </c>
      <c r="Q63" s="10" t="s">
        <v>26</v>
      </c>
      <c r="R63" s="10" t="s">
        <v>26</v>
      </c>
      <c r="S63" s="9">
        <v>492758059.63999999</v>
      </c>
      <c r="T63" s="10">
        <v>3.7650488631300002E-3</v>
      </c>
      <c r="U63" s="10">
        <v>0.08</v>
      </c>
      <c r="V63" s="10">
        <v>7.6200000000000004E-2</v>
      </c>
      <c r="W63" s="9" t="s">
        <v>26</v>
      </c>
      <c r="X63" s="10" t="s">
        <v>26</v>
      </c>
      <c r="Y63" s="10" t="s">
        <v>26</v>
      </c>
      <c r="Z63" s="10" t="s">
        <v>26</v>
      </c>
      <c r="AA63" s="9" t="s">
        <v>26</v>
      </c>
      <c r="AB63" s="10" t="s">
        <v>26</v>
      </c>
      <c r="AC63" s="10" t="s">
        <v>26</v>
      </c>
      <c r="AD63" s="10" t="s">
        <v>26</v>
      </c>
      <c r="AE63" s="9">
        <v>978218914.28999996</v>
      </c>
      <c r="AF63" s="10">
        <v>1.28981363321E-3</v>
      </c>
      <c r="AG63" s="10">
        <v>0.08</v>
      </c>
      <c r="AH63" s="10">
        <v>7.8700000000000006E-2</v>
      </c>
      <c r="AI63" s="9" t="s">
        <v>26</v>
      </c>
      <c r="AJ63" s="10" t="s">
        <v>26</v>
      </c>
      <c r="AK63" s="10" t="s">
        <v>26</v>
      </c>
      <c r="AL63" s="10" t="s">
        <v>26</v>
      </c>
      <c r="AM63" s="9" t="s">
        <v>26</v>
      </c>
      <c r="AN63" s="10" t="s">
        <v>26</v>
      </c>
      <c r="AO63" s="10" t="s">
        <v>26</v>
      </c>
      <c r="AP63" s="10" t="s">
        <v>26</v>
      </c>
      <c r="AQ63" s="9" t="s">
        <v>26</v>
      </c>
      <c r="AR63" s="10" t="s">
        <v>26</v>
      </c>
      <c r="AS63" s="10" t="s">
        <v>26</v>
      </c>
      <c r="AT63" s="10" t="s">
        <v>26</v>
      </c>
      <c r="AU63" s="9" t="s">
        <v>26</v>
      </c>
      <c r="AV63" s="10" t="s">
        <v>26</v>
      </c>
      <c r="AW63" s="10" t="s">
        <v>26</v>
      </c>
      <c r="AX63" s="10" t="s">
        <v>26</v>
      </c>
      <c r="AY63" s="9">
        <v>978218914.28999996</v>
      </c>
      <c r="AZ63" s="10">
        <v>1.1401625048700001E-3</v>
      </c>
      <c r="BA63" s="10">
        <v>0.08</v>
      </c>
      <c r="BB63" s="10">
        <v>7.8899999999999998E-2</v>
      </c>
    </row>
    <row r="64" spans="1:54" s="28" customFormat="1">
      <c r="A64" s="3" t="s">
        <v>68</v>
      </c>
      <c r="B64" s="23" t="s">
        <v>57</v>
      </c>
      <c r="C64" s="2">
        <v>292930240.44999999</v>
      </c>
      <c r="D64" s="1">
        <v>1</v>
      </c>
      <c r="E64" s="1" t="s">
        <v>26</v>
      </c>
      <c r="F64" s="1" t="s">
        <v>26</v>
      </c>
      <c r="G64" s="2" t="s">
        <v>26</v>
      </c>
      <c r="H64" s="1" t="s">
        <v>26</v>
      </c>
      <c r="I64" s="1" t="s">
        <v>26</v>
      </c>
      <c r="J64" s="1" t="s">
        <v>26</v>
      </c>
      <c r="K64" s="2">
        <v>192530614.19999999</v>
      </c>
      <c r="L64" s="1">
        <v>1</v>
      </c>
      <c r="M64" s="1" t="s">
        <v>26</v>
      </c>
      <c r="N64" s="1" t="s">
        <v>26</v>
      </c>
      <c r="O64" s="2" t="s">
        <v>26</v>
      </c>
      <c r="P64" s="1" t="s">
        <v>26</v>
      </c>
      <c r="Q64" s="1" t="s">
        <v>26</v>
      </c>
      <c r="R64" s="1" t="s">
        <v>26</v>
      </c>
      <c r="S64" s="2">
        <v>492758059.63999999</v>
      </c>
      <c r="T64" s="1">
        <v>1</v>
      </c>
      <c r="U64" s="1" t="s">
        <v>26</v>
      </c>
      <c r="V64" s="1" t="s">
        <v>26</v>
      </c>
      <c r="W64" s="2" t="s">
        <v>26</v>
      </c>
      <c r="X64" s="1" t="s">
        <v>26</v>
      </c>
      <c r="Y64" s="1" t="s">
        <v>26</v>
      </c>
      <c r="Z64" s="1" t="s">
        <v>26</v>
      </c>
      <c r="AA64" s="2" t="s">
        <v>26</v>
      </c>
      <c r="AB64" s="1" t="s">
        <v>26</v>
      </c>
      <c r="AC64" s="1" t="s">
        <v>26</v>
      </c>
      <c r="AD64" s="1" t="s">
        <v>26</v>
      </c>
      <c r="AE64" s="2">
        <v>978218914.28999996</v>
      </c>
      <c r="AF64" s="1">
        <v>1</v>
      </c>
      <c r="AG64" s="1" t="s">
        <v>26</v>
      </c>
      <c r="AH64" s="1" t="s">
        <v>26</v>
      </c>
      <c r="AI64" s="2" t="s">
        <v>26</v>
      </c>
      <c r="AJ64" s="1" t="s">
        <v>26</v>
      </c>
      <c r="AK64" s="1" t="s">
        <v>26</v>
      </c>
      <c r="AL64" s="1" t="s">
        <v>26</v>
      </c>
      <c r="AM64" s="2" t="s">
        <v>26</v>
      </c>
      <c r="AN64" s="1" t="s">
        <v>26</v>
      </c>
      <c r="AO64" s="1" t="s">
        <v>26</v>
      </c>
      <c r="AP64" s="1" t="s">
        <v>26</v>
      </c>
      <c r="AQ64" s="2" t="s">
        <v>26</v>
      </c>
      <c r="AR64" s="1" t="s">
        <v>26</v>
      </c>
      <c r="AS64" s="1" t="s">
        <v>26</v>
      </c>
      <c r="AT64" s="1" t="s">
        <v>26</v>
      </c>
      <c r="AU64" s="2" t="s">
        <v>26</v>
      </c>
      <c r="AV64" s="1" t="s">
        <v>26</v>
      </c>
      <c r="AW64" s="1" t="s">
        <v>26</v>
      </c>
      <c r="AX64" s="1" t="s">
        <v>26</v>
      </c>
      <c r="AY64" s="2">
        <v>978218914.28999996</v>
      </c>
      <c r="AZ64" s="1">
        <v>1</v>
      </c>
      <c r="BA64" s="1" t="s">
        <v>26</v>
      </c>
      <c r="BB64" s="1" t="s">
        <v>26</v>
      </c>
    </row>
    <row r="65" spans="1:54" s="7" customFormat="1">
      <c r="A65" s="5" t="s">
        <v>69</v>
      </c>
      <c r="B65" s="20" t="s">
        <v>25</v>
      </c>
      <c r="C65" s="9" t="s">
        <v>26</v>
      </c>
      <c r="D65" s="10" t="s">
        <v>26</v>
      </c>
      <c r="E65" s="10" t="s">
        <v>26</v>
      </c>
      <c r="F65" s="10" t="s">
        <v>26</v>
      </c>
      <c r="G65" s="9">
        <v>810299670</v>
      </c>
      <c r="H65" s="10">
        <v>4.4661243146099996E-3</v>
      </c>
      <c r="I65" s="10">
        <v>0.08</v>
      </c>
      <c r="J65" s="10">
        <v>7.5499999999999998E-2</v>
      </c>
      <c r="K65" s="9" t="s">
        <v>26</v>
      </c>
      <c r="L65" s="10" t="s">
        <v>26</v>
      </c>
      <c r="M65" s="10" t="s">
        <v>26</v>
      </c>
      <c r="N65" s="10" t="s">
        <v>26</v>
      </c>
      <c r="O65" s="9">
        <v>344785909.73000002</v>
      </c>
      <c r="P65" s="10">
        <v>1.3096852631300001E-3</v>
      </c>
      <c r="Q65" s="10">
        <v>0.08</v>
      </c>
      <c r="R65" s="10">
        <v>7.8700000000000006E-2</v>
      </c>
      <c r="S65" s="9">
        <v>252790363.75</v>
      </c>
      <c r="T65" s="10">
        <v>1.9315119317200001E-3</v>
      </c>
      <c r="U65" s="10">
        <v>0.08</v>
      </c>
      <c r="V65" s="10">
        <v>7.8100000000000003E-2</v>
      </c>
      <c r="W65" s="9" t="s">
        <v>26</v>
      </c>
      <c r="X65" s="10" t="s">
        <v>26</v>
      </c>
      <c r="Y65" s="10" t="s">
        <v>26</v>
      </c>
      <c r="Z65" s="10" t="s">
        <v>26</v>
      </c>
      <c r="AA65" s="9" t="s">
        <v>26</v>
      </c>
      <c r="AB65" s="10" t="s">
        <v>26</v>
      </c>
      <c r="AC65" s="10" t="s">
        <v>26</v>
      </c>
      <c r="AD65" s="10" t="s">
        <v>26</v>
      </c>
      <c r="AE65" s="9">
        <v>1407875943.48</v>
      </c>
      <c r="AF65" s="10">
        <v>1.8563304790399999E-3</v>
      </c>
      <c r="AG65" s="10">
        <v>0.08</v>
      </c>
      <c r="AH65" s="10">
        <v>7.8100000000000003E-2</v>
      </c>
      <c r="AI65" s="9" t="s">
        <v>26</v>
      </c>
      <c r="AJ65" s="10" t="s">
        <v>26</v>
      </c>
      <c r="AK65" s="10" t="s">
        <v>26</v>
      </c>
      <c r="AL65" s="10" t="s">
        <v>26</v>
      </c>
      <c r="AM65" s="9" t="s">
        <v>26</v>
      </c>
      <c r="AN65" s="10" t="s">
        <v>26</v>
      </c>
      <c r="AO65" s="10" t="s">
        <v>26</v>
      </c>
      <c r="AP65" s="10" t="s">
        <v>26</v>
      </c>
      <c r="AQ65" s="9" t="s">
        <v>26</v>
      </c>
      <c r="AR65" s="10" t="s">
        <v>26</v>
      </c>
      <c r="AS65" s="10" t="s">
        <v>26</v>
      </c>
      <c r="AT65" s="10" t="s">
        <v>26</v>
      </c>
      <c r="AU65" s="9">
        <v>252790363.75</v>
      </c>
      <c r="AV65" s="10">
        <v>4.5930610266399999E-3</v>
      </c>
      <c r="AW65" s="10">
        <v>0.08</v>
      </c>
      <c r="AX65" s="10">
        <v>7.5399999999999995E-2</v>
      </c>
      <c r="AY65" s="9">
        <v>1660666307.23</v>
      </c>
      <c r="AZ65" s="10">
        <v>1.93558867953E-3</v>
      </c>
      <c r="BA65" s="10">
        <v>0.08</v>
      </c>
      <c r="BB65" s="10">
        <v>7.8100000000000003E-2</v>
      </c>
    </row>
    <row r="66" spans="1:54" s="28" customFormat="1">
      <c r="A66" s="3" t="s">
        <v>68</v>
      </c>
      <c r="B66" s="23" t="s">
        <v>57</v>
      </c>
      <c r="C66" s="2" t="s">
        <v>26</v>
      </c>
      <c r="D66" s="1" t="s">
        <v>26</v>
      </c>
      <c r="E66" s="1" t="s">
        <v>26</v>
      </c>
      <c r="F66" s="1" t="s">
        <v>26</v>
      </c>
      <c r="G66" s="2">
        <v>810299670</v>
      </c>
      <c r="H66" s="1">
        <v>1</v>
      </c>
      <c r="I66" s="1" t="s">
        <v>26</v>
      </c>
      <c r="J66" s="1" t="s">
        <v>26</v>
      </c>
      <c r="K66" s="2" t="s">
        <v>26</v>
      </c>
      <c r="L66" s="1" t="s">
        <v>26</v>
      </c>
      <c r="M66" s="1" t="s">
        <v>26</v>
      </c>
      <c r="N66" s="1" t="s">
        <v>26</v>
      </c>
      <c r="O66" s="2">
        <v>344785909.73000002</v>
      </c>
      <c r="P66" s="1">
        <v>1</v>
      </c>
      <c r="Q66" s="1" t="s">
        <v>26</v>
      </c>
      <c r="R66" s="1" t="s">
        <v>26</v>
      </c>
      <c r="S66" s="2">
        <v>252790363.75</v>
      </c>
      <c r="T66" s="1">
        <v>1</v>
      </c>
      <c r="U66" s="1" t="s">
        <v>26</v>
      </c>
      <c r="V66" s="1" t="s">
        <v>26</v>
      </c>
      <c r="W66" s="2" t="s">
        <v>26</v>
      </c>
      <c r="X66" s="1" t="s">
        <v>26</v>
      </c>
      <c r="Y66" s="1" t="s">
        <v>26</v>
      </c>
      <c r="Z66" s="1" t="s">
        <v>26</v>
      </c>
      <c r="AA66" s="2" t="s">
        <v>26</v>
      </c>
      <c r="AB66" s="1" t="s">
        <v>26</v>
      </c>
      <c r="AC66" s="1" t="s">
        <v>26</v>
      </c>
      <c r="AD66" s="1" t="s">
        <v>26</v>
      </c>
      <c r="AE66" s="2">
        <v>1407875943.48</v>
      </c>
      <c r="AF66" s="1">
        <v>1</v>
      </c>
      <c r="AG66" s="1" t="s">
        <v>26</v>
      </c>
      <c r="AH66" s="1" t="s">
        <v>26</v>
      </c>
      <c r="AI66" s="2" t="s">
        <v>26</v>
      </c>
      <c r="AJ66" s="1" t="s">
        <v>26</v>
      </c>
      <c r="AK66" s="1" t="s">
        <v>26</v>
      </c>
      <c r="AL66" s="1" t="s">
        <v>26</v>
      </c>
      <c r="AM66" s="2" t="s">
        <v>26</v>
      </c>
      <c r="AN66" s="1" t="s">
        <v>26</v>
      </c>
      <c r="AO66" s="1" t="s">
        <v>26</v>
      </c>
      <c r="AP66" s="1" t="s">
        <v>26</v>
      </c>
      <c r="AQ66" s="2" t="s">
        <v>26</v>
      </c>
      <c r="AR66" s="1" t="s">
        <v>26</v>
      </c>
      <c r="AS66" s="1" t="s">
        <v>26</v>
      </c>
      <c r="AT66" s="1" t="s">
        <v>26</v>
      </c>
      <c r="AU66" s="2">
        <v>252790363.75</v>
      </c>
      <c r="AV66" s="1">
        <v>1</v>
      </c>
      <c r="AW66" s="1" t="s">
        <v>26</v>
      </c>
      <c r="AX66" s="1" t="s">
        <v>26</v>
      </c>
      <c r="AY66" s="2">
        <v>1660666307.23</v>
      </c>
      <c r="AZ66" s="1">
        <v>1</v>
      </c>
      <c r="BA66" s="1" t="s">
        <v>26</v>
      </c>
      <c r="BB66" s="1" t="s">
        <v>26</v>
      </c>
    </row>
    <row r="67" spans="1:54" s="7" customFormat="1">
      <c r="A67" s="5" t="s">
        <v>70</v>
      </c>
      <c r="B67" s="20" t="s">
        <v>25</v>
      </c>
      <c r="C67" s="9" t="s">
        <v>26</v>
      </c>
      <c r="D67" s="10" t="s">
        <v>26</v>
      </c>
      <c r="E67" s="10" t="s">
        <v>26</v>
      </c>
      <c r="F67" s="10" t="s">
        <v>26</v>
      </c>
      <c r="G67" s="9">
        <v>515825929.68000001</v>
      </c>
      <c r="H67" s="10">
        <v>2.8430749905800001E-3</v>
      </c>
      <c r="I67" s="10">
        <v>0.09</v>
      </c>
      <c r="J67" s="10">
        <v>8.72E-2</v>
      </c>
      <c r="K67" s="9" t="s">
        <v>26</v>
      </c>
      <c r="L67" s="10" t="s">
        <v>26</v>
      </c>
      <c r="M67" s="10" t="s">
        <v>26</v>
      </c>
      <c r="N67" s="10" t="s">
        <v>26</v>
      </c>
      <c r="O67" s="9">
        <v>1134336013.51</v>
      </c>
      <c r="P67" s="10">
        <v>4.3088279375899999E-3</v>
      </c>
      <c r="Q67" s="10">
        <v>0.09</v>
      </c>
      <c r="R67" s="10">
        <v>8.5699999999999998E-2</v>
      </c>
      <c r="S67" s="9">
        <v>518921317.06999999</v>
      </c>
      <c r="T67" s="10">
        <v>3.9649561821799998E-3</v>
      </c>
      <c r="U67" s="10">
        <v>0.09</v>
      </c>
      <c r="V67" s="10">
        <v>8.5999999999999993E-2</v>
      </c>
      <c r="W67" s="9" t="s">
        <v>26</v>
      </c>
      <c r="X67" s="10" t="s">
        <v>26</v>
      </c>
      <c r="Y67" s="10" t="s">
        <v>26</v>
      </c>
      <c r="Z67" s="10" t="s">
        <v>26</v>
      </c>
      <c r="AA67" s="9">
        <v>1378652658.51</v>
      </c>
      <c r="AB67" s="10">
        <v>8.4929550099900001E-3</v>
      </c>
      <c r="AC67" s="10">
        <v>0.09</v>
      </c>
      <c r="AD67" s="10">
        <v>8.1500000000000003E-2</v>
      </c>
      <c r="AE67" s="9">
        <v>3547735918.77</v>
      </c>
      <c r="AF67" s="10">
        <v>4.6778058450999997E-3</v>
      </c>
      <c r="AG67" s="10">
        <v>0.09</v>
      </c>
      <c r="AH67" s="10">
        <v>8.5300000000000001E-2</v>
      </c>
      <c r="AI67" s="9">
        <v>96478095.659999996</v>
      </c>
      <c r="AJ67" s="10">
        <v>5.0458690097300004E-3</v>
      </c>
      <c r="AK67" s="10">
        <v>0.09</v>
      </c>
      <c r="AL67" s="10">
        <v>8.5000000000000006E-2</v>
      </c>
      <c r="AM67" s="9">
        <v>13560431.4</v>
      </c>
      <c r="AN67" s="10">
        <v>5.3412765251000004E-4</v>
      </c>
      <c r="AO67" s="10">
        <v>0.09</v>
      </c>
      <c r="AP67" s="10">
        <v>8.9499999999999996E-2</v>
      </c>
      <c r="AQ67" s="9">
        <v>110038527.06</v>
      </c>
      <c r="AR67" s="10">
        <v>2.4723196834800002E-3</v>
      </c>
      <c r="AS67" s="10">
        <v>0.09</v>
      </c>
      <c r="AT67" s="10">
        <v>8.7499999999999994E-2</v>
      </c>
      <c r="AU67" s="9">
        <v>186921776.72</v>
      </c>
      <c r="AV67" s="10">
        <v>3.3962652489899999E-3</v>
      </c>
      <c r="AW67" s="10">
        <v>0.09</v>
      </c>
      <c r="AX67" s="10">
        <v>8.6599999999999996E-2</v>
      </c>
      <c r="AY67" s="9">
        <v>3844696222.5500002</v>
      </c>
      <c r="AZ67" s="10">
        <v>4.4811835178399997E-3</v>
      </c>
      <c r="BA67" s="10">
        <v>0.09</v>
      </c>
      <c r="BB67" s="10">
        <v>8.5500000000000007E-2</v>
      </c>
    </row>
    <row r="68" spans="1:54" s="7" customFormat="1">
      <c r="A68" s="3" t="s">
        <v>68</v>
      </c>
      <c r="B68" s="23" t="s">
        <v>40</v>
      </c>
      <c r="C68" s="2" t="s">
        <v>26</v>
      </c>
      <c r="D68" s="1" t="s">
        <v>26</v>
      </c>
      <c r="E68" s="1" t="s">
        <v>26</v>
      </c>
      <c r="F68" s="1" t="s">
        <v>26</v>
      </c>
      <c r="G68" s="2">
        <v>515825929.68000001</v>
      </c>
      <c r="H68" s="1">
        <v>1</v>
      </c>
      <c r="I68" s="1" t="s">
        <v>26</v>
      </c>
      <c r="J68" s="1" t="s">
        <v>26</v>
      </c>
      <c r="K68" s="2" t="s">
        <v>26</v>
      </c>
      <c r="L68" s="1" t="s">
        <v>26</v>
      </c>
      <c r="M68" s="1" t="s">
        <v>26</v>
      </c>
      <c r="N68" s="1" t="s">
        <v>26</v>
      </c>
      <c r="O68" s="2">
        <v>1134336013.51</v>
      </c>
      <c r="P68" s="1">
        <v>1</v>
      </c>
      <c r="Q68" s="1" t="s">
        <v>26</v>
      </c>
      <c r="R68" s="1" t="s">
        <v>26</v>
      </c>
      <c r="S68" s="2">
        <v>518921317.06999999</v>
      </c>
      <c r="T68" s="1">
        <v>1</v>
      </c>
      <c r="U68" s="1" t="s">
        <v>26</v>
      </c>
      <c r="V68" s="1" t="s">
        <v>26</v>
      </c>
      <c r="W68" s="2" t="s">
        <v>26</v>
      </c>
      <c r="X68" s="1" t="s">
        <v>26</v>
      </c>
      <c r="Y68" s="1" t="s">
        <v>26</v>
      </c>
      <c r="Z68" s="1" t="s">
        <v>26</v>
      </c>
      <c r="AA68" s="2">
        <v>1378652658.51</v>
      </c>
      <c r="AB68" s="1">
        <v>1</v>
      </c>
      <c r="AC68" s="1" t="s">
        <v>26</v>
      </c>
      <c r="AD68" s="1" t="s">
        <v>26</v>
      </c>
      <c r="AE68" s="2">
        <v>3547735918.77</v>
      </c>
      <c r="AF68" s="1">
        <v>1</v>
      </c>
      <c r="AG68" s="1" t="s">
        <v>26</v>
      </c>
      <c r="AH68" s="1" t="s">
        <v>26</v>
      </c>
      <c r="AI68" s="2">
        <v>96478095.659999996</v>
      </c>
      <c r="AJ68" s="1">
        <v>1</v>
      </c>
      <c r="AK68" s="1" t="s">
        <v>26</v>
      </c>
      <c r="AL68" s="1" t="s">
        <v>26</v>
      </c>
      <c r="AM68" s="2">
        <v>13560431.4</v>
      </c>
      <c r="AN68" s="1">
        <v>1</v>
      </c>
      <c r="AO68" s="1" t="s">
        <v>26</v>
      </c>
      <c r="AP68" s="1" t="s">
        <v>26</v>
      </c>
      <c r="AQ68" s="2">
        <v>110038527.06</v>
      </c>
      <c r="AR68" s="1">
        <v>1</v>
      </c>
      <c r="AS68" s="1" t="s">
        <v>26</v>
      </c>
      <c r="AT68" s="1" t="s">
        <v>26</v>
      </c>
      <c r="AU68" s="2">
        <v>186921776.72</v>
      </c>
      <c r="AV68" s="1">
        <v>1</v>
      </c>
      <c r="AW68" s="1" t="s">
        <v>26</v>
      </c>
      <c r="AX68" s="1" t="s">
        <v>26</v>
      </c>
      <c r="AY68" s="2">
        <v>3844696222.5500002</v>
      </c>
      <c r="AZ68" s="1">
        <v>1</v>
      </c>
      <c r="BA68" s="1" t="s">
        <v>26</v>
      </c>
      <c r="BB68" s="1" t="s">
        <v>26</v>
      </c>
    </row>
    <row r="69" spans="1:54" s="7" customFormat="1">
      <c r="A69" s="5" t="s">
        <v>71</v>
      </c>
      <c r="B69" s="20" t="s">
        <v>25</v>
      </c>
      <c r="C69" s="9">
        <v>351282424.08999997</v>
      </c>
      <c r="D69" s="10">
        <v>4.1857415179740003E-2</v>
      </c>
      <c r="E69" s="10">
        <v>0.08</v>
      </c>
      <c r="F69" s="10">
        <v>3.8100000000000002E-2</v>
      </c>
      <c r="G69" s="9">
        <v>468669228.79000002</v>
      </c>
      <c r="H69" s="10">
        <v>2.58316165698E-3</v>
      </c>
      <c r="I69" s="10">
        <v>0.08</v>
      </c>
      <c r="J69" s="10">
        <v>7.7399999999999997E-2</v>
      </c>
      <c r="K69" s="9">
        <v>164620405.37</v>
      </c>
      <c r="L69" s="10">
        <v>3.5798958189819999E-2</v>
      </c>
      <c r="M69" s="10">
        <v>0.08</v>
      </c>
      <c r="N69" s="10">
        <v>4.4200000000000003E-2</v>
      </c>
      <c r="O69" s="9">
        <v>1443005419.54</v>
      </c>
      <c r="P69" s="10">
        <v>5.4813229869799997E-3</v>
      </c>
      <c r="Q69" s="10">
        <v>0.08</v>
      </c>
      <c r="R69" s="10">
        <v>7.4499999999999997E-2</v>
      </c>
      <c r="S69" s="9">
        <v>310981760.80000001</v>
      </c>
      <c r="T69" s="10">
        <v>2.3761387602799998E-3</v>
      </c>
      <c r="U69" s="10">
        <v>0.08</v>
      </c>
      <c r="V69" s="10">
        <v>7.7600000000000002E-2</v>
      </c>
      <c r="W69" s="9" t="s">
        <v>26</v>
      </c>
      <c r="X69" s="10" t="s">
        <v>26</v>
      </c>
      <c r="Y69" s="10" t="s">
        <v>26</v>
      </c>
      <c r="Z69" s="10" t="s">
        <v>26</v>
      </c>
      <c r="AA69" s="9" t="s">
        <v>26</v>
      </c>
      <c r="AB69" s="10" t="s">
        <v>26</v>
      </c>
      <c r="AC69" s="10" t="s">
        <v>26</v>
      </c>
      <c r="AD69" s="10" t="s">
        <v>26</v>
      </c>
      <c r="AE69" s="9">
        <v>2738559238.5900002</v>
      </c>
      <c r="AF69" s="10">
        <v>3.61087992645E-3</v>
      </c>
      <c r="AG69" s="10">
        <v>0.08</v>
      </c>
      <c r="AH69" s="10">
        <v>7.6399999999999996E-2</v>
      </c>
      <c r="AI69" s="9" t="s">
        <v>26</v>
      </c>
      <c r="AJ69" s="10" t="s">
        <v>26</v>
      </c>
      <c r="AK69" s="10" t="s">
        <v>26</v>
      </c>
      <c r="AL69" s="10" t="s">
        <v>26</v>
      </c>
      <c r="AM69" s="9" t="s">
        <v>26</v>
      </c>
      <c r="AN69" s="10" t="s">
        <v>26</v>
      </c>
      <c r="AO69" s="10" t="s">
        <v>26</v>
      </c>
      <c r="AP69" s="10" t="s">
        <v>26</v>
      </c>
      <c r="AQ69" s="9" t="s">
        <v>26</v>
      </c>
      <c r="AR69" s="10" t="s">
        <v>26</v>
      </c>
      <c r="AS69" s="10" t="s">
        <v>26</v>
      </c>
      <c r="AT69" s="10" t="s">
        <v>26</v>
      </c>
      <c r="AU69" s="9" t="s">
        <v>26</v>
      </c>
      <c r="AV69" s="10" t="s">
        <v>26</v>
      </c>
      <c r="AW69" s="10" t="s">
        <v>26</v>
      </c>
      <c r="AX69" s="10" t="s">
        <v>26</v>
      </c>
      <c r="AY69" s="9">
        <v>2738559238.5900002</v>
      </c>
      <c r="AZ69" s="10">
        <v>3.1919261788800001E-3</v>
      </c>
      <c r="BA69" s="10">
        <v>0.08</v>
      </c>
      <c r="BB69" s="10">
        <v>7.6799999999999993E-2</v>
      </c>
    </row>
    <row r="70" spans="1:54" s="7" customFormat="1">
      <c r="A70" s="3" t="s">
        <v>68</v>
      </c>
      <c r="B70" s="23" t="s">
        <v>57</v>
      </c>
      <c r="C70" s="2">
        <v>351282424.08999997</v>
      </c>
      <c r="D70" s="1">
        <v>1</v>
      </c>
      <c r="E70" s="1" t="s">
        <v>26</v>
      </c>
      <c r="F70" s="1" t="s">
        <v>26</v>
      </c>
      <c r="G70" s="2">
        <v>468669228.79000002</v>
      </c>
      <c r="H70" s="1">
        <v>1</v>
      </c>
      <c r="I70" s="1" t="s">
        <v>26</v>
      </c>
      <c r="J70" s="1" t="s">
        <v>26</v>
      </c>
      <c r="K70" s="2">
        <v>164620405.37</v>
      </c>
      <c r="L70" s="1">
        <v>1</v>
      </c>
      <c r="M70" s="1" t="s">
        <v>26</v>
      </c>
      <c r="N70" s="1" t="s">
        <v>26</v>
      </c>
      <c r="O70" s="2">
        <v>1443005419.54</v>
      </c>
      <c r="P70" s="1">
        <v>1</v>
      </c>
      <c r="Q70" s="1" t="s">
        <v>26</v>
      </c>
      <c r="R70" s="1" t="s">
        <v>26</v>
      </c>
      <c r="S70" s="2">
        <v>310981760.80000001</v>
      </c>
      <c r="T70" s="1">
        <v>1</v>
      </c>
      <c r="U70" s="1" t="s">
        <v>26</v>
      </c>
      <c r="V70" s="1" t="s">
        <v>26</v>
      </c>
      <c r="W70" s="2" t="s">
        <v>26</v>
      </c>
      <c r="X70" s="1" t="s">
        <v>26</v>
      </c>
      <c r="Y70" s="1" t="s">
        <v>26</v>
      </c>
      <c r="Z70" s="1" t="s">
        <v>26</v>
      </c>
      <c r="AA70" s="2" t="s">
        <v>26</v>
      </c>
      <c r="AB70" s="1" t="s">
        <v>26</v>
      </c>
      <c r="AC70" s="1" t="s">
        <v>26</v>
      </c>
      <c r="AD70" s="1" t="s">
        <v>26</v>
      </c>
      <c r="AE70" s="2">
        <v>2738559238.5900002</v>
      </c>
      <c r="AF70" s="1">
        <v>1</v>
      </c>
      <c r="AG70" s="1" t="s">
        <v>26</v>
      </c>
      <c r="AH70" s="1" t="s">
        <v>26</v>
      </c>
      <c r="AI70" s="2" t="s">
        <v>26</v>
      </c>
      <c r="AJ70" s="1" t="s">
        <v>26</v>
      </c>
      <c r="AK70" s="1" t="s">
        <v>26</v>
      </c>
      <c r="AL70" s="1" t="s">
        <v>26</v>
      </c>
      <c r="AM70" s="2" t="s">
        <v>26</v>
      </c>
      <c r="AN70" s="1" t="s">
        <v>26</v>
      </c>
      <c r="AO70" s="1" t="s">
        <v>26</v>
      </c>
      <c r="AP70" s="1" t="s">
        <v>26</v>
      </c>
      <c r="AQ70" s="2" t="s">
        <v>26</v>
      </c>
      <c r="AR70" s="1" t="s">
        <v>26</v>
      </c>
      <c r="AS70" s="1" t="s">
        <v>26</v>
      </c>
      <c r="AT70" s="1" t="s">
        <v>26</v>
      </c>
      <c r="AU70" s="2" t="s">
        <v>26</v>
      </c>
      <c r="AV70" s="1" t="s">
        <v>26</v>
      </c>
      <c r="AW70" s="1" t="s">
        <v>26</v>
      </c>
      <c r="AX70" s="1" t="s">
        <v>26</v>
      </c>
      <c r="AY70" s="2">
        <v>2738559238.5900002</v>
      </c>
      <c r="AZ70" s="1">
        <v>1</v>
      </c>
      <c r="BA70" s="1" t="s">
        <v>26</v>
      </c>
      <c r="BB70" s="1" t="s">
        <v>26</v>
      </c>
    </row>
    <row r="71" spans="1:54" s="7" customFormat="1">
      <c r="A71" s="5" t="s">
        <v>72</v>
      </c>
      <c r="B71" s="20" t="s">
        <v>25</v>
      </c>
      <c r="C71" s="9" t="s">
        <v>26</v>
      </c>
      <c r="D71" s="10" t="s">
        <v>26</v>
      </c>
      <c r="E71" s="10" t="s">
        <v>26</v>
      </c>
      <c r="F71" s="10" t="s">
        <v>26</v>
      </c>
      <c r="G71" s="9">
        <v>2585163173.2199998</v>
      </c>
      <c r="H71" s="10">
        <v>1.4248629899060001E-2</v>
      </c>
      <c r="I71" s="10">
        <v>0.09</v>
      </c>
      <c r="J71" s="10">
        <v>7.5800000000000006E-2</v>
      </c>
      <c r="K71" s="9" t="s">
        <v>26</v>
      </c>
      <c r="L71" s="10" t="s">
        <v>26</v>
      </c>
      <c r="M71" s="10" t="s">
        <v>26</v>
      </c>
      <c r="N71" s="10" t="s">
        <v>26</v>
      </c>
      <c r="O71" s="9">
        <v>2175859355.54</v>
      </c>
      <c r="P71" s="10">
        <v>8.2651026395699993E-3</v>
      </c>
      <c r="Q71" s="10">
        <v>0.09</v>
      </c>
      <c r="R71" s="10">
        <v>8.1699999999999995E-2</v>
      </c>
      <c r="S71" s="9">
        <v>1362143838.04</v>
      </c>
      <c r="T71" s="10">
        <v>1.0407821868149999E-2</v>
      </c>
      <c r="U71" s="10">
        <v>0.09</v>
      </c>
      <c r="V71" s="10">
        <v>7.9600000000000004E-2</v>
      </c>
      <c r="W71" s="9" t="s">
        <v>26</v>
      </c>
      <c r="X71" s="10" t="s">
        <v>26</v>
      </c>
      <c r="Y71" s="10" t="s">
        <v>26</v>
      </c>
      <c r="Z71" s="10" t="s">
        <v>26</v>
      </c>
      <c r="AA71" s="9">
        <v>1812651772.8</v>
      </c>
      <c r="AB71" s="10">
        <v>1.116653267242E-2</v>
      </c>
      <c r="AC71" s="10">
        <v>0.09</v>
      </c>
      <c r="AD71" s="10">
        <v>7.8799999999999995E-2</v>
      </c>
      <c r="AE71" s="9">
        <v>7935818139.6000004</v>
      </c>
      <c r="AF71" s="10">
        <v>1.0463635774770001E-2</v>
      </c>
      <c r="AG71" s="10">
        <v>0.09</v>
      </c>
      <c r="AH71" s="10">
        <v>7.9500000000000001E-2</v>
      </c>
      <c r="AI71" s="9">
        <v>16179394.300000001</v>
      </c>
      <c r="AJ71" s="10">
        <v>8.4619315644999995E-4</v>
      </c>
      <c r="AK71" s="10">
        <v>0.09</v>
      </c>
      <c r="AL71" s="10">
        <v>8.9200000000000002E-2</v>
      </c>
      <c r="AM71" s="9">
        <v>115425681.78</v>
      </c>
      <c r="AN71" s="10">
        <v>4.54646660047E-3</v>
      </c>
      <c r="AO71" s="10">
        <v>0.09</v>
      </c>
      <c r="AP71" s="10">
        <v>8.5500000000000007E-2</v>
      </c>
      <c r="AQ71" s="9">
        <v>131605076.08</v>
      </c>
      <c r="AR71" s="10">
        <v>2.9568718223600002E-3</v>
      </c>
      <c r="AS71" s="10">
        <v>0.09</v>
      </c>
      <c r="AT71" s="10">
        <v>8.6999999999999994E-2</v>
      </c>
      <c r="AU71" s="9">
        <v>478660375.36000001</v>
      </c>
      <c r="AV71" s="10">
        <v>8.6969941513900008E-3</v>
      </c>
      <c r="AW71" s="10">
        <v>0.09</v>
      </c>
      <c r="AX71" s="10">
        <v>8.1299999999999997E-2</v>
      </c>
      <c r="AY71" s="9">
        <v>8546083591.04</v>
      </c>
      <c r="AZ71" s="10">
        <v>9.9608829185500007E-3</v>
      </c>
      <c r="BA71" s="10">
        <v>0.09</v>
      </c>
      <c r="BB71" s="10">
        <v>0.08</v>
      </c>
    </row>
    <row r="72" spans="1:54" s="7" customFormat="1">
      <c r="A72" s="3" t="s">
        <v>68</v>
      </c>
      <c r="B72" s="23" t="s">
        <v>40</v>
      </c>
      <c r="C72" s="2" t="s">
        <v>26</v>
      </c>
      <c r="D72" s="1" t="s">
        <v>26</v>
      </c>
      <c r="E72" s="1" t="s">
        <v>26</v>
      </c>
      <c r="F72" s="1" t="s">
        <v>26</v>
      </c>
      <c r="G72" s="2">
        <v>2585163173.2199998</v>
      </c>
      <c r="H72" s="1">
        <v>1</v>
      </c>
      <c r="I72" s="1" t="s">
        <v>26</v>
      </c>
      <c r="J72" s="1" t="s">
        <v>26</v>
      </c>
      <c r="K72" s="2" t="s">
        <v>26</v>
      </c>
      <c r="L72" s="1" t="s">
        <v>26</v>
      </c>
      <c r="M72" s="1" t="s">
        <v>26</v>
      </c>
      <c r="N72" s="1" t="s">
        <v>26</v>
      </c>
      <c r="O72" s="2">
        <v>2175859355.54</v>
      </c>
      <c r="P72" s="1">
        <v>1</v>
      </c>
      <c r="Q72" s="1" t="s">
        <v>26</v>
      </c>
      <c r="R72" s="1" t="s">
        <v>26</v>
      </c>
      <c r="S72" s="2">
        <v>1362143838.04</v>
      </c>
      <c r="T72" s="1">
        <v>1</v>
      </c>
      <c r="U72" s="1" t="s">
        <v>26</v>
      </c>
      <c r="V72" s="1" t="s">
        <v>26</v>
      </c>
      <c r="W72" s="2" t="s">
        <v>26</v>
      </c>
      <c r="X72" s="1" t="s">
        <v>26</v>
      </c>
      <c r="Y72" s="1" t="s">
        <v>26</v>
      </c>
      <c r="Z72" s="1" t="s">
        <v>26</v>
      </c>
      <c r="AA72" s="2">
        <v>1812651772.8</v>
      </c>
      <c r="AB72" s="1">
        <v>1</v>
      </c>
      <c r="AC72" s="1" t="s">
        <v>26</v>
      </c>
      <c r="AD72" s="1" t="s">
        <v>26</v>
      </c>
      <c r="AE72" s="2">
        <v>7935818139.6000004</v>
      </c>
      <c r="AF72" s="1">
        <v>1</v>
      </c>
      <c r="AG72" s="1" t="s">
        <v>26</v>
      </c>
      <c r="AH72" s="1" t="s">
        <v>26</v>
      </c>
      <c r="AI72" s="2">
        <v>16179394.300000001</v>
      </c>
      <c r="AJ72" s="1">
        <v>1</v>
      </c>
      <c r="AK72" s="1" t="s">
        <v>26</v>
      </c>
      <c r="AL72" s="1" t="s">
        <v>26</v>
      </c>
      <c r="AM72" s="2">
        <v>115425681.78</v>
      </c>
      <c r="AN72" s="1">
        <v>1</v>
      </c>
      <c r="AO72" s="1" t="s">
        <v>26</v>
      </c>
      <c r="AP72" s="1" t="s">
        <v>26</v>
      </c>
      <c r="AQ72" s="2">
        <v>131605076.08</v>
      </c>
      <c r="AR72" s="1">
        <v>1</v>
      </c>
      <c r="AS72" s="1" t="s">
        <v>26</v>
      </c>
      <c r="AT72" s="1" t="s">
        <v>26</v>
      </c>
      <c r="AU72" s="2">
        <v>478660375.36000001</v>
      </c>
      <c r="AV72" s="1">
        <v>1</v>
      </c>
      <c r="AW72" s="1" t="s">
        <v>26</v>
      </c>
      <c r="AX72" s="1" t="s">
        <v>26</v>
      </c>
      <c r="AY72" s="2">
        <v>8546083591.04</v>
      </c>
      <c r="AZ72" s="1">
        <v>1</v>
      </c>
      <c r="BA72" s="1" t="s">
        <v>26</v>
      </c>
      <c r="BB72" s="1" t="s">
        <v>26</v>
      </c>
    </row>
    <row r="73" spans="1:54" s="28" customFormat="1">
      <c r="A73" s="5" t="s">
        <v>142</v>
      </c>
      <c r="B73" s="20" t="s">
        <v>25</v>
      </c>
      <c r="C73" s="9" t="s">
        <v>26</v>
      </c>
      <c r="D73" s="10" t="s">
        <v>26</v>
      </c>
      <c r="E73" s="10" t="s">
        <v>26</v>
      </c>
      <c r="F73" s="10" t="s">
        <v>26</v>
      </c>
      <c r="G73" s="9">
        <v>403770443.06999999</v>
      </c>
      <c r="H73" s="10">
        <v>2.2254593702600001E-3</v>
      </c>
      <c r="I73" s="10">
        <v>0.08</v>
      </c>
      <c r="J73" s="10">
        <v>7.7799999999999994E-2</v>
      </c>
      <c r="K73" s="9">
        <v>41690987.700000003</v>
      </c>
      <c r="L73" s="10">
        <v>9.0662753636799997E-3</v>
      </c>
      <c r="M73" s="10">
        <v>0.08</v>
      </c>
      <c r="N73" s="10">
        <v>7.0900000000000005E-2</v>
      </c>
      <c r="O73" s="9" t="s">
        <v>26</v>
      </c>
      <c r="P73" s="10" t="s">
        <v>26</v>
      </c>
      <c r="Q73" s="10" t="s">
        <v>26</v>
      </c>
      <c r="R73" s="10" t="s">
        <v>26</v>
      </c>
      <c r="S73" s="9">
        <v>53952999.229999997</v>
      </c>
      <c r="T73" s="10">
        <v>4.1224222403000001E-4</v>
      </c>
      <c r="U73" s="10">
        <v>0.08</v>
      </c>
      <c r="V73" s="10">
        <v>7.9600000000000004E-2</v>
      </c>
      <c r="W73" s="9" t="s">
        <v>26</v>
      </c>
      <c r="X73" s="10" t="s">
        <v>26</v>
      </c>
      <c r="Y73" s="10" t="s">
        <v>26</v>
      </c>
      <c r="Z73" s="10" t="s">
        <v>26</v>
      </c>
      <c r="AA73" s="9">
        <v>98096401.609999999</v>
      </c>
      <c r="AB73" s="10">
        <v>6.0430618283000004E-4</v>
      </c>
      <c r="AC73" s="10">
        <v>0.08</v>
      </c>
      <c r="AD73" s="10">
        <v>7.9399999999999998E-2</v>
      </c>
      <c r="AE73" s="9">
        <v>597510831.61000001</v>
      </c>
      <c r="AF73" s="10">
        <v>7.8783757433000001E-4</v>
      </c>
      <c r="AG73" s="10">
        <v>0.08</v>
      </c>
      <c r="AH73" s="10">
        <v>7.9200000000000007E-2</v>
      </c>
      <c r="AI73" s="9">
        <v>17166902.760000002</v>
      </c>
      <c r="AJ73" s="10">
        <v>8.9784051018999996E-4</v>
      </c>
      <c r="AK73" s="10">
        <v>0.08</v>
      </c>
      <c r="AL73" s="10">
        <v>7.9100000000000004E-2</v>
      </c>
      <c r="AM73" s="9">
        <v>8286698.0099999998</v>
      </c>
      <c r="AN73" s="10">
        <v>3.2640219360000001E-4</v>
      </c>
      <c r="AO73" s="10">
        <v>0.08</v>
      </c>
      <c r="AP73" s="10">
        <v>7.9699999999999993E-2</v>
      </c>
      <c r="AQ73" s="9">
        <v>25453600.77</v>
      </c>
      <c r="AR73" s="10">
        <v>5.7188550119999996E-4</v>
      </c>
      <c r="AS73" s="10">
        <v>0.08</v>
      </c>
      <c r="AT73" s="10">
        <v>7.9399999999999998E-2</v>
      </c>
      <c r="AU73" s="9">
        <v>14714488.08</v>
      </c>
      <c r="AV73" s="10">
        <v>2.6735410608000001E-4</v>
      </c>
      <c r="AW73" s="10">
        <v>0.08</v>
      </c>
      <c r="AX73" s="10">
        <v>7.9699999999999993E-2</v>
      </c>
      <c r="AY73" s="9">
        <v>637678920.46000004</v>
      </c>
      <c r="AZ73" s="10">
        <v>7.4324630676000003E-4</v>
      </c>
      <c r="BA73" s="10">
        <v>0.08</v>
      </c>
      <c r="BB73" s="10">
        <v>7.9299999999999995E-2</v>
      </c>
    </row>
    <row r="74" spans="1:54" s="7" customFormat="1">
      <c r="A74" s="3" t="s">
        <v>68</v>
      </c>
      <c r="B74" s="23" t="s">
        <v>57</v>
      </c>
      <c r="C74" s="2" t="s">
        <v>26</v>
      </c>
      <c r="D74" s="1" t="s">
        <v>26</v>
      </c>
      <c r="E74" s="1" t="s">
        <v>26</v>
      </c>
      <c r="F74" s="1" t="s">
        <v>26</v>
      </c>
      <c r="G74" s="2">
        <v>403770443.06999999</v>
      </c>
      <c r="H74" s="1">
        <v>1</v>
      </c>
      <c r="I74" s="1" t="s">
        <v>26</v>
      </c>
      <c r="J74" s="1" t="s">
        <v>26</v>
      </c>
      <c r="K74" s="2">
        <v>41690987.700000003</v>
      </c>
      <c r="L74" s="1">
        <v>1</v>
      </c>
      <c r="M74" s="1" t="s">
        <v>26</v>
      </c>
      <c r="N74" s="1" t="s">
        <v>26</v>
      </c>
      <c r="O74" s="2" t="s">
        <v>26</v>
      </c>
      <c r="P74" s="1" t="s">
        <v>26</v>
      </c>
      <c r="Q74" s="1" t="s">
        <v>26</v>
      </c>
      <c r="R74" s="1" t="s">
        <v>26</v>
      </c>
      <c r="S74" s="2">
        <v>53952999.229999997</v>
      </c>
      <c r="T74" s="1">
        <v>1</v>
      </c>
      <c r="U74" s="1" t="s">
        <v>26</v>
      </c>
      <c r="V74" s="1" t="s">
        <v>26</v>
      </c>
      <c r="W74" s="2" t="s">
        <v>26</v>
      </c>
      <c r="X74" s="1" t="s">
        <v>26</v>
      </c>
      <c r="Y74" s="1" t="s">
        <v>26</v>
      </c>
      <c r="Z74" s="1" t="s">
        <v>26</v>
      </c>
      <c r="AA74" s="2">
        <v>98096401.609999999</v>
      </c>
      <c r="AB74" s="1">
        <v>1</v>
      </c>
      <c r="AC74" s="1" t="s">
        <v>26</v>
      </c>
      <c r="AD74" s="1" t="s">
        <v>26</v>
      </c>
      <c r="AE74" s="2">
        <v>597510831.61000001</v>
      </c>
      <c r="AF74" s="1">
        <v>1</v>
      </c>
      <c r="AG74" s="1" t="s">
        <v>26</v>
      </c>
      <c r="AH74" s="1" t="s">
        <v>26</v>
      </c>
      <c r="AI74" s="2">
        <v>17166902.760000002</v>
      </c>
      <c r="AJ74" s="1">
        <v>1</v>
      </c>
      <c r="AK74" s="1" t="s">
        <v>26</v>
      </c>
      <c r="AL74" s="1" t="s">
        <v>26</v>
      </c>
      <c r="AM74" s="2">
        <v>8286698.0099999998</v>
      </c>
      <c r="AN74" s="1">
        <v>1</v>
      </c>
      <c r="AO74" s="1" t="s">
        <v>26</v>
      </c>
      <c r="AP74" s="1" t="s">
        <v>26</v>
      </c>
      <c r="AQ74" s="2">
        <v>25453600.77</v>
      </c>
      <c r="AR74" s="1">
        <v>1</v>
      </c>
      <c r="AS74" s="1" t="s">
        <v>26</v>
      </c>
      <c r="AT74" s="1" t="s">
        <v>26</v>
      </c>
      <c r="AU74" s="2">
        <v>14714488.08</v>
      </c>
      <c r="AV74" s="1">
        <v>1</v>
      </c>
      <c r="AW74" s="1" t="s">
        <v>26</v>
      </c>
      <c r="AX74" s="1" t="s">
        <v>26</v>
      </c>
      <c r="AY74" s="2">
        <v>637678920.46000004</v>
      </c>
      <c r="AZ74" s="1">
        <v>1</v>
      </c>
      <c r="BA74" s="1" t="s">
        <v>26</v>
      </c>
      <c r="BB74" s="1" t="s">
        <v>26</v>
      </c>
    </row>
    <row r="75" spans="1:54" s="7" customFormat="1">
      <c r="A75" s="5" t="s">
        <v>74</v>
      </c>
      <c r="B75" s="20" t="s">
        <v>25</v>
      </c>
      <c r="C75" s="9">
        <v>266825334.49000001</v>
      </c>
      <c r="D75" s="10">
        <v>3.1793844611369998E-2</v>
      </c>
      <c r="E75" s="10">
        <v>0.08</v>
      </c>
      <c r="F75" s="10">
        <v>4.82E-2</v>
      </c>
      <c r="G75" s="9">
        <v>917876497.66999996</v>
      </c>
      <c r="H75" s="10">
        <v>5.0590549346500001E-3</v>
      </c>
      <c r="I75" s="10">
        <v>0.08</v>
      </c>
      <c r="J75" s="10">
        <v>7.4899999999999994E-2</v>
      </c>
      <c r="K75" s="9">
        <v>110100712.18000001</v>
      </c>
      <c r="L75" s="10">
        <v>2.3942905395860001E-2</v>
      </c>
      <c r="M75" s="10">
        <v>0.08</v>
      </c>
      <c r="N75" s="10">
        <v>5.6099999999999997E-2</v>
      </c>
      <c r="O75" s="9">
        <v>1948580137.49</v>
      </c>
      <c r="P75" s="10">
        <v>7.4017719926500001E-3</v>
      </c>
      <c r="Q75" s="10">
        <v>0.08</v>
      </c>
      <c r="R75" s="10">
        <v>7.2599999999999998E-2</v>
      </c>
      <c r="S75" s="9" t="s">
        <v>26</v>
      </c>
      <c r="T75" s="10" t="s">
        <v>26</v>
      </c>
      <c r="U75" s="10" t="s">
        <v>26</v>
      </c>
      <c r="V75" s="10" t="s">
        <v>26</v>
      </c>
      <c r="W75" s="9" t="s">
        <v>26</v>
      </c>
      <c r="X75" s="10" t="s">
        <v>26</v>
      </c>
      <c r="Y75" s="10" t="s">
        <v>26</v>
      </c>
      <c r="Z75" s="10" t="s">
        <v>26</v>
      </c>
      <c r="AA75" s="9" t="s">
        <v>26</v>
      </c>
      <c r="AB75" s="10" t="s">
        <v>26</v>
      </c>
      <c r="AC75" s="10" t="s">
        <v>26</v>
      </c>
      <c r="AD75" s="10" t="s">
        <v>26</v>
      </c>
      <c r="AE75" s="9">
        <v>3243382681.8299999</v>
      </c>
      <c r="AF75" s="10">
        <v>4.2765061476800004E-3</v>
      </c>
      <c r="AG75" s="10">
        <v>0.08</v>
      </c>
      <c r="AH75" s="10">
        <v>7.5700000000000003E-2</v>
      </c>
      <c r="AI75" s="9" t="s">
        <v>26</v>
      </c>
      <c r="AJ75" s="10" t="s">
        <v>26</v>
      </c>
      <c r="AK75" s="10" t="s">
        <v>26</v>
      </c>
      <c r="AL75" s="10" t="s">
        <v>26</v>
      </c>
      <c r="AM75" s="9">
        <v>372572636.63999999</v>
      </c>
      <c r="AN75" s="10">
        <v>1.4675148741700001E-2</v>
      </c>
      <c r="AO75" s="10">
        <v>0.08</v>
      </c>
      <c r="AP75" s="10">
        <v>6.5299999999999997E-2</v>
      </c>
      <c r="AQ75" s="9">
        <v>372572636.63999999</v>
      </c>
      <c r="AR75" s="10">
        <v>8.3708741628999994E-3</v>
      </c>
      <c r="AS75" s="10">
        <v>0.08</v>
      </c>
      <c r="AT75" s="10">
        <v>7.1599999999999997E-2</v>
      </c>
      <c r="AU75" s="9" t="s">
        <v>26</v>
      </c>
      <c r="AV75" s="10" t="s">
        <v>26</v>
      </c>
      <c r="AW75" s="10" t="s">
        <v>26</v>
      </c>
      <c r="AX75" s="10" t="s">
        <v>26</v>
      </c>
      <c r="AY75" s="9">
        <v>3615955318.4699998</v>
      </c>
      <c r="AZ75" s="10">
        <v>4.2145746858600003E-3</v>
      </c>
      <c r="BA75" s="10">
        <v>0.08</v>
      </c>
      <c r="BB75" s="10">
        <v>7.5800000000000006E-2</v>
      </c>
    </row>
    <row r="76" spans="1:54" s="7" customFormat="1">
      <c r="A76" s="3" t="s">
        <v>68</v>
      </c>
      <c r="B76" s="23" t="s">
        <v>57</v>
      </c>
      <c r="C76" s="2">
        <v>266825334.49000001</v>
      </c>
      <c r="D76" s="1">
        <v>1</v>
      </c>
      <c r="E76" s="1" t="s">
        <v>26</v>
      </c>
      <c r="F76" s="1" t="s">
        <v>26</v>
      </c>
      <c r="G76" s="2">
        <v>917876497.66999996</v>
      </c>
      <c r="H76" s="1">
        <v>1</v>
      </c>
      <c r="I76" s="1" t="s">
        <v>26</v>
      </c>
      <c r="J76" s="1" t="s">
        <v>26</v>
      </c>
      <c r="K76" s="2">
        <v>110100712.18000001</v>
      </c>
      <c r="L76" s="1">
        <v>1</v>
      </c>
      <c r="M76" s="1" t="s">
        <v>26</v>
      </c>
      <c r="N76" s="1" t="s">
        <v>26</v>
      </c>
      <c r="O76" s="2">
        <v>1948580137.49</v>
      </c>
      <c r="P76" s="1">
        <v>1</v>
      </c>
      <c r="Q76" s="1" t="s">
        <v>26</v>
      </c>
      <c r="R76" s="1" t="s">
        <v>26</v>
      </c>
      <c r="S76" s="2" t="s">
        <v>26</v>
      </c>
      <c r="T76" s="1" t="s">
        <v>26</v>
      </c>
      <c r="U76" s="1" t="s">
        <v>26</v>
      </c>
      <c r="V76" s="1" t="s">
        <v>26</v>
      </c>
      <c r="W76" s="2" t="s">
        <v>26</v>
      </c>
      <c r="X76" s="1" t="s">
        <v>26</v>
      </c>
      <c r="Y76" s="1" t="s">
        <v>26</v>
      </c>
      <c r="Z76" s="1" t="s">
        <v>26</v>
      </c>
      <c r="AA76" s="2" t="s">
        <v>26</v>
      </c>
      <c r="AB76" s="1" t="s">
        <v>26</v>
      </c>
      <c r="AC76" s="1" t="s">
        <v>26</v>
      </c>
      <c r="AD76" s="1" t="s">
        <v>26</v>
      </c>
      <c r="AE76" s="2">
        <v>3243382681.8299999</v>
      </c>
      <c r="AF76" s="1">
        <v>1</v>
      </c>
      <c r="AG76" s="1" t="s">
        <v>26</v>
      </c>
      <c r="AH76" s="1" t="s">
        <v>26</v>
      </c>
      <c r="AI76" s="2" t="s">
        <v>26</v>
      </c>
      <c r="AJ76" s="1" t="s">
        <v>26</v>
      </c>
      <c r="AK76" s="1" t="s">
        <v>26</v>
      </c>
      <c r="AL76" s="1" t="s">
        <v>26</v>
      </c>
      <c r="AM76" s="2">
        <v>372572636.63999999</v>
      </c>
      <c r="AN76" s="1">
        <v>1</v>
      </c>
      <c r="AO76" s="1" t="s">
        <v>26</v>
      </c>
      <c r="AP76" s="1" t="s">
        <v>26</v>
      </c>
      <c r="AQ76" s="2">
        <v>372572636.63999999</v>
      </c>
      <c r="AR76" s="1">
        <v>1</v>
      </c>
      <c r="AS76" s="1" t="s">
        <v>26</v>
      </c>
      <c r="AT76" s="1" t="s">
        <v>26</v>
      </c>
      <c r="AU76" s="2" t="s">
        <v>26</v>
      </c>
      <c r="AV76" s="1" t="s">
        <v>26</v>
      </c>
      <c r="AW76" s="1" t="s">
        <v>26</v>
      </c>
      <c r="AX76" s="1" t="s">
        <v>26</v>
      </c>
      <c r="AY76" s="2">
        <v>3615955318.4699998</v>
      </c>
      <c r="AZ76" s="1">
        <v>1</v>
      </c>
      <c r="BA76" s="1" t="s">
        <v>26</v>
      </c>
      <c r="BB76" s="1" t="s">
        <v>26</v>
      </c>
    </row>
    <row r="77" spans="1:54" s="7" customFormat="1">
      <c r="A77" s="5" t="s">
        <v>134</v>
      </c>
      <c r="B77" s="20" t="s">
        <v>25</v>
      </c>
      <c r="C77" s="9">
        <v>616555121.00999999</v>
      </c>
      <c r="D77" s="10">
        <v>7.3466253679400004E-2</v>
      </c>
      <c r="E77" s="10">
        <v>0.08</v>
      </c>
      <c r="F77" s="10">
        <v>6.4999999999999997E-3</v>
      </c>
      <c r="G77" s="9">
        <v>508666280</v>
      </c>
      <c r="H77" s="10">
        <v>2.8036131881100002E-3</v>
      </c>
      <c r="I77" s="10">
        <v>0.08</v>
      </c>
      <c r="J77" s="10">
        <v>7.7200000000000005E-2</v>
      </c>
      <c r="K77" s="9">
        <v>104928673.3</v>
      </c>
      <c r="L77" s="10">
        <v>2.2818174818230001E-2</v>
      </c>
      <c r="M77" s="10">
        <v>0.08</v>
      </c>
      <c r="N77" s="10">
        <v>5.7200000000000001E-2</v>
      </c>
      <c r="O77" s="9" t="s">
        <v>26</v>
      </c>
      <c r="P77" s="10" t="s">
        <v>26</v>
      </c>
      <c r="Q77" s="10" t="s">
        <v>26</v>
      </c>
      <c r="R77" s="10" t="s">
        <v>26</v>
      </c>
      <c r="S77" s="9">
        <v>811096670.51999998</v>
      </c>
      <c r="T77" s="10">
        <v>6.1973995909000001E-3</v>
      </c>
      <c r="U77" s="10">
        <v>0.08</v>
      </c>
      <c r="V77" s="10">
        <v>7.3800000000000004E-2</v>
      </c>
      <c r="W77" s="9" t="s">
        <v>26</v>
      </c>
      <c r="X77" s="10" t="s">
        <v>26</v>
      </c>
      <c r="Y77" s="10" t="s">
        <v>26</v>
      </c>
      <c r="Z77" s="10" t="s">
        <v>26</v>
      </c>
      <c r="AA77" s="9" t="s">
        <v>26</v>
      </c>
      <c r="AB77" s="10" t="s">
        <v>26</v>
      </c>
      <c r="AC77" s="10" t="s">
        <v>26</v>
      </c>
      <c r="AD77" s="10" t="s">
        <v>26</v>
      </c>
      <c r="AE77" s="9">
        <v>2041246744.8299999</v>
      </c>
      <c r="AF77" s="10">
        <v>2.6914505963499999E-3</v>
      </c>
      <c r="AG77" s="10">
        <v>0.08</v>
      </c>
      <c r="AH77" s="10">
        <v>7.7299999999999994E-2</v>
      </c>
      <c r="AI77" s="9" t="s">
        <v>26</v>
      </c>
      <c r="AJ77" s="10" t="s">
        <v>26</v>
      </c>
      <c r="AK77" s="10" t="s">
        <v>26</v>
      </c>
      <c r="AL77" s="10" t="s">
        <v>26</v>
      </c>
      <c r="AM77" s="9" t="s">
        <v>26</v>
      </c>
      <c r="AN77" s="10" t="s">
        <v>26</v>
      </c>
      <c r="AO77" s="10" t="s">
        <v>26</v>
      </c>
      <c r="AP77" s="10" t="s">
        <v>26</v>
      </c>
      <c r="AQ77" s="9" t="s">
        <v>26</v>
      </c>
      <c r="AR77" s="10" t="s">
        <v>26</v>
      </c>
      <c r="AS77" s="10" t="s">
        <v>26</v>
      </c>
      <c r="AT77" s="10" t="s">
        <v>26</v>
      </c>
      <c r="AU77" s="9" t="s">
        <v>26</v>
      </c>
      <c r="AV77" s="10" t="s">
        <v>26</v>
      </c>
      <c r="AW77" s="10" t="s">
        <v>26</v>
      </c>
      <c r="AX77" s="10" t="s">
        <v>26</v>
      </c>
      <c r="AY77" s="9">
        <v>2041246744.8299999</v>
      </c>
      <c r="AZ77" s="10">
        <v>2.3791739943200001E-3</v>
      </c>
      <c r="BA77" s="10">
        <v>0.08</v>
      </c>
      <c r="BB77" s="10">
        <v>7.7600000000000002E-2</v>
      </c>
    </row>
    <row r="78" spans="1:54" s="7" customFormat="1">
      <c r="A78" s="3" t="s">
        <v>68</v>
      </c>
      <c r="B78" s="23" t="s">
        <v>57</v>
      </c>
      <c r="C78" s="2">
        <v>616555121.00999999</v>
      </c>
      <c r="D78" s="1">
        <v>1</v>
      </c>
      <c r="E78" s="1" t="s">
        <v>26</v>
      </c>
      <c r="F78" s="1" t="s">
        <v>26</v>
      </c>
      <c r="G78" s="2">
        <v>508666280</v>
      </c>
      <c r="H78" s="1">
        <v>1</v>
      </c>
      <c r="I78" s="1" t="s">
        <v>26</v>
      </c>
      <c r="J78" s="1" t="s">
        <v>26</v>
      </c>
      <c r="K78" s="2">
        <v>104928673.3</v>
      </c>
      <c r="L78" s="1">
        <v>1</v>
      </c>
      <c r="M78" s="1" t="s">
        <v>26</v>
      </c>
      <c r="N78" s="1" t="s">
        <v>26</v>
      </c>
      <c r="O78" s="2" t="s">
        <v>26</v>
      </c>
      <c r="P78" s="1" t="s">
        <v>26</v>
      </c>
      <c r="Q78" s="1" t="s">
        <v>26</v>
      </c>
      <c r="R78" s="1" t="s">
        <v>26</v>
      </c>
      <c r="S78" s="2">
        <v>811096670.51999998</v>
      </c>
      <c r="T78" s="1">
        <v>1</v>
      </c>
      <c r="U78" s="1" t="s">
        <v>26</v>
      </c>
      <c r="V78" s="1" t="s">
        <v>26</v>
      </c>
      <c r="W78" s="2" t="s">
        <v>26</v>
      </c>
      <c r="X78" s="1" t="s">
        <v>26</v>
      </c>
      <c r="Y78" s="1" t="s">
        <v>26</v>
      </c>
      <c r="Z78" s="1" t="s">
        <v>26</v>
      </c>
      <c r="AA78" s="2" t="s">
        <v>26</v>
      </c>
      <c r="AB78" s="1" t="s">
        <v>26</v>
      </c>
      <c r="AC78" s="1" t="s">
        <v>26</v>
      </c>
      <c r="AD78" s="1" t="s">
        <v>26</v>
      </c>
      <c r="AE78" s="2">
        <v>2041246744.8299999</v>
      </c>
      <c r="AF78" s="1">
        <v>1</v>
      </c>
      <c r="AG78" s="1" t="s">
        <v>26</v>
      </c>
      <c r="AH78" s="1" t="s">
        <v>26</v>
      </c>
      <c r="AI78" s="2" t="s">
        <v>26</v>
      </c>
      <c r="AJ78" s="1" t="s">
        <v>26</v>
      </c>
      <c r="AK78" s="1" t="s">
        <v>26</v>
      </c>
      <c r="AL78" s="1" t="s">
        <v>26</v>
      </c>
      <c r="AM78" s="2" t="s">
        <v>26</v>
      </c>
      <c r="AN78" s="1" t="s">
        <v>26</v>
      </c>
      <c r="AO78" s="1" t="s">
        <v>26</v>
      </c>
      <c r="AP78" s="1" t="s">
        <v>26</v>
      </c>
      <c r="AQ78" s="2" t="s">
        <v>26</v>
      </c>
      <c r="AR78" s="1" t="s">
        <v>26</v>
      </c>
      <c r="AS78" s="1" t="s">
        <v>26</v>
      </c>
      <c r="AT78" s="1" t="s">
        <v>26</v>
      </c>
      <c r="AU78" s="2" t="s">
        <v>26</v>
      </c>
      <c r="AV78" s="1" t="s">
        <v>26</v>
      </c>
      <c r="AW78" s="1" t="s">
        <v>26</v>
      </c>
      <c r="AX78" s="1" t="s">
        <v>26</v>
      </c>
      <c r="AY78" s="2">
        <v>2041246744.8299999</v>
      </c>
      <c r="AZ78" s="1">
        <v>1</v>
      </c>
      <c r="BA78" s="1" t="s">
        <v>26</v>
      </c>
      <c r="BB78" s="1" t="s">
        <v>26</v>
      </c>
    </row>
    <row r="79" spans="1:54" s="7" customFormat="1">
      <c r="A79" s="5" t="s">
        <v>75</v>
      </c>
      <c r="B79" s="20" t="s">
        <v>25</v>
      </c>
      <c r="C79" s="9">
        <v>110994489.14</v>
      </c>
      <c r="D79" s="10">
        <v>1.32256614507E-2</v>
      </c>
      <c r="E79" s="10">
        <v>0.06</v>
      </c>
      <c r="F79" s="10">
        <v>4.6800000000000001E-2</v>
      </c>
      <c r="G79" s="9">
        <v>658632266.25999999</v>
      </c>
      <c r="H79" s="10">
        <v>3.63017990459E-3</v>
      </c>
      <c r="I79" s="10">
        <v>0.06</v>
      </c>
      <c r="J79" s="10">
        <v>5.6399999999999999E-2</v>
      </c>
      <c r="K79" s="9">
        <v>33719448.549999997</v>
      </c>
      <c r="L79" s="10">
        <v>7.33275517158E-3</v>
      </c>
      <c r="M79" s="10">
        <v>0.06</v>
      </c>
      <c r="N79" s="10">
        <v>5.2699999999999997E-2</v>
      </c>
      <c r="O79" s="9">
        <v>299835888.88999999</v>
      </c>
      <c r="P79" s="10">
        <v>1.13894052499E-3</v>
      </c>
      <c r="Q79" s="10">
        <v>0.06</v>
      </c>
      <c r="R79" s="10">
        <v>5.8900000000000001E-2</v>
      </c>
      <c r="S79" s="9">
        <v>330638635.47000003</v>
      </c>
      <c r="T79" s="10">
        <v>2.5263323333400002E-3</v>
      </c>
      <c r="U79" s="10">
        <v>0.06</v>
      </c>
      <c r="V79" s="10">
        <v>5.7500000000000002E-2</v>
      </c>
      <c r="W79" s="9" t="s">
        <v>26</v>
      </c>
      <c r="X79" s="10" t="s">
        <v>26</v>
      </c>
      <c r="Y79" s="10" t="s">
        <v>26</v>
      </c>
      <c r="Z79" s="10" t="s">
        <v>26</v>
      </c>
      <c r="AA79" s="9" t="s">
        <v>26</v>
      </c>
      <c r="AB79" s="10" t="s">
        <v>26</v>
      </c>
      <c r="AC79" s="10" t="s">
        <v>26</v>
      </c>
      <c r="AD79" s="10" t="s">
        <v>26</v>
      </c>
      <c r="AE79" s="9">
        <v>1433820728.3099999</v>
      </c>
      <c r="AF79" s="10">
        <v>1.8905395264099999E-3</v>
      </c>
      <c r="AG79" s="10">
        <v>0.06</v>
      </c>
      <c r="AH79" s="10">
        <v>5.8099999999999999E-2</v>
      </c>
      <c r="AI79" s="9">
        <v>50342001</v>
      </c>
      <c r="AJ79" s="10">
        <v>2.6329203638999999E-3</v>
      </c>
      <c r="AK79" s="10">
        <v>0.06</v>
      </c>
      <c r="AL79" s="10">
        <v>5.74E-2</v>
      </c>
      <c r="AM79" s="9" t="s">
        <v>26</v>
      </c>
      <c r="AN79" s="10" t="s">
        <v>26</v>
      </c>
      <c r="AO79" s="10" t="s">
        <v>26</v>
      </c>
      <c r="AP79" s="10" t="s">
        <v>26</v>
      </c>
      <c r="AQ79" s="9">
        <v>50342001</v>
      </c>
      <c r="AR79" s="10">
        <v>1.1310722099199999E-3</v>
      </c>
      <c r="AS79" s="10">
        <v>0.06</v>
      </c>
      <c r="AT79" s="10">
        <v>5.8900000000000001E-2</v>
      </c>
      <c r="AU79" s="9" t="s">
        <v>26</v>
      </c>
      <c r="AV79" s="10" t="s">
        <v>26</v>
      </c>
      <c r="AW79" s="10" t="s">
        <v>26</v>
      </c>
      <c r="AX79" s="10" t="s">
        <v>26</v>
      </c>
      <c r="AY79" s="9">
        <v>1484162729.3099999</v>
      </c>
      <c r="AZ79" s="10">
        <v>1.72986503364E-3</v>
      </c>
      <c r="BA79" s="10">
        <v>0.06</v>
      </c>
      <c r="BB79" s="10">
        <v>5.8299999999999998E-2</v>
      </c>
    </row>
    <row r="80" spans="1:54" s="7" customFormat="1">
      <c r="A80" s="3" t="s">
        <v>68</v>
      </c>
      <c r="B80" s="23" t="s">
        <v>47</v>
      </c>
      <c r="C80" s="2">
        <v>110994489.14</v>
      </c>
      <c r="D80" s="1">
        <v>1</v>
      </c>
      <c r="E80" s="1" t="s">
        <v>26</v>
      </c>
      <c r="F80" s="1" t="s">
        <v>26</v>
      </c>
      <c r="G80" s="2">
        <v>658632266.25999999</v>
      </c>
      <c r="H80" s="1">
        <v>1</v>
      </c>
      <c r="I80" s="1" t="s">
        <v>26</v>
      </c>
      <c r="J80" s="1" t="s">
        <v>26</v>
      </c>
      <c r="K80" s="2">
        <v>33719448.549999997</v>
      </c>
      <c r="L80" s="1">
        <v>1</v>
      </c>
      <c r="M80" s="1" t="s">
        <v>26</v>
      </c>
      <c r="N80" s="1" t="s">
        <v>26</v>
      </c>
      <c r="O80" s="2">
        <v>299835888.88999999</v>
      </c>
      <c r="P80" s="1">
        <v>1</v>
      </c>
      <c r="Q80" s="1" t="s">
        <v>26</v>
      </c>
      <c r="R80" s="1" t="s">
        <v>26</v>
      </c>
      <c r="S80" s="2">
        <v>330638635.47000003</v>
      </c>
      <c r="T80" s="1">
        <v>1</v>
      </c>
      <c r="U80" s="1" t="s">
        <v>26</v>
      </c>
      <c r="V80" s="1" t="s">
        <v>26</v>
      </c>
      <c r="W80" s="2" t="s">
        <v>26</v>
      </c>
      <c r="X80" s="1" t="s">
        <v>26</v>
      </c>
      <c r="Y80" s="1" t="s">
        <v>26</v>
      </c>
      <c r="Z80" s="1" t="s">
        <v>26</v>
      </c>
      <c r="AA80" s="2" t="s">
        <v>26</v>
      </c>
      <c r="AB80" s="1" t="s">
        <v>26</v>
      </c>
      <c r="AC80" s="1" t="s">
        <v>26</v>
      </c>
      <c r="AD80" s="1" t="s">
        <v>26</v>
      </c>
      <c r="AE80" s="2">
        <v>1433820728.3099999</v>
      </c>
      <c r="AF80" s="1">
        <v>1</v>
      </c>
      <c r="AG80" s="1" t="s">
        <v>26</v>
      </c>
      <c r="AH80" s="1" t="s">
        <v>26</v>
      </c>
      <c r="AI80" s="2">
        <v>50342001</v>
      </c>
      <c r="AJ80" s="1">
        <v>1</v>
      </c>
      <c r="AK80" s="1" t="s">
        <v>26</v>
      </c>
      <c r="AL80" s="1" t="s">
        <v>26</v>
      </c>
      <c r="AM80" s="2" t="s">
        <v>26</v>
      </c>
      <c r="AN80" s="1" t="s">
        <v>26</v>
      </c>
      <c r="AO80" s="1" t="s">
        <v>26</v>
      </c>
      <c r="AP80" s="1" t="s">
        <v>26</v>
      </c>
      <c r="AQ80" s="2">
        <v>50342001</v>
      </c>
      <c r="AR80" s="1">
        <v>1</v>
      </c>
      <c r="AS80" s="1" t="s">
        <v>26</v>
      </c>
      <c r="AT80" s="1" t="s">
        <v>26</v>
      </c>
      <c r="AU80" s="2" t="s">
        <v>26</v>
      </c>
      <c r="AV80" s="1" t="s">
        <v>26</v>
      </c>
      <c r="AW80" s="1" t="s">
        <v>26</v>
      </c>
      <c r="AX80" s="1" t="s">
        <v>26</v>
      </c>
      <c r="AY80" s="2">
        <v>1484162729.3099999</v>
      </c>
      <c r="AZ80" s="1">
        <v>1</v>
      </c>
      <c r="BA80" s="1" t="s">
        <v>26</v>
      </c>
      <c r="BB80" s="1" t="s">
        <v>26</v>
      </c>
    </row>
    <row r="81" spans="1:54" s="7" customFormat="1">
      <c r="A81" s="5" t="s">
        <v>76</v>
      </c>
      <c r="B81" s="20" t="s">
        <v>25</v>
      </c>
      <c r="C81" s="9">
        <v>35611525.25</v>
      </c>
      <c r="D81" s="10">
        <v>4.2433275773299996E-3</v>
      </c>
      <c r="E81" s="10">
        <v>0.06</v>
      </c>
      <c r="F81" s="10">
        <v>5.5800000000000002E-2</v>
      </c>
      <c r="G81" s="9">
        <v>725165973.15999997</v>
      </c>
      <c r="H81" s="10">
        <v>3.9968933775600003E-3</v>
      </c>
      <c r="I81" s="10">
        <v>0.06</v>
      </c>
      <c r="J81" s="10">
        <v>5.6000000000000001E-2</v>
      </c>
      <c r="K81" s="9">
        <v>50579369.25</v>
      </c>
      <c r="L81" s="10">
        <v>1.0999175472679999E-2</v>
      </c>
      <c r="M81" s="10">
        <v>0.06</v>
      </c>
      <c r="N81" s="10">
        <v>4.9000000000000002E-2</v>
      </c>
      <c r="O81" s="9">
        <v>384119424.22000003</v>
      </c>
      <c r="P81" s="10">
        <v>1.4590954415100001E-3</v>
      </c>
      <c r="Q81" s="10">
        <v>0.06</v>
      </c>
      <c r="R81" s="10">
        <v>5.8500000000000003E-2</v>
      </c>
      <c r="S81" s="9">
        <v>203797984</v>
      </c>
      <c r="T81" s="10">
        <v>1.5571726386900001E-3</v>
      </c>
      <c r="U81" s="10">
        <v>0.06</v>
      </c>
      <c r="V81" s="10">
        <v>5.8400000000000001E-2</v>
      </c>
      <c r="W81" s="9" t="s">
        <v>26</v>
      </c>
      <c r="X81" s="10" t="s">
        <v>26</v>
      </c>
      <c r="Y81" s="10" t="s">
        <v>26</v>
      </c>
      <c r="Z81" s="10" t="s">
        <v>26</v>
      </c>
      <c r="AA81" s="9" t="s">
        <v>26</v>
      </c>
      <c r="AB81" s="10" t="s">
        <v>26</v>
      </c>
      <c r="AC81" s="10" t="s">
        <v>26</v>
      </c>
      <c r="AD81" s="10" t="s">
        <v>26</v>
      </c>
      <c r="AE81" s="9">
        <v>1399274275.8800001</v>
      </c>
      <c r="AF81" s="10">
        <v>1.8449888989700001E-3</v>
      </c>
      <c r="AG81" s="10">
        <v>0.06</v>
      </c>
      <c r="AH81" s="10">
        <v>5.8200000000000002E-2</v>
      </c>
      <c r="AI81" s="9">
        <v>102317060</v>
      </c>
      <c r="AJ81" s="10">
        <v>5.3512507547799999E-3</v>
      </c>
      <c r="AK81" s="10">
        <v>0.06</v>
      </c>
      <c r="AL81" s="10">
        <v>5.4600000000000003E-2</v>
      </c>
      <c r="AM81" s="9" t="s">
        <v>26</v>
      </c>
      <c r="AN81" s="10" t="s">
        <v>26</v>
      </c>
      <c r="AO81" s="10" t="s">
        <v>26</v>
      </c>
      <c r="AP81" s="10" t="s">
        <v>26</v>
      </c>
      <c r="AQ81" s="9">
        <v>102317060</v>
      </c>
      <c r="AR81" s="10">
        <v>2.2988355819699999E-3</v>
      </c>
      <c r="AS81" s="10">
        <v>0.06</v>
      </c>
      <c r="AT81" s="10">
        <v>5.7700000000000001E-2</v>
      </c>
      <c r="AU81" s="9" t="s">
        <v>26</v>
      </c>
      <c r="AV81" s="10" t="s">
        <v>26</v>
      </c>
      <c r="AW81" s="10" t="s">
        <v>26</v>
      </c>
      <c r="AX81" s="10" t="s">
        <v>26</v>
      </c>
      <c r="AY81" s="9">
        <v>1501591335.8800001</v>
      </c>
      <c r="AZ81" s="10">
        <v>1.75017893622E-3</v>
      </c>
      <c r="BA81" s="10">
        <v>0.06</v>
      </c>
      <c r="BB81" s="10">
        <v>5.8200000000000002E-2</v>
      </c>
    </row>
    <row r="82" spans="1:54" s="7" customFormat="1">
      <c r="A82" s="3" t="s">
        <v>68</v>
      </c>
      <c r="B82" s="23" t="s">
        <v>47</v>
      </c>
      <c r="C82" s="2">
        <v>35611525.25</v>
      </c>
      <c r="D82" s="1">
        <v>1</v>
      </c>
      <c r="E82" s="1" t="s">
        <v>26</v>
      </c>
      <c r="F82" s="1" t="s">
        <v>26</v>
      </c>
      <c r="G82" s="2">
        <v>725165973.15999997</v>
      </c>
      <c r="H82" s="1">
        <v>1</v>
      </c>
      <c r="I82" s="1" t="s">
        <v>26</v>
      </c>
      <c r="J82" s="1" t="s">
        <v>26</v>
      </c>
      <c r="K82" s="2">
        <v>50579369.25</v>
      </c>
      <c r="L82" s="1">
        <v>1</v>
      </c>
      <c r="M82" s="1" t="s">
        <v>26</v>
      </c>
      <c r="N82" s="1" t="s">
        <v>26</v>
      </c>
      <c r="O82" s="2">
        <v>384119424.22000003</v>
      </c>
      <c r="P82" s="1">
        <v>1</v>
      </c>
      <c r="Q82" s="1" t="s">
        <v>26</v>
      </c>
      <c r="R82" s="1" t="s">
        <v>26</v>
      </c>
      <c r="S82" s="2">
        <v>203797984</v>
      </c>
      <c r="T82" s="1">
        <v>1</v>
      </c>
      <c r="U82" s="1" t="s">
        <v>26</v>
      </c>
      <c r="V82" s="1" t="s">
        <v>26</v>
      </c>
      <c r="W82" s="2" t="s">
        <v>26</v>
      </c>
      <c r="X82" s="1" t="s">
        <v>26</v>
      </c>
      <c r="Y82" s="1" t="s">
        <v>26</v>
      </c>
      <c r="Z82" s="1" t="s">
        <v>26</v>
      </c>
      <c r="AA82" s="2" t="s">
        <v>26</v>
      </c>
      <c r="AB82" s="1" t="s">
        <v>26</v>
      </c>
      <c r="AC82" s="1" t="s">
        <v>26</v>
      </c>
      <c r="AD82" s="1" t="s">
        <v>26</v>
      </c>
      <c r="AE82" s="2">
        <v>1399274275.8800001</v>
      </c>
      <c r="AF82" s="1">
        <v>1</v>
      </c>
      <c r="AG82" s="1" t="s">
        <v>26</v>
      </c>
      <c r="AH82" s="1" t="s">
        <v>26</v>
      </c>
      <c r="AI82" s="2">
        <v>102317060</v>
      </c>
      <c r="AJ82" s="1">
        <v>1</v>
      </c>
      <c r="AK82" s="1" t="s">
        <v>26</v>
      </c>
      <c r="AL82" s="1" t="s">
        <v>26</v>
      </c>
      <c r="AM82" s="2" t="s">
        <v>26</v>
      </c>
      <c r="AN82" s="1" t="s">
        <v>26</v>
      </c>
      <c r="AO82" s="1" t="s">
        <v>26</v>
      </c>
      <c r="AP82" s="1" t="s">
        <v>26</v>
      </c>
      <c r="AQ82" s="2">
        <v>102317060</v>
      </c>
      <c r="AR82" s="1">
        <v>1</v>
      </c>
      <c r="AS82" s="1" t="s">
        <v>26</v>
      </c>
      <c r="AT82" s="1" t="s">
        <v>26</v>
      </c>
      <c r="AU82" s="2" t="s">
        <v>26</v>
      </c>
      <c r="AV82" s="1" t="s">
        <v>26</v>
      </c>
      <c r="AW82" s="1" t="s">
        <v>26</v>
      </c>
      <c r="AX82" s="1" t="s">
        <v>26</v>
      </c>
      <c r="AY82" s="2">
        <v>1501591335.8800001</v>
      </c>
      <c r="AZ82" s="1">
        <v>1</v>
      </c>
      <c r="BA82" s="1" t="s">
        <v>26</v>
      </c>
      <c r="BB82" s="1" t="s">
        <v>26</v>
      </c>
    </row>
    <row r="83" spans="1:54" s="7" customFormat="1">
      <c r="A83" s="12" t="s">
        <v>77</v>
      </c>
      <c r="B83" s="40" t="s">
        <v>25</v>
      </c>
      <c r="C83" s="42" t="s">
        <v>26</v>
      </c>
      <c r="D83" s="43" t="s">
        <v>26</v>
      </c>
      <c r="E83" s="43" t="s">
        <v>26</v>
      </c>
      <c r="F83" s="43" t="s">
        <v>26</v>
      </c>
      <c r="G83" s="42" t="s">
        <v>26</v>
      </c>
      <c r="H83" s="43" t="s">
        <v>26</v>
      </c>
      <c r="I83" s="43" t="s">
        <v>26</v>
      </c>
      <c r="J83" s="43" t="s">
        <v>26</v>
      </c>
      <c r="K83" s="42" t="s">
        <v>26</v>
      </c>
      <c r="L83" s="43" t="s">
        <v>26</v>
      </c>
      <c r="M83" s="43" t="s">
        <v>26</v>
      </c>
      <c r="N83" s="43" t="s">
        <v>26</v>
      </c>
      <c r="O83" s="42">
        <v>127758741.25</v>
      </c>
      <c r="P83" s="43">
        <v>4.8529750181000001E-4</v>
      </c>
      <c r="Q83" s="43" t="s">
        <v>26</v>
      </c>
      <c r="R83" s="43" t="s">
        <v>26</v>
      </c>
      <c r="S83" s="42">
        <v>206771584.81</v>
      </c>
      <c r="T83" s="43">
        <v>1.57989322566E-3</v>
      </c>
      <c r="U83" s="43" t="s">
        <v>26</v>
      </c>
      <c r="V83" s="43" t="s">
        <v>26</v>
      </c>
      <c r="W83" s="42" t="s">
        <v>26</v>
      </c>
      <c r="X83" s="43" t="s">
        <v>26</v>
      </c>
      <c r="Y83" s="43" t="s">
        <v>26</v>
      </c>
      <c r="Z83" s="43" t="s">
        <v>26</v>
      </c>
      <c r="AA83" s="42">
        <v>142067720.27000001</v>
      </c>
      <c r="AB83" s="43">
        <v>8.7518400605000001E-4</v>
      </c>
      <c r="AC83" s="43" t="s">
        <v>26</v>
      </c>
      <c r="AD83" s="43" t="s">
        <v>26</v>
      </c>
      <c r="AE83" s="42">
        <v>476598046.32999998</v>
      </c>
      <c r="AF83" s="43">
        <v>6.2841011222999996E-4</v>
      </c>
      <c r="AG83" s="43" t="s">
        <v>26</v>
      </c>
      <c r="AH83" s="43" t="s">
        <v>26</v>
      </c>
      <c r="AI83" s="42">
        <v>6682636.9100000001</v>
      </c>
      <c r="AJ83" s="43">
        <v>3.4950638543000001E-4</v>
      </c>
      <c r="AK83" s="43" t="s">
        <v>26</v>
      </c>
      <c r="AL83" s="43" t="s">
        <v>26</v>
      </c>
      <c r="AM83" s="42" t="s">
        <v>26</v>
      </c>
      <c r="AN83" s="43" t="s">
        <v>26</v>
      </c>
      <c r="AO83" s="43" t="s">
        <v>26</v>
      </c>
      <c r="AP83" s="43" t="s">
        <v>26</v>
      </c>
      <c r="AQ83" s="42">
        <v>6682636.9100000001</v>
      </c>
      <c r="AR83" s="43">
        <v>1.5014391060999999E-4</v>
      </c>
      <c r="AS83" s="43" t="s">
        <v>26</v>
      </c>
      <c r="AT83" s="43" t="s">
        <v>26</v>
      </c>
      <c r="AU83" s="42">
        <v>20047910.739999998</v>
      </c>
      <c r="AV83" s="43">
        <v>3.6425944454E-4</v>
      </c>
      <c r="AW83" s="43" t="s">
        <v>26</v>
      </c>
      <c r="AX83" s="43" t="s">
        <v>26</v>
      </c>
      <c r="AY83" s="42">
        <v>503328593.98000002</v>
      </c>
      <c r="AZ83" s="43">
        <v>5.8665435937000005E-4</v>
      </c>
      <c r="BA83" s="43" t="s">
        <v>26</v>
      </c>
      <c r="BB83" s="43" t="s">
        <v>26</v>
      </c>
    </row>
    <row r="84" spans="1:54" s="7" customFormat="1">
      <c r="A84" s="5" t="s">
        <v>78</v>
      </c>
      <c r="B84" s="20" t="s">
        <v>25</v>
      </c>
      <c r="C84" s="9" t="s">
        <v>26</v>
      </c>
      <c r="D84" s="10" t="s">
        <v>26</v>
      </c>
      <c r="E84" s="10" t="s">
        <v>26</v>
      </c>
      <c r="F84" s="10" t="s">
        <v>26</v>
      </c>
      <c r="G84" s="9" t="s">
        <v>26</v>
      </c>
      <c r="H84" s="10" t="s">
        <v>26</v>
      </c>
      <c r="I84" s="10" t="s">
        <v>26</v>
      </c>
      <c r="J84" s="10" t="s">
        <v>26</v>
      </c>
      <c r="K84" s="9" t="s">
        <v>26</v>
      </c>
      <c r="L84" s="10" t="s">
        <v>26</v>
      </c>
      <c r="M84" s="10" t="s">
        <v>26</v>
      </c>
      <c r="N84" s="10" t="s">
        <v>26</v>
      </c>
      <c r="O84" s="9" t="s">
        <v>26</v>
      </c>
      <c r="P84" s="10" t="s">
        <v>26</v>
      </c>
      <c r="Q84" s="10" t="s">
        <v>26</v>
      </c>
      <c r="R84" s="10" t="s">
        <v>26</v>
      </c>
      <c r="S84" s="9">
        <v>53461095.310000002</v>
      </c>
      <c r="T84" s="10">
        <v>4.0848370144000001E-4</v>
      </c>
      <c r="U84" s="10">
        <v>0.1</v>
      </c>
      <c r="V84" s="10">
        <v>9.9599999999999994E-2</v>
      </c>
      <c r="W84" s="9" t="s">
        <v>26</v>
      </c>
      <c r="X84" s="10" t="s">
        <v>26</v>
      </c>
      <c r="Y84" s="10" t="s">
        <v>26</v>
      </c>
      <c r="Z84" s="10" t="s">
        <v>26</v>
      </c>
      <c r="AA84" s="9" t="s">
        <v>26</v>
      </c>
      <c r="AB84" s="10" t="s">
        <v>26</v>
      </c>
      <c r="AC84" s="10" t="s">
        <v>26</v>
      </c>
      <c r="AD84" s="10" t="s">
        <v>26</v>
      </c>
      <c r="AE84" s="9">
        <v>53461095.310000002</v>
      </c>
      <c r="AF84" s="10">
        <v>7.0490202720000005E-5</v>
      </c>
      <c r="AG84" s="10">
        <v>0.1</v>
      </c>
      <c r="AH84" s="10">
        <v>9.9900000000000003E-2</v>
      </c>
      <c r="AI84" s="9">
        <v>6682636.9100000001</v>
      </c>
      <c r="AJ84" s="10">
        <v>3.4950638543000001E-4</v>
      </c>
      <c r="AK84" s="10">
        <v>0.1</v>
      </c>
      <c r="AL84" s="10">
        <v>9.9699999999999997E-2</v>
      </c>
      <c r="AM84" s="9" t="s">
        <v>26</v>
      </c>
      <c r="AN84" s="10" t="s">
        <v>26</v>
      </c>
      <c r="AO84" s="10" t="s">
        <v>26</v>
      </c>
      <c r="AP84" s="10" t="s">
        <v>26</v>
      </c>
      <c r="AQ84" s="9">
        <v>6682636.9100000001</v>
      </c>
      <c r="AR84" s="10">
        <v>1.5014391060999999E-4</v>
      </c>
      <c r="AS84" s="10">
        <v>0.1</v>
      </c>
      <c r="AT84" s="10">
        <v>9.98E-2</v>
      </c>
      <c r="AU84" s="9">
        <v>20047910.739999998</v>
      </c>
      <c r="AV84" s="10">
        <v>3.6425944454E-4</v>
      </c>
      <c r="AW84" s="10">
        <v>0.1</v>
      </c>
      <c r="AX84" s="10">
        <v>9.9599999999999994E-2</v>
      </c>
      <c r="AY84" s="9">
        <v>80191642.959999993</v>
      </c>
      <c r="AZ84" s="10">
        <v>9.3467324310000002E-5</v>
      </c>
      <c r="BA84" s="10">
        <v>0.1</v>
      </c>
      <c r="BB84" s="10">
        <v>9.9900000000000003E-2</v>
      </c>
    </row>
    <row r="85" spans="1:54" s="7" customFormat="1">
      <c r="A85" s="3" t="s">
        <v>79</v>
      </c>
      <c r="B85" s="23" t="s">
        <v>29</v>
      </c>
      <c r="C85" s="2" t="s">
        <v>26</v>
      </c>
      <c r="D85" s="1" t="s">
        <v>26</v>
      </c>
      <c r="E85" s="1" t="s">
        <v>26</v>
      </c>
      <c r="F85" s="1" t="s">
        <v>26</v>
      </c>
      <c r="G85" s="2" t="s">
        <v>26</v>
      </c>
      <c r="H85" s="1" t="s">
        <v>26</v>
      </c>
      <c r="I85" s="1" t="s">
        <v>26</v>
      </c>
      <c r="J85" s="1" t="s">
        <v>26</v>
      </c>
      <c r="K85" s="2" t="s">
        <v>26</v>
      </c>
      <c r="L85" s="1" t="s">
        <v>26</v>
      </c>
      <c r="M85" s="1" t="s">
        <v>26</v>
      </c>
      <c r="N85" s="1" t="s">
        <v>26</v>
      </c>
      <c r="O85" s="2" t="s">
        <v>26</v>
      </c>
      <c r="P85" s="1" t="s">
        <v>26</v>
      </c>
      <c r="Q85" s="1" t="s">
        <v>26</v>
      </c>
      <c r="R85" s="1" t="s">
        <v>26</v>
      </c>
      <c r="S85" s="2">
        <v>53461095.310000002</v>
      </c>
      <c r="T85" s="1">
        <v>1</v>
      </c>
      <c r="U85" s="1" t="s">
        <v>26</v>
      </c>
      <c r="V85" s="1" t="s">
        <v>26</v>
      </c>
      <c r="W85" s="2" t="s">
        <v>26</v>
      </c>
      <c r="X85" s="1" t="s">
        <v>26</v>
      </c>
      <c r="Y85" s="1" t="s">
        <v>26</v>
      </c>
      <c r="Z85" s="1" t="s">
        <v>26</v>
      </c>
      <c r="AA85" s="2" t="s">
        <v>26</v>
      </c>
      <c r="AB85" s="1" t="s">
        <v>26</v>
      </c>
      <c r="AC85" s="1" t="s">
        <v>26</v>
      </c>
      <c r="AD85" s="1" t="s">
        <v>26</v>
      </c>
      <c r="AE85" s="2">
        <v>53461095.310000002</v>
      </c>
      <c r="AF85" s="1">
        <v>1</v>
      </c>
      <c r="AG85" s="1" t="s">
        <v>26</v>
      </c>
      <c r="AH85" s="1" t="s">
        <v>26</v>
      </c>
      <c r="AI85" s="2">
        <v>6682636.9100000001</v>
      </c>
      <c r="AJ85" s="1">
        <v>1</v>
      </c>
      <c r="AK85" s="1" t="s">
        <v>26</v>
      </c>
      <c r="AL85" s="1" t="s">
        <v>26</v>
      </c>
      <c r="AM85" s="2" t="s">
        <v>26</v>
      </c>
      <c r="AN85" s="1" t="s">
        <v>26</v>
      </c>
      <c r="AO85" s="1" t="s">
        <v>26</v>
      </c>
      <c r="AP85" s="1" t="s">
        <v>26</v>
      </c>
      <c r="AQ85" s="2">
        <v>6682636.9100000001</v>
      </c>
      <c r="AR85" s="1">
        <v>1</v>
      </c>
      <c r="AS85" s="1" t="s">
        <v>26</v>
      </c>
      <c r="AT85" s="1" t="s">
        <v>26</v>
      </c>
      <c r="AU85" s="2">
        <v>20047910.739999998</v>
      </c>
      <c r="AV85" s="1">
        <v>1</v>
      </c>
      <c r="AW85" s="1" t="s">
        <v>26</v>
      </c>
      <c r="AX85" s="1" t="s">
        <v>26</v>
      </c>
      <c r="AY85" s="2">
        <v>80191642.959999993</v>
      </c>
      <c r="AZ85" s="1">
        <v>1</v>
      </c>
      <c r="BA85" s="1" t="s">
        <v>26</v>
      </c>
      <c r="BB85" s="1" t="s">
        <v>26</v>
      </c>
    </row>
    <row r="86" spans="1:54" s="7" customFormat="1">
      <c r="A86" s="5" t="s">
        <v>80</v>
      </c>
      <c r="B86" s="20" t="s">
        <v>25</v>
      </c>
      <c r="C86" s="9" t="s">
        <v>26</v>
      </c>
      <c r="D86" s="10" t="s">
        <v>26</v>
      </c>
      <c r="E86" s="10" t="s">
        <v>26</v>
      </c>
      <c r="F86" s="10" t="s">
        <v>26</v>
      </c>
      <c r="G86" s="9" t="s">
        <v>26</v>
      </c>
      <c r="H86" s="10" t="s">
        <v>26</v>
      </c>
      <c r="I86" s="10" t="s">
        <v>26</v>
      </c>
      <c r="J86" s="10" t="s">
        <v>26</v>
      </c>
      <c r="K86" s="9" t="s">
        <v>26</v>
      </c>
      <c r="L86" s="10" t="s">
        <v>26</v>
      </c>
      <c r="M86" s="10" t="s">
        <v>26</v>
      </c>
      <c r="N86" s="10" t="s">
        <v>26</v>
      </c>
      <c r="O86" s="9">
        <v>127758741.25</v>
      </c>
      <c r="P86" s="10">
        <v>4.8529750181000001E-4</v>
      </c>
      <c r="Q86" s="10">
        <v>0.09</v>
      </c>
      <c r="R86" s="10">
        <v>8.9499999999999996E-2</v>
      </c>
      <c r="S86" s="9">
        <v>153310489.5</v>
      </c>
      <c r="T86" s="10">
        <v>1.1714095242200001E-3</v>
      </c>
      <c r="U86" s="10">
        <v>0.09</v>
      </c>
      <c r="V86" s="10">
        <v>8.8800000000000004E-2</v>
      </c>
      <c r="W86" s="9" t="s">
        <v>26</v>
      </c>
      <c r="X86" s="10" t="s">
        <v>26</v>
      </c>
      <c r="Y86" s="10" t="s">
        <v>26</v>
      </c>
      <c r="Z86" s="10" t="s">
        <v>26</v>
      </c>
      <c r="AA86" s="9">
        <v>142067720.27000001</v>
      </c>
      <c r="AB86" s="10">
        <v>8.7518400605000001E-4</v>
      </c>
      <c r="AC86" s="10">
        <v>0.09</v>
      </c>
      <c r="AD86" s="10">
        <v>8.9099999999999999E-2</v>
      </c>
      <c r="AE86" s="9">
        <v>423136951.01999998</v>
      </c>
      <c r="AF86" s="10">
        <v>5.5791990951000001E-4</v>
      </c>
      <c r="AG86" s="10">
        <v>0.09</v>
      </c>
      <c r="AH86" s="10">
        <v>8.9399999999999993E-2</v>
      </c>
      <c r="AI86" s="9" t="s">
        <v>26</v>
      </c>
      <c r="AJ86" s="10" t="s">
        <v>26</v>
      </c>
      <c r="AK86" s="10" t="s">
        <v>26</v>
      </c>
      <c r="AL86" s="10" t="s">
        <v>26</v>
      </c>
      <c r="AM86" s="9" t="s">
        <v>26</v>
      </c>
      <c r="AN86" s="10" t="s">
        <v>26</v>
      </c>
      <c r="AO86" s="10" t="s">
        <v>26</v>
      </c>
      <c r="AP86" s="10" t="s">
        <v>26</v>
      </c>
      <c r="AQ86" s="9" t="s">
        <v>26</v>
      </c>
      <c r="AR86" s="10" t="s">
        <v>26</v>
      </c>
      <c r="AS86" s="10" t="s">
        <v>26</v>
      </c>
      <c r="AT86" s="10" t="s">
        <v>26</v>
      </c>
      <c r="AU86" s="9" t="s">
        <v>26</v>
      </c>
      <c r="AV86" s="10" t="s">
        <v>26</v>
      </c>
      <c r="AW86" s="10" t="s">
        <v>26</v>
      </c>
      <c r="AX86" s="10" t="s">
        <v>26</v>
      </c>
      <c r="AY86" s="9">
        <v>423136951.01999998</v>
      </c>
      <c r="AZ86" s="10">
        <v>4.9318703506000001E-4</v>
      </c>
      <c r="BA86" s="10">
        <v>0.09</v>
      </c>
      <c r="BB86" s="10">
        <v>8.9499999999999996E-2</v>
      </c>
    </row>
    <row r="87" spans="1:54" s="7" customFormat="1">
      <c r="A87" s="3" t="s">
        <v>79</v>
      </c>
      <c r="B87" s="23" t="s">
        <v>40</v>
      </c>
      <c r="C87" s="2" t="s">
        <v>26</v>
      </c>
      <c r="D87" s="1" t="s">
        <v>26</v>
      </c>
      <c r="E87" s="1" t="s">
        <v>26</v>
      </c>
      <c r="F87" s="1" t="s">
        <v>26</v>
      </c>
      <c r="G87" s="2" t="s">
        <v>26</v>
      </c>
      <c r="H87" s="1" t="s">
        <v>26</v>
      </c>
      <c r="I87" s="1" t="s">
        <v>26</v>
      </c>
      <c r="J87" s="1" t="s">
        <v>26</v>
      </c>
      <c r="K87" s="2" t="s">
        <v>26</v>
      </c>
      <c r="L87" s="1" t="s">
        <v>26</v>
      </c>
      <c r="M87" s="1" t="s">
        <v>26</v>
      </c>
      <c r="N87" s="1" t="s">
        <v>26</v>
      </c>
      <c r="O87" s="2">
        <v>127758741.25</v>
      </c>
      <c r="P87" s="1">
        <v>1</v>
      </c>
      <c r="Q87" s="1" t="s">
        <v>26</v>
      </c>
      <c r="R87" s="1" t="s">
        <v>26</v>
      </c>
      <c r="S87" s="2">
        <v>153310489.5</v>
      </c>
      <c r="T87" s="1">
        <v>1</v>
      </c>
      <c r="U87" s="1" t="s">
        <v>26</v>
      </c>
      <c r="V87" s="1" t="s">
        <v>26</v>
      </c>
      <c r="W87" s="2" t="s">
        <v>26</v>
      </c>
      <c r="X87" s="1" t="s">
        <v>26</v>
      </c>
      <c r="Y87" s="1" t="s">
        <v>26</v>
      </c>
      <c r="Z87" s="1" t="s">
        <v>26</v>
      </c>
      <c r="AA87" s="2">
        <v>142067720.27000001</v>
      </c>
      <c r="AB87" s="1">
        <v>1</v>
      </c>
      <c r="AC87" s="1" t="s">
        <v>26</v>
      </c>
      <c r="AD87" s="1" t="s">
        <v>26</v>
      </c>
      <c r="AE87" s="2">
        <v>423136951.01999998</v>
      </c>
      <c r="AF87" s="1">
        <v>1</v>
      </c>
      <c r="AG87" s="1" t="s">
        <v>26</v>
      </c>
      <c r="AH87" s="1" t="s">
        <v>26</v>
      </c>
      <c r="AI87" s="2" t="s">
        <v>26</v>
      </c>
      <c r="AJ87" s="1" t="s">
        <v>26</v>
      </c>
      <c r="AK87" s="1" t="s">
        <v>26</v>
      </c>
      <c r="AL87" s="1" t="s">
        <v>26</v>
      </c>
      <c r="AM87" s="2" t="s">
        <v>26</v>
      </c>
      <c r="AN87" s="1" t="s">
        <v>26</v>
      </c>
      <c r="AO87" s="1" t="s">
        <v>26</v>
      </c>
      <c r="AP87" s="1" t="s">
        <v>26</v>
      </c>
      <c r="AQ87" s="2" t="s">
        <v>26</v>
      </c>
      <c r="AR87" s="1" t="s">
        <v>26</v>
      </c>
      <c r="AS87" s="1" t="s">
        <v>26</v>
      </c>
      <c r="AT87" s="1" t="s">
        <v>26</v>
      </c>
      <c r="AU87" s="2" t="s">
        <v>26</v>
      </c>
      <c r="AV87" s="1" t="s">
        <v>26</v>
      </c>
      <c r="AW87" s="1" t="s">
        <v>26</v>
      </c>
      <c r="AX87" s="1" t="s">
        <v>26</v>
      </c>
      <c r="AY87" s="2">
        <v>423136951.01999998</v>
      </c>
      <c r="AZ87" s="1">
        <v>1</v>
      </c>
      <c r="BA87" s="1" t="s">
        <v>26</v>
      </c>
      <c r="BB87" s="1" t="s">
        <v>26</v>
      </c>
    </row>
    <row r="88" spans="1:54" s="7" customFormat="1">
      <c r="A88" s="12" t="s">
        <v>81</v>
      </c>
      <c r="B88" s="40" t="s">
        <v>25</v>
      </c>
      <c r="C88" s="42">
        <v>19842667.149999999</v>
      </c>
      <c r="D88" s="43">
        <v>2.3643732228399998E-3</v>
      </c>
      <c r="E88" s="43">
        <v>0.15</v>
      </c>
      <c r="F88" s="43">
        <f>+E88-D88</f>
        <v>0.14763562677716</v>
      </c>
      <c r="G88" s="42">
        <v>8278111708.2700005</v>
      </c>
      <c r="H88" s="43">
        <v>4.5626423591409997E-2</v>
      </c>
      <c r="I88" s="43">
        <v>0.15</v>
      </c>
      <c r="J88" s="43">
        <f>+I88-H88</f>
        <v>0.10437357640858999</v>
      </c>
      <c r="K88" s="42">
        <v>63138904.409999996</v>
      </c>
      <c r="L88" s="43">
        <v>1.3730418134040001E-2</v>
      </c>
      <c r="M88" s="43">
        <v>0.15</v>
      </c>
      <c r="N88" s="43">
        <f>+M88-L88</f>
        <v>0.13626958186596</v>
      </c>
      <c r="O88" s="42">
        <v>2229293178.1199999</v>
      </c>
      <c r="P88" s="43">
        <v>8.4680734919400005E-3</v>
      </c>
      <c r="Q88" s="43">
        <v>0.15</v>
      </c>
      <c r="R88" s="43">
        <f>+Q88-P88</f>
        <v>0.14153192650805999</v>
      </c>
      <c r="S88" s="42">
        <v>3273884822.4299998</v>
      </c>
      <c r="T88" s="43">
        <v>2.5014986741579998E-2</v>
      </c>
      <c r="U88" s="43">
        <v>0.15</v>
      </c>
      <c r="V88" s="43">
        <f>+U88-T88</f>
        <v>0.12498501325842</v>
      </c>
      <c r="W88" s="42" t="s">
        <v>26</v>
      </c>
      <c r="X88" s="43" t="s">
        <v>26</v>
      </c>
      <c r="Y88" s="43" t="s">
        <v>26</v>
      </c>
      <c r="Z88" s="43" t="s">
        <v>26</v>
      </c>
      <c r="AA88" s="42">
        <v>1716971585.78</v>
      </c>
      <c r="AB88" s="43">
        <v>1.0577111168249999E-2</v>
      </c>
      <c r="AC88" s="43">
        <v>0.15</v>
      </c>
      <c r="AD88" s="43">
        <f>+AC88-AB88</f>
        <v>0.13942288883175</v>
      </c>
      <c r="AE88" s="42">
        <v>15581242866.16</v>
      </c>
      <c r="AF88" s="43">
        <v>2.0544378336509999E-2</v>
      </c>
      <c r="AG88" s="43">
        <v>0.15</v>
      </c>
      <c r="AH88" s="43">
        <f>+AG88-AF88</f>
        <v>0.12945562166349001</v>
      </c>
      <c r="AI88" s="42">
        <v>127649457.31999999</v>
      </c>
      <c r="AJ88" s="43">
        <v>6.6761520984900003E-3</v>
      </c>
      <c r="AK88" s="43">
        <v>0.15</v>
      </c>
      <c r="AL88" s="43">
        <f>+AK88-AJ88</f>
        <v>0.14332384790150998</v>
      </c>
      <c r="AM88" s="42" t="s">
        <v>26</v>
      </c>
      <c r="AN88" s="43" t="s">
        <v>26</v>
      </c>
      <c r="AO88" s="43" t="s">
        <v>26</v>
      </c>
      <c r="AP88" s="43" t="s">
        <v>26</v>
      </c>
      <c r="AQ88" s="42">
        <v>127649457.31999999</v>
      </c>
      <c r="AR88" s="43">
        <v>2.86799791263E-3</v>
      </c>
      <c r="AS88" s="43">
        <v>0.15</v>
      </c>
      <c r="AT88" s="43">
        <f>+AS88-AR88</f>
        <v>0.14713200208736998</v>
      </c>
      <c r="AU88" s="42">
        <v>929893338.87</v>
      </c>
      <c r="AV88" s="43">
        <v>1.6895647406560001E-2</v>
      </c>
      <c r="AW88" s="43">
        <v>0.15</v>
      </c>
      <c r="AX88" s="43">
        <f>+AW88-AV88</f>
        <v>0.13310435259344</v>
      </c>
      <c r="AY88" s="42">
        <v>16638785662.35</v>
      </c>
      <c r="AZ88" s="43">
        <v>1.9393327262009999E-2</v>
      </c>
      <c r="BA88" s="43">
        <v>0.15</v>
      </c>
      <c r="BB88" s="43">
        <f>+BA88-AZ88</f>
        <v>0.13060667273798998</v>
      </c>
    </row>
    <row r="89" spans="1:54" s="7" customFormat="1">
      <c r="A89" s="5" t="s">
        <v>82</v>
      </c>
      <c r="B89" s="20" t="s">
        <v>25</v>
      </c>
      <c r="C89" s="9" t="s">
        <v>26</v>
      </c>
      <c r="D89" s="10" t="s">
        <v>26</v>
      </c>
      <c r="E89" s="10" t="s">
        <v>26</v>
      </c>
      <c r="F89" s="10" t="s">
        <v>26</v>
      </c>
      <c r="G89" s="9">
        <v>6813515973.7700005</v>
      </c>
      <c r="H89" s="10">
        <v>3.7554019192019998E-2</v>
      </c>
      <c r="I89" s="1" t="s">
        <v>26</v>
      </c>
      <c r="J89" s="1" t="s">
        <v>26</v>
      </c>
      <c r="K89" s="9">
        <v>34367029.840000004</v>
      </c>
      <c r="L89" s="10">
        <v>7.4735805782100003E-3</v>
      </c>
      <c r="M89" s="1" t="s">
        <v>26</v>
      </c>
      <c r="N89" s="1" t="s">
        <v>26</v>
      </c>
      <c r="O89" s="9" t="s">
        <v>26</v>
      </c>
      <c r="P89" s="10" t="s">
        <v>26</v>
      </c>
      <c r="Q89" s="10" t="s">
        <v>26</v>
      </c>
      <c r="R89" s="10" t="s">
        <v>26</v>
      </c>
      <c r="S89" s="9">
        <v>1674552125.6300001</v>
      </c>
      <c r="T89" s="10">
        <v>1.279486038535E-2</v>
      </c>
      <c r="U89" s="1" t="s">
        <v>26</v>
      </c>
      <c r="V89" s="1" t="s">
        <v>26</v>
      </c>
      <c r="W89" s="9" t="s">
        <v>26</v>
      </c>
      <c r="X89" s="10" t="s">
        <v>26</v>
      </c>
      <c r="Y89" s="10" t="s">
        <v>26</v>
      </c>
      <c r="Z89" s="10" t="s">
        <v>26</v>
      </c>
      <c r="AA89" s="9">
        <v>654859562.5</v>
      </c>
      <c r="AB89" s="10">
        <v>4.0341508557999997E-3</v>
      </c>
      <c r="AC89" s="1" t="s">
        <v>26</v>
      </c>
      <c r="AD89" s="1" t="s">
        <v>26</v>
      </c>
      <c r="AE89" s="9">
        <v>9177294691.7399998</v>
      </c>
      <c r="AF89" s="10">
        <v>1.210056321388E-2</v>
      </c>
      <c r="AG89" s="1" t="s">
        <v>26</v>
      </c>
      <c r="AH89" s="1" t="s">
        <v>26</v>
      </c>
      <c r="AI89" s="9">
        <v>127649457.31999999</v>
      </c>
      <c r="AJ89" s="10">
        <v>6.6761520984900003E-3</v>
      </c>
      <c r="AK89" s="1" t="s">
        <v>26</v>
      </c>
      <c r="AL89" s="1" t="s">
        <v>26</v>
      </c>
      <c r="AM89" s="9" t="s">
        <v>26</v>
      </c>
      <c r="AN89" s="10" t="s">
        <v>26</v>
      </c>
      <c r="AO89" s="10" t="s">
        <v>26</v>
      </c>
      <c r="AP89" s="10" t="s">
        <v>26</v>
      </c>
      <c r="AQ89" s="9">
        <v>127649457.31999999</v>
      </c>
      <c r="AR89" s="10">
        <v>2.86799791263E-3</v>
      </c>
      <c r="AS89" s="1" t="s">
        <v>26</v>
      </c>
      <c r="AT89" s="1" t="s">
        <v>26</v>
      </c>
      <c r="AU89" s="9">
        <v>929893338.87</v>
      </c>
      <c r="AV89" s="10">
        <v>1.6895647406560001E-2</v>
      </c>
      <c r="AW89" s="1" t="s">
        <v>26</v>
      </c>
      <c r="AX89" s="1" t="s">
        <v>26</v>
      </c>
      <c r="AY89" s="9">
        <v>10234837487.93</v>
      </c>
      <c r="AZ89" s="10">
        <v>1.1929209072400001E-2</v>
      </c>
      <c r="BA89" s="1" t="s">
        <v>26</v>
      </c>
      <c r="BB89" s="1" t="s">
        <v>26</v>
      </c>
    </row>
    <row r="90" spans="1:54" s="7" customFormat="1">
      <c r="A90" s="3" t="s">
        <v>83</v>
      </c>
      <c r="B90" s="23" t="s">
        <v>40</v>
      </c>
      <c r="C90" s="2" t="s">
        <v>26</v>
      </c>
      <c r="D90" s="1" t="s">
        <v>26</v>
      </c>
      <c r="E90" s="1" t="s">
        <v>26</v>
      </c>
      <c r="F90" s="1" t="s">
        <v>26</v>
      </c>
      <c r="G90" s="2">
        <v>6813515973.7700005</v>
      </c>
      <c r="H90" s="1">
        <v>1</v>
      </c>
      <c r="I90" s="1" t="s">
        <v>26</v>
      </c>
      <c r="J90" s="1" t="s">
        <v>26</v>
      </c>
      <c r="K90" s="2">
        <v>34367029.840000004</v>
      </c>
      <c r="L90" s="1">
        <v>1</v>
      </c>
      <c r="M90" s="1" t="s">
        <v>26</v>
      </c>
      <c r="N90" s="1" t="s">
        <v>26</v>
      </c>
      <c r="O90" s="2" t="s">
        <v>26</v>
      </c>
      <c r="P90" s="1" t="s">
        <v>26</v>
      </c>
      <c r="Q90" s="1" t="s">
        <v>26</v>
      </c>
      <c r="R90" s="1" t="s">
        <v>26</v>
      </c>
      <c r="S90" s="2">
        <v>1674552125.6300001</v>
      </c>
      <c r="T90" s="1">
        <v>1</v>
      </c>
      <c r="U90" s="1" t="s">
        <v>26</v>
      </c>
      <c r="V90" s="1" t="s">
        <v>26</v>
      </c>
      <c r="W90" s="2" t="s">
        <v>26</v>
      </c>
      <c r="X90" s="1" t="s">
        <v>26</v>
      </c>
      <c r="Y90" s="1" t="s">
        <v>26</v>
      </c>
      <c r="Z90" s="1" t="s">
        <v>26</v>
      </c>
      <c r="AA90" s="2">
        <v>654859562.5</v>
      </c>
      <c r="AB90" s="1">
        <v>1</v>
      </c>
      <c r="AC90" s="1" t="s">
        <v>26</v>
      </c>
      <c r="AD90" s="1" t="s">
        <v>26</v>
      </c>
      <c r="AE90" s="2">
        <v>9177294691.7399998</v>
      </c>
      <c r="AF90" s="1">
        <v>1</v>
      </c>
      <c r="AG90" s="1" t="s">
        <v>26</v>
      </c>
      <c r="AH90" s="1" t="s">
        <v>26</v>
      </c>
      <c r="AI90" s="2">
        <v>127649457.31999999</v>
      </c>
      <c r="AJ90" s="1">
        <v>1</v>
      </c>
      <c r="AK90" s="1" t="s">
        <v>26</v>
      </c>
      <c r="AL90" s="1" t="s">
        <v>26</v>
      </c>
      <c r="AM90" s="2" t="s">
        <v>26</v>
      </c>
      <c r="AN90" s="1" t="s">
        <v>26</v>
      </c>
      <c r="AO90" s="1" t="s">
        <v>26</v>
      </c>
      <c r="AP90" s="1" t="s">
        <v>26</v>
      </c>
      <c r="AQ90" s="2">
        <v>127649457.31999999</v>
      </c>
      <c r="AR90" s="1">
        <v>1</v>
      </c>
      <c r="AS90" s="1" t="s">
        <v>26</v>
      </c>
      <c r="AT90" s="1" t="s">
        <v>26</v>
      </c>
      <c r="AU90" s="2">
        <v>929893338.87</v>
      </c>
      <c r="AV90" s="1">
        <v>1</v>
      </c>
      <c r="AW90" s="1" t="s">
        <v>26</v>
      </c>
      <c r="AX90" s="1" t="s">
        <v>26</v>
      </c>
      <c r="AY90" s="2">
        <v>10234837487.93</v>
      </c>
      <c r="AZ90" s="1">
        <v>1</v>
      </c>
      <c r="BA90" s="1" t="s">
        <v>26</v>
      </c>
      <c r="BB90" s="1" t="s">
        <v>26</v>
      </c>
    </row>
    <row r="91" spans="1:54" s="7" customFormat="1">
      <c r="A91" s="5" t="s">
        <v>84</v>
      </c>
      <c r="B91" s="20" t="s">
        <v>25</v>
      </c>
      <c r="C91" s="9">
        <v>19842667.149999999</v>
      </c>
      <c r="D91" s="10">
        <v>2.3643732228399998E-3</v>
      </c>
      <c r="E91" s="1" t="s">
        <v>26</v>
      </c>
      <c r="F91" s="1" t="s">
        <v>26</v>
      </c>
      <c r="G91" s="9">
        <v>1464595734.5</v>
      </c>
      <c r="H91" s="10">
        <v>8.0724043993900003E-3</v>
      </c>
      <c r="I91" s="1" t="s">
        <v>26</v>
      </c>
      <c r="J91" s="1" t="s">
        <v>26</v>
      </c>
      <c r="K91" s="9">
        <v>28771874.57</v>
      </c>
      <c r="L91" s="10">
        <v>6.2568375558300004E-3</v>
      </c>
      <c r="M91" s="1" t="s">
        <v>26</v>
      </c>
      <c r="N91" s="1" t="s">
        <v>26</v>
      </c>
      <c r="O91" s="9">
        <v>2229293178.1199999</v>
      </c>
      <c r="P91" s="10">
        <v>8.4680734919400005E-3</v>
      </c>
      <c r="Q91" s="1" t="s">
        <v>26</v>
      </c>
      <c r="R91" s="1" t="s">
        <v>26</v>
      </c>
      <c r="S91" s="9">
        <v>1599332696.8</v>
      </c>
      <c r="T91" s="10">
        <v>1.222012635623E-2</v>
      </c>
      <c r="U91" s="1" t="s">
        <v>26</v>
      </c>
      <c r="V91" s="1" t="s">
        <v>26</v>
      </c>
      <c r="W91" s="9" t="s">
        <v>26</v>
      </c>
      <c r="X91" s="10" t="s">
        <v>26</v>
      </c>
      <c r="Y91" s="10" t="s">
        <v>26</v>
      </c>
      <c r="Z91" s="10" t="s">
        <v>26</v>
      </c>
      <c r="AA91" s="9">
        <v>1062112023.28</v>
      </c>
      <c r="AB91" s="10">
        <v>6.5429603124500003E-3</v>
      </c>
      <c r="AC91" s="1" t="s">
        <v>26</v>
      </c>
      <c r="AD91" s="1" t="s">
        <v>26</v>
      </c>
      <c r="AE91" s="9">
        <v>6403948174.4200001</v>
      </c>
      <c r="AF91" s="10">
        <v>8.4438151226300003E-3</v>
      </c>
      <c r="AG91" s="1" t="s">
        <v>26</v>
      </c>
      <c r="AH91" s="1" t="s">
        <v>26</v>
      </c>
      <c r="AI91" s="9" t="s">
        <v>26</v>
      </c>
      <c r="AJ91" s="10" t="s">
        <v>26</v>
      </c>
      <c r="AK91" s="10" t="s">
        <v>26</v>
      </c>
      <c r="AL91" s="10" t="s">
        <v>26</v>
      </c>
      <c r="AM91" s="9" t="s">
        <v>26</v>
      </c>
      <c r="AN91" s="10" t="s">
        <v>26</v>
      </c>
      <c r="AO91" s="10" t="s">
        <v>26</v>
      </c>
      <c r="AP91" s="10" t="s">
        <v>26</v>
      </c>
      <c r="AQ91" s="9" t="s">
        <v>26</v>
      </c>
      <c r="AR91" s="10" t="s">
        <v>26</v>
      </c>
      <c r="AS91" s="10" t="s">
        <v>26</v>
      </c>
      <c r="AT91" s="10" t="s">
        <v>26</v>
      </c>
      <c r="AU91" s="9" t="s">
        <v>26</v>
      </c>
      <c r="AV91" s="10" t="s">
        <v>26</v>
      </c>
      <c r="AW91" s="10" t="s">
        <v>26</v>
      </c>
      <c r="AX91" s="10" t="s">
        <v>26</v>
      </c>
      <c r="AY91" s="9">
        <v>6403948174.4200001</v>
      </c>
      <c r="AZ91" s="10">
        <v>7.4641181896199999E-3</v>
      </c>
      <c r="BA91" s="1" t="s">
        <v>26</v>
      </c>
      <c r="BB91" s="1" t="s">
        <v>26</v>
      </c>
    </row>
    <row r="92" spans="1:54" s="7" customFormat="1">
      <c r="A92" s="3" t="s">
        <v>85</v>
      </c>
      <c r="B92" s="23" t="s">
        <v>40</v>
      </c>
      <c r="C92" s="2">
        <v>19842667.149999999</v>
      </c>
      <c r="D92" s="1">
        <v>1</v>
      </c>
      <c r="E92" s="1" t="s">
        <v>26</v>
      </c>
      <c r="F92" s="1" t="s">
        <v>26</v>
      </c>
      <c r="G92" s="2">
        <v>1464595734.5</v>
      </c>
      <c r="H92" s="1">
        <v>1</v>
      </c>
      <c r="I92" s="1" t="s">
        <v>26</v>
      </c>
      <c r="J92" s="1" t="s">
        <v>26</v>
      </c>
      <c r="K92" s="2">
        <v>28771874.57</v>
      </c>
      <c r="L92" s="1">
        <v>1</v>
      </c>
      <c r="M92" s="1" t="s">
        <v>26</v>
      </c>
      <c r="N92" s="1" t="s">
        <v>26</v>
      </c>
      <c r="O92" s="2">
        <v>2229293178.1199999</v>
      </c>
      <c r="P92" s="1">
        <v>1</v>
      </c>
      <c r="Q92" s="1" t="s">
        <v>26</v>
      </c>
      <c r="R92" s="1" t="s">
        <v>26</v>
      </c>
      <c r="S92" s="2">
        <v>1599332696.8</v>
      </c>
      <c r="T92" s="1">
        <v>1</v>
      </c>
      <c r="U92" s="1" t="s">
        <v>26</v>
      </c>
      <c r="V92" s="1" t="s">
        <v>26</v>
      </c>
      <c r="W92" s="2" t="s">
        <v>26</v>
      </c>
      <c r="X92" s="1" t="s">
        <v>26</v>
      </c>
      <c r="Y92" s="1" t="s">
        <v>26</v>
      </c>
      <c r="Z92" s="1" t="s">
        <v>26</v>
      </c>
      <c r="AA92" s="2">
        <v>1062112023.28</v>
      </c>
      <c r="AB92" s="1">
        <v>1</v>
      </c>
      <c r="AC92" s="1" t="s">
        <v>26</v>
      </c>
      <c r="AD92" s="1" t="s">
        <v>26</v>
      </c>
      <c r="AE92" s="2">
        <v>6403948174.4200001</v>
      </c>
      <c r="AF92" s="1">
        <v>1</v>
      </c>
      <c r="AG92" s="1" t="s">
        <v>26</v>
      </c>
      <c r="AH92" s="1" t="s">
        <v>26</v>
      </c>
      <c r="AI92" s="2" t="s">
        <v>26</v>
      </c>
      <c r="AJ92" s="1" t="s">
        <v>26</v>
      </c>
      <c r="AK92" s="1" t="s">
        <v>26</v>
      </c>
      <c r="AL92" s="1" t="s">
        <v>26</v>
      </c>
      <c r="AM92" s="2" t="s">
        <v>26</v>
      </c>
      <c r="AN92" s="1" t="s">
        <v>26</v>
      </c>
      <c r="AO92" s="1" t="s">
        <v>26</v>
      </c>
      <c r="AP92" s="1" t="s">
        <v>26</v>
      </c>
      <c r="AQ92" s="2" t="s">
        <v>26</v>
      </c>
      <c r="AR92" s="1" t="s">
        <v>26</v>
      </c>
      <c r="AS92" s="1" t="s">
        <v>26</v>
      </c>
      <c r="AT92" s="1" t="s">
        <v>26</v>
      </c>
      <c r="AU92" s="2" t="s">
        <v>26</v>
      </c>
      <c r="AV92" s="1" t="s">
        <v>26</v>
      </c>
      <c r="AW92" s="1" t="s">
        <v>26</v>
      </c>
      <c r="AX92" s="1" t="s">
        <v>26</v>
      </c>
      <c r="AY92" s="2">
        <v>6403948174.4200001</v>
      </c>
      <c r="AZ92" s="1">
        <v>1</v>
      </c>
      <c r="BA92" s="1" t="s">
        <v>26</v>
      </c>
      <c r="BB92" s="1" t="s">
        <v>26</v>
      </c>
    </row>
    <row r="93" spans="1:54" s="28" customFormat="1">
      <c r="A93" s="12" t="s">
        <v>86</v>
      </c>
      <c r="B93" s="40" t="s">
        <v>25</v>
      </c>
      <c r="C93" s="42">
        <v>168937289.62</v>
      </c>
      <c r="D93" s="43">
        <v>2.0129894882399999E-2</v>
      </c>
      <c r="E93" s="43">
        <v>0.15</v>
      </c>
      <c r="F93" s="43">
        <f>+E93-D93</f>
        <v>0.1298701051176</v>
      </c>
      <c r="G93" s="42">
        <v>10646136093.120001</v>
      </c>
      <c r="H93" s="43">
        <v>5.8678250803400001E-2</v>
      </c>
      <c r="I93" s="43">
        <v>0.15</v>
      </c>
      <c r="J93" s="43">
        <f>+I93-H93</f>
        <v>9.1321749196599994E-2</v>
      </c>
      <c r="K93" s="42">
        <v>444775260.44999999</v>
      </c>
      <c r="L93" s="43">
        <v>9.6722462303069995E-2</v>
      </c>
      <c r="M93" s="43">
        <v>0.15</v>
      </c>
      <c r="N93" s="43">
        <f>+M93-L93</f>
        <v>5.327753769693E-2</v>
      </c>
      <c r="O93" s="42">
        <v>30059772271.740002</v>
      </c>
      <c r="P93" s="43">
        <v>0.1141834386103</v>
      </c>
      <c r="Q93" s="43">
        <v>0.15</v>
      </c>
      <c r="R93" s="43">
        <f>+Q93-P93</f>
        <v>3.5816561389699991E-2</v>
      </c>
      <c r="S93" s="42">
        <v>7530725091.8599997</v>
      </c>
      <c r="T93" s="43">
        <v>5.7540505712570002E-2</v>
      </c>
      <c r="U93" s="43">
        <v>0.15</v>
      </c>
      <c r="V93" s="43">
        <f>+U93-T93</f>
        <v>9.245949428743E-2</v>
      </c>
      <c r="W93" s="42" t="s">
        <v>26</v>
      </c>
      <c r="X93" s="43" t="s">
        <v>26</v>
      </c>
      <c r="Y93" s="43" t="s">
        <v>26</v>
      </c>
      <c r="Z93" s="43" t="s">
        <v>26</v>
      </c>
      <c r="AA93" s="42">
        <v>6898272885.6800003</v>
      </c>
      <c r="AB93" s="43">
        <v>4.2495635795630003E-2</v>
      </c>
      <c r="AC93" s="43">
        <v>0.15</v>
      </c>
      <c r="AD93" s="43">
        <f>+AC93-AB93</f>
        <v>0.10750436420436998</v>
      </c>
      <c r="AE93" s="42">
        <v>55748618892.470001</v>
      </c>
      <c r="AF93" s="43">
        <v>7.3506377386130001E-2</v>
      </c>
      <c r="AG93" s="43">
        <v>0.15</v>
      </c>
      <c r="AH93" s="43">
        <f>+AG93-AF93</f>
        <v>7.6493622613869994E-2</v>
      </c>
      <c r="AI93" s="42" t="s">
        <v>26</v>
      </c>
      <c r="AJ93" s="43" t="s">
        <v>26</v>
      </c>
      <c r="AK93" s="43" t="s">
        <v>26</v>
      </c>
      <c r="AL93" s="43" t="s">
        <v>26</v>
      </c>
      <c r="AM93" s="42" t="s">
        <v>26</v>
      </c>
      <c r="AN93" s="43" t="s">
        <v>26</v>
      </c>
      <c r="AO93" s="43" t="s">
        <v>26</v>
      </c>
      <c r="AP93" s="43" t="s">
        <v>26</v>
      </c>
      <c r="AQ93" s="42" t="s">
        <v>26</v>
      </c>
      <c r="AR93" s="43" t="s">
        <v>26</v>
      </c>
      <c r="AS93" s="43" t="s">
        <v>26</v>
      </c>
      <c r="AT93" s="43" t="s">
        <v>26</v>
      </c>
      <c r="AU93" s="42">
        <v>2171602278.8099999</v>
      </c>
      <c r="AV93" s="43">
        <v>3.9456811739970003E-2</v>
      </c>
      <c r="AW93" s="43">
        <v>0.15</v>
      </c>
      <c r="AX93" s="43">
        <f>+AW93-AV93</f>
        <v>0.11054318826002998</v>
      </c>
      <c r="AY93" s="42">
        <v>57920221171.279999</v>
      </c>
      <c r="AZ93" s="43">
        <v>6.7508881180230004E-2</v>
      </c>
      <c r="BA93" s="43">
        <v>0.15</v>
      </c>
      <c r="BB93" s="43">
        <f>+BA93-AZ93</f>
        <v>8.249111881976999E-2</v>
      </c>
    </row>
    <row r="94" spans="1:54" s="7" customFormat="1">
      <c r="A94" s="5" t="s">
        <v>124</v>
      </c>
      <c r="B94" s="20" t="s">
        <v>25</v>
      </c>
      <c r="C94" s="9" t="s">
        <v>26</v>
      </c>
      <c r="D94" s="10" t="s">
        <v>26</v>
      </c>
      <c r="E94" s="10" t="s">
        <v>26</v>
      </c>
      <c r="F94" s="10" t="s">
        <v>26</v>
      </c>
      <c r="G94" s="9">
        <v>579764841.50999999</v>
      </c>
      <c r="H94" s="10">
        <v>3.1954867455699998E-3</v>
      </c>
      <c r="I94" s="1" t="s">
        <v>26</v>
      </c>
      <c r="J94" s="1" t="s">
        <v>26</v>
      </c>
      <c r="K94" s="9">
        <v>68207628.409999996</v>
      </c>
      <c r="L94" s="10">
        <v>1.483268147827E-2</v>
      </c>
      <c r="M94" s="1" t="s">
        <v>26</v>
      </c>
      <c r="N94" s="1" t="s">
        <v>26</v>
      </c>
      <c r="O94" s="9" t="s">
        <v>26</v>
      </c>
      <c r="P94" s="10" t="s">
        <v>26</v>
      </c>
      <c r="Q94" s="10" t="s">
        <v>26</v>
      </c>
      <c r="R94" s="10" t="s">
        <v>26</v>
      </c>
      <c r="S94" s="9">
        <v>730131658.71000004</v>
      </c>
      <c r="T94" s="10">
        <v>5.5787649086200004E-3</v>
      </c>
      <c r="U94" s="1" t="s">
        <v>26</v>
      </c>
      <c r="V94" s="1" t="s">
        <v>26</v>
      </c>
      <c r="W94" s="9" t="s">
        <v>26</v>
      </c>
      <c r="X94" s="10" t="s">
        <v>26</v>
      </c>
      <c r="Y94" s="10" t="s">
        <v>26</v>
      </c>
      <c r="Z94" s="10" t="s">
        <v>26</v>
      </c>
      <c r="AA94" s="9">
        <v>452650624.93000001</v>
      </c>
      <c r="AB94" s="10">
        <v>2.7884771186199998E-3</v>
      </c>
      <c r="AC94" s="1" t="s">
        <v>26</v>
      </c>
      <c r="AD94" s="1" t="s">
        <v>26</v>
      </c>
      <c r="AE94" s="9">
        <v>1830754753.5599999</v>
      </c>
      <c r="AF94" s="10">
        <v>2.4139100212700001E-3</v>
      </c>
      <c r="AG94" s="1" t="s">
        <v>26</v>
      </c>
      <c r="AH94" s="1" t="s">
        <v>26</v>
      </c>
      <c r="AI94" s="9" t="s">
        <v>26</v>
      </c>
      <c r="AJ94" s="10" t="s">
        <v>26</v>
      </c>
      <c r="AK94" s="10" t="s">
        <v>26</v>
      </c>
      <c r="AL94" s="10" t="s">
        <v>26</v>
      </c>
      <c r="AM94" s="9" t="s">
        <v>26</v>
      </c>
      <c r="AN94" s="10" t="s">
        <v>26</v>
      </c>
      <c r="AO94" s="10" t="s">
        <v>26</v>
      </c>
      <c r="AP94" s="10" t="s">
        <v>26</v>
      </c>
      <c r="AQ94" s="9" t="s">
        <v>26</v>
      </c>
      <c r="AR94" s="10" t="s">
        <v>26</v>
      </c>
      <c r="AS94" s="10" t="s">
        <v>26</v>
      </c>
      <c r="AT94" s="10" t="s">
        <v>26</v>
      </c>
      <c r="AU94" s="9" t="s">
        <v>26</v>
      </c>
      <c r="AV94" s="10" t="s">
        <v>26</v>
      </c>
      <c r="AW94" s="10" t="s">
        <v>26</v>
      </c>
      <c r="AX94" s="10" t="s">
        <v>26</v>
      </c>
      <c r="AY94" s="9">
        <v>1830754753.5599999</v>
      </c>
      <c r="AZ94" s="10">
        <v>2.1338351723999998E-3</v>
      </c>
      <c r="BA94" s="1" t="s">
        <v>26</v>
      </c>
      <c r="BB94" s="1" t="s">
        <v>26</v>
      </c>
    </row>
    <row r="95" spans="1:54" s="28" customFormat="1">
      <c r="A95" s="3" t="s">
        <v>88</v>
      </c>
      <c r="B95" s="23" t="s">
        <v>47</v>
      </c>
      <c r="C95" s="2" t="s">
        <v>26</v>
      </c>
      <c r="D95" s="1" t="s">
        <v>26</v>
      </c>
      <c r="E95" s="1" t="s">
        <v>26</v>
      </c>
      <c r="F95" s="1" t="s">
        <v>26</v>
      </c>
      <c r="G95" s="2">
        <v>579764841.50999999</v>
      </c>
      <c r="H95" s="1">
        <v>1</v>
      </c>
      <c r="I95" s="1" t="s">
        <v>26</v>
      </c>
      <c r="J95" s="1" t="s">
        <v>26</v>
      </c>
      <c r="K95" s="2">
        <v>68207628.409999996</v>
      </c>
      <c r="L95" s="1">
        <v>1</v>
      </c>
      <c r="M95" s="1" t="s">
        <v>26</v>
      </c>
      <c r="N95" s="1" t="s">
        <v>26</v>
      </c>
      <c r="O95" s="2" t="s">
        <v>26</v>
      </c>
      <c r="P95" s="1" t="s">
        <v>26</v>
      </c>
      <c r="Q95" s="10" t="s">
        <v>26</v>
      </c>
      <c r="R95" s="10" t="s">
        <v>26</v>
      </c>
      <c r="S95" s="2">
        <v>730131658.71000004</v>
      </c>
      <c r="T95" s="1">
        <v>1</v>
      </c>
      <c r="U95" s="1" t="s">
        <v>26</v>
      </c>
      <c r="V95" s="1" t="s">
        <v>26</v>
      </c>
      <c r="W95" s="2" t="s">
        <v>26</v>
      </c>
      <c r="X95" s="1" t="s">
        <v>26</v>
      </c>
      <c r="Y95" s="1" t="s">
        <v>26</v>
      </c>
      <c r="Z95" s="1" t="s">
        <v>26</v>
      </c>
      <c r="AA95" s="2">
        <v>452650624.93000001</v>
      </c>
      <c r="AB95" s="1">
        <v>1</v>
      </c>
      <c r="AC95" s="1" t="s">
        <v>26</v>
      </c>
      <c r="AD95" s="1" t="s">
        <v>26</v>
      </c>
      <c r="AE95" s="2">
        <v>1830754753.5599999</v>
      </c>
      <c r="AF95" s="1">
        <v>1</v>
      </c>
      <c r="AG95" s="1" t="s">
        <v>26</v>
      </c>
      <c r="AH95" s="1" t="s">
        <v>26</v>
      </c>
      <c r="AI95" s="2" t="s">
        <v>26</v>
      </c>
      <c r="AJ95" s="1" t="s">
        <v>26</v>
      </c>
      <c r="AK95" s="1" t="s">
        <v>26</v>
      </c>
      <c r="AL95" s="1" t="s">
        <v>26</v>
      </c>
      <c r="AM95" s="2" t="s">
        <v>26</v>
      </c>
      <c r="AN95" s="1" t="s">
        <v>26</v>
      </c>
      <c r="AO95" s="1" t="s">
        <v>26</v>
      </c>
      <c r="AP95" s="1" t="s">
        <v>26</v>
      </c>
      <c r="AQ95" s="2" t="s">
        <v>26</v>
      </c>
      <c r="AR95" s="1" t="s">
        <v>26</v>
      </c>
      <c r="AS95" s="1" t="s">
        <v>26</v>
      </c>
      <c r="AT95" s="1" t="s">
        <v>26</v>
      </c>
      <c r="AU95" s="2" t="s">
        <v>26</v>
      </c>
      <c r="AV95" s="1" t="s">
        <v>26</v>
      </c>
      <c r="AW95" s="1" t="s">
        <v>26</v>
      </c>
      <c r="AX95" s="1" t="s">
        <v>26</v>
      </c>
      <c r="AY95" s="2">
        <v>1830754753.5599999</v>
      </c>
      <c r="AZ95" s="1">
        <v>1</v>
      </c>
      <c r="BA95" s="1" t="s">
        <v>26</v>
      </c>
      <c r="BB95" s="1" t="s">
        <v>26</v>
      </c>
    </row>
    <row r="96" spans="1:54" s="7" customFormat="1">
      <c r="A96" s="5" t="s">
        <v>125</v>
      </c>
      <c r="B96" s="20" t="s">
        <v>25</v>
      </c>
      <c r="C96" s="9" t="s">
        <v>26</v>
      </c>
      <c r="D96" s="10" t="s">
        <v>26</v>
      </c>
      <c r="E96" s="10" t="s">
        <v>26</v>
      </c>
      <c r="F96" s="10" t="s">
        <v>26</v>
      </c>
      <c r="G96" s="9">
        <v>16928969.77</v>
      </c>
      <c r="H96" s="10">
        <v>9.3307311249999996E-5</v>
      </c>
      <c r="I96" s="1" t="s">
        <v>26</v>
      </c>
      <c r="J96" s="1" t="s">
        <v>26</v>
      </c>
      <c r="K96" s="9" t="s">
        <v>26</v>
      </c>
      <c r="L96" s="10" t="s">
        <v>26</v>
      </c>
      <c r="M96" s="1" t="s">
        <v>26</v>
      </c>
      <c r="N96" s="1" t="s">
        <v>26</v>
      </c>
      <c r="O96" s="9" t="s">
        <v>26</v>
      </c>
      <c r="P96" s="10" t="s">
        <v>26</v>
      </c>
      <c r="Q96" s="10" t="s">
        <v>26</v>
      </c>
      <c r="R96" s="10" t="s">
        <v>26</v>
      </c>
      <c r="S96" s="9">
        <v>16928969.77</v>
      </c>
      <c r="T96" s="10">
        <v>1.2935029095999999E-4</v>
      </c>
      <c r="U96" s="1" t="s">
        <v>26</v>
      </c>
      <c r="V96" s="1" t="s">
        <v>26</v>
      </c>
      <c r="W96" s="9" t="s">
        <v>26</v>
      </c>
      <c r="X96" s="10" t="s">
        <v>26</v>
      </c>
      <c r="Y96" s="10" t="s">
        <v>26</v>
      </c>
      <c r="Z96" s="10" t="s">
        <v>26</v>
      </c>
      <c r="AA96" s="9" t="s">
        <v>26</v>
      </c>
      <c r="AB96" s="10" t="s">
        <v>26</v>
      </c>
      <c r="AC96" s="1" t="s">
        <v>26</v>
      </c>
      <c r="AD96" s="1" t="s">
        <v>26</v>
      </c>
      <c r="AE96" s="9">
        <v>33857939.539999999</v>
      </c>
      <c r="AF96" s="10">
        <v>4.464280068E-5</v>
      </c>
      <c r="AG96" s="1" t="s">
        <v>26</v>
      </c>
      <c r="AH96" s="1" t="s">
        <v>26</v>
      </c>
      <c r="AI96" s="9" t="s">
        <v>26</v>
      </c>
      <c r="AJ96" s="10" t="s">
        <v>26</v>
      </c>
      <c r="AK96" s="10" t="s">
        <v>26</v>
      </c>
      <c r="AL96" s="10" t="s">
        <v>26</v>
      </c>
      <c r="AM96" s="9" t="s">
        <v>26</v>
      </c>
      <c r="AN96" s="10" t="s">
        <v>26</v>
      </c>
      <c r="AO96" s="10" t="s">
        <v>26</v>
      </c>
      <c r="AP96" s="10" t="s">
        <v>26</v>
      </c>
      <c r="AQ96" s="9" t="s">
        <v>26</v>
      </c>
      <c r="AR96" s="10" t="s">
        <v>26</v>
      </c>
      <c r="AS96" s="10" t="s">
        <v>26</v>
      </c>
      <c r="AT96" s="10" t="s">
        <v>26</v>
      </c>
      <c r="AU96" s="9" t="s">
        <v>26</v>
      </c>
      <c r="AV96" s="10" t="s">
        <v>26</v>
      </c>
      <c r="AW96" s="10" t="s">
        <v>26</v>
      </c>
      <c r="AX96" s="10" t="s">
        <v>26</v>
      </c>
      <c r="AY96" s="9">
        <v>33857939.539999999</v>
      </c>
      <c r="AZ96" s="10">
        <v>3.9463102370000001E-5</v>
      </c>
      <c r="BA96" s="1" t="s">
        <v>26</v>
      </c>
      <c r="BB96" s="1" t="s">
        <v>26</v>
      </c>
    </row>
    <row r="97" spans="1:54" s="7" customFormat="1">
      <c r="A97" s="3" t="s">
        <v>88</v>
      </c>
      <c r="B97" s="23" t="s">
        <v>47</v>
      </c>
      <c r="C97" s="2" t="s">
        <v>26</v>
      </c>
      <c r="D97" s="1" t="s">
        <v>26</v>
      </c>
      <c r="E97" s="1" t="s">
        <v>26</v>
      </c>
      <c r="F97" s="1" t="s">
        <v>26</v>
      </c>
      <c r="G97" s="2">
        <v>16928969.77</v>
      </c>
      <c r="H97" s="1">
        <v>1</v>
      </c>
      <c r="I97" s="1" t="s">
        <v>26</v>
      </c>
      <c r="J97" s="1" t="s">
        <v>26</v>
      </c>
      <c r="K97" s="2" t="s">
        <v>26</v>
      </c>
      <c r="L97" s="1" t="s">
        <v>26</v>
      </c>
      <c r="M97" s="1" t="s">
        <v>26</v>
      </c>
      <c r="N97" s="1" t="s">
        <v>26</v>
      </c>
      <c r="O97" s="2" t="s">
        <v>26</v>
      </c>
      <c r="P97" s="1" t="s">
        <v>26</v>
      </c>
      <c r="Q97" s="10" t="s">
        <v>26</v>
      </c>
      <c r="R97" s="10" t="s">
        <v>26</v>
      </c>
      <c r="S97" s="2">
        <v>16928969.77</v>
      </c>
      <c r="T97" s="1">
        <v>1</v>
      </c>
      <c r="U97" s="1" t="s">
        <v>26</v>
      </c>
      <c r="V97" s="1" t="s">
        <v>26</v>
      </c>
      <c r="W97" s="2" t="s">
        <v>26</v>
      </c>
      <c r="X97" s="1" t="s">
        <v>26</v>
      </c>
      <c r="Y97" s="1" t="s">
        <v>26</v>
      </c>
      <c r="Z97" s="1" t="s">
        <v>26</v>
      </c>
      <c r="AA97" s="2" t="s">
        <v>26</v>
      </c>
      <c r="AB97" s="1" t="s">
        <v>26</v>
      </c>
      <c r="AC97" s="1" t="s">
        <v>26</v>
      </c>
      <c r="AD97" s="1" t="s">
        <v>26</v>
      </c>
      <c r="AE97" s="2">
        <v>33857939.539999999</v>
      </c>
      <c r="AF97" s="1">
        <v>1</v>
      </c>
      <c r="AG97" s="1" t="s">
        <v>26</v>
      </c>
      <c r="AH97" s="1" t="s">
        <v>26</v>
      </c>
      <c r="AI97" s="2" t="s">
        <v>26</v>
      </c>
      <c r="AJ97" s="1" t="s">
        <v>26</v>
      </c>
      <c r="AK97" s="1" t="s">
        <v>26</v>
      </c>
      <c r="AL97" s="1" t="s">
        <v>26</v>
      </c>
      <c r="AM97" s="2" t="s">
        <v>26</v>
      </c>
      <c r="AN97" s="1" t="s">
        <v>26</v>
      </c>
      <c r="AO97" s="1" t="s">
        <v>26</v>
      </c>
      <c r="AP97" s="1" t="s">
        <v>26</v>
      </c>
      <c r="AQ97" s="2" t="s">
        <v>26</v>
      </c>
      <c r="AR97" s="1" t="s">
        <v>26</v>
      </c>
      <c r="AS97" s="1" t="s">
        <v>26</v>
      </c>
      <c r="AT97" s="1" t="s">
        <v>26</v>
      </c>
      <c r="AU97" s="2" t="s">
        <v>26</v>
      </c>
      <c r="AV97" s="1" t="s">
        <v>26</v>
      </c>
      <c r="AW97" s="1" t="s">
        <v>26</v>
      </c>
      <c r="AX97" s="1" t="s">
        <v>26</v>
      </c>
      <c r="AY97" s="2">
        <v>33857939.539999999</v>
      </c>
      <c r="AZ97" s="1">
        <v>1</v>
      </c>
      <c r="BA97" s="1" t="s">
        <v>26</v>
      </c>
      <c r="BB97" s="1" t="s">
        <v>26</v>
      </c>
    </row>
    <row r="98" spans="1:54" s="28" customFormat="1">
      <c r="A98" s="5" t="s">
        <v>89</v>
      </c>
      <c r="B98" s="20" t="s">
        <v>25</v>
      </c>
      <c r="C98" s="9" t="s">
        <v>26</v>
      </c>
      <c r="D98" s="10" t="s">
        <v>26</v>
      </c>
      <c r="E98" s="10" t="s">
        <v>26</v>
      </c>
      <c r="F98" s="10" t="s">
        <v>26</v>
      </c>
      <c r="G98" s="9">
        <v>2809911501.9499998</v>
      </c>
      <c r="H98" s="10">
        <v>1.5487374048629999E-2</v>
      </c>
      <c r="I98" s="1" t="s">
        <v>26</v>
      </c>
      <c r="J98" s="1" t="s">
        <v>26</v>
      </c>
      <c r="K98" s="9" t="s">
        <v>26</v>
      </c>
      <c r="L98" s="10" t="s">
        <v>26</v>
      </c>
      <c r="M98" s="1" t="s">
        <v>26</v>
      </c>
      <c r="N98" s="1" t="s">
        <v>26</v>
      </c>
      <c r="O98" s="9">
        <v>3566782815.3800001</v>
      </c>
      <c r="P98" s="10">
        <v>1.3548589887990001E-2</v>
      </c>
      <c r="Q98" s="10" t="s">
        <v>26</v>
      </c>
      <c r="R98" s="10" t="s">
        <v>26</v>
      </c>
      <c r="S98" s="9">
        <v>1299894181.6099999</v>
      </c>
      <c r="T98" s="10">
        <v>9.93218683066E-3</v>
      </c>
      <c r="U98" s="1" t="s">
        <v>26</v>
      </c>
      <c r="V98" s="1" t="s">
        <v>26</v>
      </c>
      <c r="W98" s="9" t="s">
        <v>26</v>
      </c>
      <c r="X98" s="10" t="s">
        <v>26</v>
      </c>
      <c r="Y98" s="10" t="s">
        <v>26</v>
      </c>
      <c r="Z98" s="10" t="s">
        <v>26</v>
      </c>
      <c r="AA98" s="9">
        <v>1987728432.0999999</v>
      </c>
      <c r="AB98" s="10">
        <v>1.2245062628139999E-2</v>
      </c>
      <c r="AC98" s="1" t="s">
        <v>26</v>
      </c>
      <c r="AD98" s="1" t="s">
        <v>26</v>
      </c>
      <c r="AE98" s="9">
        <v>9664316931.0400009</v>
      </c>
      <c r="AF98" s="10">
        <v>1.2742717965489999E-2</v>
      </c>
      <c r="AG98" s="1" t="s">
        <v>26</v>
      </c>
      <c r="AH98" s="1" t="s">
        <v>26</v>
      </c>
      <c r="AI98" s="9" t="s">
        <v>26</v>
      </c>
      <c r="AJ98" s="10" t="s">
        <v>26</v>
      </c>
      <c r="AK98" s="10" t="s">
        <v>26</v>
      </c>
      <c r="AL98" s="10" t="s">
        <v>26</v>
      </c>
      <c r="AM98" s="9" t="s">
        <v>26</v>
      </c>
      <c r="AN98" s="10" t="s">
        <v>26</v>
      </c>
      <c r="AO98" s="10" t="s">
        <v>26</v>
      </c>
      <c r="AP98" s="10" t="s">
        <v>26</v>
      </c>
      <c r="AQ98" s="9" t="s">
        <v>26</v>
      </c>
      <c r="AR98" s="10" t="s">
        <v>26</v>
      </c>
      <c r="AS98" s="10" t="s">
        <v>26</v>
      </c>
      <c r="AT98" s="10" t="s">
        <v>26</v>
      </c>
      <c r="AU98" s="9">
        <v>326083211.17000002</v>
      </c>
      <c r="AV98" s="10">
        <v>5.9247515073299999E-3</v>
      </c>
      <c r="AW98" s="1" t="s">
        <v>26</v>
      </c>
      <c r="AX98" s="1" t="s">
        <v>26</v>
      </c>
      <c r="AY98" s="9">
        <v>9990400142.2099991</v>
      </c>
      <c r="AZ98" s="10">
        <v>1.1644305261700001E-2</v>
      </c>
      <c r="BA98" s="1" t="s">
        <v>26</v>
      </c>
      <c r="BB98" s="1" t="s">
        <v>26</v>
      </c>
    </row>
    <row r="99" spans="1:54" s="7" customFormat="1">
      <c r="A99" s="3" t="s">
        <v>88</v>
      </c>
      <c r="B99" s="23" t="s">
        <v>47</v>
      </c>
      <c r="C99" s="2" t="s">
        <v>26</v>
      </c>
      <c r="D99" s="1" t="s">
        <v>26</v>
      </c>
      <c r="E99" s="1" t="s">
        <v>26</v>
      </c>
      <c r="F99" s="1" t="s">
        <v>26</v>
      </c>
      <c r="G99" s="2">
        <v>2809911501.9499998</v>
      </c>
      <c r="H99" s="1">
        <v>1</v>
      </c>
      <c r="I99" s="1" t="s">
        <v>26</v>
      </c>
      <c r="J99" s="1" t="s">
        <v>26</v>
      </c>
      <c r="K99" s="2" t="s">
        <v>26</v>
      </c>
      <c r="L99" s="1" t="s">
        <v>26</v>
      </c>
      <c r="M99" s="1" t="s">
        <v>26</v>
      </c>
      <c r="N99" s="1" t="s">
        <v>26</v>
      </c>
      <c r="O99" s="2">
        <v>3566782815.3800001</v>
      </c>
      <c r="P99" s="1">
        <v>1</v>
      </c>
      <c r="Q99" s="10" t="s">
        <v>26</v>
      </c>
      <c r="R99" s="10" t="s">
        <v>26</v>
      </c>
      <c r="S99" s="2">
        <v>1299894181.6099999</v>
      </c>
      <c r="T99" s="1">
        <v>1</v>
      </c>
      <c r="U99" s="1" t="s">
        <v>26</v>
      </c>
      <c r="V99" s="1" t="s">
        <v>26</v>
      </c>
      <c r="W99" s="2" t="s">
        <v>26</v>
      </c>
      <c r="X99" s="1" t="s">
        <v>26</v>
      </c>
      <c r="Y99" s="1" t="s">
        <v>26</v>
      </c>
      <c r="Z99" s="1" t="s">
        <v>26</v>
      </c>
      <c r="AA99" s="2">
        <v>1987728432.0999999</v>
      </c>
      <c r="AB99" s="1">
        <v>1</v>
      </c>
      <c r="AC99" s="1" t="s">
        <v>26</v>
      </c>
      <c r="AD99" s="1" t="s">
        <v>26</v>
      </c>
      <c r="AE99" s="2">
        <v>9664316931.0400009</v>
      </c>
      <c r="AF99" s="1">
        <v>1</v>
      </c>
      <c r="AG99" s="1" t="s">
        <v>26</v>
      </c>
      <c r="AH99" s="1" t="s">
        <v>26</v>
      </c>
      <c r="AI99" s="2" t="s">
        <v>26</v>
      </c>
      <c r="AJ99" s="1" t="s">
        <v>26</v>
      </c>
      <c r="AK99" s="1" t="s">
        <v>26</v>
      </c>
      <c r="AL99" s="1" t="s">
        <v>26</v>
      </c>
      <c r="AM99" s="2" t="s">
        <v>26</v>
      </c>
      <c r="AN99" s="1" t="s">
        <v>26</v>
      </c>
      <c r="AO99" s="1" t="s">
        <v>26</v>
      </c>
      <c r="AP99" s="1" t="s">
        <v>26</v>
      </c>
      <c r="AQ99" s="2" t="s">
        <v>26</v>
      </c>
      <c r="AR99" s="1" t="s">
        <v>26</v>
      </c>
      <c r="AS99" s="1" t="s">
        <v>26</v>
      </c>
      <c r="AT99" s="1" t="s">
        <v>26</v>
      </c>
      <c r="AU99" s="2">
        <v>326083211.17000002</v>
      </c>
      <c r="AV99" s="1">
        <v>1</v>
      </c>
      <c r="AW99" s="1" t="s">
        <v>26</v>
      </c>
      <c r="AX99" s="1" t="s">
        <v>26</v>
      </c>
      <c r="AY99" s="2">
        <v>9990400142.2099991</v>
      </c>
      <c r="AZ99" s="1">
        <v>1</v>
      </c>
      <c r="BA99" s="1" t="s">
        <v>26</v>
      </c>
      <c r="BB99" s="1" t="s">
        <v>26</v>
      </c>
    </row>
    <row r="100" spans="1:54" s="28" customFormat="1">
      <c r="A100" s="5" t="s">
        <v>90</v>
      </c>
      <c r="B100" s="20" t="s">
        <v>25</v>
      </c>
      <c r="C100" s="9" t="s">
        <v>26</v>
      </c>
      <c r="D100" s="10" t="s">
        <v>26</v>
      </c>
      <c r="E100" s="10" t="s">
        <v>26</v>
      </c>
      <c r="F100" s="10" t="s">
        <v>26</v>
      </c>
      <c r="G100" s="9">
        <v>2006901048.4300001</v>
      </c>
      <c r="H100" s="10">
        <v>1.106142566912E-2</v>
      </c>
      <c r="I100" s="1" t="s">
        <v>26</v>
      </c>
      <c r="J100" s="1" t="s">
        <v>26</v>
      </c>
      <c r="K100" s="9" t="s">
        <v>26</v>
      </c>
      <c r="L100" s="10" t="s">
        <v>26</v>
      </c>
      <c r="M100" s="1" t="s">
        <v>26</v>
      </c>
      <c r="N100" s="1" t="s">
        <v>26</v>
      </c>
      <c r="O100" s="9">
        <v>1306576203.3900001</v>
      </c>
      <c r="P100" s="10">
        <v>4.9630902842799996E-3</v>
      </c>
      <c r="Q100" s="10" t="s">
        <v>26</v>
      </c>
      <c r="R100" s="10" t="s">
        <v>26</v>
      </c>
      <c r="S100" s="9">
        <v>1306576203.4100001</v>
      </c>
      <c r="T100" s="10">
        <v>9.9832425934000008E-3</v>
      </c>
      <c r="U100" s="1" t="s">
        <v>26</v>
      </c>
      <c r="V100" s="1" t="s">
        <v>26</v>
      </c>
      <c r="W100" s="9" t="s">
        <v>26</v>
      </c>
      <c r="X100" s="10" t="s">
        <v>26</v>
      </c>
      <c r="Y100" s="10" t="s">
        <v>26</v>
      </c>
      <c r="Z100" s="10" t="s">
        <v>26</v>
      </c>
      <c r="AA100" s="9">
        <v>1253529209.54</v>
      </c>
      <c r="AB100" s="10">
        <v>7.7221533028000002E-3</v>
      </c>
      <c r="AC100" s="1" t="s">
        <v>26</v>
      </c>
      <c r="AD100" s="1" t="s">
        <v>26</v>
      </c>
      <c r="AE100" s="9">
        <v>5873582664.7700005</v>
      </c>
      <c r="AF100" s="10">
        <v>7.7445108514299999E-3</v>
      </c>
      <c r="AG100" s="1" t="s">
        <v>26</v>
      </c>
      <c r="AH100" s="1" t="s">
        <v>26</v>
      </c>
      <c r="AI100" s="9" t="s">
        <v>26</v>
      </c>
      <c r="AJ100" s="10" t="s">
        <v>26</v>
      </c>
      <c r="AK100" s="10" t="s">
        <v>26</v>
      </c>
      <c r="AL100" s="10" t="s">
        <v>26</v>
      </c>
      <c r="AM100" s="9" t="s">
        <v>26</v>
      </c>
      <c r="AN100" s="10" t="s">
        <v>26</v>
      </c>
      <c r="AO100" s="10" t="s">
        <v>26</v>
      </c>
      <c r="AP100" s="10" t="s">
        <v>26</v>
      </c>
      <c r="AQ100" s="9" t="s">
        <v>26</v>
      </c>
      <c r="AR100" s="10" t="s">
        <v>26</v>
      </c>
      <c r="AS100" s="10" t="s">
        <v>26</v>
      </c>
      <c r="AT100" s="10" t="s">
        <v>26</v>
      </c>
      <c r="AU100" s="9" t="s">
        <v>26</v>
      </c>
      <c r="AV100" s="10" t="s">
        <v>26</v>
      </c>
      <c r="AW100" s="1" t="s">
        <v>26</v>
      </c>
      <c r="AX100" s="1" t="s">
        <v>26</v>
      </c>
      <c r="AY100" s="9">
        <v>5873582664.7700005</v>
      </c>
      <c r="AZ100" s="10">
        <v>6.8459509684099997E-3</v>
      </c>
      <c r="BA100" s="1" t="s">
        <v>26</v>
      </c>
      <c r="BB100" s="1" t="s">
        <v>26</v>
      </c>
    </row>
    <row r="101" spans="1:54" s="7" customFormat="1">
      <c r="A101" s="3" t="s">
        <v>88</v>
      </c>
      <c r="B101" s="23" t="s">
        <v>47</v>
      </c>
      <c r="C101" s="2" t="s">
        <v>26</v>
      </c>
      <c r="D101" s="1" t="s">
        <v>26</v>
      </c>
      <c r="E101" s="1" t="s">
        <v>26</v>
      </c>
      <c r="F101" s="1" t="s">
        <v>26</v>
      </c>
      <c r="G101" s="2">
        <v>2006901048.4300001</v>
      </c>
      <c r="H101" s="1">
        <v>1</v>
      </c>
      <c r="I101" s="1" t="s">
        <v>26</v>
      </c>
      <c r="J101" s="1" t="s">
        <v>26</v>
      </c>
      <c r="K101" s="2" t="s">
        <v>26</v>
      </c>
      <c r="L101" s="1" t="s">
        <v>26</v>
      </c>
      <c r="M101" s="1" t="s">
        <v>26</v>
      </c>
      <c r="N101" s="1" t="s">
        <v>26</v>
      </c>
      <c r="O101" s="2">
        <v>1306576203.3900001</v>
      </c>
      <c r="P101" s="1">
        <v>1</v>
      </c>
      <c r="Q101" s="10" t="s">
        <v>26</v>
      </c>
      <c r="R101" s="10" t="s">
        <v>26</v>
      </c>
      <c r="S101" s="2">
        <v>1306576203.4100001</v>
      </c>
      <c r="T101" s="1">
        <v>1</v>
      </c>
      <c r="U101" s="1" t="s">
        <v>26</v>
      </c>
      <c r="V101" s="1" t="s">
        <v>26</v>
      </c>
      <c r="W101" s="2" t="s">
        <v>26</v>
      </c>
      <c r="X101" s="1" t="s">
        <v>26</v>
      </c>
      <c r="Y101" s="1" t="s">
        <v>26</v>
      </c>
      <c r="Z101" s="1" t="s">
        <v>26</v>
      </c>
      <c r="AA101" s="2">
        <v>1253529209.54</v>
      </c>
      <c r="AB101" s="1">
        <v>1</v>
      </c>
      <c r="AC101" s="1" t="s">
        <v>26</v>
      </c>
      <c r="AD101" s="1" t="s">
        <v>26</v>
      </c>
      <c r="AE101" s="2">
        <v>5873582664.7700005</v>
      </c>
      <c r="AF101" s="1">
        <v>1</v>
      </c>
      <c r="AG101" s="1" t="s">
        <v>26</v>
      </c>
      <c r="AH101" s="1" t="s">
        <v>26</v>
      </c>
      <c r="AI101" s="2" t="s">
        <v>26</v>
      </c>
      <c r="AJ101" s="1" t="s">
        <v>26</v>
      </c>
      <c r="AK101" s="1" t="s">
        <v>26</v>
      </c>
      <c r="AL101" s="1" t="s">
        <v>26</v>
      </c>
      <c r="AM101" s="2" t="s">
        <v>26</v>
      </c>
      <c r="AN101" s="1" t="s">
        <v>26</v>
      </c>
      <c r="AO101" s="1" t="s">
        <v>26</v>
      </c>
      <c r="AP101" s="1" t="s">
        <v>26</v>
      </c>
      <c r="AQ101" s="2" t="s">
        <v>26</v>
      </c>
      <c r="AR101" s="1" t="s">
        <v>26</v>
      </c>
      <c r="AS101" s="1" t="s">
        <v>26</v>
      </c>
      <c r="AT101" s="1" t="s">
        <v>26</v>
      </c>
      <c r="AU101" s="2" t="s">
        <v>26</v>
      </c>
      <c r="AV101" s="1" t="s">
        <v>26</v>
      </c>
      <c r="AW101" s="1" t="s">
        <v>26</v>
      </c>
      <c r="AX101" s="1" t="s">
        <v>26</v>
      </c>
      <c r="AY101" s="2">
        <v>5873582664.7700005</v>
      </c>
      <c r="AZ101" s="1">
        <v>1</v>
      </c>
      <c r="BA101" s="1" t="s">
        <v>26</v>
      </c>
      <c r="BB101" s="1" t="s">
        <v>26</v>
      </c>
    </row>
    <row r="102" spans="1:54" s="7" customFormat="1">
      <c r="A102" s="5" t="s">
        <v>91</v>
      </c>
      <c r="B102" s="20" t="s">
        <v>25</v>
      </c>
      <c r="C102" s="9" t="s">
        <v>26</v>
      </c>
      <c r="D102" s="10" t="s">
        <v>26</v>
      </c>
      <c r="E102" s="10" t="s">
        <v>26</v>
      </c>
      <c r="F102" s="10" t="s">
        <v>26</v>
      </c>
      <c r="G102" s="9">
        <v>614505148.87</v>
      </c>
      <c r="H102" s="10">
        <v>3.3869647100100001E-3</v>
      </c>
      <c r="I102" s="1" t="s">
        <v>26</v>
      </c>
      <c r="J102" s="1" t="s">
        <v>26</v>
      </c>
      <c r="K102" s="9" t="s">
        <v>26</v>
      </c>
      <c r="L102" s="10" t="s">
        <v>26</v>
      </c>
      <c r="M102" s="1" t="s">
        <v>26</v>
      </c>
      <c r="N102" s="1" t="s">
        <v>26</v>
      </c>
      <c r="O102" s="9">
        <v>4736307173.29</v>
      </c>
      <c r="P102" s="10">
        <v>1.7991082383189999E-2</v>
      </c>
      <c r="Q102" s="10" t="s">
        <v>26</v>
      </c>
      <c r="R102" s="10" t="s">
        <v>26</v>
      </c>
      <c r="S102" s="9">
        <v>1274044983.04</v>
      </c>
      <c r="T102" s="10">
        <v>9.7346791617600008E-3</v>
      </c>
      <c r="U102" s="1" t="s">
        <v>26</v>
      </c>
      <c r="V102" s="1" t="s">
        <v>26</v>
      </c>
      <c r="W102" s="9" t="s">
        <v>26</v>
      </c>
      <c r="X102" s="10" t="s">
        <v>26</v>
      </c>
      <c r="Y102" s="10" t="s">
        <v>26</v>
      </c>
      <c r="Z102" s="10" t="s">
        <v>26</v>
      </c>
      <c r="AA102" s="9">
        <v>1324206165.74</v>
      </c>
      <c r="AB102" s="10">
        <v>8.1575466598900002E-3</v>
      </c>
      <c r="AC102" s="1" t="s">
        <v>26</v>
      </c>
      <c r="AD102" s="1" t="s">
        <v>26</v>
      </c>
      <c r="AE102" s="9">
        <v>7949063470.9399996</v>
      </c>
      <c r="AF102" s="10">
        <v>1.048110017736E-2</v>
      </c>
      <c r="AG102" s="1" t="s">
        <v>26</v>
      </c>
      <c r="AH102" s="1" t="s">
        <v>26</v>
      </c>
      <c r="AI102" s="9" t="s">
        <v>26</v>
      </c>
      <c r="AJ102" s="10" t="s">
        <v>26</v>
      </c>
      <c r="AK102" s="10" t="s">
        <v>26</v>
      </c>
      <c r="AL102" s="10" t="s">
        <v>26</v>
      </c>
      <c r="AM102" s="9" t="s">
        <v>26</v>
      </c>
      <c r="AN102" s="10" t="s">
        <v>26</v>
      </c>
      <c r="AO102" s="10" t="s">
        <v>26</v>
      </c>
      <c r="AP102" s="10" t="s">
        <v>26</v>
      </c>
      <c r="AQ102" s="9" t="s">
        <v>26</v>
      </c>
      <c r="AR102" s="10" t="s">
        <v>26</v>
      </c>
      <c r="AS102" s="10" t="s">
        <v>26</v>
      </c>
      <c r="AT102" s="10" t="s">
        <v>26</v>
      </c>
      <c r="AU102" s="9">
        <v>367930435.41000003</v>
      </c>
      <c r="AV102" s="10">
        <v>6.6850924154199997E-3</v>
      </c>
      <c r="AW102" s="1" t="s">
        <v>26</v>
      </c>
      <c r="AX102" s="1" t="s">
        <v>26</v>
      </c>
      <c r="AY102" s="9">
        <v>8316993906.3500004</v>
      </c>
      <c r="AZ102" s="10">
        <v>9.6938675655299997E-3</v>
      </c>
      <c r="BA102" s="1" t="s">
        <v>26</v>
      </c>
      <c r="BB102" s="1" t="s">
        <v>26</v>
      </c>
    </row>
    <row r="103" spans="1:54" s="28" customFormat="1">
      <c r="A103" s="3" t="s">
        <v>88</v>
      </c>
      <c r="B103" s="23" t="s">
        <v>47</v>
      </c>
      <c r="C103" s="2" t="s">
        <v>26</v>
      </c>
      <c r="D103" s="1" t="s">
        <v>26</v>
      </c>
      <c r="E103" s="1" t="s">
        <v>26</v>
      </c>
      <c r="F103" s="1" t="s">
        <v>26</v>
      </c>
      <c r="G103" s="2">
        <v>614505148.87</v>
      </c>
      <c r="H103" s="1">
        <v>1</v>
      </c>
      <c r="I103" s="1" t="s">
        <v>26</v>
      </c>
      <c r="J103" s="1" t="s">
        <v>26</v>
      </c>
      <c r="K103" s="2" t="s">
        <v>26</v>
      </c>
      <c r="L103" s="1" t="s">
        <v>26</v>
      </c>
      <c r="M103" s="1" t="s">
        <v>26</v>
      </c>
      <c r="N103" s="1" t="s">
        <v>26</v>
      </c>
      <c r="O103" s="2">
        <v>4736307173.29</v>
      </c>
      <c r="P103" s="1">
        <v>1</v>
      </c>
      <c r="Q103" s="10" t="s">
        <v>26</v>
      </c>
      <c r="R103" s="10" t="s">
        <v>26</v>
      </c>
      <c r="S103" s="2">
        <v>1274044983.04</v>
      </c>
      <c r="T103" s="1">
        <v>1</v>
      </c>
      <c r="U103" s="1" t="s">
        <v>26</v>
      </c>
      <c r="V103" s="1" t="s">
        <v>26</v>
      </c>
      <c r="W103" s="2" t="s">
        <v>26</v>
      </c>
      <c r="X103" s="1" t="s">
        <v>26</v>
      </c>
      <c r="Y103" s="1" t="s">
        <v>26</v>
      </c>
      <c r="Z103" s="1" t="s">
        <v>26</v>
      </c>
      <c r="AA103" s="2">
        <v>1324206165.74</v>
      </c>
      <c r="AB103" s="1">
        <v>1</v>
      </c>
      <c r="AC103" s="1" t="s">
        <v>26</v>
      </c>
      <c r="AD103" s="1" t="s">
        <v>26</v>
      </c>
      <c r="AE103" s="2">
        <v>7949063470.9399996</v>
      </c>
      <c r="AF103" s="1">
        <v>1</v>
      </c>
      <c r="AG103" s="1" t="s">
        <v>26</v>
      </c>
      <c r="AH103" s="1" t="s">
        <v>26</v>
      </c>
      <c r="AI103" s="2" t="s">
        <v>26</v>
      </c>
      <c r="AJ103" s="1" t="s">
        <v>26</v>
      </c>
      <c r="AK103" s="1" t="s">
        <v>26</v>
      </c>
      <c r="AL103" s="1" t="s">
        <v>26</v>
      </c>
      <c r="AM103" s="2" t="s">
        <v>26</v>
      </c>
      <c r="AN103" s="1" t="s">
        <v>26</v>
      </c>
      <c r="AO103" s="1" t="s">
        <v>26</v>
      </c>
      <c r="AP103" s="1" t="s">
        <v>26</v>
      </c>
      <c r="AQ103" s="2" t="s">
        <v>26</v>
      </c>
      <c r="AR103" s="1" t="s">
        <v>26</v>
      </c>
      <c r="AS103" s="1" t="s">
        <v>26</v>
      </c>
      <c r="AT103" s="1" t="s">
        <v>26</v>
      </c>
      <c r="AU103" s="2">
        <v>367930435.41000003</v>
      </c>
      <c r="AV103" s="1">
        <v>1</v>
      </c>
      <c r="AW103" s="1" t="s">
        <v>26</v>
      </c>
      <c r="AX103" s="1" t="s">
        <v>26</v>
      </c>
      <c r="AY103" s="2">
        <v>8316993906.3500004</v>
      </c>
      <c r="AZ103" s="1">
        <v>1</v>
      </c>
      <c r="BA103" s="1" t="s">
        <v>26</v>
      </c>
      <c r="BB103" s="1" t="s">
        <v>26</v>
      </c>
    </row>
    <row r="104" spans="1:54" s="28" customFormat="1">
      <c r="A104" s="5" t="s">
        <v>92</v>
      </c>
      <c r="B104" s="20" t="s">
        <v>25</v>
      </c>
      <c r="C104" s="9" t="s">
        <v>26</v>
      </c>
      <c r="D104" s="10" t="s">
        <v>26</v>
      </c>
      <c r="E104" s="10" t="s">
        <v>26</v>
      </c>
      <c r="F104" s="10" t="s">
        <v>26</v>
      </c>
      <c r="G104" s="9" t="s">
        <v>26</v>
      </c>
      <c r="H104" s="10" t="s">
        <v>26</v>
      </c>
      <c r="I104" s="1" t="s">
        <v>26</v>
      </c>
      <c r="J104" s="1" t="s">
        <v>26</v>
      </c>
      <c r="K104" s="9" t="s">
        <v>26</v>
      </c>
      <c r="L104" s="10" t="s">
        <v>26</v>
      </c>
      <c r="M104" s="1" t="s">
        <v>26</v>
      </c>
      <c r="N104" s="1" t="s">
        <v>26</v>
      </c>
      <c r="O104" s="9">
        <v>2467960899.0999999</v>
      </c>
      <c r="P104" s="10">
        <v>9.3746638952400003E-3</v>
      </c>
      <c r="Q104" s="10" t="s">
        <v>26</v>
      </c>
      <c r="R104" s="10" t="s">
        <v>26</v>
      </c>
      <c r="S104" s="9" t="s">
        <v>26</v>
      </c>
      <c r="T104" s="10" t="s">
        <v>26</v>
      </c>
      <c r="U104" s="1" t="s">
        <v>26</v>
      </c>
      <c r="V104" s="1" t="s">
        <v>26</v>
      </c>
      <c r="W104" s="9" t="s">
        <v>26</v>
      </c>
      <c r="X104" s="10" t="s">
        <v>26</v>
      </c>
      <c r="Y104" s="10" t="s">
        <v>26</v>
      </c>
      <c r="Z104" s="10" t="s">
        <v>26</v>
      </c>
      <c r="AA104" s="9" t="s">
        <v>26</v>
      </c>
      <c r="AB104" s="10" t="s">
        <v>26</v>
      </c>
      <c r="AC104" s="1" t="s">
        <v>26</v>
      </c>
      <c r="AD104" s="1" t="s">
        <v>26</v>
      </c>
      <c r="AE104" s="9">
        <v>2467960899.0999999</v>
      </c>
      <c r="AF104" s="10">
        <v>3.2540871653400001E-3</v>
      </c>
      <c r="AG104" s="1" t="s">
        <v>26</v>
      </c>
      <c r="AH104" s="1" t="s">
        <v>26</v>
      </c>
      <c r="AI104" s="9" t="s">
        <v>26</v>
      </c>
      <c r="AJ104" s="10" t="s">
        <v>26</v>
      </c>
      <c r="AK104" s="10" t="s">
        <v>26</v>
      </c>
      <c r="AL104" s="10" t="s">
        <v>26</v>
      </c>
      <c r="AM104" s="9" t="s">
        <v>26</v>
      </c>
      <c r="AN104" s="10" t="s">
        <v>26</v>
      </c>
      <c r="AO104" s="10" t="s">
        <v>26</v>
      </c>
      <c r="AP104" s="10" t="s">
        <v>26</v>
      </c>
      <c r="AQ104" s="9" t="s">
        <v>26</v>
      </c>
      <c r="AR104" s="10" t="s">
        <v>26</v>
      </c>
      <c r="AS104" s="10" t="s">
        <v>26</v>
      </c>
      <c r="AT104" s="10" t="s">
        <v>26</v>
      </c>
      <c r="AU104" s="9" t="s">
        <v>26</v>
      </c>
      <c r="AV104" s="10" t="s">
        <v>26</v>
      </c>
      <c r="AW104" s="1" t="s">
        <v>26</v>
      </c>
      <c r="AX104" s="1" t="s">
        <v>26</v>
      </c>
      <c r="AY104" s="9">
        <v>2467960899.0999999</v>
      </c>
      <c r="AZ104" s="10">
        <v>2.8765304366200001E-3</v>
      </c>
      <c r="BA104" s="1" t="s">
        <v>26</v>
      </c>
      <c r="BB104" s="1" t="s">
        <v>26</v>
      </c>
    </row>
    <row r="105" spans="1:54" s="7" customFormat="1">
      <c r="A105" s="3" t="s">
        <v>88</v>
      </c>
      <c r="B105" s="23" t="s">
        <v>47</v>
      </c>
      <c r="C105" s="2" t="s">
        <v>26</v>
      </c>
      <c r="D105" s="1" t="s">
        <v>26</v>
      </c>
      <c r="E105" s="1" t="s">
        <v>26</v>
      </c>
      <c r="F105" s="1" t="s">
        <v>26</v>
      </c>
      <c r="G105" s="2" t="s">
        <v>26</v>
      </c>
      <c r="H105" s="1" t="s">
        <v>26</v>
      </c>
      <c r="I105" s="1" t="s">
        <v>26</v>
      </c>
      <c r="J105" s="1" t="s">
        <v>26</v>
      </c>
      <c r="K105" s="2" t="s">
        <v>26</v>
      </c>
      <c r="L105" s="1" t="s">
        <v>26</v>
      </c>
      <c r="M105" s="1" t="s">
        <v>26</v>
      </c>
      <c r="N105" s="1" t="s">
        <v>26</v>
      </c>
      <c r="O105" s="2">
        <v>2467960899.0999999</v>
      </c>
      <c r="P105" s="1">
        <v>1</v>
      </c>
      <c r="Q105" s="10" t="s">
        <v>26</v>
      </c>
      <c r="R105" s="10" t="s">
        <v>26</v>
      </c>
      <c r="S105" s="2" t="s">
        <v>26</v>
      </c>
      <c r="T105" s="1" t="s">
        <v>26</v>
      </c>
      <c r="U105" s="1" t="s">
        <v>26</v>
      </c>
      <c r="V105" s="1" t="s">
        <v>26</v>
      </c>
      <c r="W105" s="2" t="s">
        <v>26</v>
      </c>
      <c r="X105" s="1" t="s">
        <v>26</v>
      </c>
      <c r="Y105" s="1" t="s">
        <v>26</v>
      </c>
      <c r="Z105" s="1" t="s">
        <v>26</v>
      </c>
      <c r="AA105" s="2" t="s">
        <v>26</v>
      </c>
      <c r="AB105" s="1" t="s">
        <v>26</v>
      </c>
      <c r="AC105" s="1" t="s">
        <v>26</v>
      </c>
      <c r="AD105" s="1" t="s">
        <v>26</v>
      </c>
      <c r="AE105" s="2">
        <v>2467960899.0999999</v>
      </c>
      <c r="AF105" s="1">
        <v>1</v>
      </c>
      <c r="AG105" s="1" t="s">
        <v>26</v>
      </c>
      <c r="AH105" s="1" t="s">
        <v>26</v>
      </c>
      <c r="AI105" s="2" t="s">
        <v>26</v>
      </c>
      <c r="AJ105" s="1" t="s">
        <v>26</v>
      </c>
      <c r="AK105" s="1" t="s">
        <v>26</v>
      </c>
      <c r="AL105" s="1" t="s">
        <v>26</v>
      </c>
      <c r="AM105" s="2" t="s">
        <v>26</v>
      </c>
      <c r="AN105" s="1" t="s">
        <v>26</v>
      </c>
      <c r="AO105" s="1" t="s">
        <v>26</v>
      </c>
      <c r="AP105" s="1" t="s">
        <v>26</v>
      </c>
      <c r="AQ105" s="2" t="s">
        <v>26</v>
      </c>
      <c r="AR105" s="1" t="s">
        <v>26</v>
      </c>
      <c r="AS105" s="1" t="s">
        <v>26</v>
      </c>
      <c r="AT105" s="1" t="s">
        <v>26</v>
      </c>
      <c r="AU105" s="2" t="s">
        <v>26</v>
      </c>
      <c r="AV105" s="1" t="s">
        <v>26</v>
      </c>
      <c r="AW105" s="1" t="s">
        <v>26</v>
      </c>
      <c r="AX105" s="1" t="s">
        <v>26</v>
      </c>
      <c r="AY105" s="2">
        <v>2467960899.0999999</v>
      </c>
      <c r="AZ105" s="1">
        <v>1</v>
      </c>
      <c r="BA105" s="1" t="s">
        <v>26</v>
      </c>
      <c r="BB105" s="1" t="s">
        <v>26</v>
      </c>
    </row>
    <row r="106" spans="1:54" s="7" customFormat="1">
      <c r="A106" s="5" t="s">
        <v>93</v>
      </c>
      <c r="B106" s="20" t="s">
        <v>25</v>
      </c>
      <c r="C106" s="9" t="s">
        <v>26</v>
      </c>
      <c r="D106" s="10" t="s">
        <v>26</v>
      </c>
      <c r="E106" s="10" t="s">
        <v>26</v>
      </c>
      <c r="F106" s="10" t="s">
        <v>26</v>
      </c>
      <c r="G106" s="9" t="s">
        <v>26</v>
      </c>
      <c r="H106" s="10" t="s">
        <v>26</v>
      </c>
      <c r="I106" s="1" t="s">
        <v>26</v>
      </c>
      <c r="J106" s="1" t="s">
        <v>26</v>
      </c>
      <c r="K106" s="9" t="s">
        <v>26</v>
      </c>
      <c r="L106" s="10" t="s">
        <v>26</v>
      </c>
      <c r="M106" s="1" t="s">
        <v>26</v>
      </c>
      <c r="N106" s="1" t="s">
        <v>26</v>
      </c>
      <c r="O106" s="9">
        <v>331118595.39999998</v>
      </c>
      <c r="P106" s="10">
        <v>1.2577693359999999E-3</v>
      </c>
      <c r="Q106" s="10" t="s">
        <v>26</v>
      </c>
      <c r="R106" s="10" t="s">
        <v>26</v>
      </c>
      <c r="S106" s="9" t="s">
        <v>26</v>
      </c>
      <c r="T106" s="10" t="s">
        <v>26</v>
      </c>
      <c r="U106" s="1" t="s">
        <v>26</v>
      </c>
      <c r="V106" s="1" t="s">
        <v>26</v>
      </c>
      <c r="W106" s="9" t="s">
        <v>26</v>
      </c>
      <c r="X106" s="10" t="s">
        <v>26</v>
      </c>
      <c r="Y106" s="10" t="s">
        <v>26</v>
      </c>
      <c r="Z106" s="10" t="s">
        <v>26</v>
      </c>
      <c r="AA106" s="9">
        <v>331118595.39999998</v>
      </c>
      <c r="AB106" s="10">
        <v>2.0397997395099998E-3</v>
      </c>
      <c r="AC106" s="1" t="s">
        <v>26</v>
      </c>
      <c r="AD106" s="1" t="s">
        <v>26</v>
      </c>
      <c r="AE106" s="9">
        <v>662237190.79999995</v>
      </c>
      <c r="AF106" s="10">
        <v>8.7318139593999997E-4</v>
      </c>
      <c r="AG106" s="1" t="s">
        <v>26</v>
      </c>
      <c r="AH106" s="1" t="s">
        <v>26</v>
      </c>
      <c r="AI106" s="9" t="s">
        <v>26</v>
      </c>
      <c r="AJ106" s="10" t="s">
        <v>26</v>
      </c>
      <c r="AK106" s="10" t="s">
        <v>26</v>
      </c>
      <c r="AL106" s="10" t="s">
        <v>26</v>
      </c>
      <c r="AM106" s="9" t="s">
        <v>26</v>
      </c>
      <c r="AN106" s="10" t="s">
        <v>26</v>
      </c>
      <c r="AO106" s="10" t="s">
        <v>26</v>
      </c>
      <c r="AP106" s="10" t="s">
        <v>26</v>
      </c>
      <c r="AQ106" s="9" t="s">
        <v>26</v>
      </c>
      <c r="AR106" s="10" t="s">
        <v>26</v>
      </c>
      <c r="AS106" s="10" t="s">
        <v>26</v>
      </c>
      <c r="AT106" s="10" t="s">
        <v>26</v>
      </c>
      <c r="AU106" s="9" t="s">
        <v>26</v>
      </c>
      <c r="AV106" s="10" t="s">
        <v>26</v>
      </c>
      <c r="AW106" s="1" t="s">
        <v>26</v>
      </c>
      <c r="AX106" s="1" t="s">
        <v>26</v>
      </c>
      <c r="AY106" s="9">
        <v>662237190.79999995</v>
      </c>
      <c r="AZ106" s="10">
        <v>7.7187018493000005E-4</v>
      </c>
      <c r="BA106" s="1" t="s">
        <v>26</v>
      </c>
      <c r="BB106" s="1" t="s">
        <v>26</v>
      </c>
    </row>
    <row r="107" spans="1:54" s="28" customFormat="1">
      <c r="A107" s="3" t="s">
        <v>88</v>
      </c>
      <c r="B107" s="23" t="s">
        <v>47</v>
      </c>
      <c r="C107" s="2" t="s">
        <v>26</v>
      </c>
      <c r="D107" s="1" t="s">
        <v>26</v>
      </c>
      <c r="E107" s="1" t="s">
        <v>26</v>
      </c>
      <c r="F107" s="1" t="s">
        <v>26</v>
      </c>
      <c r="G107" s="2" t="s">
        <v>26</v>
      </c>
      <c r="H107" s="1" t="s">
        <v>26</v>
      </c>
      <c r="I107" s="1" t="s">
        <v>26</v>
      </c>
      <c r="J107" s="1" t="s">
        <v>26</v>
      </c>
      <c r="K107" s="2" t="s">
        <v>26</v>
      </c>
      <c r="L107" s="1" t="s">
        <v>26</v>
      </c>
      <c r="M107" s="1" t="s">
        <v>26</v>
      </c>
      <c r="N107" s="1" t="s">
        <v>26</v>
      </c>
      <c r="O107" s="2">
        <v>331118595.39999998</v>
      </c>
      <c r="P107" s="1">
        <v>1</v>
      </c>
      <c r="Q107" s="10" t="s">
        <v>26</v>
      </c>
      <c r="R107" s="10" t="s">
        <v>26</v>
      </c>
      <c r="S107" s="2" t="s">
        <v>26</v>
      </c>
      <c r="T107" s="1" t="s">
        <v>26</v>
      </c>
      <c r="U107" s="1" t="s">
        <v>26</v>
      </c>
      <c r="V107" s="1" t="s">
        <v>26</v>
      </c>
      <c r="W107" s="2" t="s">
        <v>26</v>
      </c>
      <c r="X107" s="1" t="s">
        <v>26</v>
      </c>
      <c r="Y107" s="1" t="s">
        <v>26</v>
      </c>
      <c r="Z107" s="1" t="s">
        <v>26</v>
      </c>
      <c r="AA107" s="2">
        <v>331118595.39999998</v>
      </c>
      <c r="AB107" s="1">
        <v>1</v>
      </c>
      <c r="AC107" s="1" t="s">
        <v>26</v>
      </c>
      <c r="AD107" s="1" t="s">
        <v>26</v>
      </c>
      <c r="AE107" s="2">
        <v>662237190.79999995</v>
      </c>
      <c r="AF107" s="1">
        <v>1</v>
      </c>
      <c r="AG107" s="1" t="s">
        <v>26</v>
      </c>
      <c r="AH107" s="1" t="s">
        <v>26</v>
      </c>
      <c r="AI107" s="2" t="s">
        <v>26</v>
      </c>
      <c r="AJ107" s="1" t="s">
        <v>26</v>
      </c>
      <c r="AK107" s="1" t="s">
        <v>26</v>
      </c>
      <c r="AL107" s="1" t="s">
        <v>26</v>
      </c>
      <c r="AM107" s="2" t="s">
        <v>26</v>
      </c>
      <c r="AN107" s="1" t="s">
        <v>26</v>
      </c>
      <c r="AO107" s="1" t="s">
        <v>26</v>
      </c>
      <c r="AP107" s="1" t="s">
        <v>26</v>
      </c>
      <c r="AQ107" s="2" t="s">
        <v>26</v>
      </c>
      <c r="AR107" s="1" t="s">
        <v>26</v>
      </c>
      <c r="AS107" s="1" t="s">
        <v>26</v>
      </c>
      <c r="AT107" s="1" t="s">
        <v>26</v>
      </c>
      <c r="AU107" s="2" t="s">
        <v>26</v>
      </c>
      <c r="AV107" s="1" t="s">
        <v>26</v>
      </c>
      <c r="AW107" s="1" t="s">
        <v>26</v>
      </c>
      <c r="AX107" s="1" t="s">
        <v>26</v>
      </c>
      <c r="AY107" s="2">
        <v>662237190.79999995</v>
      </c>
      <c r="AZ107" s="1">
        <v>1</v>
      </c>
      <c r="BA107" s="1" t="s">
        <v>26</v>
      </c>
      <c r="BB107" s="1" t="s">
        <v>26</v>
      </c>
    </row>
    <row r="108" spans="1:54" s="7" customFormat="1">
      <c r="A108" s="5" t="s">
        <v>94</v>
      </c>
      <c r="B108" s="20" t="s">
        <v>25</v>
      </c>
      <c r="C108" s="9" t="s">
        <v>26</v>
      </c>
      <c r="D108" s="10" t="s">
        <v>26</v>
      </c>
      <c r="E108" s="10" t="s">
        <v>26</v>
      </c>
      <c r="F108" s="10" t="s">
        <v>26</v>
      </c>
      <c r="G108" s="9" t="s">
        <v>26</v>
      </c>
      <c r="H108" s="10" t="s">
        <v>26</v>
      </c>
      <c r="I108" s="1" t="s">
        <v>26</v>
      </c>
      <c r="J108" s="1" t="s">
        <v>26</v>
      </c>
      <c r="K108" s="9" t="s">
        <v>26</v>
      </c>
      <c r="L108" s="10" t="s">
        <v>26</v>
      </c>
      <c r="M108" s="1" t="s">
        <v>26</v>
      </c>
      <c r="N108" s="1" t="s">
        <v>26</v>
      </c>
      <c r="O108" s="9">
        <v>6603801422.8800001</v>
      </c>
      <c r="P108" s="10">
        <v>2.5084845871329999E-2</v>
      </c>
      <c r="Q108" s="10" t="s">
        <v>26</v>
      </c>
      <c r="R108" s="10" t="s">
        <v>26</v>
      </c>
      <c r="S108" s="9" t="s">
        <v>26</v>
      </c>
      <c r="T108" s="10" t="s">
        <v>26</v>
      </c>
      <c r="U108" s="1" t="s">
        <v>26</v>
      </c>
      <c r="V108" s="1" t="s">
        <v>26</v>
      </c>
      <c r="W108" s="9" t="s">
        <v>26</v>
      </c>
      <c r="X108" s="10" t="s">
        <v>26</v>
      </c>
      <c r="Y108" s="10" t="s">
        <v>26</v>
      </c>
      <c r="Z108" s="10" t="s">
        <v>26</v>
      </c>
      <c r="AA108" s="9" t="s">
        <v>26</v>
      </c>
      <c r="AB108" s="10" t="s">
        <v>26</v>
      </c>
      <c r="AC108" s="1" t="s">
        <v>26</v>
      </c>
      <c r="AD108" s="1" t="s">
        <v>26</v>
      </c>
      <c r="AE108" s="9">
        <v>6603801422.8800001</v>
      </c>
      <c r="AF108" s="10">
        <v>8.7073281673500005E-3</v>
      </c>
      <c r="AG108" s="1" t="s">
        <v>26</v>
      </c>
      <c r="AH108" s="1" t="s">
        <v>26</v>
      </c>
      <c r="AI108" s="9" t="s">
        <v>26</v>
      </c>
      <c r="AJ108" s="10" t="s">
        <v>26</v>
      </c>
      <c r="AK108" s="10" t="s">
        <v>26</v>
      </c>
      <c r="AL108" s="10" t="s">
        <v>26</v>
      </c>
      <c r="AM108" s="9" t="s">
        <v>26</v>
      </c>
      <c r="AN108" s="10" t="s">
        <v>26</v>
      </c>
      <c r="AO108" s="10" t="s">
        <v>26</v>
      </c>
      <c r="AP108" s="10" t="s">
        <v>26</v>
      </c>
      <c r="AQ108" s="9" t="s">
        <v>26</v>
      </c>
      <c r="AR108" s="10" t="s">
        <v>26</v>
      </c>
      <c r="AS108" s="10" t="s">
        <v>26</v>
      </c>
      <c r="AT108" s="10" t="s">
        <v>26</v>
      </c>
      <c r="AU108" s="9" t="s">
        <v>26</v>
      </c>
      <c r="AV108" s="10" t="s">
        <v>26</v>
      </c>
      <c r="AW108" s="1" t="s">
        <v>26</v>
      </c>
      <c r="AX108" s="1" t="s">
        <v>26</v>
      </c>
      <c r="AY108" s="9">
        <v>6603801422.8800001</v>
      </c>
      <c r="AZ108" s="10">
        <v>7.6970570308499998E-3</v>
      </c>
      <c r="BA108" s="1" t="s">
        <v>26</v>
      </c>
      <c r="BB108" s="1" t="s">
        <v>26</v>
      </c>
    </row>
    <row r="109" spans="1:54" s="7" customFormat="1">
      <c r="A109" s="3" t="s">
        <v>88</v>
      </c>
      <c r="B109" s="23" t="s">
        <v>47</v>
      </c>
      <c r="C109" s="2" t="s">
        <v>26</v>
      </c>
      <c r="D109" s="1" t="s">
        <v>26</v>
      </c>
      <c r="E109" s="1" t="s">
        <v>26</v>
      </c>
      <c r="F109" s="1" t="s">
        <v>26</v>
      </c>
      <c r="G109" s="2" t="s">
        <v>26</v>
      </c>
      <c r="H109" s="1" t="s">
        <v>26</v>
      </c>
      <c r="I109" s="1" t="s">
        <v>26</v>
      </c>
      <c r="J109" s="1" t="s">
        <v>26</v>
      </c>
      <c r="K109" s="2" t="s">
        <v>26</v>
      </c>
      <c r="L109" s="1" t="s">
        <v>26</v>
      </c>
      <c r="M109" s="1" t="s">
        <v>26</v>
      </c>
      <c r="N109" s="1" t="s">
        <v>26</v>
      </c>
      <c r="O109" s="2">
        <v>6603801422.8800001</v>
      </c>
      <c r="P109" s="1">
        <v>1</v>
      </c>
      <c r="Q109" s="10" t="s">
        <v>26</v>
      </c>
      <c r="R109" s="10" t="s">
        <v>26</v>
      </c>
      <c r="S109" s="2" t="s">
        <v>26</v>
      </c>
      <c r="T109" s="1" t="s">
        <v>26</v>
      </c>
      <c r="U109" s="1" t="s">
        <v>26</v>
      </c>
      <c r="V109" s="1" t="s">
        <v>26</v>
      </c>
      <c r="W109" s="2" t="s">
        <v>26</v>
      </c>
      <c r="X109" s="1" t="s">
        <v>26</v>
      </c>
      <c r="Y109" s="1" t="s">
        <v>26</v>
      </c>
      <c r="Z109" s="1" t="s">
        <v>26</v>
      </c>
      <c r="AA109" s="2" t="s">
        <v>26</v>
      </c>
      <c r="AB109" s="1" t="s">
        <v>26</v>
      </c>
      <c r="AC109" s="1" t="s">
        <v>26</v>
      </c>
      <c r="AD109" s="1" t="s">
        <v>26</v>
      </c>
      <c r="AE109" s="2">
        <v>6603801422.8800001</v>
      </c>
      <c r="AF109" s="1">
        <v>1</v>
      </c>
      <c r="AG109" s="1" t="s">
        <v>26</v>
      </c>
      <c r="AH109" s="1" t="s">
        <v>26</v>
      </c>
      <c r="AI109" s="2" t="s">
        <v>26</v>
      </c>
      <c r="AJ109" s="1" t="s">
        <v>26</v>
      </c>
      <c r="AK109" s="1" t="s">
        <v>26</v>
      </c>
      <c r="AL109" s="1" t="s">
        <v>26</v>
      </c>
      <c r="AM109" s="2" t="s">
        <v>26</v>
      </c>
      <c r="AN109" s="1" t="s">
        <v>26</v>
      </c>
      <c r="AO109" s="1" t="s">
        <v>26</v>
      </c>
      <c r="AP109" s="1" t="s">
        <v>26</v>
      </c>
      <c r="AQ109" s="2" t="s">
        <v>26</v>
      </c>
      <c r="AR109" s="1" t="s">
        <v>26</v>
      </c>
      <c r="AS109" s="1" t="s">
        <v>26</v>
      </c>
      <c r="AT109" s="1" t="s">
        <v>26</v>
      </c>
      <c r="AU109" s="2" t="s">
        <v>26</v>
      </c>
      <c r="AV109" s="1" t="s">
        <v>26</v>
      </c>
      <c r="AW109" s="1" t="s">
        <v>26</v>
      </c>
      <c r="AX109" s="1" t="s">
        <v>26</v>
      </c>
      <c r="AY109" s="2">
        <v>6603801422.8800001</v>
      </c>
      <c r="AZ109" s="1">
        <v>1</v>
      </c>
      <c r="BA109" s="1" t="s">
        <v>26</v>
      </c>
      <c r="BB109" s="1" t="s">
        <v>26</v>
      </c>
    </row>
    <row r="110" spans="1:54" s="7" customFormat="1">
      <c r="A110" s="5" t="s">
        <v>95</v>
      </c>
      <c r="B110" s="20" t="s">
        <v>25</v>
      </c>
      <c r="C110" s="9" t="s">
        <v>26</v>
      </c>
      <c r="D110" s="10" t="s">
        <v>26</v>
      </c>
      <c r="E110" s="10" t="s">
        <v>26</v>
      </c>
      <c r="F110" s="10" t="s">
        <v>26</v>
      </c>
      <c r="G110" s="9" t="s">
        <v>26</v>
      </c>
      <c r="H110" s="10" t="s">
        <v>26</v>
      </c>
      <c r="I110" s="1" t="s">
        <v>26</v>
      </c>
      <c r="J110" s="1" t="s">
        <v>26</v>
      </c>
      <c r="K110" s="9" t="s">
        <v>26</v>
      </c>
      <c r="L110" s="10" t="s">
        <v>26</v>
      </c>
      <c r="M110" s="1" t="s">
        <v>26</v>
      </c>
      <c r="N110" s="1" t="s">
        <v>26</v>
      </c>
      <c r="O110" s="9" t="s">
        <v>26</v>
      </c>
      <c r="P110" s="10" t="s">
        <v>26</v>
      </c>
      <c r="Q110" s="10" t="s">
        <v>26</v>
      </c>
      <c r="R110" s="10" t="s">
        <v>26</v>
      </c>
      <c r="S110" s="9">
        <v>139961862.97999999</v>
      </c>
      <c r="T110" s="10">
        <v>1.0694157970299999E-3</v>
      </c>
      <c r="U110" s="1" t="s">
        <v>26</v>
      </c>
      <c r="V110" s="1" t="s">
        <v>26</v>
      </c>
      <c r="W110" s="9" t="s">
        <v>26</v>
      </c>
      <c r="X110" s="10" t="s">
        <v>26</v>
      </c>
      <c r="Y110" s="10" t="s">
        <v>26</v>
      </c>
      <c r="Z110" s="10" t="s">
        <v>26</v>
      </c>
      <c r="AA110" s="9" t="s">
        <v>26</v>
      </c>
      <c r="AB110" s="10" t="s">
        <v>26</v>
      </c>
      <c r="AC110" s="1" t="s">
        <v>26</v>
      </c>
      <c r="AD110" s="1" t="s">
        <v>26</v>
      </c>
      <c r="AE110" s="9">
        <v>139961862.97999999</v>
      </c>
      <c r="AF110" s="10">
        <v>1.8454429408999999E-4</v>
      </c>
      <c r="AG110" s="1" t="s">
        <v>26</v>
      </c>
      <c r="AH110" s="1" t="s">
        <v>26</v>
      </c>
      <c r="AI110" s="9" t="s">
        <v>26</v>
      </c>
      <c r="AJ110" s="10" t="s">
        <v>26</v>
      </c>
      <c r="AK110" s="10" t="s">
        <v>26</v>
      </c>
      <c r="AL110" s="10" t="s">
        <v>26</v>
      </c>
      <c r="AM110" s="9" t="s">
        <v>26</v>
      </c>
      <c r="AN110" s="10" t="s">
        <v>26</v>
      </c>
      <c r="AO110" s="10" t="s">
        <v>26</v>
      </c>
      <c r="AP110" s="10" t="s">
        <v>26</v>
      </c>
      <c r="AQ110" s="9" t="s">
        <v>26</v>
      </c>
      <c r="AR110" s="10" t="s">
        <v>26</v>
      </c>
      <c r="AS110" s="10" t="s">
        <v>26</v>
      </c>
      <c r="AT110" s="10" t="s">
        <v>26</v>
      </c>
      <c r="AU110" s="9">
        <v>179294211.34999999</v>
      </c>
      <c r="AV110" s="10">
        <v>3.2576766069600002E-3</v>
      </c>
      <c r="AW110" s="1" t="s">
        <v>26</v>
      </c>
      <c r="AX110" s="1" t="s">
        <v>26</v>
      </c>
      <c r="AY110" s="9">
        <v>319256074.32999998</v>
      </c>
      <c r="AZ110" s="10">
        <v>3.7210873770999998E-4</v>
      </c>
      <c r="BA110" s="1" t="s">
        <v>26</v>
      </c>
      <c r="BB110" s="1" t="s">
        <v>26</v>
      </c>
    </row>
    <row r="111" spans="1:54" s="7" customFormat="1">
      <c r="A111" s="3" t="s">
        <v>88</v>
      </c>
      <c r="B111" s="23" t="s">
        <v>47</v>
      </c>
      <c r="C111" s="2" t="s">
        <v>26</v>
      </c>
      <c r="D111" s="1" t="s">
        <v>26</v>
      </c>
      <c r="E111" s="10" t="s">
        <v>26</v>
      </c>
      <c r="F111" s="10" t="s">
        <v>26</v>
      </c>
      <c r="G111" s="2" t="s">
        <v>26</v>
      </c>
      <c r="H111" s="1" t="s">
        <v>26</v>
      </c>
      <c r="I111" s="1" t="s">
        <v>26</v>
      </c>
      <c r="J111" s="1" t="s">
        <v>26</v>
      </c>
      <c r="K111" s="2" t="s">
        <v>26</v>
      </c>
      <c r="L111" s="1" t="s">
        <v>26</v>
      </c>
      <c r="M111" s="1" t="s">
        <v>26</v>
      </c>
      <c r="N111" s="1" t="s">
        <v>26</v>
      </c>
      <c r="O111" s="2" t="s">
        <v>26</v>
      </c>
      <c r="P111" s="1" t="s">
        <v>26</v>
      </c>
      <c r="Q111" s="10" t="s">
        <v>26</v>
      </c>
      <c r="R111" s="10" t="s">
        <v>26</v>
      </c>
      <c r="S111" s="2">
        <v>139961862.97999999</v>
      </c>
      <c r="T111" s="1">
        <v>1</v>
      </c>
      <c r="U111" s="1" t="s">
        <v>26</v>
      </c>
      <c r="V111" s="1" t="s">
        <v>26</v>
      </c>
      <c r="W111" s="2" t="s">
        <v>26</v>
      </c>
      <c r="X111" s="1" t="s">
        <v>26</v>
      </c>
      <c r="Y111" s="1" t="s">
        <v>26</v>
      </c>
      <c r="Z111" s="1" t="s">
        <v>26</v>
      </c>
      <c r="AA111" s="2" t="s">
        <v>26</v>
      </c>
      <c r="AB111" s="1" t="s">
        <v>26</v>
      </c>
      <c r="AC111" s="1" t="s">
        <v>26</v>
      </c>
      <c r="AD111" s="1" t="s">
        <v>26</v>
      </c>
      <c r="AE111" s="2">
        <v>139961862.97999999</v>
      </c>
      <c r="AF111" s="1">
        <v>1</v>
      </c>
      <c r="AG111" s="1" t="s">
        <v>26</v>
      </c>
      <c r="AH111" s="1" t="s">
        <v>26</v>
      </c>
      <c r="AI111" s="2" t="s">
        <v>26</v>
      </c>
      <c r="AJ111" s="1" t="s">
        <v>26</v>
      </c>
      <c r="AK111" s="1" t="s">
        <v>26</v>
      </c>
      <c r="AL111" s="1" t="s">
        <v>26</v>
      </c>
      <c r="AM111" s="2" t="s">
        <v>26</v>
      </c>
      <c r="AN111" s="1" t="s">
        <v>26</v>
      </c>
      <c r="AO111" s="1" t="s">
        <v>26</v>
      </c>
      <c r="AP111" s="1" t="s">
        <v>26</v>
      </c>
      <c r="AQ111" s="2" t="s">
        <v>26</v>
      </c>
      <c r="AR111" s="1" t="s">
        <v>26</v>
      </c>
      <c r="AS111" s="1" t="s">
        <v>26</v>
      </c>
      <c r="AT111" s="1" t="s">
        <v>26</v>
      </c>
      <c r="AU111" s="2">
        <v>179294211.34999999</v>
      </c>
      <c r="AV111" s="1">
        <v>1</v>
      </c>
      <c r="AW111" s="1" t="s">
        <v>26</v>
      </c>
      <c r="AX111" s="1" t="s">
        <v>26</v>
      </c>
      <c r="AY111" s="2">
        <v>319256074.32999998</v>
      </c>
      <c r="AZ111" s="1">
        <v>1</v>
      </c>
      <c r="BA111" s="1" t="s">
        <v>26</v>
      </c>
      <c r="BB111" s="1" t="s">
        <v>26</v>
      </c>
    </row>
    <row r="112" spans="1:54" s="7" customFormat="1">
      <c r="A112" s="5" t="s">
        <v>96</v>
      </c>
      <c r="B112" s="20" t="s">
        <v>25</v>
      </c>
      <c r="C112" s="9">
        <v>59277216.049999997</v>
      </c>
      <c r="D112" s="10">
        <v>7.0632370786300001E-3</v>
      </c>
      <c r="E112" s="10" t="s">
        <v>26</v>
      </c>
      <c r="F112" s="10" t="s">
        <v>26</v>
      </c>
      <c r="G112" s="9" t="s">
        <v>26</v>
      </c>
      <c r="H112" s="10" t="s">
        <v>26</v>
      </c>
      <c r="I112" s="1" t="s">
        <v>26</v>
      </c>
      <c r="J112" s="1" t="s">
        <v>26</v>
      </c>
      <c r="K112" s="9">
        <v>150495623.16999999</v>
      </c>
      <c r="L112" s="10">
        <v>3.2727331156210002E-2</v>
      </c>
      <c r="M112" s="1" t="s">
        <v>26</v>
      </c>
      <c r="N112" s="1" t="s">
        <v>26</v>
      </c>
      <c r="O112" s="9" t="s">
        <v>26</v>
      </c>
      <c r="P112" s="10" t="s">
        <v>26</v>
      </c>
      <c r="Q112" s="10" t="s">
        <v>26</v>
      </c>
      <c r="R112" s="10" t="s">
        <v>26</v>
      </c>
      <c r="S112" s="9">
        <v>289698054.76999998</v>
      </c>
      <c r="T112" s="10">
        <v>2.2135149500300002E-3</v>
      </c>
      <c r="U112" s="1" t="s">
        <v>26</v>
      </c>
      <c r="V112" s="1" t="s">
        <v>26</v>
      </c>
      <c r="W112" s="9" t="s">
        <v>26</v>
      </c>
      <c r="X112" s="10" t="s">
        <v>26</v>
      </c>
      <c r="Y112" s="10" t="s">
        <v>26</v>
      </c>
      <c r="Z112" s="10" t="s">
        <v>26</v>
      </c>
      <c r="AA112" s="9" t="s">
        <v>26</v>
      </c>
      <c r="AB112" s="10" t="s">
        <v>26</v>
      </c>
      <c r="AC112" s="1" t="s">
        <v>26</v>
      </c>
      <c r="AD112" s="1" t="s">
        <v>26</v>
      </c>
      <c r="AE112" s="9">
        <v>499470893.99000001</v>
      </c>
      <c r="AF112" s="10">
        <v>6.5856870998000003E-4</v>
      </c>
      <c r="AG112" s="1" t="s">
        <v>26</v>
      </c>
      <c r="AH112" s="1" t="s">
        <v>26</v>
      </c>
      <c r="AI112" s="9" t="s">
        <v>26</v>
      </c>
      <c r="AJ112" s="10" t="s">
        <v>26</v>
      </c>
      <c r="AK112" s="10" t="s">
        <v>26</v>
      </c>
      <c r="AL112" s="10" t="s">
        <v>26</v>
      </c>
      <c r="AM112" s="9" t="s">
        <v>26</v>
      </c>
      <c r="AN112" s="10" t="s">
        <v>26</v>
      </c>
      <c r="AO112" s="10" t="s">
        <v>26</v>
      </c>
      <c r="AP112" s="10" t="s">
        <v>26</v>
      </c>
      <c r="AQ112" s="9" t="s">
        <v>26</v>
      </c>
      <c r="AR112" s="10" t="s">
        <v>26</v>
      </c>
      <c r="AS112" s="10" t="s">
        <v>26</v>
      </c>
      <c r="AT112" s="10" t="s">
        <v>26</v>
      </c>
      <c r="AU112" s="9" t="s">
        <v>26</v>
      </c>
      <c r="AV112" s="10" t="s">
        <v>26</v>
      </c>
      <c r="AW112" s="1" t="s">
        <v>26</v>
      </c>
      <c r="AX112" s="1" t="s">
        <v>26</v>
      </c>
      <c r="AY112" s="9">
        <v>499470893.99000001</v>
      </c>
      <c r="AZ112" s="10">
        <v>5.8215801931000004E-4</v>
      </c>
      <c r="BA112" s="1" t="s">
        <v>26</v>
      </c>
      <c r="BB112" s="1" t="s">
        <v>26</v>
      </c>
    </row>
    <row r="113" spans="1:54" s="7" customFormat="1">
      <c r="A113" s="3" t="s">
        <v>88</v>
      </c>
      <c r="B113" s="23" t="s">
        <v>47</v>
      </c>
      <c r="C113" s="2">
        <v>59277216.049999997</v>
      </c>
      <c r="D113" s="1">
        <v>1</v>
      </c>
      <c r="E113" s="10" t="s">
        <v>26</v>
      </c>
      <c r="F113" s="10" t="s">
        <v>26</v>
      </c>
      <c r="G113" s="2" t="s">
        <v>26</v>
      </c>
      <c r="H113" s="1" t="s">
        <v>26</v>
      </c>
      <c r="I113" s="1" t="s">
        <v>26</v>
      </c>
      <c r="J113" s="1" t="s">
        <v>26</v>
      </c>
      <c r="K113" s="2">
        <v>150495623.16999999</v>
      </c>
      <c r="L113" s="1">
        <v>1</v>
      </c>
      <c r="M113" s="1" t="s">
        <v>26</v>
      </c>
      <c r="N113" s="1" t="s">
        <v>26</v>
      </c>
      <c r="O113" s="2" t="s">
        <v>26</v>
      </c>
      <c r="P113" s="1" t="s">
        <v>26</v>
      </c>
      <c r="Q113" s="10" t="s">
        <v>26</v>
      </c>
      <c r="R113" s="10" t="s">
        <v>26</v>
      </c>
      <c r="S113" s="2">
        <v>289698054.76999998</v>
      </c>
      <c r="T113" s="1">
        <v>1</v>
      </c>
      <c r="U113" s="1" t="s">
        <v>26</v>
      </c>
      <c r="V113" s="1" t="s">
        <v>26</v>
      </c>
      <c r="W113" s="2" t="s">
        <v>26</v>
      </c>
      <c r="X113" s="1" t="s">
        <v>26</v>
      </c>
      <c r="Y113" s="1" t="s">
        <v>26</v>
      </c>
      <c r="Z113" s="1" t="s">
        <v>26</v>
      </c>
      <c r="AA113" s="2" t="s">
        <v>26</v>
      </c>
      <c r="AB113" s="1" t="s">
        <v>26</v>
      </c>
      <c r="AC113" s="1" t="s">
        <v>26</v>
      </c>
      <c r="AD113" s="1" t="s">
        <v>26</v>
      </c>
      <c r="AE113" s="2">
        <v>499470893.99000001</v>
      </c>
      <c r="AF113" s="1">
        <v>1</v>
      </c>
      <c r="AG113" s="1" t="s">
        <v>26</v>
      </c>
      <c r="AH113" s="1" t="s">
        <v>26</v>
      </c>
      <c r="AI113" s="2" t="s">
        <v>26</v>
      </c>
      <c r="AJ113" s="1" t="s">
        <v>26</v>
      </c>
      <c r="AK113" s="1" t="s">
        <v>26</v>
      </c>
      <c r="AL113" s="1" t="s">
        <v>26</v>
      </c>
      <c r="AM113" s="2" t="s">
        <v>26</v>
      </c>
      <c r="AN113" s="1" t="s">
        <v>26</v>
      </c>
      <c r="AO113" s="1" t="s">
        <v>26</v>
      </c>
      <c r="AP113" s="1" t="s">
        <v>26</v>
      </c>
      <c r="AQ113" s="2" t="s">
        <v>26</v>
      </c>
      <c r="AR113" s="1" t="s">
        <v>26</v>
      </c>
      <c r="AS113" s="1" t="s">
        <v>26</v>
      </c>
      <c r="AT113" s="1" t="s">
        <v>26</v>
      </c>
      <c r="AU113" s="2" t="s">
        <v>26</v>
      </c>
      <c r="AV113" s="1" t="s">
        <v>26</v>
      </c>
      <c r="AW113" s="1" t="s">
        <v>26</v>
      </c>
      <c r="AX113" s="1" t="s">
        <v>26</v>
      </c>
      <c r="AY113" s="2">
        <v>499470893.99000001</v>
      </c>
      <c r="AZ113" s="1">
        <v>1</v>
      </c>
      <c r="BA113" s="1" t="s">
        <v>26</v>
      </c>
      <c r="BB113" s="1" t="s">
        <v>26</v>
      </c>
    </row>
    <row r="114" spans="1:54" s="7" customFormat="1">
      <c r="A114" s="5" t="s">
        <v>117</v>
      </c>
      <c r="B114" s="20" t="s">
        <v>25</v>
      </c>
      <c r="C114" s="9" t="s">
        <v>26</v>
      </c>
      <c r="D114" s="10" t="s">
        <v>26</v>
      </c>
      <c r="E114" s="10" t="s">
        <v>26</v>
      </c>
      <c r="F114" s="10" t="s">
        <v>26</v>
      </c>
      <c r="G114" s="9">
        <v>999226917.47000003</v>
      </c>
      <c r="H114" s="10">
        <v>5.5074336040800004E-3</v>
      </c>
      <c r="I114" s="1" t="s">
        <v>26</v>
      </c>
      <c r="J114" s="1" t="s">
        <v>26</v>
      </c>
      <c r="K114" s="9" t="s">
        <v>26</v>
      </c>
      <c r="L114" s="10" t="s">
        <v>26</v>
      </c>
      <c r="M114" s="1" t="s">
        <v>26</v>
      </c>
      <c r="N114" s="1" t="s">
        <v>26</v>
      </c>
      <c r="O114" s="9">
        <v>1469451349.22</v>
      </c>
      <c r="P114" s="10">
        <v>5.5817790769600003E-3</v>
      </c>
      <c r="Q114" s="10" t="s">
        <v>26</v>
      </c>
      <c r="R114" s="10" t="s">
        <v>26</v>
      </c>
      <c r="S114" s="9">
        <v>578434829.11000001</v>
      </c>
      <c r="T114" s="10">
        <v>4.4196849815600001E-3</v>
      </c>
      <c r="U114" s="1" t="s">
        <v>26</v>
      </c>
      <c r="V114" s="1" t="s">
        <v>26</v>
      </c>
      <c r="W114" s="9" t="s">
        <v>26</v>
      </c>
      <c r="X114" s="10" t="s">
        <v>26</v>
      </c>
      <c r="Y114" s="10" t="s">
        <v>26</v>
      </c>
      <c r="Z114" s="10" t="s">
        <v>26</v>
      </c>
      <c r="AA114" s="9">
        <v>655904304.22000003</v>
      </c>
      <c r="AB114" s="10">
        <v>4.0405868093099997E-3</v>
      </c>
      <c r="AC114" s="1" t="s">
        <v>26</v>
      </c>
      <c r="AD114" s="1" t="s">
        <v>26</v>
      </c>
      <c r="AE114" s="9">
        <v>3703017400.02</v>
      </c>
      <c r="AF114" s="10">
        <v>4.8825495569400001E-3</v>
      </c>
      <c r="AG114" s="1" t="s">
        <v>26</v>
      </c>
      <c r="AH114" s="1" t="s">
        <v>26</v>
      </c>
      <c r="AI114" s="9" t="s">
        <v>26</v>
      </c>
      <c r="AJ114" s="10" t="s">
        <v>26</v>
      </c>
      <c r="AK114" s="10" t="s">
        <v>26</v>
      </c>
      <c r="AL114" s="10" t="s">
        <v>26</v>
      </c>
      <c r="AM114" s="9" t="s">
        <v>26</v>
      </c>
      <c r="AN114" s="10" t="s">
        <v>26</v>
      </c>
      <c r="AO114" s="10" t="s">
        <v>26</v>
      </c>
      <c r="AP114" s="10" t="s">
        <v>26</v>
      </c>
      <c r="AQ114" s="9" t="s">
        <v>26</v>
      </c>
      <c r="AR114" s="10" t="s">
        <v>26</v>
      </c>
      <c r="AS114" s="10" t="s">
        <v>26</v>
      </c>
      <c r="AT114" s="10" t="s">
        <v>26</v>
      </c>
      <c r="AU114" s="9">
        <v>293890269.83999997</v>
      </c>
      <c r="AV114" s="10">
        <v>5.3398235774700003E-3</v>
      </c>
      <c r="AW114" s="1" t="s">
        <v>26</v>
      </c>
      <c r="AX114" s="1" t="s">
        <v>26</v>
      </c>
      <c r="AY114" s="9">
        <v>3996907669.8600001</v>
      </c>
      <c r="AZ114" s="10">
        <v>4.6585934845599997E-3</v>
      </c>
      <c r="BA114" s="1" t="s">
        <v>26</v>
      </c>
      <c r="BB114" s="1" t="s">
        <v>26</v>
      </c>
    </row>
    <row r="115" spans="1:54" s="7" customFormat="1">
      <c r="A115" s="3" t="s">
        <v>88</v>
      </c>
      <c r="B115" s="23" t="s">
        <v>47</v>
      </c>
      <c r="C115" s="2" t="s">
        <v>26</v>
      </c>
      <c r="D115" s="1" t="s">
        <v>26</v>
      </c>
      <c r="E115" s="10" t="s">
        <v>26</v>
      </c>
      <c r="F115" s="10" t="s">
        <v>26</v>
      </c>
      <c r="G115" s="2">
        <v>999226917.47000003</v>
      </c>
      <c r="H115" s="1">
        <v>1</v>
      </c>
      <c r="I115" s="1" t="s">
        <v>26</v>
      </c>
      <c r="J115" s="1" t="s">
        <v>26</v>
      </c>
      <c r="K115" s="2" t="s">
        <v>26</v>
      </c>
      <c r="L115" s="1" t="s">
        <v>26</v>
      </c>
      <c r="M115" s="1" t="s">
        <v>26</v>
      </c>
      <c r="N115" s="1" t="s">
        <v>26</v>
      </c>
      <c r="O115" s="2">
        <v>1469451349.22</v>
      </c>
      <c r="P115" s="1">
        <v>1</v>
      </c>
      <c r="Q115" s="10" t="s">
        <v>26</v>
      </c>
      <c r="R115" s="10" t="s">
        <v>26</v>
      </c>
      <c r="S115" s="2">
        <v>578434829.11000001</v>
      </c>
      <c r="T115" s="1">
        <v>1</v>
      </c>
      <c r="U115" s="1" t="s">
        <v>26</v>
      </c>
      <c r="V115" s="1" t="s">
        <v>26</v>
      </c>
      <c r="W115" s="2" t="s">
        <v>26</v>
      </c>
      <c r="X115" s="1" t="s">
        <v>26</v>
      </c>
      <c r="Y115" s="1" t="s">
        <v>26</v>
      </c>
      <c r="Z115" s="1" t="s">
        <v>26</v>
      </c>
      <c r="AA115" s="2">
        <v>655904304.22000003</v>
      </c>
      <c r="AB115" s="1">
        <v>1</v>
      </c>
      <c r="AC115" s="1" t="s">
        <v>26</v>
      </c>
      <c r="AD115" s="1" t="s">
        <v>26</v>
      </c>
      <c r="AE115" s="2">
        <v>3703017400.02</v>
      </c>
      <c r="AF115" s="1">
        <v>1</v>
      </c>
      <c r="AG115" s="1" t="s">
        <v>26</v>
      </c>
      <c r="AH115" s="1" t="s">
        <v>26</v>
      </c>
      <c r="AI115" s="2" t="s">
        <v>26</v>
      </c>
      <c r="AJ115" s="1" t="s">
        <v>26</v>
      </c>
      <c r="AK115" s="1" t="s">
        <v>26</v>
      </c>
      <c r="AL115" s="1" t="s">
        <v>26</v>
      </c>
      <c r="AM115" s="2" t="s">
        <v>26</v>
      </c>
      <c r="AN115" s="1" t="s">
        <v>26</v>
      </c>
      <c r="AO115" s="1" t="s">
        <v>26</v>
      </c>
      <c r="AP115" s="1" t="s">
        <v>26</v>
      </c>
      <c r="AQ115" s="2" t="s">
        <v>26</v>
      </c>
      <c r="AR115" s="1" t="s">
        <v>26</v>
      </c>
      <c r="AS115" s="1" t="s">
        <v>26</v>
      </c>
      <c r="AT115" s="1" t="s">
        <v>26</v>
      </c>
      <c r="AU115" s="2">
        <v>293890269.83999997</v>
      </c>
      <c r="AV115" s="1">
        <v>1</v>
      </c>
      <c r="AW115" s="1" t="s">
        <v>26</v>
      </c>
      <c r="AX115" s="1" t="s">
        <v>26</v>
      </c>
      <c r="AY115" s="2">
        <v>3996907669.8600001</v>
      </c>
      <c r="AZ115" s="1">
        <v>1</v>
      </c>
      <c r="BA115" s="1" t="s">
        <v>26</v>
      </c>
      <c r="BB115" s="1" t="s">
        <v>26</v>
      </c>
    </row>
    <row r="116" spans="1:54" s="7" customFormat="1">
      <c r="A116" s="5" t="s">
        <v>97</v>
      </c>
      <c r="B116" s="20" t="s">
        <v>25</v>
      </c>
      <c r="C116" s="9" t="s">
        <v>26</v>
      </c>
      <c r="D116" s="10" t="s">
        <v>26</v>
      </c>
      <c r="E116" s="10" t="s">
        <v>26</v>
      </c>
      <c r="F116" s="10" t="s">
        <v>26</v>
      </c>
      <c r="G116" s="9">
        <v>770565496.65999997</v>
      </c>
      <c r="H116" s="10">
        <v>4.2471216860299997E-3</v>
      </c>
      <c r="I116" s="1" t="s">
        <v>26</v>
      </c>
      <c r="J116" s="1" t="s">
        <v>26</v>
      </c>
      <c r="K116" s="9" t="s">
        <v>26</v>
      </c>
      <c r="L116" s="10" t="s">
        <v>26</v>
      </c>
      <c r="M116" s="1" t="s">
        <v>26</v>
      </c>
      <c r="N116" s="1" t="s">
        <v>26</v>
      </c>
      <c r="O116" s="9">
        <v>2220929714.0300002</v>
      </c>
      <c r="P116" s="10">
        <v>8.4363044858499995E-3</v>
      </c>
      <c r="Q116" s="10" t="s">
        <v>26</v>
      </c>
      <c r="R116" s="10" t="s">
        <v>26</v>
      </c>
      <c r="S116" s="9">
        <v>117108182.98</v>
      </c>
      <c r="T116" s="10">
        <v>8.9479618357999995E-4</v>
      </c>
      <c r="U116" s="1" t="s">
        <v>26</v>
      </c>
      <c r="V116" s="1" t="s">
        <v>26</v>
      </c>
      <c r="W116" s="9" t="s">
        <v>26</v>
      </c>
      <c r="X116" s="10" t="s">
        <v>26</v>
      </c>
      <c r="Y116" s="10" t="s">
        <v>26</v>
      </c>
      <c r="Z116" s="10" t="s">
        <v>26</v>
      </c>
      <c r="AA116" s="9" t="s">
        <v>26</v>
      </c>
      <c r="AB116" s="10" t="s">
        <v>26</v>
      </c>
      <c r="AC116" s="1" t="s">
        <v>26</v>
      </c>
      <c r="AD116" s="1" t="s">
        <v>26</v>
      </c>
      <c r="AE116" s="9">
        <v>3108603393.6700001</v>
      </c>
      <c r="AF116" s="10">
        <v>4.0987952479999996E-3</v>
      </c>
      <c r="AG116" s="1" t="s">
        <v>26</v>
      </c>
      <c r="AH116" s="1" t="s">
        <v>26</v>
      </c>
      <c r="AI116" s="9" t="s">
        <v>26</v>
      </c>
      <c r="AJ116" s="10" t="s">
        <v>26</v>
      </c>
      <c r="AK116" s="10" t="s">
        <v>26</v>
      </c>
      <c r="AL116" s="10" t="s">
        <v>26</v>
      </c>
      <c r="AM116" s="9" t="s">
        <v>26</v>
      </c>
      <c r="AN116" s="10" t="s">
        <v>26</v>
      </c>
      <c r="AO116" s="10" t="s">
        <v>26</v>
      </c>
      <c r="AP116" s="10" t="s">
        <v>26</v>
      </c>
      <c r="AQ116" s="9" t="s">
        <v>26</v>
      </c>
      <c r="AR116" s="10" t="s">
        <v>26</v>
      </c>
      <c r="AS116" s="10" t="s">
        <v>26</v>
      </c>
      <c r="AT116" s="10" t="s">
        <v>26</v>
      </c>
      <c r="AU116" s="9" t="s">
        <v>26</v>
      </c>
      <c r="AV116" s="10" t="s">
        <v>26</v>
      </c>
      <c r="AW116" s="1" t="s">
        <v>26</v>
      </c>
      <c r="AX116" s="1" t="s">
        <v>26</v>
      </c>
      <c r="AY116" s="9">
        <v>3108603393.6700001</v>
      </c>
      <c r="AZ116" s="10">
        <v>3.6232309355199999E-3</v>
      </c>
      <c r="BA116" s="1" t="s">
        <v>26</v>
      </c>
      <c r="BB116" s="1" t="s">
        <v>26</v>
      </c>
    </row>
    <row r="117" spans="1:54" s="7" customFormat="1">
      <c r="A117" s="3" t="s">
        <v>88</v>
      </c>
      <c r="B117" s="23" t="s">
        <v>47</v>
      </c>
      <c r="C117" s="2" t="s">
        <v>26</v>
      </c>
      <c r="D117" s="1" t="s">
        <v>26</v>
      </c>
      <c r="E117" s="10" t="s">
        <v>26</v>
      </c>
      <c r="F117" s="10" t="s">
        <v>26</v>
      </c>
      <c r="G117" s="2">
        <v>770565496.65999997</v>
      </c>
      <c r="H117" s="1">
        <v>1</v>
      </c>
      <c r="I117" s="1" t="s">
        <v>26</v>
      </c>
      <c r="J117" s="1" t="s">
        <v>26</v>
      </c>
      <c r="K117" s="2" t="s">
        <v>26</v>
      </c>
      <c r="L117" s="1" t="s">
        <v>26</v>
      </c>
      <c r="M117" s="1" t="s">
        <v>26</v>
      </c>
      <c r="N117" s="1" t="s">
        <v>26</v>
      </c>
      <c r="O117" s="2">
        <v>2220929714.0300002</v>
      </c>
      <c r="P117" s="1">
        <v>1</v>
      </c>
      <c r="Q117" s="10" t="s">
        <v>26</v>
      </c>
      <c r="R117" s="10" t="s">
        <v>26</v>
      </c>
      <c r="S117" s="2">
        <v>117108182.98</v>
      </c>
      <c r="T117" s="1">
        <v>1</v>
      </c>
      <c r="U117" s="1" t="s">
        <v>26</v>
      </c>
      <c r="V117" s="1" t="s">
        <v>26</v>
      </c>
      <c r="W117" s="2" t="s">
        <v>26</v>
      </c>
      <c r="X117" s="1" t="s">
        <v>26</v>
      </c>
      <c r="Y117" s="1" t="s">
        <v>26</v>
      </c>
      <c r="Z117" s="1" t="s">
        <v>26</v>
      </c>
      <c r="AA117" s="2" t="s">
        <v>26</v>
      </c>
      <c r="AB117" s="1" t="s">
        <v>26</v>
      </c>
      <c r="AC117" s="1" t="s">
        <v>26</v>
      </c>
      <c r="AD117" s="1" t="s">
        <v>26</v>
      </c>
      <c r="AE117" s="2">
        <v>3108603393.6700001</v>
      </c>
      <c r="AF117" s="1">
        <v>1</v>
      </c>
      <c r="AG117" s="1" t="s">
        <v>26</v>
      </c>
      <c r="AH117" s="1" t="s">
        <v>26</v>
      </c>
      <c r="AI117" s="2" t="s">
        <v>26</v>
      </c>
      <c r="AJ117" s="1" t="s">
        <v>26</v>
      </c>
      <c r="AK117" s="1" t="s">
        <v>26</v>
      </c>
      <c r="AL117" s="1" t="s">
        <v>26</v>
      </c>
      <c r="AM117" s="2" t="s">
        <v>26</v>
      </c>
      <c r="AN117" s="1" t="s">
        <v>26</v>
      </c>
      <c r="AO117" s="1" t="s">
        <v>26</v>
      </c>
      <c r="AP117" s="1" t="s">
        <v>26</v>
      </c>
      <c r="AQ117" s="2" t="s">
        <v>26</v>
      </c>
      <c r="AR117" s="1" t="s">
        <v>26</v>
      </c>
      <c r="AS117" s="1" t="s">
        <v>26</v>
      </c>
      <c r="AT117" s="1" t="s">
        <v>26</v>
      </c>
      <c r="AU117" s="2" t="s">
        <v>26</v>
      </c>
      <c r="AV117" s="1" t="s">
        <v>26</v>
      </c>
      <c r="AW117" s="1" t="s">
        <v>26</v>
      </c>
      <c r="AX117" s="1" t="s">
        <v>26</v>
      </c>
      <c r="AY117" s="2">
        <v>3108603393.6700001</v>
      </c>
      <c r="AZ117" s="1">
        <v>1</v>
      </c>
      <c r="BA117" s="1" t="s">
        <v>26</v>
      </c>
      <c r="BB117" s="1" t="s">
        <v>26</v>
      </c>
    </row>
    <row r="118" spans="1:54" s="7" customFormat="1">
      <c r="A118" s="5" t="s">
        <v>98</v>
      </c>
      <c r="B118" s="20" t="s">
        <v>25</v>
      </c>
      <c r="C118" s="9" t="s">
        <v>26</v>
      </c>
      <c r="D118" s="10" t="s">
        <v>26</v>
      </c>
      <c r="E118" s="10" t="s">
        <v>26</v>
      </c>
      <c r="F118" s="10" t="s">
        <v>26</v>
      </c>
      <c r="G118" s="9">
        <v>1505581324.3599999</v>
      </c>
      <c r="H118" s="10">
        <v>8.2983044536500006E-3</v>
      </c>
      <c r="I118" s="1" t="s">
        <v>26</v>
      </c>
      <c r="J118" s="1" t="s">
        <v>26</v>
      </c>
      <c r="K118" s="9" t="s">
        <v>26</v>
      </c>
      <c r="L118" s="10" t="s">
        <v>26</v>
      </c>
      <c r="M118" s="1" t="s">
        <v>26</v>
      </c>
      <c r="N118" s="1" t="s">
        <v>26</v>
      </c>
      <c r="O118" s="9">
        <v>3587157682.29</v>
      </c>
      <c r="P118" s="10">
        <v>1.362598476457E-2</v>
      </c>
      <c r="Q118" s="10" t="s">
        <v>26</v>
      </c>
      <c r="R118" s="10" t="s">
        <v>26</v>
      </c>
      <c r="S118" s="9">
        <v>1004404151.04</v>
      </c>
      <c r="T118" s="10">
        <v>7.6744167508000002E-3</v>
      </c>
      <c r="U118" s="1" t="s">
        <v>26</v>
      </c>
      <c r="V118" s="1" t="s">
        <v>26</v>
      </c>
      <c r="W118" s="9" t="s">
        <v>26</v>
      </c>
      <c r="X118" s="10" t="s">
        <v>26</v>
      </c>
      <c r="Y118" s="10" t="s">
        <v>26</v>
      </c>
      <c r="Z118" s="10" t="s">
        <v>26</v>
      </c>
      <c r="AA118" s="9" t="s">
        <v>26</v>
      </c>
      <c r="AB118" s="10" t="s">
        <v>26</v>
      </c>
      <c r="AC118" s="1" t="s">
        <v>26</v>
      </c>
      <c r="AD118" s="1" t="s">
        <v>26</v>
      </c>
      <c r="AE118" s="9">
        <v>6097143157.6899996</v>
      </c>
      <c r="AF118" s="10">
        <v>8.0392826733700004E-3</v>
      </c>
      <c r="AG118" s="1" t="s">
        <v>26</v>
      </c>
      <c r="AH118" s="1" t="s">
        <v>26</v>
      </c>
      <c r="AI118" s="9" t="s">
        <v>26</v>
      </c>
      <c r="AJ118" s="10" t="s">
        <v>26</v>
      </c>
      <c r="AK118" s="10" t="s">
        <v>26</v>
      </c>
      <c r="AL118" s="10" t="s">
        <v>26</v>
      </c>
      <c r="AM118" s="9" t="s">
        <v>26</v>
      </c>
      <c r="AN118" s="10" t="s">
        <v>26</v>
      </c>
      <c r="AO118" s="10" t="s">
        <v>26</v>
      </c>
      <c r="AP118" s="10" t="s">
        <v>26</v>
      </c>
      <c r="AQ118" s="9" t="s">
        <v>26</v>
      </c>
      <c r="AR118" s="10" t="s">
        <v>26</v>
      </c>
      <c r="AS118" s="10" t="s">
        <v>26</v>
      </c>
      <c r="AT118" s="10" t="s">
        <v>26</v>
      </c>
      <c r="AU118" s="9">
        <v>1004404151.04</v>
      </c>
      <c r="AV118" s="10">
        <v>1.8249467632789999E-2</v>
      </c>
      <c r="AW118" s="1" t="s">
        <v>26</v>
      </c>
      <c r="AX118" s="1" t="s">
        <v>26</v>
      </c>
      <c r="AY118" s="9">
        <v>7101547308.7299995</v>
      </c>
      <c r="AZ118" s="10">
        <v>8.2772044678999998E-3</v>
      </c>
      <c r="BA118" s="1" t="s">
        <v>26</v>
      </c>
      <c r="BB118" s="1" t="s">
        <v>26</v>
      </c>
    </row>
    <row r="119" spans="1:54" s="7" customFormat="1">
      <c r="A119" s="3" t="s">
        <v>88</v>
      </c>
      <c r="B119" s="23" t="s">
        <v>40</v>
      </c>
      <c r="C119" s="2" t="s">
        <v>26</v>
      </c>
      <c r="D119" s="1" t="s">
        <v>26</v>
      </c>
      <c r="E119" s="10" t="s">
        <v>26</v>
      </c>
      <c r="F119" s="10" t="s">
        <v>26</v>
      </c>
      <c r="G119" s="2">
        <v>1505581324.3599999</v>
      </c>
      <c r="H119" s="1">
        <v>1</v>
      </c>
      <c r="I119" s="1" t="s">
        <v>26</v>
      </c>
      <c r="J119" s="1" t="s">
        <v>26</v>
      </c>
      <c r="K119" s="2" t="s">
        <v>26</v>
      </c>
      <c r="L119" s="1" t="s">
        <v>26</v>
      </c>
      <c r="M119" s="1" t="s">
        <v>26</v>
      </c>
      <c r="N119" s="1" t="s">
        <v>26</v>
      </c>
      <c r="O119" s="2">
        <v>3587157682.29</v>
      </c>
      <c r="P119" s="1">
        <v>1</v>
      </c>
      <c r="Q119" s="10" t="s">
        <v>26</v>
      </c>
      <c r="R119" s="10" t="s">
        <v>26</v>
      </c>
      <c r="S119" s="2">
        <v>1004404151.04</v>
      </c>
      <c r="T119" s="1">
        <v>1</v>
      </c>
      <c r="U119" s="1" t="s">
        <v>26</v>
      </c>
      <c r="V119" s="1" t="s">
        <v>26</v>
      </c>
      <c r="W119" s="2" t="s">
        <v>26</v>
      </c>
      <c r="X119" s="1" t="s">
        <v>26</v>
      </c>
      <c r="Y119" s="1" t="s">
        <v>26</v>
      </c>
      <c r="Z119" s="1" t="s">
        <v>26</v>
      </c>
      <c r="AA119" s="2" t="s">
        <v>26</v>
      </c>
      <c r="AB119" s="1" t="s">
        <v>26</v>
      </c>
      <c r="AC119" s="1" t="s">
        <v>26</v>
      </c>
      <c r="AD119" s="1" t="s">
        <v>26</v>
      </c>
      <c r="AE119" s="2">
        <v>6097143157.6899996</v>
      </c>
      <c r="AF119" s="1">
        <v>1</v>
      </c>
      <c r="AG119" s="1" t="s">
        <v>26</v>
      </c>
      <c r="AH119" s="1" t="s">
        <v>26</v>
      </c>
      <c r="AI119" s="2" t="s">
        <v>26</v>
      </c>
      <c r="AJ119" s="1" t="s">
        <v>26</v>
      </c>
      <c r="AK119" s="1" t="s">
        <v>26</v>
      </c>
      <c r="AL119" s="1" t="s">
        <v>26</v>
      </c>
      <c r="AM119" s="2" t="s">
        <v>26</v>
      </c>
      <c r="AN119" s="1" t="s">
        <v>26</v>
      </c>
      <c r="AO119" s="1" t="s">
        <v>26</v>
      </c>
      <c r="AP119" s="1" t="s">
        <v>26</v>
      </c>
      <c r="AQ119" s="2" t="s">
        <v>26</v>
      </c>
      <c r="AR119" s="1" t="s">
        <v>26</v>
      </c>
      <c r="AS119" s="1" t="s">
        <v>26</v>
      </c>
      <c r="AT119" s="1" t="s">
        <v>26</v>
      </c>
      <c r="AU119" s="2">
        <v>1004404151.04</v>
      </c>
      <c r="AV119" s="1">
        <v>1</v>
      </c>
      <c r="AW119" s="1" t="s">
        <v>26</v>
      </c>
      <c r="AX119" s="1" t="s">
        <v>26</v>
      </c>
      <c r="AY119" s="2">
        <v>7101547308.7299995</v>
      </c>
      <c r="AZ119" s="1">
        <v>1</v>
      </c>
      <c r="BA119" s="1" t="s">
        <v>26</v>
      </c>
      <c r="BB119" s="1" t="s">
        <v>26</v>
      </c>
    </row>
    <row r="120" spans="1:54" s="7" customFormat="1">
      <c r="A120" s="5" t="s">
        <v>99</v>
      </c>
      <c r="B120" s="20" t="s">
        <v>25</v>
      </c>
      <c r="C120" s="9" t="s">
        <v>26</v>
      </c>
      <c r="D120" s="10" t="s">
        <v>26</v>
      </c>
      <c r="E120" s="10" t="s">
        <v>26</v>
      </c>
      <c r="F120" s="10" t="s">
        <v>26</v>
      </c>
      <c r="G120" s="9">
        <v>595423702.5</v>
      </c>
      <c r="H120" s="10">
        <v>3.28179360512E-3</v>
      </c>
      <c r="I120" s="1" t="s">
        <v>26</v>
      </c>
      <c r="J120" s="1" t="s">
        <v>26</v>
      </c>
      <c r="K120" s="9" t="s">
        <v>26</v>
      </c>
      <c r="L120" s="10" t="s">
        <v>26</v>
      </c>
      <c r="M120" s="1" t="s">
        <v>26</v>
      </c>
      <c r="N120" s="1" t="s">
        <v>26</v>
      </c>
      <c r="O120" s="9">
        <v>825602597.40999997</v>
      </c>
      <c r="P120" s="10">
        <v>3.1360897429799999E-3</v>
      </c>
      <c r="Q120" s="10" t="s">
        <v>26</v>
      </c>
      <c r="R120" s="10" t="s">
        <v>26</v>
      </c>
      <c r="S120" s="9">
        <v>275323920.04000002</v>
      </c>
      <c r="T120" s="10">
        <v>2.1036855549300001E-3</v>
      </c>
      <c r="U120" s="1" t="s">
        <v>26</v>
      </c>
      <c r="V120" s="1" t="s">
        <v>26</v>
      </c>
      <c r="W120" s="9" t="s">
        <v>26</v>
      </c>
      <c r="X120" s="10" t="s">
        <v>26</v>
      </c>
      <c r="Y120" s="10" t="s">
        <v>26</v>
      </c>
      <c r="Z120" s="10" t="s">
        <v>26</v>
      </c>
      <c r="AA120" s="9">
        <v>893135553.75</v>
      </c>
      <c r="AB120" s="10">
        <v>5.5020095373599998E-3</v>
      </c>
      <c r="AC120" s="1" t="s">
        <v>26</v>
      </c>
      <c r="AD120" s="1" t="s">
        <v>26</v>
      </c>
      <c r="AE120" s="9">
        <v>2589485773.6999998</v>
      </c>
      <c r="AF120" s="10">
        <v>3.41432168723E-3</v>
      </c>
      <c r="AG120" s="1" t="s">
        <v>26</v>
      </c>
      <c r="AH120" s="1" t="s">
        <v>26</v>
      </c>
      <c r="AI120" s="9" t="s">
        <v>26</v>
      </c>
      <c r="AJ120" s="10" t="s">
        <v>26</v>
      </c>
      <c r="AK120" s="10" t="s">
        <v>26</v>
      </c>
      <c r="AL120" s="10" t="s">
        <v>26</v>
      </c>
      <c r="AM120" s="9" t="s">
        <v>26</v>
      </c>
      <c r="AN120" s="10" t="s">
        <v>26</v>
      </c>
      <c r="AO120" s="10" t="s">
        <v>26</v>
      </c>
      <c r="AP120" s="10" t="s">
        <v>26</v>
      </c>
      <c r="AQ120" s="9" t="s">
        <v>26</v>
      </c>
      <c r="AR120" s="10" t="s">
        <v>26</v>
      </c>
      <c r="AS120" s="10" t="s">
        <v>26</v>
      </c>
      <c r="AT120" s="10" t="s">
        <v>26</v>
      </c>
      <c r="AU120" s="9" t="s">
        <v>26</v>
      </c>
      <c r="AV120" s="10" t="s">
        <v>26</v>
      </c>
      <c r="AW120" s="1" t="s">
        <v>26</v>
      </c>
      <c r="AX120" s="1" t="s">
        <v>26</v>
      </c>
      <c r="AY120" s="9">
        <v>2589485773.6999998</v>
      </c>
      <c r="AZ120" s="10">
        <v>3.0181736858E-3</v>
      </c>
      <c r="BA120" s="1" t="s">
        <v>26</v>
      </c>
      <c r="BB120" s="1" t="s">
        <v>26</v>
      </c>
    </row>
    <row r="121" spans="1:54" s="7" customFormat="1">
      <c r="A121" s="3" t="s">
        <v>88</v>
      </c>
      <c r="B121" s="23" t="s">
        <v>47</v>
      </c>
      <c r="C121" s="2" t="s">
        <v>26</v>
      </c>
      <c r="D121" s="1" t="s">
        <v>26</v>
      </c>
      <c r="E121" s="10" t="s">
        <v>26</v>
      </c>
      <c r="F121" s="10" t="s">
        <v>26</v>
      </c>
      <c r="G121" s="2">
        <v>595423702.5</v>
      </c>
      <c r="H121" s="1">
        <v>1</v>
      </c>
      <c r="I121" s="1" t="s">
        <v>26</v>
      </c>
      <c r="J121" s="1" t="s">
        <v>26</v>
      </c>
      <c r="K121" s="2" t="s">
        <v>26</v>
      </c>
      <c r="L121" s="1" t="s">
        <v>26</v>
      </c>
      <c r="M121" s="1" t="s">
        <v>26</v>
      </c>
      <c r="N121" s="1" t="s">
        <v>26</v>
      </c>
      <c r="O121" s="2">
        <v>825602597.40999997</v>
      </c>
      <c r="P121" s="1">
        <v>1</v>
      </c>
      <c r="Q121" s="10" t="s">
        <v>26</v>
      </c>
      <c r="R121" s="10" t="s">
        <v>26</v>
      </c>
      <c r="S121" s="2">
        <v>275323920.04000002</v>
      </c>
      <c r="T121" s="1">
        <v>1</v>
      </c>
      <c r="U121" s="1" t="s">
        <v>26</v>
      </c>
      <c r="V121" s="1" t="s">
        <v>26</v>
      </c>
      <c r="W121" s="2" t="s">
        <v>26</v>
      </c>
      <c r="X121" s="1" t="s">
        <v>26</v>
      </c>
      <c r="Y121" s="1" t="s">
        <v>26</v>
      </c>
      <c r="Z121" s="1" t="s">
        <v>26</v>
      </c>
      <c r="AA121" s="2">
        <v>893135553.75</v>
      </c>
      <c r="AB121" s="1">
        <v>1</v>
      </c>
      <c r="AC121" s="1" t="s">
        <v>26</v>
      </c>
      <c r="AD121" s="1" t="s">
        <v>26</v>
      </c>
      <c r="AE121" s="2">
        <v>2589485773.6999998</v>
      </c>
      <c r="AF121" s="1">
        <v>1</v>
      </c>
      <c r="AG121" s="1" t="s">
        <v>26</v>
      </c>
      <c r="AH121" s="1" t="s">
        <v>26</v>
      </c>
      <c r="AI121" s="2" t="s">
        <v>26</v>
      </c>
      <c r="AJ121" s="1" t="s">
        <v>26</v>
      </c>
      <c r="AK121" s="1" t="s">
        <v>26</v>
      </c>
      <c r="AL121" s="1" t="s">
        <v>26</v>
      </c>
      <c r="AM121" s="2" t="s">
        <v>26</v>
      </c>
      <c r="AN121" s="1" t="s">
        <v>26</v>
      </c>
      <c r="AO121" s="1" t="s">
        <v>26</v>
      </c>
      <c r="AP121" s="1" t="s">
        <v>26</v>
      </c>
      <c r="AQ121" s="2" t="s">
        <v>26</v>
      </c>
      <c r="AR121" s="1" t="s">
        <v>26</v>
      </c>
      <c r="AS121" s="1" t="s">
        <v>26</v>
      </c>
      <c r="AT121" s="1" t="s">
        <v>26</v>
      </c>
      <c r="AU121" s="2" t="s">
        <v>26</v>
      </c>
      <c r="AV121" s="1" t="s">
        <v>26</v>
      </c>
      <c r="AW121" s="1" t="s">
        <v>26</v>
      </c>
      <c r="AX121" s="1" t="s">
        <v>26</v>
      </c>
      <c r="AY121" s="2">
        <v>2589485773.6999998</v>
      </c>
      <c r="AZ121" s="1">
        <v>1</v>
      </c>
      <c r="BA121" s="1" t="s">
        <v>26</v>
      </c>
      <c r="BB121" s="1" t="s">
        <v>26</v>
      </c>
    </row>
    <row r="122" spans="1:54" s="7" customFormat="1">
      <c r="A122" s="5" t="s">
        <v>100</v>
      </c>
      <c r="B122" s="20" t="s">
        <v>25</v>
      </c>
      <c r="C122" s="9" t="s">
        <v>26</v>
      </c>
      <c r="D122" s="10" t="s">
        <v>26</v>
      </c>
      <c r="E122" s="10" t="s">
        <v>26</v>
      </c>
      <c r="F122" s="10" t="s">
        <v>26</v>
      </c>
      <c r="G122" s="9" t="s">
        <v>26</v>
      </c>
      <c r="H122" s="10" t="s">
        <v>26</v>
      </c>
      <c r="I122" s="1" t="s">
        <v>26</v>
      </c>
      <c r="J122" s="1" t="s">
        <v>26</v>
      </c>
      <c r="K122" s="9" t="s">
        <v>26</v>
      </c>
      <c r="L122" s="10" t="s">
        <v>26</v>
      </c>
      <c r="M122" s="1" t="s">
        <v>26</v>
      </c>
      <c r="N122" s="1" t="s">
        <v>26</v>
      </c>
      <c r="O122" s="9">
        <v>393387720.82999998</v>
      </c>
      <c r="P122" s="10">
        <v>1.49430149588E-3</v>
      </c>
      <c r="Q122" s="10" t="s">
        <v>26</v>
      </c>
      <c r="R122" s="10" t="s">
        <v>26</v>
      </c>
      <c r="S122" s="9" t="s">
        <v>26</v>
      </c>
      <c r="T122" s="10" t="s">
        <v>26</v>
      </c>
      <c r="U122" s="1" t="s">
        <v>26</v>
      </c>
      <c r="V122" s="1" t="s">
        <v>26</v>
      </c>
      <c r="W122" s="9" t="s">
        <v>26</v>
      </c>
      <c r="X122" s="10" t="s">
        <v>26</v>
      </c>
      <c r="Y122" s="10" t="s">
        <v>26</v>
      </c>
      <c r="Z122" s="10" t="s">
        <v>26</v>
      </c>
      <c r="AA122" s="9" t="s">
        <v>26</v>
      </c>
      <c r="AB122" s="10" t="s">
        <v>26</v>
      </c>
      <c r="AC122" s="1" t="s">
        <v>26</v>
      </c>
      <c r="AD122" s="1" t="s">
        <v>26</v>
      </c>
      <c r="AE122" s="9">
        <v>393387720.82999998</v>
      </c>
      <c r="AF122" s="10">
        <v>5.1869457649000004E-4</v>
      </c>
      <c r="AG122" s="1" t="s">
        <v>26</v>
      </c>
      <c r="AH122" s="1" t="s">
        <v>26</v>
      </c>
      <c r="AI122" s="9" t="s">
        <v>26</v>
      </c>
      <c r="AJ122" s="10" t="s">
        <v>26</v>
      </c>
      <c r="AK122" s="10" t="s">
        <v>26</v>
      </c>
      <c r="AL122" s="10" t="s">
        <v>26</v>
      </c>
      <c r="AM122" s="9" t="s">
        <v>26</v>
      </c>
      <c r="AN122" s="10" t="s">
        <v>26</v>
      </c>
      <c r="AO122" s="10" t="s">
        <v>26</v>
      </c>
      <c r="AP122" s="10" t="s">
        <v>26</v>
      </c>
      <c r="AQ122" s="9" t="s">
        <v>26</v>
      </c>
      <c r="AR122" s="10" t="s">
        <v>26</v>
      </c>
      <c r="AS122" s="10" t="s">
        <v>26</v>
      </c>
      <c r="AT122" s="10" t="s">
        <v>26</v>
      </c>
      <c r="AU122" s="9" t="s">
        <v>26</v>
      </c>
      <c r="AV122" s="10" t="s">
        <v>26</v>
      </c>
      <c r="AW122" s="1" t="s">
        <v>26</v>
      </c>
      <c r="AX122" s="1" t="s">
        <v>26</v>
      </c>
      <c r="AY122" s="9">
        <v>393387720.82999998</v>
      </c>
      <c r="AZ122" s="10">
        <v>4.5851283655999999E-4</v>
      </c>
      <c r="BA122" s="1" t="s">
        <v>26</v>
      </c>
      <c r="BB122" s="1" t="s">
        <v>26</v>
      </c>
    </row>
    <row r="123" spans="1:54" s="7" customFormat="1">
      <c r="A123" s="3" t="s">
        <v>88</v>
      </c>
      <c r="B123" s="23" t="s">
        <v>57</v>
      </c>
      <c r="C123" s="2" t="s">
        <v>26</v>
      </c>
      <c r="D123" s="1" t="s">
        <v>26</v>
      </c>
      <c r="E123" s="10" t="s">
        <v>26</v>
      </c>
      <c r="F123" s="10" t="s">
        <v>26</v>
      </c>
      <c r="G123" s="2" t="s">
        <v>26</v>
      </c>
      <c r="H123" s="1" t="s">
        <v>26</v>
      </c>
      <c r="I123" s="1" t="s">
        <v>26</v>
      </c>
      <c r="J123" s="1" t="s">
        <v>26</v>
      </c>
      <c r="K123" s="2" t="s">
        <v>26</v>
      </c>
      <c r="L123" s="1" t="s">
        <v>26</v>
      </c>
      <c r="M123" s="1" t="s">
        <v>26</v>
      </c>
      <c r="N123" s="1" t="s">
        <v>26</v>
      </c>
      <c r="O123" s="2">
        <v>393387720.82999998</v>
      </c>
      <c r="P123" s="1">
        <v>1</v>
      </c>
      <c r="Q123" s="10" t="s">
        <v>26</v>
      </c>
      <c r="R123" s="10" t="s">
        <v>26</v>
      </c>
      <c r="S123" s="2" t="s">
        <v>26</v>
      </c>
      <c r="T123" s="1" t="s">
        <v>26</v>
      </c>
      <c r="U123" s="1" t="s">
        <v>26</v>
      </c>
      <c r="V123" s="1" t="s">
        <v>26</v>
      </c>
      <c r="W123" s="2" t="s">
        <v>26</v>
      </c>
      <c r="X123" s="1" t="s">
        <v>26</v>
      </c>
      <c r="Y123" s="1" t="s">
        <v>26</v>
      </c>
      <c r="Z123" s="1" t="s">
        <v>26</v>
      </c>
      <c r="AA123" s="2" t="s">
        <v>26</v>
      </c>
      <c r="AB123" s="1" t="s">
        <v>26</v>
      </c>
      <c r="AC123" s="1" t="s">
        <v>26</v>
      </c>
      <c r="AD123" s="1" t="s">
        <v>26</v>
      </c>
      <c r="AE123" s="2">
        <v>393387720.82999998</v>
      </c>
      <c r="AF123" s="1">
        <v>1</v>
      </c>
      <c r="AG123" s="1" t="s">
        <v>26</v>
      </c>
      <c r="AH123" s="1" t="s">
        <v>26</v>
      </c>
      <c r="AI123" s="2" t="s">
        <v>26</v>
      </c>
      <c r="AJ123" s="1" t="s">
        <v>26</v>
      </c>
      <c r="AK123" s="1" t="s">
        <v>26</v>
      </c>
      <c r="AL123" s="1" t="s">
        <v>26</v>
      </c>
      <c r="AM123" s="2" t="s">
        <v>26</v>
      </c>
      <c r="AN123" s="1" t="s">
        <v>26</v>
      </c>
      <c r="AO123" s="1" t="s">
        <v>26</v>
      </c>
      <c r="AP123" s="1" t="s">
        <v>26</v>
      </c>
      <c r="AQ123" s="2" t="s">
        <v>26</v>
      </c>
      <c r="AR123" s="1" t="s">
        <v>26</v>
      </c>
      <c r="AS123" s="1" t="s">
        <v>26</v>
      </c>
      <c r="AT123" s="1" t="s">
        <v>26</v>
      </c>
      <c r="AU123" s="2" t="s">
        <v>26</v>
      </c>
      <c r="AV123" s="1" t="s">
        <v>26</v>
      </c>
      <c r="AW123" s="1" t="s">
        <v>26</v>
      </c>
      <c r="AX123" s="1" t="s">
        <v>26</v>
      </c>
      <c r="AY123" s="2">
        <v>393387720.82999998</v>
      </c>
      <c r="AZ123" s="1">
        <v>1</v>
      </c>
      <c r="BA123" s="1" t="s">
        <v>26</v>
      </c>
      <c r="BB123" s="1" t="s">
        <v>26</v>
      </c>
    </row>
    <row r="124" spans="1:54" s="7" customFormat="1">
      <c r="A124" s="5" t="s">
        <v>101</v>
      </c>
      <c r="B124" s="20" t="s">
        <v>25</v>
      </c>
      <c r="C124" s="9" t="s">
        <v>26</v>
      </c>
      <c r="D124" s="10" t="s">
        <v>26</v>
      </c>
      <c r="E124" s="10" t="s">
        <v>26</v>
      </c>
      <c r="F124" s="10" t="s">
        <v>26</v>
      </c>
      <c r="G124" s="9" t="s">
        <v>26</v>
      </c>
      <c r="H124" s="10" t="s">
        <v>26</v>
      </c>
      <c r="I124" s="1" t="s">
        <v>26</v>
      </c>
      <c r="J124" s="1" t="s">
        <v>26</v>
      </c>
      <c r="K124" s="9" t="s">
        <v>26</v>
      </c>
      <c r="L124" s="10" t="s">
        <v>26</v>
      </c>
      <c r="M124" s="1" t="s">
        <v>26</v>
      </c>
      <c r="N124" s="1" t="s">
        <v>26</v>
      </c>
      <c r="O124" s="9">
        <v>33100405.210000001</v>
      </c>
      <c r="P124" s="10">
        <v>1.257334238E-4</v>
      </c>
      <c r="Q124" s="10" t="s">
        <v>26</v>
      </c>
      <c r="R124" s="10" t="s">
        <v>26</v>
      </c>
      <c r="S124" s="9" t="s">
        <v>26</v>
      </c>
      <c r="T124" s="10" t="s">
        <v>26</v>
      </c>
      <c r="U124" s="1" t="s">
        <v>26</v>
      </c>
      <c r="V124" s="1" t="s">
        <v>26</v>
      </c>
      <c r="W124" s="9" t="s">
        <v>26</v>
      </c>
      <c r="X124" s="10" t="s">
        <v>26</v>
      </c>
      <c r="Y124" s="10" t="s">
        <v>26</v>
      </c>
      <c r="Z124" s="10" t="s">
        <v>26</v>
      </c>
      <c r="AA124" s="9" t="s">
        <v>26</v>
      </c>
      <c r="AB124" s="10" t="s">
        <v>26</v>
      </c>
      <c r="AC124" s="1" t="s">
        <v>26</v>
      </c>
      <c r="AD124" s="1" t="s">
        <v>26</v>
      </c>
      <c r="AE124" s="9">
        <v>33100405.210000001</v>
      </c>
      <c r="AF124" s="10">
        <v>4.3643966889999999E-5</v>
      </c>
      <c r="AG124" s="1" t="s">
        <v>26</v>
      </c>
      <c r="AH124" s="1" t="s">
        <v>26</v>
      </c>
      <c r="AI124" s="9" t="s">
        <v>26</v>
      </c>
      <c r="AJ124" s="10" t="s">
        <v>26</v>
      </c>
      <c r="AK124" s="10" t="s">
        <v>26</v>
      </c>
      <c r="AL124" s="10" t="s">
        <v>26</v>
      </c>
      <c r="AM124" s="9" t="s">
        <v>26</v>
      </c>
      <c r="AN124" s="10" t="s">
        <v>26</v>
      </c>
      <c r="AO124" s="10" t="s">
        <v>26</v>
      </c>
      <c r="AP124" s="10" t="s">
        <v>26</v>
      </c>
      <c r="AQ124" s="9" t="s">
        <v>26</v>
      </c>
      <c r="AR124" s="10" t="s">
        <v>26</v>
      </c>
      <c r="AS124" s="10" t="s">
        <v>26</v>
      </c>
      <c r="AT124" s="10" t="s">
        <v>26</v>
      </c>
      <c r="AU124" s="9" t="s">
        <v>26</v>
      </c>
      <c r="AV124" s="10" t="s">
        <v>26</v>
      </c>
      <c r="AW124" s="1" t="s">
        <v>26</v>
      </c>
      <c r="AX124" s="1" t="s">
        <v>26</v>
      </c>
      <c r="AY124" s="9">
        <v>33100405.210000001</v>
      </c>
      <c r="AZ124" s="10">
        <v>3.8580158660000001E-5</v>
      </c>
      <c r="BA124" s="1" t="s">
        <v>26</v>
      </c>
      <c r="BB124" s="1" t="s">
        <v>26</v>
      </c>
    </row>
    <row r="125" spans="1:54" s="7" customFormat="1">
      <c r="A125" s="3" t="s">
        <v>88</v>
      </c>
      <c r="B125" s="23" t="s">
        <v>57</v>
      </c>
      <c r="C125" s="2" t="s">
        <v>26</v>
      </c>
      <c r="D125" s="1" t="s">
        <v>26</v>
      </c>
      <c r="E125" s="10" t="s">
        <v>26</v>
      </c>
      <c r="F125" s="10" t="s">
        <v>26</v>
      </c>
      <c r="G125" s="2" t="s">
        <v>26</v>
      </c>
      <c r="H125" s="1" t="s">
        <v>26</v>
      </c>
      <c r="I125" s="1" t="s">
        <v>26</v>
      </c>
      <c r="J125" s="1" t="s">
        <v>26</v>
      </c>
      <c r="K125" s="2" t="s">
        <v>26</v>
      </c>
      <c r="L125" s="1" t="s">
        <v>26</v>
      </c>
      <c r="M125" s="1" t="s">
        <v>26</v>
      </c>
      <c r="N125" s="1" t="s">
        <v>26</v>
      </c>
      <c r="O125" s="2">
        <v>33100405.210000001</v>
      </c>
      <c r="P125" s="1">
        <v>1</v>
      </c>
      <c r="Q125" s="10" t="s">
        <v>26</v>
      </c>
      <c r="R125" s="10" t="s">
        <v>26</v>
      </c>
      <c r="S125" s="2" t="s">
        <v>26</v>
      </c>
      <c r="T125" s="1" t="s">
        <v>26</v>
      </c>
      <c r="U125" s="1" t="s">
        <v>26</v>
      </c>
      <c r="V125" s="1" t="s">
        <v>26</v>
      </c>
      <c r="W125" s="2" t="s">
        <v>26</v>
      </c>
      <c r="X125" s="1" t="s">
        <v>26</v>
      </c>
      <c r="Y125" s="1" t="s">
        <v>26</v>
      </c>
      <c r="Z125" s="1" t="s">
        <v>26</v>
      </c>
      <c r="AA125" s="2" t="s">
        <v>26</v>
      </c>
      <c r="AB125" s="1" t="s">
        <v>26</v>
      </c>
      <c r="AC125" s="1" t="s">
        <v>26</v>
      </c>
      <c r="AD125" s="1" t="s">
        <v>26</v>
      </c>
      <c r="AE125" s="2">
        <v>33100405.210000001</v>
      </c>
      <c r="AF125" s="1">
        <v>1</v>
      </c>
      <c r="AG125" s="1" t="s">
        <v>26</v>
      </c>
      <c r="AH125" s="1" t="s">
        <v>26</v>
      </c>
      <c r="AI125" s="2" t="s">
        <v>26</v>
      </c>
      <c r="AJ125" s="1" t="s">
        <v>26</v>
      </c>
      <c r="AK125" s="1" t="s">
        <v>26</v>
      </c>
      <c r="AL125" s="1" t="s">
        <v>26</v>
      </c>
      <c r="AM125" s="2" t="s">
        <v>26</v>
      </c>
      <c r="AN125" s="1" t="s">
        <v>26</v>
      </c>
      <c r="AO125" s="1" t="s">
        <v>26</v>
      </c>
      <c r="AP125" s="1" t="s">
        <v>26</v>
      </c>
      <c r="AQ125" s="2" t="s">
        <v>26</v>
      </c>
      <c r="AR125" s="1" t="s">
        <v>26</v>
      </c>
      <c r="AS125" s="1" t="s">
        <v>26</v>
      </c>
      <c r="AT125" s="1" t="s">
        <v>26</v>
      </c>
      <c r="AU125" s="2" t="s">
        <v>26</v>
      </c>
      <c r="AV125" s="1" t="s">
        <v>26</v>
      </c>
      <c r="AW125" s="1" t="s">
        <v>26</v>
      </c>
      <c r="AX125" s="1" t="s">
        <v>26</v>
      </c>
      <c r="AY125" s="2">
        <v>33100405.210000001</v>
      </c>
      <c r="AZ125" s="1">
        <v>1</v>
      </c>
      <c r="BA125" s="1" t="s">
        <v>26</v>
      </c>
      <c r="BB125" s="1" t="s">
        <v>26</v>
      </c>
    </row>
    <row r="126" spans="1:54" s="28" customFormat="1">
      <c r="A126" s="5" t="s">
        <v>102</v>
      </c>
      <c r="B126" s="20" t="s">
        <v>25</v>
      </c>
      <c r="C126" s="9" t="s">
        <v>26</v>
      </c>
      <c r="D126" s="10" t="s">
        <v>26</v>
      </c>
      <c r="E126" s="10" t="s">
        <v>26</v>
      </c>
      <c r="F126" s="10" t="s">
        <v>26</v>
      </c>
      <c r="G126" s="9" t="s">
        <v>26</v>
      </c>
      <c r="H126" s="10" t="s">
        <v>26</v>
      </c>
      <c r="I126" s="1" t="s">
        <v>26</v>
      </c>
      <c r="J126" s="1" t="s">
        <v>26</v>
      </c>
      <c r="K126" s="9" t="s">
        <v>26</v>
      </c>
      <c r="L126" s="10" t="s">
        <v>26</v>
      </c>
      <c r="M126" s="1" t="s">
        <v>26</v>
      </c>
      <c r="N126" s="1" t="s">
        <v>26</v>
      </c>
      <c r="O126" s="9">
        <v>1865374406.3099999</v>
      </c>
      <c r="P126" s="10">
        <v>7.08571116516E-3</v>
      </c>
      <c r="Q126" s="10" t="s">
        <v>26</v>
      </c>
      <c r="R126" s="10" t="s">
        <v>26</v>
      </c>
      <c r="S126" s="9" t="s">
        <v>26</v>
      </c>
      <c r="T126" s="10" t="s">
        <v>26</v>
      </c>
      <c r="U126" s="1" t="s">
        <v>26</v>
      </c>
      <c r="V126" s="1" t="s">
        <v>26</v>
      </c>
      <c r="W126" s="9" t="s">
        <v>26</v>
      </c>
      <c r="X126" s="10" t="s">
        <v>26</v>
      </c>
      <c r="Y126" s="10" t="s">
        <v>26</v>
      </c>
      <c r="Z126" s="10" t="s">
        <v>26</v>
      </c>
      <c r="AA126" s="9" t="s">
        <v>26</v>
      </c>
      <c r="AB126" s="10" t="s">
        <v>26</v>
      </c>
      <c r="AC126" s="1" t="s">
        <v>26</v>
      </c>
      <c r="AD126" s="1" t="s">
        <v>26</v>
      </c>
      <c r="AE126" s="9">
        <v>1865374406.3099999</v>
      </c>
      <c r="AF126" s="10">
        <v>2.4595571657299998E-3</v>
      </c>
      <c r="AG126" s="1" t="s">
        <v>26</v>
      </c>
      <c r="AH126" s="1" t="s">
        <v>26</v>
      </c>
      <c r="AI126" s="9" t="s">
        <v>26</v>
      </c>
      <c r="AJ126" s="10" t="s">
        <v>26</v>
      </c>
      <c r="AK126" s="10" t="s">
        <v>26</v>
      </c>
      <c r="AL126" s="10" t="s">
        <v>26</v>
      </c>
      <c r="AM126" s="9" t="s">
        <v>26</v>
      </c>
      <c r="AN126" s="10" t="s">
        <v>26</v>
      </c>
      <c r="AO126" s="10" t="s">
        <v>26</v>
      </c>
      <c r="AP126" s="10" t="s">
        <v>26</v>
      </c>
      <c r="AQ126" s="9" t="s">
        <v>26</v>
      </c>
      <c r="AR126" s="10" t="s">
        <v>26</v>
      </c>
      <c r="AS126" s="10" t="s">
        <v>26</v>
      </c>
      <c r="AT126" s="10" t="s">
        <v>26</v>
      </c>
      <c r="AU126" s="9" t="s">
        <v>26</v>
      </c>
      <c r="AV126" s="10" t="s">
        <v>26</v>
      </c>
      <c r="AW126" s="1" t="s">
        <v>26</v>
      </c>
      <c r="AX126" s="1" t="s">
        <v>26</v>
      </c>
      <c r="AY126" s="9">
        <v>1865374406.3099999</v>
      </c>
      <c r="AZ126" s="10">
        <v>2.1741860891700002E-3</v>
      </c>
      <c r="BA126" s="1" t="s">
        <v>26</v>
      </c>
      <c r="BB126" s="1" t="s">
        <v>26</v>
      </c>
    </row>
    <row r="127" spans="1:54" s="7" customFormat="1">
      <c r="A127" s="3" t="s">
        <v>88</v>
      </c>
      <c r="B127" s="23" t="s">
        <v>47</v>
      </c>
      <c r="C127" s="2" t="s">
        <v>26</v>
      </c>
      <c r="D127" s="1" t="s">
        <v>26</v>
      </c>
      <c r="E127" s="10" t="s">
        <v>26</v>
      </c>
      <c r="F127" s="10" t="s">
        <v>26</v>
      </c>
      <c r="G127" s="2" t="s">
        <v>26</v>
      </c>
      <c r="H127" s="1" t="s">
        <v>26</v>
      </c>
      <c r="I127" s="1" t="s">
        <v>26</v>
      </c>
      <c r="J127" s="1" t="s">
        <v>26</v>
      </c>
      <c r="K127" s="2" t="s">
        <v>26</v>
      </c>
      <c r="L127" s="1" t="s">
        <v>26</v>
      </c>
      <c r="M127" s="1" t="s">
        <v>26</v>
      </c>
      <c r="N127" s="1" t="s">
        <v>26</v>
      </c>
      <c r="O127" s="2">
        <v>1865374406.3099999</v>
      </c>
      <c r="P127" s="1">
        <v>1</v>
      </c>
      <c r="Q127" s="10" t="s">
        <v>26</v>
      </c>
      <c r="R127" s="10" t="s">
        <v>26</v>
      </c>
      <c r="S127" s="2" t="s">
        <v>26</v>
      </c>
      <c r="T127" s="1" t="s">
        <v>26</v>
      </c>
      <c r="U127" s="1" t="s">
        <v>26</v>
      </c>
      <c r="V127" s="1" t="s">
        <v>26</v>
      </c>
      <c r="W127" s="2" t="s">
        <v>26</v>
      </c>
      <c r="X127" s="1" t="s">
        <v>26</v>
      </c>
      <c r="Y127" s="1" t="s">
        <v>26</v>
      </c>
      <c r="Z127" s="1" t="s">
        <v>26</v>
      </c>
      <c r="AA127" s="2" t="s">
        <v>26</v>
      </c>
      <c r="AB127" s="1" t="s">
        <v>26</v>
      </c>
      <c r="AC127" s="1" t="s">
        <v>26</v>
      </c>
      <c r="AD127" s="1" t="s">
        <v>26</v>
      </c>
      <c r="AE127" s="2">
        <v>1865374406.3099999</v>
      </c>
      <c r="AF127" s="1">
        <v>1</v>
      </c>
      <c r="AG127" s="1" t="s">
        <v>26</v>
      </c>
      <c r="AH127" s="1" t="s">
        <v>26</v>
      </c>
      <c r="AI127" s="2" t="s">
        <v>26</v>
      </c>
      <c r="AJ127" s="1" t="s">
        <v>26</v>
      </c>
      <c r="AK127" s="1" t="s">
        <v>26</v>
      </c>
      <c r="AL127" s="1" t="s">
        <v>26</v>
      </c>
      <c r="AM127" s="2" t="s">
        <v>26</v>
      </c>
      <c r="AN127" s="1" t="s">
        <v>26</v>
      </c>
      <c r="AO127" s="1" t="s">
        <v>26</v>
      </c>
      <c r="AP127" s="1" t="s">
        <v>26</v>
      </c>
      <c r="AQ127" s="2" t="s">
        <v>26</v>
      </c>
      <c r="AR127" s="1" t="s">
        <v>26</v>
      </c>
      <c r="AS127" s="1" t="s">
        <v>26</v>
      </c>
      <c r="AT127" s="1" t="s">
        <v>26</v>
      </c>
      <c r="AU127" s="2" t="s">
        <v>26</v>
      </c>
      <c r="AV127" s="1" t="s">
        <v>26</v>
      </c>
      <c r="AW127" s="1" t="s">
        <v>26</v>
      </c>
      <c r="AX127" s="1" t="s">
        <v>26</v>
      </c>
      <c r="AY127" s="2">
        <v>1865374406.3099999</v>
      </c>
      <c r="AZ127" s="1">
        <v>1</v>
      </c>
      <c r="BA127" s="1" t="s">
        <v>26</v>
      </c>
      <c r="BB127" s="1" t="s">
        <v>26</v>
      </c>
    </row>
    <row r="128" spans="1:54" s="7" customFormat="1">
      <c r="A128" s="5" t="s">
        <v>143</v>
      </c>
      <c r="B128" s="20" t="s">
        <v>25</v>
      </c>
      <c r="C128" s="9">
        <v>49821809.439999998</v>
      </c>
      <c r="D128" s="10">
        <v>5.9365684694799997E-3</v>
      </c>
      <c r="E128" s="10" t="s">
        <v>26</v>
      </c>
      <c r="F128" s="10" t="s">
        <v>26</v>
      </c>
      <c r="G128" s="9">
        <v>747327141.60000002</v>
      </c>
      <c r="H128" s="10">
        <v>4.1190389699499999E-3</v>
      </c>
      <c r="I128" s="1" t="s">
        <v>26</v>
      </c>
      <c r="J128" s="1" t="s">
        <v>26</v>
      </c>
      <c r="K128" s="9">
        <v>18434069.489999998</v>
      </c>
      <c r="L128" s="10">
        <v>4.0087404806099999E-3</v>
      </c>
      <c r="M128" s="1" t="s">
        <v>26</v>
      </c>
      <c r="N128" s="1" t="s">
        <v>26</v>
      </c>
      <c r="O128" s="9" t="s">
        <v>26</v>
      </c>
      <c r="P128" s="10" t="s">
        <v>26</v>
      </c>
      <c r="Q128" s="10" t="s">
        <v>26</v>
      </c>
      <c r="R128" s="10" t="s">
        <v>26</v>
      </c>
      <c r="S128" s="9">
        <v>498218094.39999998</v>
      </c>
      <c r="T128" s="10">
        <v>3.8067677092499998E-3</v>
      </c>
      <c r="U128" s="1" t="s">
        <v>26</v>
      </c>
      <c r="V128" s="1" t="s">
        <v>26</v>
      </c>
      <c r="W128" s="9" t="s">
        <v>26</v>
      </c>
      <c r="X128" s="10" t="s">
        <v>26</v>
      </c>
      <c r="Y128" s="10" t="s">
        <v>26</v>
      </c>
      <c r="Z128" s="10" t="s">
        <v>26</v>
      </c>
      <c r="AA128" s="9" t="s">
        <v>26</v>
      </c>
      <c r="AB128" s="10" t="s">
        <v>26</v>
      </c>
      <c r="AC128" s="1" t="s">
        <v>26</v>
      </c>
      <c r="AD128" s="1" t="s">
        <v>26</v>
      </c>
      <c r="AE128" s="9">
        <v>1313801114.9300001</v>
      </c>
      <c r="AF128" s="10">
        <v>1.7322897406799999E-3</v>
      </c>
      <c r="AG128" s="1" t="s">
        <v>26</v>
      </c>
      <c r="AH128" s="1" t="s">
        <v>26</v>
      </c>
      <c r="AI128" s="9" t="s">
        <v>26</v>
      </c>
      <c r="AJ128" s="10" t="s">
        <v>26</v>
      </c>
      <c r="AK128" s="10" t="s">
        <v>26</v>
      </c>
      <c r="AL128" s="10" t="s">
        <v>26</v>
      </c>
      <c r="AM128" s="9" t="s">
        <v>26</v>
      </c>
      <c r="AN128" s="10" t="s">
        <v>26</v>
      </c>
      <c r="AO128" s="10" t="s">
        <v>26</v>
      </c>
      <c r="AP128" s="10" t="s">
        <v>26</v>
      </c>
      <c r="AQ128" s="9" t="s">
        <v>26</v>
      </c>
      <c r="AR128" s="10" t="s">
        <v>26</v>
      </c>
      <c r="AS128" s="10" t="s">
        <v>26</v>
      </c>
      <c r="AT128" s="10" t="s">
        <v>26</v>
      </c>
      <c r="AU128" s="9" t="s">
        <v>26</v>
      </c>
      <c r="AV128" s="10" t="s">
        <v>26</v>
      </c>
      <c r="AW128" s="1" t="s">
        <v>26</v>
      </c>
      <c r="AX128" s="1" t="s">
        <v>26</v>
      </c>
      <c r="AY128" s="9">
        <v>1313801114.9300001</v>
      </c>
      <c r="AZ128" s="10">
        <v>1.53130014991E-3</v>
      </c>
      <c r="BA128" s="1" t="s">
        <v>26</v>
      </c>
      <c r="BB128" s="1" t="s">
        <v>26</v>
      </c>
    </row>
    <row r="129" spans="1:54" s="7" customFormat="1">
      <c r="A129" s="3" t="s">
        <v>88</v>
      </c>
      <c r="B129" s="23" t="s">
        <v>47</v>
      </c>
      <c r="C129" s="2">
        <v>49821809.439999998</v>
      </c>
      <c r="D129" s="1">
        <v>1</v>
      </c>
      <c r="E129" s="10" t="s">
        <v>26</v>
      </c>
      <c r="F129" s="10" t="s">
        <v>26</v>
      </c>
      <c r="G129" s="2">
        <v>747327141.60000002</v>
      </c>
      <c r="H129" s="1">
        <v>1</v>
      </c>
      <c r="I129" s="1" t="s">
        <v>26</v>
      </c>
      <c r="J129" s="1" t="s">
        <v>26</v>
      </c>
      <c r="K129" s="2">
        <v>18434069.489999998</v>
      </c>
      <c r="L129" s="1">
        <v>1</v>
      </c>
      <c r="M129" s="1" t="s">
        <v>26</v>
      </c>
      <c r="N129" s="1" t="s">
        <v>26</v>
      </c>
      <c r="O129" s="2" t="s">
        <v>26</v>
      </c>
      <c r="P129" s="1" t="s">
        <v>26</v>
      </c>
      <c r="Q129" s="10" t="s">
        <v>26</v>
      </c>
      <c r="R129" s="10" t="s">
        <v>26</v>
      </c>
      <c r="S129" s="2">
        <v>498218094.39999998</v>
      </c>
      <c r="T129" s="1">
        <v>1</v>
      </c>
      <c r="U129" s="1" t="s">
        <v>26</v>
      </c>
      <c r="V129" s="1" t="s">
        <v>26</v>
      </c>
      <c r="W129" s="2" t="s">
        <v>26</v>
      </c>
      <c r="X129" s="1" t="s">
        <v>26</v>
      </c>
      <c r="Y129" s="1" t="s">
        <v>26</v>
      </c>
      <c r="Z129" s="1" t="s">
        <v>26</v>
      </c>
      <c r="AA129" s="2" t="s">
        <v>26</v>
      </c>
      <c r="AB129" s="1" t="s">
        <v>26</v>
      </c>
      <c r="AC129" s="1" t="s">
        <v>26</v>
      </c>
      <c r="AD129" s="1" t="s">
        <v>26</v>
      </c>
      <c r="AE129" s="2">
        <v>1313801114.9300001</v>
      </c>
      <c r="AF129" s="1">
        <v>1</v>
      </c>
      <c r="AG129" s="1" t="s">
        <v>26</v>
      </c>
      <c r="AH129" s="1" t="s">
        <v>26</v>
      </c>
      <c r="AI129" s="2" t="s">
        <v>26</v>
      </c>
      <c r="AJ129" s="1" t="s">
        <v>26</v>
      </c>
      <c r="AK129" s="1" t="s">
        <v>26</v>
      </c>
      <c r="AL129" s="1" t="s">
        <v>26</v>
      </c>
      <c r="AM129" s="2" t="s">
        <v>26</v>
      </c>
      <c r="AN129" s="1" t="s">
        <v>26</v>
      </c>
      <c r="AO129" s="1" t="s">
        <v>26</v>
      </c>
      <c r="AP129" s="1" t="s">
        <v>26</v>
      </c>
      <c r="AQ129" s="2" t="s">
        <v>26</v>
      </c>
      <c r="AR129" s="1" t="s">
        <v>26</v>
      </c>
      <c r="AS129" s="1" t="s">
        <v>26</v>
      </c>
      <c r="AT129" s="1" t="s">
        <v>26</v>
      </c>
      <c r="AU129" s="2" t="s">
        <v>26</v>
      </c>
      <c r="AV129" s="1" t="s">
        <v>26</v>
      </c>
      <c r="AW129" s="1" t="s">
        <v>26</v>
      </c>
      <c r="AX129" s="1" t="s">
        <v>26</v>
      </c>
      <c r="AY129" s="2">
        <v>1313801114.9300001</v>
      </c>
      <c r="AZ129" s="1">
        <v>1</v>
      </c>
      <c r="BA129" s="1" t="s">
        <v>26</v>
      </c>
      <c r="BB129" s="1" t="s">
        <v>26</v>
      </c>
    </row>
    <row r="130" spans="1:54" s="7" customFormat="1">
      <c r="A130" s="5" t="s">
        <v>103</v>
      </c>
      <c r="B130" s="20" t="s">
        <v>25</v>
      </c>
      <c r="C130" s="9" t="s">
        <v>26</v>
      </c>
      <c r="D130" s="10" t="s">
        <v>26</v>
      </c>
      <c r="E130" s="10" t="s">
        <v>26</v>
      </c>
      <c r="F130" s="10" t="s">
        <v>26</v>
      </c>
      <c r="G130" s="9" t="s">
        <v>26</v>
      </c>
      <c r="H130" s="10" t="s">
        <v>26</v>
      </c>
      <c r="I130" s="1" t="s">
        <v>26</v>
      </c>
      <c r="J130" s="1" t="s">
        <v>26</v>
      </c>
      <c r="K130" s="9" t="s">
        <v>26</v>
      </c>
      <c r="L130" s="10" t="s">
        <v>26</v>
      </c>
      <c r="M130" s="1" t="s">
        <v>26</v>
      </c>
      <c r="N130" s="1" t="s">
        <v>26</v>
      </c>
      <c r="O130" s="9">
        <v>652221287</v>
      </c>
      <c r="P130" s="10">
        <v>2.47749279706E-3</v>
      </c>
      <c r="Q130" s="10" t="s">
        <v>26</v>
      </c>
      <c r="R130" s="10" t="s">
        <v>26</v>
      </c>
      <c r="S130" s="9" t="s">
        <v>26</v>
      </c>
      <c r="T130" s="10" t="s">
        <v>26</v>
      </c>
      <c r="U130" s="1" t="s">
        <v>26</v>
      </c>
      <c r="V130" s="1" t="s">
        <v>26</v>
      </c>
      <c r="W130" s="9" t="s">
        <v>26</v>
      </c>
      <c r="X130" s="10" t="s">
        <v>26</v>
      </c>
      <c r="Y130" s="10" t="s">
        <v>26</v>
      </c>
      <c r="Z130" s="10" t="s">
        <v>26</v>
      </c>
      <c r="AA130" s="9" t="s">
        <v>26</v>
      </c>
      <c r="AB130" s="10" t="s">
        <v>26</v>
      </c>
      <c r="AC130" s="10" t="s">
        <v>26</v>
      </c>
      <c r="AD130" s="10" t="s">
        <v>26</v>
      </c>
      <c r="AE130" s="9">
        <v>652221287</v>
      </c>
      <c r="AF130" s="10">
        <v>8.5997509918999998E-4</v>
      </c>
      <c r="AG130" s="1" t="s">
        <v>26</v>
      </c>
      <c r="AH130" s="1" t="s">
        <v>26</v>
      </c>
      <c r="AI130" s="9" t="s">
        <v>26</v>
      </c>
      <c r="AJ130" s="10" t="s">
        <v>26</v>
      </c>
      <c r="AK130" s="10" t="s">
        <v>26</v>
      </c>
      <c r="AL130" s="10" t="s">
        <v>26</v>
      </c>
      <c r="AM130" s="9" t="s">
        <v>26</v>
      </c>
      <c r="AN130" s="10" t="s">
        <v>26</v>
      </c>
      <c r="AO130" s="10" t="s">
        <v>26</v>
      </c>
      <c r="AP130" s="10" t="s">
        <v>26</v>
      </c>
      <c r="AQ130" s="9" t="s">
        <v>26</v>
      </c>
      <c r="AR130" s="10" t="s">
        <v>26</v>
      </c>
      <c r="AS130" s="10" t="s">
        <v>26</v>
      </c>
      <c r="AT130" s="10" t="s">
        <v>26</v>
      </c>
      <c r="AU130" s="9" t="s">
        <v>26</v>
      </c>
      <c r="AV130" s="10" t="s">
        <v>26</v>
      </c>
      <c r="AW130" s="1" t="s">
        <v>26</v>
      </c>
      <c r="AX130" s="1" t="s">
        <v>26</v>
      </c>
      <c r="AY130" s="9">
        <v>652221287</v>
      </c>
      <c r="AZ130" s="10">
        <v>7.6019615390000004E-4</v>
      </c>
      <c r="BA130" s="1" t="s">
        <v>26</v>
      </c>
      <c r="BB130" s="1" t="s">
        <v>26</v>
      </c>
    </row>
    <row r="131" spans="1:54" s="7" customFormat="1">
      <c r="A131" s="3" t="s">
        <v>88</v>
      </c>
      <c r="B131" s="23" t="s">
        <v>120</v>
      </c>
      <c r="C131" s="2" t="s">
        <v>26</v>
      </c>
      <c r="D131" s="1" t="s">
        <v>26</v>
      </c>
      <c r="E131" s="10" t="s">
        <v>26</v>
      </c>
      <c r="F131" s="10" t="s">
        <v>26</v>
      </c>
      <c r="G131" s="2" t="s">
        <v>26</v>
      </c>
      <c r="H131" s="1" t="s">
        <v>26</v>
      </c>
      <c r="I131" s="1" t="s">
        <v>26</v>
      </c>
      <c r="J131" s="1" t="s">
        <v>26</v>
      </c>
      <c r="K131" s="2" t="s">
        <v>26</v>
      </c>
      <c r="L131" s="1" t="s">
        <v>26</v>
      </c>
      <c r="M131" s="1" t="s">
        <v>26</v>
      </c>
      <c r="N131" s="1" t="s">
        <v>26</v>
      </c>
      <c r="O131" s="2">
        <v>652221287</v>
      </c>
      <c r="P131" s="1">
        <v>1</v>
      </c>
      <c r="Q131" s="10" t="s">
        <v>26</v>
      </c>
      <c r="R131" s="10" t="s">
        <v>26</v>
      </c>
      <c r="S131" s="2" t="s">
        <v>26</v>
      </c>
      <c r="T131" s="1" t="s">
        <v>26</v>
      </c>
      <c r="U131" s="1" t="s">
        <v>26</v>
      </c>
      <c r="V131" s="1" t="s">
        <v>26</v>
      </c>
      <c r="W131" s="2" t="s">
        <v>26</v>
      </c>
      <c r="X131" s="1" t="s">
        <v>26</v>
      </c>
      <c r="Y131" s="1" t="s">
        <v>26</v>
      </c>
      <c r="Z131" s="1" t="s">
        <v>26</v>
      </c>
      <c r="AA131" s="2" t="s">
        <v>26</v>
      </c>
      <c r="AB131" s="1" t="s">
        <v>26</v>
      </c>
      <c r="AC131" s="1" t="s">
        <v>26</v>
      </c>
      <c r="AD131" s="1" t="s">
        <v>26</v>
      </c>
      <c r="AE131" s="2">
        <v>652221287</v>
      </c>
      <c r="AF131" s="1">
        <v>1</v>
      </c>
      <c r="AG131" s="1" t="s">
        <v>26</v>
      </c>
      <c r="AH131" s="1" t="s">
        <v>26</v>
      </c>
      <c r="AI131" s="2" t="s">
        <v>26</v>
      </c>
      <c r="AJ131" s="1" t="s">
        <v>26</v>
      </c>
      <c r="AK131" s="1" t="s">
        <v>26</v>
      </c>
      <c r="AL131" s="1" t="s">
        <v>26</v>
      </c>
      <c r="AM131" s="2" t="s">
        <v>26</v>
      </c>
      <c r="AN131" s="1" t="s">
        <v>26</v>
      </c>
      <c r="AO131" s="1" t="s">
        <v>26</v>
      </c>
      <c r="AP131" s="1" t="s">
        <v>26</v>
      </c>
      <c r="AQ131" s="2" t="s">
        <v>26</v>
      </c>
      <c r="AR131" s="1" t="s">
        <v>26</v>
      </c>
      <c r="AS131" s="1" t="s">
        <v>26</v>
      </c>
      <c r="AT131" s="1" t="s">
        <v>26</v>
      </c>
      <c r="AU131" s="2" t="s">
        <v>26</v>
      </c>
      <c r="AV131" s="1" t="s">
        <v>26</v>
      </c>
      <c r="AW131" s="1" t="s">
        <v>26</v>
      </c>
      <c r="AX131" s="1" t="s">
        <v>26</v>
      </c>
      <c r="AY131" s="2">
        <v>652221287</v>
      </c>
      <c r="AZ131" s="1">
        <v>1</v>
      </c>
      <c r="BA131" s="1" t="s">
        <v>26</v>
      </c>
      <c r="BB131" s="1" t="s">
        <v>26</v>
      </c>
    </row>
    <row r="132" spans="1:54" s="7" customFormat="1">
      <c r="A132" s="5" t="s">
        <v>121</v>
      </c>
      <c r="B132" s="20" t="s">
        <v>25</v>
      </c>
      <c r="C132" s="9">
        <v>59838264.130000003</v>
      </c>
      <c r="D132" s="10">
        <v>7.1300893342800004E-3</v>
      </c>
      <c r="E132" s="10" t="s">
        <v>26</v>
      </c>
      <c r="F132" s="10" t="s">
        <v>26</v>
      </c>
      <c r="G132" s="9" t="s">
        <v>26</v>
      </c>
      <c r="H132" s="10" t="s">
        <v>26</v>
      </c>
      <c r="I132" s="10" t="s">
        <v>26</v>
      </c>
      <c r="J132" s="10" t="s">
        <v>26</v>
      </c>
      <c r="K132" s="9">
        <v>47240734.840000004</v>
      </c>
      <c r="L132" s="10">
        <v>1.027314376728E-2</v>
      </c>
      <c r="M132" s="1" t="s">
        <v>26</v>
      </c>
      <c r="N132" s="1" t="s">
        <v>26</v>
      </c>
      <c r="O132" s="9" t="s">
        <v>26</v>
      </c>
      <c r="P132" s="10" t="s">
        <v>26</v>
      </c>
      <c r="Q132" s="10" t="s">
        <v>26</v>
      </c>
      <c r="R132" s="10" t="s">
        <v>26</v>
      </c>
      <c r="S132" s="9" t="s">
        <v>26</v>
      </c>
      <c r="T132" s="10" t="s">
        <v>26</v>
      </c>
      <c r="U132" s="10" t="s">
        <v>26</v>
      </c>
      <c r="V132" s="10" t="s">
        <v>26</v>
      </c>
      <c r="W132" s="9" t="s">
        <v>26</v>
      </c>
      <c r="X132" s="10" t="s">
        <v>26</v>
      </c>
      <c r="Y132" s="10" t="s">
        <v>26</v>
      </c>
      <c r="Z132" s="10" t="s">
        <v>26</v>
      </c>
      <c r="AA132" s="9" t="s">
        <v>26</v>
      </c>
      <c r="AB132" s="10" t="s">
        <v>26</v>
      </c>
      <c r="AC132" s="10" t="s">
        <v>26</v>
      </c>
      <c r="AD132" s="10" t="s">
        <v>26</v>
      </c>
      <c r="AE132" s="9">
        <v>107078998.97</v>
      </c>
      <c r="AF132" s="10">
        <v>1.4118716238999999E-4</v>
      </c>
      <c r="AG132" s="1" t="s">
        <v>26</v>
      </c>
      <c r="AH132" s="1" t="s">
        <v>26</v>
      </c>
      <c r="AI132" s="9" t="s">
        <v>26</v>
      </c>
      <c r="AJ132" s="10" t="s">
        <v>26</v>
      </c>
      <c r="AK132" s="10" t="s">
        <v>26</v>
      </c>
      <c r="AL132" s="10" t="s">
        <v>26</v>
      </c>
      <c r="AM132" s="9" t="s">
        <v>26</v>
      </c>
      <c r="AN132" s="10" t="s">
        <v>26</v>
      </c>
      <c r="AO132" s="10" t="s">
        <v>26</v>
      </c>
      <c r="AP132" s="10" t="s">
        <v>26</v>
      </c>
      <c r="AQ132" s="9" t="s">
        <v>26</v>
      </c>
      <c r="AR132" s="10" t="s">
        <v>26</v>
      </c>
      <c r="AS132" s="10" t="s">
        <v>26</v>
      </c>
      <c r="AT132" s="10" t="s">
        <v>26</v>
      </c>
      <c r="AU132" s="9" t="s">
        <v>26</v>
      </c>
      <c r="AV132" s="10" t="s">
        <v>26</v>
      </c>
      <c r="AW132" s="1" t="s">
        <v>26</v>
      </c>
      <c r="AX132" s="1" t="s">
        <v>26</v>
      </c>
      <c r="AY132" s="9">
        <v>107078998.97</v>
      </c>
      <c r="AZ132" s="10">
        <v>1.2480586696999999E-4</v>
      </c>
      <c r="BA132" s="1" t="s">
        <v>26</v>
      </c>
      <c r="BB132" s="1" t="s">
        <v>26</v>
      </c>
    </row>
    <row r="133" spans="1:54" s="7" customFormat="1">
      <c r="A133" s="3" t="s">
        <v>88</v>
      </c>
      <c r="B133" s="23" t="s">
        <v>47</v>
      </c>
      <c r="C133" s="2">
        <v>59838264.130000003</v>
      </c>
      <c r="D133" s="1">
        <v>1</v>
      </c>
      <c r="E133" s="10" t="s">
        <v>26</v>
      </c>
      <c r="F133" s="10" t="s">
        <v>26</v>
      </c>
      <c r="G133" s="2" t="s">
        <v>26</v>
      </c>
      <c r="H133" s="1" t="s">
        <v>26</v>
      </c>
      <c r="I133" s="1" t="s">
        <v>26</v>
      </c>
      <c r="J133" s="1" t="s">
        <v>26</v>
      </c>
      <c r="K133" s="2">
        <v>47240734.840000004</v>
      </c>
      <c r="L133" s="1">
        <v>1</v>
      </c>
      <c r="M133" s="1" t="s">
        <v>26</v>
      </c>
      <c r="N133" s="1" t="s">
        <v>26</v>
      </c>
      <c r="O133" s="2" t="s">
        <v>26</v>
      </c>
      <c r="P133" s="1" t="s">
        <v>26</v>
      </c>
      <c r="Q133" s="10" t="s">
        <v>26</v>
      </c>
      <c r="R133" s="10" t="s">
        <v>26</v>
      </c>
      <c r="S133" s="2" t="s">
        <v>26</v>
      </c>
      <c r="T133" s="1" t="s">
        <v>26</v>
      </c>
      <c r="U133" s="1" t="s">
        <v>26</v>
      </c>
      <c r="V133" s="1" t="s">
        <v>26</v>
      </c>
      <c r="W133" s="2" t="s">
        <v>26</v>
      </c>
      <c r="X133" s="1" t="s">
        <v>26</v>
      </c>
      <c r="Y133" s="1" t="s">
        <v>26</v>
      </c>
      <c r="Z133" s="1" t="s">
        <v>26</v>
      </c>
      <c r="AA133" s="2" t="s">
        <v>26</v>
      </c>
      <c r="AB133" s="1" t="s">
        <v>26</v>
      </c>
      <c r="AC133" s="1" t="s">
        <v>26</v>
      </c>
      <c r="AD133" s="1" t="s">
        <v>26</v>
      </c>
      <c r="AE133" s="2">
        <v>107078998.97</v>
      </c>
      <c r="AF133" s="1">
        <v>1</v>
      </c>
      <c r="AG133" s="1" t="s">
        <v>26</v>
      </c>
      <c r="AH133" s="1" t="s">
        <v>26</v>
      </c>
      <c r="AI133" s="2" t="s">
        <v>26</v>
      </c>
      <c r="AJ133" s="1" t="s">
        <v>26</v>
      </c>
      <c r="AK133" s="1" t="s">
        <v>26</v>
      </c>
      <c r="AL133" s="1" t="s">
        <v>26</v>
      </c>
      <c r="AM133" s="2" t="s">
        <v>26</v>
      </c>
      <c r="AN133" s="1" t="s">
        <v>26</v>
      </c>
      <c r="AO133" s="1" t="s">
        <v>26</v>
      </c>
      <c r="AP133" s="1" t="s">
        <v>26</v>
      </c>
      <c r="AQ133" s="2" t="s">
        <v>26</v>
      </c>
      <c r="AR133" s="1" t="s">
        <v>26</v>
      </c>
      <c r="AS133" s="1" t="s">
        <v>26</v>
      </c>
      <c r="AT133" s="1" t="s">
        <v>26</v>
      </c>
      <c r="AU133" s="2" t="s">
        <v>26</v>
      </c>
      <c r="AV133" s="1" t="s">
        <v>26</v>
      </c>
      <c r="AW133" s="1" t="s">
        <v>26</v>
      </c>
      <c r="AX133" s="1" t="s">
        <v>26</v>
      </c>
      <c r="AY133" s="2">
        <v>107078998.97</v>
      </c>
      <c r="AZ133" s="1">
        <v>1</v>
      </c>
      <c r="BA133" s="1" t="s">
        <v>26</v>
      </c>
      <c r="BB133" s="1" t="s">
        <v>26</v>
      </c>
    </row>
    <row r="134" spans="1:54" s="7" customFormat="1">
      <c r="A134" s="5" t="s">
        <v>144</v>
      </c>
      <c r="B134" s="20" t="s">
        <v>25</v>
      </c>
      <c r="C134" s="9" t="s">
        <v>26</v>
      </c>
      <c r="D134" s="10" t="s">
        <v>26</v>
      </c>
      <c r="E134" s="10" t="s">
        <v>26</v>
      </c>
      <c r="F134" s="10" t="s">
        <v>26</v>
      </c>
      <c r="G134" s="9" t="s">
        <v>26</v>
      </c>
      <c r="H134" s="10" t="s">
        <v>26</v>
      </c>
      <c r="I134" s="10" t="s">
        <v>26</v>
      </c>
      <c r="J134" s="10" t="s">
        <v>26</v>
      </c>
      <c r="K134" s="9">
        <v>49239146.049999997</v>
      </c>
      <c r="L134" s="10">
        <v>1.0707725611440001E-2</v>
      </c>
      <c r="M134" s="1" t="s">
        <v>26</v>
      </c>
      <c r="N134" s="1" t="s">
        <v>26</v>
      </c>
      <c r="O134" s="9" t="s">
        <v>26</v>
      </c>
      <c r="P134" s="10" t="s">
        <v>26</v>
      </c>
      <c r="Q134" s="10" t="s">
        <v>26</v>
      </c>
      <c r="R134" s="10" t="s">
        <v>26</v>
      </c>
      <c r="S134" s="9" t="s">
        <v>26</v>
      </c>
      <c r="T134" s="10" t="s">
        <v>26</v>
      </c>
      <c r="U134" s="10" t="s">
        <v>26</v>
      </c>
      <c r="V134" s="10" t="s">
        <v>26</v>
      </c>
      <c r="W134" s="9" t="s">
        <v>26</v>
      </c>
      <c r="X134" s="10" t="s">
        <v>26</v>
      </c>
      <c r="Y134" s="10" t="s">
        <v>26</v>
      </c>
      <c r="Z134" s="10" t="s">
        <v>26</v>
      </c>
      <c r="AA134" s="9" t="s">
        <v>26</v>
      </c>
      <c r="AB134" s="10" t="s">
        <v>26</v>
      </c>
      <c r="AC134" s="10" t="s">
        <v>26</v>
      </c>
      <c r="AD134" s="10" t="s">
        <v>26</v>
      </c>
      <c r="AE134" s="9">
        <v>49239146.049999997</v>
      </c>
      <c r="AF134" s="10">
        <v>6.4923424539999999E-5</v>
      </c>
      <c r="AG134" s="1" t="s">
        <v>26</v>
      </c>
      <c r="AH134" s="1" t="s">
        <v>26</v>
      </c>
      <c r="AI134" s="9" t="s">
        <v>26</v>
      </c>
      <c r="AJ134" s="10" t="s">
        <v>26</v>
      </c>
      <c r="AK134" s="10" t="s">
        <v>26</v>
      </c>
      <c r="AL134" s="10" t="s">
        <v>26</v>
      </c>
      <c r="AM134" s="9" t="s">
        <v>26</v>
      </c>
      <c r="AN134" s="10" t="s">
        <v>26</v>
      </c>
      <c r="AO134" s="10" t="s">
        <v>26</v>
      </c>
      <c r="AP134" s="10" t="s">
        <v>26</v>
      </c>
      <c r="AQ134" s="9" t="s">
        <v>26</v>
      </c>
      <c r="AR134" s="10" t="s">
        <v>26</v>
      </c>
      <c r="AS134" s="10" t="s">
        <v>26</v>
      </c>
      <c r="AT134" s="10" t="s">
        <v>26</v>
      </c>
      <c r="AU134" s="9" t="s">
        <v>26</v>
      </c>
      <c r="AV134" s="10" t="s">
        <v>26</v>
      </c>
      <c r="AW134" s="10" t="s">
        <v>26</v>
      </c>
      <c r="AX134" s="10" t="s">
        <v>26</v>
      </c>
      <c r="AY134" s="9">
        <v>49239146.049999997</v>
      </c>
      <c r="AZ134" s="10">
        <v>5.7390658960000001E-5</v>
      </c>
      <c r="BA134" s="1" t="s">
        <v>26</v>
      </c>
      <c r="BB134" s="1" t="s">
        <v>26</v>
      </c>
    </row>
    <row r="135" spans="1:54" s="7" customFormat="1">
      <c r="A135" s="3" t="s">
        <v>88</v>
      </c>
      <c r="B135" s="23" t="s">
        <v>47</v>
      </c>
      <c r="C135" s="2" t="s">
        <v>26</v>
      </c>
      <c r="D135" s="1" t="s">
        <v>26</v>
      </c>
      <c r="E135" s="10" t="s">
        <v>26</v>
      </c>
      <c r="F135" s="10" t="s">
        <v>26</v>
      </c>
      <c r="G135" s="2" t="s">
        <v>26</v>
      </c>
      <c r="H135" s="1" t="s">
        <v>26</v>
      </c>
      <c r="I135" s="1" t="s">
        <v>26</v>
      </c>
      <c r="J135" s="1" t="s">
        <v>26</v>
      </c>
      <c r="K135" s="2">
        <v>49239146.049999997</v>
      </c>
      <c r="L135" s="1">
        <v>1</v>
      </c>
      <c r="M135" s="1" t="s">
        <v>26</v>
      </c>
      <c r="N135" s="1" t="s">
        <v>26</v>
      </c>
      <c r="O135" s="2" t="s">
        <v>26</v>
      </c>
      <c r="P135" s="1" t="s">
        <v>26</v>
      </c>
      <c r="Q135" s="10" t="s">
        <v>26</v>
      </c>
      <c r="R135" s="10" t="s">
        <v>26</v>
      </c>
      <c r="S135" s="2" t="s">
        <v>26</v>
      </c>
      <c r="T135" s="1" t="s">
        <v>26</v>
      </c>
      <c r="U135" s="1" t="s">
        <v>26</v>
      </c>
      <c r="V135" s="1" t="s">
        <v>26</v>
      </c>
      <c r="W135" s="2" t="s">
        <v>26</v>
      </c>
      <c r="X135" s="1" t="s">
        <v>26</v>
      </c>
      <c r="Y135" s="1" t="s">
        <v>26</v>
      </c>
      <c r="Z135" s="1" t="s">
        <v>26</v>
      </c>
      <c r="AA135" s="2" t="s">
        <v>26</v>
      </c>
      <c r="AB135" s="1" t="s">
        <v>26</v>
      </c>
      <c r="AC135" s="1" t="s">
        <v>26</v>
      </c>
      <c r="AD135" s="1" t="s">
        <v>26</v>
      </c>
      <c r="AE135" s="2">
        <v>49239146.049999997</v>
      </c>
      <c r="AF135" s="1">
        <v>1</v>
      </c>
      <c r="AG135" s="1" t="s">
        <v>26</v>
      </c>
      <c r="AH135" s="1" t="s">
        <v>26</v>
      </c>
      <c r="AI135" s="2" t="s">
        <v>26</v>
      </c>
      <c r="AJ135" s="1" t="s">
        <v>26</v>
      </c>
      <c r="AK135" s="1" t="s">
        <v>26</v>
      </c>
      <c r="AL135" s="1" t="s">
        <v>26</v>
      </c>
      <c r="AM135" s="2" t="s">
        <v>26</v>
      </c>
      <c r="AN135" s="1" t="s">
        <v>26</v>
      </c>
      <c r="AO135" s="1" t="s">
        <v>26</v>
      </c>
      <c r="AP135" s="1" t="s">
        <v>26</v>
      </c>
      <c r="AQ135" s="2" t="s">
        <v>26</v>
      </c>
      <c r="AR135" s="1" t="s">
        <v>26</v>
      </c>
      <c r="AS135" s="1" t="s">
        <v>26</v>
      </c>
      <c r="AT135" s="1" t="s">
        <v>26</v>
      </c>
      <c r="AU135" s="2" t="s">
        <v>26</v>
      </c>
      <c r="AV135" s="1" t="s">
        <v>26</v>
      </c>
      <c r="AW135" s="1" t="s">
        <v>26</v>
      </c>
      <c r="AX135" s="1" t="s">
        <v>26</v>
      </c>
      <c r="AY135" s="2">
        <v>49239146.049999997</v>
      </c>
      <c r="AZ135" s="1">
        <v>1</v>
      </c>
      <c r="BA135" s="1" t="s">
        <v>26</v>
      </c>
      <c r="BB135" s="1" t="s">
        <v>26</v>
      </c>
    </row>
    <row r="136" spans="1:54" s="7" customFormat="1">
      <c r="A136" s="5" t="s">
        <v>140</v>
      </c>
      <c r="B136" s="20" t="s">
        <v>25</v>
      </c>
      <c r="C136" s="9" t="s">
        <v>26</v>
      </c>
      <c r="D136" s="10" t="s">
        <v>26</v>
      </c>
      <c r="E136" s="10" t="s">
        <v>26</v>
      </c>
      <c r="F136" s="10" t="s">
        <v>26</v>
      </c>
      <c r="G136" s="9" t="s">
        <v>26</v>
      </c>
      <c r="H136" s="10" t="s">
        <v>26</v>
      </c>
      <c r="I136" s="10" t="s">
        <v>26</v>
      </c>
      <c r="J136" s="10" t="s">
        <v>26</v>
      </c>
      <c r="K136" s="9">
        <v>111158058.48999999</v>
      </c>
      <c r="L136" s="10">
        <v>2.4172839809260001E-2</v>
      </c>
      <c r="M136" s="1" t="s">
        <v>26</v>
      </c>
      <c r="N136" s="1" t="s">
        <v>26</v>
      </c>
      <c r="O136" s="9" t="s">
        <v>26</v>
      </c>
      <c r="P136" s="10" t="s">
        <v>26</v>
      </c>
      <c r="Q136" s="10" t="s">
        <v>26</v>
      </c>
      <c r="R136" s="10" t="s">
        <v>26</v>
      </c>
      <c r="S136" s="9" t="s">
        <v>26</v>
      </c>
      <c r="T136" s="10" t="s">
        <v>26</v>
      </c>
      <c r="U136" s="10" t="s">
        <v>26</v>
      </c>
      <c r="V136" s="10" t="s">
        <v>26</v>
      </c>
      <c r="W136" s="9" t="s">
        <v>26</v>
      </c>
      <c r="X136" s="10" t="s">
        <v>26</v>
      </c>
      <c r="Y136" s="10" t="s">
        <v>26</v>
      </c>
      <c r="Z136" s="10" t="s">
        <v>26</v>
      </c>
      <c r="AA136" s="9" t="s">
        <v>26</v>
      </c>
      <c r="AB136" s="10" t="s">
        <v>26</v>
      </c>
      <c r="AC136" s="10" t="s">
        <v>26</v>
      </c>
      <c r="AD136" s="10" t="s">
        <v>26</v>
      </c>
      <c r="AE136" s="9">
        <v>111158058.48999999</v>
      </c>
      <c r="AF136" s="10">
        <v>1.4656553577999999E-4</v>
      </c>
      <c r="AG136" s="1" t="s">
        <v>26</v>
      </c>
      <c r="AH136" s="1" t="s">
        <v>26</v>
      </c>
      <c r="AI136" s="9" t="s">
        <v>26</v>
      </c>
      <c r="AJ136" s="10" t="s">
        <v>26</v>
      </c>
      <c r="AK136" s="10" t="s">
        <v>26</v>
      </c>
      <c r="AL136" s="10" t="s">
        <v>26</v>
      </c>
      <c r="AM136" s="9" t="s">
        <v>26</v>
      </c>
      <c r="AN136" s="10" t="s">
        <v>26</v>
      </c>
      <c r="AO136" s="10" t="s">
        <v>26</v>
      </c>
      <c r="AP136" s="10" t="s">
        <v>26</v>
      </c>
      <c r="AQ136" s="9" t="s">
        <v>26</v>
      </c>
      <c r="AR136" s="10" t="s">
        <v>26</v>
      </c>
      <c r="AS136" s="10" t="s">
        <v>26</v>
      </c>
      <c r="AT136" s="10" t="s">
        <v>26</v>
      </c>
      <c r="AU136" s="9" t="s">
        <v>26</v>
      </c>
      <c r="AV136" s="10" t="s">
        <v>26</v>
      </c>
      <c r="AW136" s="10" t="s">
        <v>26</v>
      </c>
      <c r="AX136" s="10" t="s">
        <v>26</v>
      </c>
      <c r="AY136" s="9">
        <v>111158058.48999999</v>
      </c>
      <c r="AZ136" s="10">
        <v>1.2956021249999999E-4</v>
      </c>
      <c r="BA136" s="1" t="s">
        <v>26</v>
      </c>
      <c r="BB136" s="1" t="s">
        <v>26</v>
      </c>
    </row>
    <row r="137" spans="1:54" s="7" customFormat="1">
      <c r="A137" s="3" t="s">
        <v>88</v>
      </c>
      <c r="B137" s="23" t="s">
        <v>47</v>
      </c>
      <c r="C137" s="2" t="s">
        <v>26</v>
      </c>
      <c r="D137" s="1" t="s">
        <v>26</v>
      </c>
      <c r="E137" s="1" t="s">
        <v>26</v>
      </c>
      <c r="F137" s="1" t="s">
        <v>26</v>
      </c>
      <c r="G137" s="2" t="s">
        <v>26</v>
      </c>
      <c r="H137" s="1" t="s">
        <v>26</v>
      </c>
      <c r="I137" s="1" t="s">
        <v>26</v>
      </c>
      <c r="J137" s="1" t="s">
        <v>26</v>
      </c>
      <c r="K137" s="2">
        <v>111158058.48999999</v>
      </c>
      <c r="L137" s="1">
        <v>1</v>
      </c>
      <c r="M137" s="1" t="s">
        <v>26</v>
      </c>
      <c r="N137" s="1" t="s">
        <v>26</v>
      </c>
      <c r="O137" s="2" t="s">
        <v>26</v>
      </c>
      <c r="P137" s="1" t="s">
        <v>26</v>
      </c>
      <c r="Q137" s="1" t="s">
        <v>26</v>
      </c>
      <c r="R137" s="1" t="s">
        <v>26</v>
      </c>
      <c r="S137" s="2" t="s">
        <v>26</v>
      </c>
      <c r="T137" s="1" t="s">
        <v>26</v>
      </c>
      <c r="U137" s="1" t="s">
        <v>26</v>
      </c>
      <c r="V137" s="1" t="s">
        <v>26</v>
      </c>
      <c r="W137" s="2" t="s">
        <v>26</v>
      </c>
      <c r="X137" s="1" t="s">
        <v>26</v>
      </c>
      <c r="Y137" s="1" t="s">
        <v>26</v>
      </c>
      <c r="Z137" s="1" t="s">
        <v>26</v>
      </c>
      <c r="AA137" s="2" t="s">
        <v>26</v>
      </c>
      <c r="AB137" s="1" t="s">
        <v>26</v>
      </c>
      <c r="AC137" s="1" t="s">
        <v>26</v>
      </c>
      <c r="AD137" s="1" t="s">
        <v>26</v>
      </c>
      <c r="AE137" s="2">
        <v>111158058.48999999</v>
      </c>
      <c r="AF137" s="1">
        <v>1</v>
      </c>
      <c r="AG137" s="1" t="s">
        <v>26</v>
      </c>
      <c r="AH137" s="1" t="s">
        <v>26</v>
      </c>
      <c r="AI137" s="2" t="s">
        <v>26</v>
      </c>
      <c r="AJ137" s="1" t="s">
        <v>26</v>
      </c>
      <c r="AK137" s="1" t="s">
        <v>26</v>
      </c>
      <c r="AL137" s="1" t="s">
        <v>26</v>
      </c>
      <c r="AM137" s="2" t="s">
        <v>26</v>
      </c>
      <c r="AN137" s="1" t="s">
        <v>26</v>
      </c>
      <c r="AO137" s="1" t="s">
        <v>26</v>
      </c>
      <c r="AP137" s="1" t="s">
        <v>26</v>
      </c>
      <c r="AQ137" s="2" t="s">
        <v>26</v>
      </c>
      <c r="AR137" s="1" t="s">
        <v>26</v>
      </c>
      <c r="AS137" s="1" t="s">
        <v>26</v>
      </c>
      <c r="AT137" s="1" t="s">
        <v>26</v>
      </c>
      <c r="AU137" s="2" t="s">
        <v>26</v>
      </c>
      <c r="AV137" s="1" t="s">
        <v>26</v>
      </c>
      <c r="AW137" s="1" t="s">
        <v>26</v>
      </c>
      <c r="AX137" s="1" t="s">
        <v>26</v>
      </c>
      <c r="AY137" s="2">
        <v>111158058.48999999</v>
      </c>
      <c r="AZ137" s="1">
        <v>1</v>
      </c>
      <c r="BA137" s="1" t="s">
        <v>26</v>
      </c>
      <c r="BB137" s="1" t="s">
        <v>26</v>
      </c>
    </row>
    <row r="138" spans="1:54" s="28" customFormat="1">
      <c r="A138" s="12" t="s">
        <v>106</v>
      </c>
      <c r="B138" s="40" t="s">
        <v>25</v>
      </c>
      <c r="C138" s="42" t="s">
        <v>26</v>
      </c>
      <c r="D138" s="43" t="s">
        <v>26</v>
      </c>
      <c r="E138" s="43" t="s">
        <v>26</v>
      </c>
      <c r="F138" s="43" t="s">
        <v>26</v>
      </c>
      <c r="G138" s="42">
        <v>124124057.44</v>
      </c>
      <c r="H138" s="43">
        <v>6.8413389698E-4</v>
      </c>
      <c r="I138" s="43">
        <v>0.05</v>
      </c>
      <c r="J138" s="43">
        <f>+I138-H138</f>
        <v>4.9315866103020002E-2</v>
      </c>
      <c r="K138" s="42" t="s">
        <v>26</v>
      </c>
      <c r="L138" s="43" t="s">
        <v>26</v>
      </c>
      <c r="M138" s="43" t="s">
        <v>26</v>
      </c>
      <c r="N138" s="43" t="s">
        <v>26</v>
      </c>
      <c r="O138" s="42" t="s">
        <v>26</v>
      </c>
      <c r="P138" s="43" t="s">
        <v>26</v>
      </c>
      <c r="Q138" s="43" t="s">
        <v>26</v>
      </c>
      <c r="R138" s="43" t="s">
        <v>26</v>
      </c>
      <c r="S138" s="42">
        <v>124124057.44</v>
      </c>
      <c r="T138" s="43">
        <v>9.4840283626000004E-4</v>
      </c>
      <c r="U138" s="43">
        <v>0.05</v>
      </c>
      <c r="V138" s="43">
        <f>+U138-T138</f>
        <v>4.9051597163740003E-2</v>
      </c>
      <c r="W138" s="42" t="s">
        <v>26</v>
      </c>
      <c r="X138" s="43" t="s">
        <v>26</v>
      </c>
      <c r="Y138" s="43" t="s">
        <v>26</v>
      </c>
      <c r="Z138" s="43" t="s">
        <v>26</v>
      </c>
      <c r="AA138" s="42">
        <v>124124057.44</v>
      </c>
      <c r="AB138" s="43">
        <v>7.6464512579999997E-4</v>
      </c>
      <c r="AC138" s="43">
        <v>0.05</v>
      </c>
      <c r="AD138" s="43">
        <f>+AC138-AB138</f>
        <v>4.9235354874200006E-2</v>
      </c>
      <c r="AE138" s="42">
        <v>372372172.31999999</v>
      </c>
      <c r="AF138" s="43">
        <v>4.9098488841999998E-4</v>
      </c>
      <c r="AG138" s="43">
        <v>0.05</v>
      </c>
      <c r="AH138" s="43">
        <f>+AG138-AF138</f>
        <v>4.9509015111580006E-2</v>
      </c>
      <c r="AI138" s="42" t="s">
        <v>26</v>
      </c>
      <c r="AJ138" s="43" t="s">
        <v>26</v>
      </c>
      <c r="AK138" s="43" t="s">
        <v>26</v>
      </c>
      <c r="AL138" s="43" t="s">
        <v>26</v>
      </c>
      <c r="AM138" s="42" t="s">
        <v>26</v>
      </c>
      <c r="AN138" s="43" t="s">
        <v>26</v>
      </c>
      <c r="AO138" s="43" t="s">
        <v>26</v>
      </c>
      <c r="AP138" s="43" t="s">
        <v>26</v>
      </c>
      <c r="AQ138" s="42" t="s">
        <v>26</v>
      </c>
      <c r="AR138" s="43" t="s">
        <v>26</v>
      </c>
      <c r="AS138" s="43" t="s">
        <v>26</v>
      </c>
      <c r="AT138" s="43" t="s">
        <v>26</v>
      </c>
      <c r="AU138" s="42" t="s">
        <v>26</v>
      </c>
      <c r="AV138" s="43" t="s">
        <v>26</v>
      </c>
      <c r="AW138" s="43" t="s">
        <v>26</v>
      </c>
      <c r="AX138" s="43" t="s">
        <v>26</v>
      </c>
      <c r="AY138" s="42">
        <v>372372172.31999999</v>
      </c>
      <c r="AZ138" s="43">
        <v>4.3401817581999999E-4</v>
      </c>
      <c r="BA138" s="43">
        <v>0.05</v>
      </c>
      <c r="BB138" s="43">
        <f>+BA138-AZ138</f>
        <v>4.9565981824180004E-2</v>
      </c>
    </row>
    <row r="139" spans="1:54" s="7" customFormat="1">
      <c r="A139" s="5" t="s">
        <v>107</v>
      </c>
      <c r="B139" s="20" t="s">
        <v>25</v>
      </c>
      <c r="C139" s="9" t="s">
        <v>26</v>
      </c>
      <c r="D139" s="10" t="s">
        <v>26</v>
      </c>
      <c r="E139" s="10" t="s">
        <v>26</v>
      </c>
      <c r="F139" s="10" t="s">
        <v>26</v>
      </c>
      <c r="G139" s="9">
        <v>124124057.44</v>
      </c>
      <c r="H139" s="10">
        <v>6.8413389698E-4</v>
      </c>
      <c r="I139" s="10" t="s">
        <v>26</v>
      </c>
      <c r="J139" s="10" t="s">
        <v>26</v>
      </c>
      <c r="K139" s="9" t="s">
        <v>26</v>
      </c>
      <c r="L139" s="10" t="s">
        <v>26</v>
      </c>
      <c r="M139" s="10" t="s">
        <v>26</v>
      </c>
      <c r="N139" s="10" t="s">
        <v>26</v>
      </c>
      <c r="O139" s="9" t="s">
        <v>26</v>
      </c>
      <c r="P139" s="10" t="s">
        <v>26</v>
      </c>
      <c r="Q139" s="10" t="s">
        <v>26</v>
      </c>
      <c r="R139" s="10" t="s">
        <v>26</v>
      </c>
      <c r="S139" s="9">
        <v>124124057.44</v>
      </c>
      <c r="T139" s="10">
        <v>9.4840283626000004E-4</v>
      </c>
      <c r="U139" s="10" t="s">
        <v>26</v>
      </c>
      <c r="V139" s="10" t="s">
        <v>26</v>
      </c>
      <c r="W139" s="9" t="s">
        <v>26</v>
      </c>
      <c r="X139" s="10" t="s">
        <v>26</v>
      </c>
      <c r="Y139" s="10" t="s">
        <v>26</v>
      </c>
      <c r="Z139" s="10" t="s">
        <v>26</v>
      </c>
      <c r="AA139" s="9">
        <v>124124057.44</v>
      </c>
      <c r="AB139" s="10">
        <v>7.6464512579999997E-4</v>
      </c>
      <c r="AC139" s="10" t="s">
        <v>26</v>
      </c>
      <c r="AD139" s="10" t="s">
        <v>26</v>
      </c>
      <c r="AE139" s="9">
        <v>372372172.31999999</v>
      </c>
      <c r="AF139" s="10">
        <v>4.9098488841999998E-4</v>
      </c>
      <c r="AG139" s="10" t="s">
        <v>26</v>
      </c>
      <c r="AH139" s="10" t="s">
        <v>26</v>
      </c>
      <c r="AI139" s="9" t="s">
        <v>26</v>
      </c>
      <c r="AJ139" s="10" t="s">
        <v>26</v>
      </c>
      <c r="AK139" s="10" t="s">
        <v>26</v>
      </c>
      <c r="AL139" s="10" t="s">
        <v>26</v>
      </c>
      <c r="AM139" s="9" t="s">
        <v>26</v>
      </c>
      <c r="AN139" s="10" t="s">
        <v>26</v>
      </c>
      <c r="AO139" s="10" t="s">
        <v>26</v>
      </c>
      <c r="AP139" s="10" t="s">
        <v>26</v>
      </c>
      <c r="AQ139" s="9" t="s">
        <v>26</v>
      </c>
      <c r="AR139" s="10" t="s">
        <v>26</v>
      </c>
      <c r="AS139" s="10" t="s">
        <v>26</v>
      </c>
      <c r="AT139" s="10" t="s">
        <v>26</v>
      </c>
      <c r="AU139" s="9" t="s">
        <v>26</v>
      </c>
      <c r="AV139" s="10" t="s">
        <v>26</v>
      </c>
      <c r="AW139" s="10" t="s">
        <v>26</v>
      </c>
      <c r="AX139" s="10" t="s">
        <v>26</v>
      </c>
      <c r="AY139" s="9">
        <v>372372172.31999999</v>
      </c>
      <c r="AZ139" s="10">
        <v>4.3401817581999999E-4</v>
      </c>
      <c r="BA139" s="10" t="s">
        <v>26</v>
      </c>
      <c r="BB139" s="10" t="s">
        <v>26</v>
      </c>
    </row>
    <row r="140" spans="1:54">
      <c r="A140" s="3" t="s">
        <v>108</v>
      </c>
      <c r="B140" s="23" t="s">
        <v>40</v>
      </c>
      <c r="C140" s="2" t="s">
        <v>26</v>
      </c>
      <c r="D140" s="1" t="s">
        <v>26</v>
      </c>
      <c r="E140" s="1" t="s">
        <v>26</v>
      </c>
      <c r="F140" s="1" t="s">
        <v>26</v>
      </c>
      <c r="G140" s="2">
        <v>124124057.44</v>
      </c>
      <c r="H140" s="1">
        <v>1</v>
      </c>
      <c r="I140" s="1" t="s">
        <v>26</v>
      </c>
      <c r="J140" s="1" t="s">
        <v>26</v>
      </c>
      <c r="K140" s="2" t="s">
        <v>26</v>
      </c>
      <c r="L140" s="1" t="s">
        <v>26</v>
      </c>
      <c r="M140" s="1" t="s">
        <v>26</v>
      </c>
      <c r="N140" s="1" t="s">
        <v>26</v>
      </c>
      <c r="O140" s="2" t="s">
        <v>26</v>
      </c>
      <c r="P140" s="1" t="s">
        <v>26</v>
      </c>
      <c r="Q140" s="1" t="s">
        <v>26</v>
      </c>
      <c r="R140" s="1" t="s">
        <v>26</v>
      </c>
      <c r="S140" s="2">
        <v>124124057.44</v>
      </c>
      <c r="T140" s="1">
        <v>1</v>
      </c>
      <c r="U140" s="1" t="s">
        <v>26</v>
      </c>
      <c r="V140" s="1" t="s">
        <v>26</v>
      </c>
      <c r="W140" s="2" t="s">
        <v>26</v>
      </c>
      <c r="X140" s="1" t="s">
        <v>26</v>
      </c>
      <c r="Y140" s="1" t="s">
        <v>26</v>
      </c>
      <c r="Z140" s="1" t="s">
        <v>26</v>
      </c>
      <c r="AA140" s="2">
        <v>124124057.44</v>
      </c>
      <c r="AB140" s="1">
        <v>1</v>
      </c>
      <c r="AC140" s="1" t="s">
        <v>26</v>
      </c>
      <c r="AD140" s="1" t="s">
        <v>26</v>
      </c>
      <c r="AE140" s="2">
        <v>372372172.31999999</v>
      </c>
      <c r="AF140" s="1">
        <v>1</v>
      </c>
      <c r="AG140" s="1" t="s">
        <v>26</v>
      </c>
      <c r="AH140" s="1" t="s">
        <v>26</v>
      </c>
      <c r="AI140" s="2" t="s">
        <v>26</v>
      </c>
      <c r="AJ140" s="1" t="s">
        <v>26</v>
      </c>
      <c r="AK140" s="1" t="s">
        <v>26</v>
      </c>
      <c r="AL140" s="1" t="s">
        <v>26</v>
      </c>
      <c r="AM140" s="2" t="s">
        <v>26</v>
      </c>
      <c r="AN140" s="1" t="s">
        <v>26</v>
      </c>
      <c r="AO140" s="1" t="s">
        <v>26</v>
      </c>
      <c r="AP140" s="1" t="s">
        <v>26</v>
      </c>
      <c r="AQ140" s="2" t="s">
        <v>26</v>
      </c>
      <c r="AR140" s="1" t="s">
        <v>26</v>
      </c>
      <c r="AS140" s="1" t="s">
        <v>26</v>
      </c>
      <c r="AT140" s="1" t="s">
        <v>26</v>
      </c>
      <c r="AU140" s="2" t="s">
        <v>26</v>
      </c>
      <c r="AV140" s="1" t="s">
        <v>26</v>
      </c>
      <c r="AW140" s="1" t="s">
        <v>26</v>
      </c>
      <c r="AX140" s="1" t="s">
        <v>26</v>
      </c>
      <c r="AY140" s="2">
        <v>372372172.31999999</v>
      </c>
      <c r="AZ140" s="1">
        <v>1</v>
      </c>
      <c r="BA140" s="1" t="s">
        <v>26</v>
      </c>
      <c r="BB140" s="1" t="s">
        <v>26</v>
      </c>
    </row>
    <row r="141" spans="1:54" s="13" customFormat="1">
      <c r="A141" s="12" t="s">
        <v>109</v>
      </c>
      <c r="B141" s="40" t="s">
        <v>25</v>
      </c>
      <c r="C141" s="42">
        <v>8386643094.5</v>
      </c>
      <c r="D141" s="43">
        <v>0.99929999999999997</v>
      </c>
      <c r="E141" s="43" t="s">
        <v>26</v>
      </c>
      <c r="F141" s="43" t="s">
        <v>26</v>
      </c>
      <c r="G141" s="42">
        <v>181431461275.91</v>
      </c>
      <c r="H141" s="43">
        <v>1</v>
      </c>
      <c r="I141" s="43" t="s">
        <v>26</v>
      </c>
      <c r="J141" s="43" t="s">
        <v>26</v>
      </c>
      <c r="K141" s="42">
        <v>4597863197.2700005</v>
      </c>
      <c r="L141" s="43">
        <v>0.99990000000000001</v>
      </c>
      <c r="M141" s="43" t="s">
        <v>26</v>
      </c>
      <c r="N141" s="43" t="s">
        <v>26</v>
      </c>
      <c r="O141" s="42">
        <v>263258396002.73001</v>
      </c>
      <c r="P141" s="43">
        <v>1</v>
      </c>
      <c r="Q141" s="43" t="s">
        <v>26</v>
      </c>
      <c r="R141" s="43" t="s">
        <v>26</v>
      </c>
      <c r="S141" s="42">
        <v>130876672260.82001</v>
      </c>
      <c r="T141" s="43">
        <v>1</v>
      </c>
      <c r="U141" s="43" t="s">
        <v>26</v>
      </c>
      <c r="V141" s="43" t="s">
        <v>26</v>
      </c>
      <c r="W141" s="42">
        <v>7520921026.54</v>
      </c>
      <c r="X141" s="43">
        <v>0.99870000000000003</v>
      </c>
      <c r="Y141" s="43" t="s">
        <v>26</v>
      </c>
      <c r="Z141" s="43" t="s">
        <v>26</v>
      </c>
      <c r="AA141" s="42">
        <v>162328782895.76001</v>
      </c>
      <c r="AB141" s="43">
        <v>1</v>
      </c>
      <c r="AC141" s="43" t="s">
        <v>26</v>
      </c>
      <c r="AD141" s="43" t="s">
        <v>26</v>
      </c>
      <c r="AE141" s="42">
        <v>758400739753.53003</v>
      </c>
      <c r="AF141" s="43">
        <v>1</v>
      </c>
      <c r="AG141" s="43" t="s">
        <v>26</v>
      </c>
      <c r="AH141" s="43" t="s">
        <v>26</v>
      </c>
      <c r="AI141" s="42">
        <v>19120082547.700001</v>
      </c>
      <c r="AJ141" s="43">
        <v>1</v>
      </c>
      <c r="AK141" s="43" t="s">
        <v>26</v>
      </c>
      <c r="AL141" s="43" t="s">
        <v>26</v>
      </c>
      <c r="AM141" s="42">
        <v>25386426991.779999</v>
      </c>
      <c r="AN141" s="43">
        <v>0.99990000000000001</v>
      </c>
      <c r="AO141" s="43" t="s">
        <v>26</v>
      </c>
      <c r="AP141" s="43" t="s">
        <v>26</v>
      </c>
      <c r="AQ141" s="42">
        <v>44506509539.480003</v>
      </c>
      <c r="AR141" s="43">
        <v>1</v>
      </c>
      <c r="AS141" s="43" t="s">
        <v>26</v>
      </c>
      <c r="AT141" s="43" t="s">
        <v>26</v>
      </c>
      <c r="AU141" s="42">
        <v>55037316620.550003</v>
      </c>
      <c r="AV141" s="43">
        <v>1</v>
      </c>
      <c r="AW141" s="43" t="s">
        <v>26</v>
      </c>
      <c r="AX141" s="43" t="s">
        <v>26</v>
      </c>
      <c r="AY141" s="42">
        <v>857944565913.56006</v>
      </c>
      <c r="AZ141" s="43">
        <v>1</v>
      </c>
      <c r="BA141" s="43" t="s">
        <v>26</v>
      </c>
      <c r="BB141" s="43" t="s">
        <v>26</v>
      </c>
    </row>
    <row r="142" spans="1:54" s="6" customFormat="1">
      <c r="A142" s="5" t="s">
        <v>110</v>
      </c>
      <c r="B142" s="20" t="s">
        <v>25</v>
      </c>
      <c r="C142" s="9">
        <v>5715167.0300000003</v>
      </c>
      <c r="D142" s="10">
        <v>6.9999999999999999E-4</v>
      </c>
      <c r="E142" s="10" t="s">
        <v>26</v>
      </c>
      <c r="F142" s="10" t="s">
        <v>26</v>
      </c>
      <c r="G142" s="9">
        <v>942508.4</v>
      </c>
      <c r="H142" s="10">
        <v>0</v>
      </c>
      <c r="I142" s="10" t="s">
        <v>26</v>
      </c>
      <c r="J142" s="10" t="s">
        <v>26</v>
      </c>
      <c r="K142" s="9">
        <v>605967.59</v>
      </c>
      <c r="L142" s="10">
        <v>1E-4</v>
      </c>
      <c r="M142" s="10" t="s">
        <v>26</v>
      </c>
      <c r="N142" s="10" t="s">
        <v>26</v>
      </c>
      <c r="O142" s="9">
        <v>204697.96</v>
      </c>
      <c r="P142" s="10">
        <v>0</v>
      </c>
      <c r="Q142" s="10" t="s">
        <v>26</v>
      </c>
      <c r="R142" s="10" t="s">
        <v>26</v>
      </c>
      <c r="S142" s="9">
        <v>263883.56</v>
      </c>
      <c r="T142" s="10">
        <v>0</v>
      </c>
      <c r="U142" s="10" t="s">
        <v>26</v>
      </c>
      <c r="V142" s="10" t="s">
        <v>26</v>
      </c>
      <c r="W142" s="9">
        <v>10143561.210000001</v>
      </c>
      <c r="X142" s="10">
        <v>1.2999999999999999E-3</v>
      </c>
      <c r="Y142" s="10" t="s">
        <v>26</v>
      </c>
      <c r="Z142" s="10" t="s">
        <v>26</v>
      </c>
      <c r="AA142" s="9">
        <v>189398.12</v>
      </c>
      <c r="AB142" s="10">
        <v>0</v>
      </c>
      <c r="AC142" s="10" t="s">
        <v>26</v>
      </c>
      <c r="AD142" s="10" t="s">
        <v>26</v>
      </c>
      <c r="AE142" s="9">
        <v>18065183.870000001</v>
      </c>
      <c r="AF142" s="10">
        <v>0</v>
      </c>
      <c r="AG142" s="10" t="s">
        <v>26</v>
      </c>
      <c r="AH142" s="10" t="s">
        <v>26</v>
      </c>
      <c r="AI142" s="9">
        <v>131527.23000000001</v>
      </c>
      <c r="AJ142" s="10">
        <v>0</v>
      </c>
      <c r="AK142" s="10" t="s">
        <v>26</v>
      </c>
      <c r="AL142" s="10" t="s">
        <v>26</v>
      </c>
      <c r="AM142" s="9">
        <v>1570308.8</v>
      </c>
      <c r="AN142" s="10">
        <v>1E-4</v>
      </c>
      <c r="AO142" s="10" t="s">
        <v>26</v>
      </c>
      <c r="AP142" s="10" t="s">
        <v>26</v>
      </c>
      <c r="AQ142" s="9">
        <v>1701836.03</v>
      </c>
      <c r="AR142" s="10">
        <v>0</v>
      </c>
      <c r="AS142" s="10" t="s">
        <v>26</v>
      </c>
      <c r="AT142" s="10" t="s">
        <v>26</v>
      </c>
      <c r="AU142" s="9">
        <v>132758.82</v>
      </c>
      <c r="AV142" s="10">
        <v>0</v>
      </c>
      <c r="AW142" s="10" t="s">
        <v>26</v>
      </c>
      <c r="AX142" s="10" t="s">
        <v>26</v>
      </c>
      <c r="AY142" s="9">
        <v>19899778.719999999</v>
      </c>
      <c r="AZ142" s="10">
        <v>0</v>
      </c>
      <c r="BA142" s="10" t="s">
        <v>26</v>
      </c>
      <c r="BB142" s="10" t="s">
        <v>26</v>
      </c>
    </row>
    <row r="143" spans="1:54" s="13" customFormat="1">
      <c r="A143" s="50" t="s">
        <v>111</v>
      </c>
      <c r="B143" s="40" t="s">
        <v>25</v>
      </c>
      <c r="C143" s="42">
        <v>8392358261.5299997</v>
      </c>
      <c r="D143" s="43">
        <v>1</v>
      </c>
      <c r="E143" s="43" t="s">
        <v>26</v>
      </c>
      <c r="F143" s="43" t="s">
        <v>26</v>
      </c>
      <c r="G143" s="42">
        <v>181432403784.31</v>
      </c>
      <c r="H143" s="43">
        <v>1</v>
      </c>
      <c r="I143" s="43" t="s">
        <v>26</v>
      </c>
      <c r="J143" s="43" t="s">
        <v>26</v>
      </c>
      <c r="K143" s="42">
        <v>4598469164.8599997</v>
      </c>
      <c r="L143" s="43">
        <v>1</v>
      </c>
      <c r="M143" s="43" t="s">
        <v>26</v>
      </c>
      <c r="N143" s="43" t="s">
        <v>26</v>
      </c>
      <c r="O143" s="42">
        <v>263258600700.69</v>
      </c>
      <c r="P143" s="43">
        <v>1</v>
      </c>
      <c r="Q143" s="43" t="s">
        <v>26</v>
      </c>
      <c r="R143" s="43" t="s">
        <v>26</v>
      </c>
      <c r="S143" s="42">
        <v>130876936144.38</v>
      </c>
      <c r="T143" s="43">
        <v>1</v>
      </c>
      <c r="U143" s="43" t="s">
        <v>26</v>
      </c>
      <c r="V143" s="43" t="s">
        <v>26</v>
      </c>
      <c r="W143" s="42">
        <v>7531064587.75</v>
      </c>
      <c r="X143" s="43">
        <v>1</v>
      </c>
      <c r="Y143" s="43" t="s">
        <v>26</v>
      </c>
      <c r="Z143" s="43" t="s">
        <v>26</v>
      </c>
      <c r="AA143" s="42">
        <v>162328972293.88</v>
      </c>
      <c r="AB143" s="43">
        <v>1</v>
      </c>
      <c r="AC143" s="43" t="s">
        <v>26</v>
      </c>
      <c r="AD143" s="43" t="s">
        <v>26</v>
      </c>
      <c r="AE143" s="42">
        <v>758418804937.40002</v>
      </c>
      <c r="AF143" s="43">
        <v>1</v>
      </c>
      <c r="AG143" s="43" t="s">
        <v>26</v>
      </c>
      <c r="AH143" s="43" t="s">
        <v>26</v>
      </c>
      <c r="AI143" s="42">
        <v>19120214074.93</v>
      </c>
      <c r="AJ143" s="43">
        <v>1</v>
      </c>
      <c r="AK143" s="43" t="s">
        <v>26</v>
      </c>
      <c r="AL143" s="43" t="s">
        <v>26</v>
      </c>
      <c r="AM143" s="42">
        <v>25387997300.580002</v>
      </c>
      <c r="AN143" s="43">
        <v>1</v>
      </c>
      <c r="AO143" s="43" t="s">
        <v>26</v>
      </c>
      <c r="AP143" s="43" t="s">
        <v>26</v>
      </c>
      <c r="AQ143" s="42">
        <v>44508211375.510002</v>
      </c>
      <c r="AR143" s="43">
        <v>1</v>
      </c>
      <c r="AS143" s="43" t="s">
        <v>26</v>
      </c>
      <c r="AT143" s="43" t="s">
        <v>26</v>
      </c>
      <c r="AU143" s="42">
        <v>55037449379.370003</v>
      </c>
      <c r="AV143" s="43">
        <v>1</v>
      </c>
      <c r="AW143" s="43" t="s">
        <v>26</v>
      </c>
      <c r="AX143" s="43" t="s">
        <v>26</v>
      </c>
      <c r="AY143" s="42">
        <v>857964465692.28003</v>
      </c>
      <c r="AZ143" s="43">
        <v>1</v>
      </c>
      <c r="BA143" s="43" t="s">
        <v>26</v>
      </c>
      <c r="BB143" s="43" t="s">
        <v>26</v>
      </c>
    </row>
    <row r="144" spans="1:54" s="56" customFormat="1">
      <c r="A144" s="52"/>
      <c r="B144" s="53"/>
      <c r="C144" s="54"/>
      <c r="D144" s="55"/>
      <c r="E144" s="55"/>
      <c r="F144" s="55"/>
      <c r="G144" s="54"/>
      <c r="H144" s="55"/>
      <c r="I144" s="55"/>
      <c r="J144" s="55"/>
      <c r="K144" s="54"/>
      <c r="L144" s="55"/>
      <c r="M144" s="55"/>
      <c r="N144" s="55"/>
      <c r="O144" s="54"/>
      <c r="P144" s="55"/>
      <c r="Q144" s="55"/>
      <c r="R144" s="55"/>
      <c r="S144" s="54"/>
      <c r="T144" s="55"/>
      <c r="U144" s="55"/>
      <c r="V144" s="55"/>
      <c r="W144" s="54"/>
      <c r="X144" s="55"/>
      <c r="Y144" s="55"/>
      <c r="Z144" s="55"/>
      <c r="AA144" s="54"/>
      <c r="AB144" s="55"/>
      <c r="AC144" s="55"/>
      <c r="AD144" s="55"/>
      <c r="AE144" s="54"/>
      <c r="AF144" s="55"/>
      <c r="AG144" s="55"/>
      <c r="AH144" s="55"/>
      <c r="AI144" s="54"/>
      <c r="AJ144" s="55"/>
      <c r="AK144" s="55"/>
      <c r="AL144" s="55"/>
      <c r="AM144" s="54"/>
      <c r="AN144" s="55"/>
      <c r="AO144" s="55"/>
      <c r="AP144" s="55"/>
      <c r="AQ144" s="54"/>
      <c r="AR144" s="55"/>
      <c r="AS144" s="55"/>
      <c r="AT144" s="55"/>
      <c r="AU144" s="54"/>
      <c r="AV144" s="55"/>
      <c r="AW144" s="55"/>
      <c r="AX144" s="55"/>
      <c r="AY144" s="54"/>
      <c r="AZ144" s="55"/>
      <c r="BA144" s="55"/>
      <c r="BB144" s="55"/>
    </row>
    <row r="145" spans="1:1">
      <c r="A145" s="51" t="s">
        <v>112</v>
      </c>
    </row>
    <row r="146" spans="1:1">
      <c r="A146" s="51" t="s">
        <v>113</v>
      </c>
    </row>
    <row r="147" spans="1:1">
      <c r="A147" s="51" t="s">
        <v>114</v>
      </c>
    </row>
  </sheetData>
  <mergeCells count="15">
    <mergeCell ref="O6:R6"/>
    <mergeCell ref="A6:A7"/>
    <mergeCell ref="B6:B7"/>
    <mergeCell ref="C6:F6"/>
    <mergeCell ref="G6:J6"/>
    <mergeCell ref="K6:N6"/>
    <mergeCell ref="AQ6:AT6"/>
    <mergeCell ref="AU6:AX6"/>
    <mergeCell ref="AY6:BB6"/>
    <mergeCell ref="S6:V6"/>
    <mergeCell ref="W6:Z6"/>
    <mergeCell ref="AA6:AD6"/>
    <mergeCell ref="AE6:AH6"/>
    <mergeCell ref="AI6:AL6"/>
    <mergeCell ref="AM6:AP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9" ma:contentTypeDescription="Crear nuevo documento." ma:contentTypeScope="" ma:versionID="97933b393e49022de7e3fb232a3f6372">
  <xsd:schema xmlns:xsd="http://www.w3.org/2001/XMLSchema" xmlns:xs="http://www.w3.org/2001/XMLSchema" xmlns:p="http://schemas.microsoft.com/office/2006/metadata/properties" xmlns:ns2="3d356bbc-c7e3-4705-a35e-a22d7fa248ea" targetNamespace="http://schemas.microsoft.com/office/2006/metadata/properties" ma:root="true" ma:fieldsID="6748c35f8d97a798a7749d5640898e13" ns2:_="">
    <xsd:import namespace="3d356bbc-c7e3-4705-a35e-a22d7fa248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17DD7E-BE7B-410A-B897-AC858434D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A1D400-21A7-49AA-9F07-2C5E6F3ED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4FBC3-B12C-4C90-9081-CEC475AEB061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3d356bbc-c7e3-4705-a35e-a22d7fa248ea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2021</vt:lpstr>
      <vt:lpstr>Febrero 2021</vt:lpstr>
      <vt:lpstr>Marzo 2021</vt:lpstr>
      <vt:lpstr>Abril 2021</vt:lpstr>
      <vt:lpstr>Mayo 2021</vt:lpstr>
      <vt:lpstr>Junio 2021</vt:lpstr>
      <vt:lpstr>Julio 2021</vt:lpstr>
      <vt:lpstr>Agosto 2021</vt:lpstr>
      <vt:lpstr>Septiembre 2021</vt:lpstr>
      <vt:lpstr>Octubre 2021</vt:lpstr>
      <vt:lpstr>Noviembre 2021</vt:lpstr>
      <vt:lpstr>Diciembre 2021</vt:lpstr>
    </vt:vector>
  </TitlesOfParts>
  <Manager/>
  <Company>Microsoft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nurena</dc:creator>
  <cp:keywords/>
  <dc:description/>
  <cp:lastModifiedBy>nurena</cp:lastModifiedBy>
  <cp:revision/>
  <dcterms:created xsi:type="dcterms:W3CDTF">2018-02-13T20:53:31Z</dcterms:created>
  <dcterms:modified xsi:type="dcterms:W3CDTF">2022-01-25T20:32:10Z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</Properties>
</file>