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1018" documentId="13_ncr:1_{9482E9B7-0579-4268-A7C1-E8739BF16860}" xr6:coauthVersionLast="47" xr6:coauthVersionMax="47" xr10:uidLastSave="{34EB8668-92FF-4433-A50E-D65BFC13A742}"/>
  <bookViews>
    <workbookView xWindow="-120" yWindow="-120" windowWidth="29040" windowHeight="15720" activeTab="2" xr2:uid="{00000000-000D-0000-FFFF-FFFF00000000}"/>
  </bookViews>
  <sheets>
    <sheet name="Enero" sheetId="15" r:id="rId1"/>
    <sheet name="Febrero" sheetId="16" r:id="rId2"/>
    <sheet name="Marzo" sheetId="17" r:id="rId3"/>
  </sheets>
  <definedNames>
    <definedName name="SegmentaciónDeDatos_Calificación_de_Riesgo">#N/A</definedName>
    <definedName name="SegmentaciónDeDatos_Nombre_AFP">#N/A</definedName>
    <definedName name="SegmentaciónDeDatos_Tipo_Moneda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7" l="1"/>
  <c r="M11" i="17"/>
  <c r="K11" i="17"/>
  <c r="I11" i="17"/>
  <c r="G11" i="17"/>
  <c r="E11" i="17"/>
  <c r="C11" i="17"/>
  <c r="Q10" i="17"/>
  <c r="D10" i="17" s="1"/>
  <c r="Q9" i="17"/>
  <c r="P9" i="17" s="1"/>
  <c r="Q8" i="17"/>
  <c r="P8" i="17" s="1"/>
  <c r="O11" i="16"/>
  <c r="M11" i="16"/>
  <c r="K11" i="16"/>
  <c r="I11" i="16"/>
  <c r="G11" i="16"/>
  <c r="E11" i="16"/>
  <c r="C11" i="16"/>
  <c r="Q10" i="16"/>
  <c r="H10" i="16" s="1"/>
  <c r="Q9" i="16"/>
  <c r="P9" i="16" s="1"/>
  <c r="J9" i="16"/>
  <c r="H9" i="16"/>
  <c r="F9" i="16"/>
  <c r="D9" i="16"/>
  <c r="Q8" i="16"/>
  <c r="P8" i="16" s="1"/>
  <c r="Q8" i="15"/>
  <c r="H10" i="17" l="1"/>
  <c r="J10" i="17"/>
  <c r="D9" i="17"/>
  <c r="F9" i="17"/>
  <c r="H9" i="17"/>
  <c r="F10" i="17"/>
  <c r="L10" i="17"/>
  <c r="N8" i="17"/>
  <c r="N10" i="17"/>
  <c r="P10" i="17"/>
  <c r="D8" i="17"/>
  <c r="F8" i="17"/>
  <c r="H8" i="17"/>
  <c r="J8" i="17"/>
  <c r="L8" i="17"/>
  <c r="Q11" i="17"/>
  <c r="J9" i="17"/>
  <c r="L9" i="17"/>
  <c r="N9" i="17"/>
  <c r="L9" i="16"/>
  <c r="N9" i="16"/>
  <c r="Q11" i="16"/>
  <c r="D11" i="16" s="1"/>
  <c r="J10" i="16"/>
  <c r="L10" i="16"/>
  <c r="N10" i="16"/>
  <c r="D8" i="16"/>
  <c r="F8" i="16"/>
  <c r="H8" i="16"/>
  <c r="J8" i="16"/>
  <c r="L8" i="16"/>
  <c r="N8" i="16"/>
  <c r="F11" i="16"/>
  <c r="H11" i="16"/>
  <c r="J11" i="16"/>
  <c r="L11" i="16"/>
  <c r="N11" i="16"/>
  <c r="P11" i="16"/>
  <c r="P10" i="16"/>
  <c r="D10" i="16"/>
  <c r="F10" i="16"/>
  <c r="F8" i="15"/>
  <c r="D8" i="15"/>
  <c r="P8" i="15"/>
  <c r="N8" i="15"/>
  <c r="L8" i="15"/>
  <c r="J8" i="15"/>
  <c r="H8" i="15"/>
  <c r="O11" i="15"/>
  <c r="M11" i="15"/>
  <c r="K11" i="15"/>
  <c r="G11" i="15"/>
  <c r="E11" i="15"/>
  <c r="C11" i="15"/>
  <c r="Q10" i="15"/>
  <c r="Q9" i="15"/>
  <c r="I11" i="15"/>
  <c r="N11" i="17" l="1"/>
  <c r="P11" i="17"/>
  <c r="L11" i="17"/>
  <c r="J11" i="17"/>
  <c r="H11" i="17"/>
  <c r="F11" i="17"/>
  <c r="D11" i="17"/>
  <c r="P9" i="15"/>
  <c r="J9" i="15"/>
  <c r="H9" i="15"/>
  <c r="F9" i="15"/>
  <c r="N9" i="15"/>
  <c r="L9" i="15"/>
  <c r="D9" i="15"/>
  <c r="N10" i="15"/>
  <c r="L10" i="15"/>
  <c r="H10" i="15"/>
  <c r="F10" i="15"/>
  <c r="J10" i="15"/>
  <c r="D10" i="15"/>
  <c r="P10" i="15"/>
  <c r="Q11" i="15"/>
  <c r="J11" i="15" s="1"/>
  <c r="D11" i="15" l="1"/>
  <c r="F11" i="15"/>
  <c r="P11" i="15"/>
  <c r="L11" i="15"/>
  <c r="H11" i="15"/>
  <c r="N11" i="15"/>
</calcChain>
</file>

<file path=xl/sharedStrings.xml><?xml version="1.0" encoding="utf-8"?>
<sst xmlns="http://schemas.openxmlformats.org/spreadsheetml/2006/main" count="51" uniqueCount="19">
  <si>
    <t>Inversiones de los Fondos de Pensiones por plazo de instrumentos</t>
  </si>
  <si>
    <t>RD$</t>
  </si>
  <si>
    <t xml:space="preserve">FONDO  </t>
  </si>
  <si>
    <t>Años</t>
  </si>
  <si>
    <t>TOTAL</t>
  </si>
  <si>
    <t>&lt; 1</t>
  </si>
  <si>
    <t>1-3</t>
  </si>
  <si>
    <t>3-5</t>
  </si>
  <si>
    <t>5-7</t>
  </si>
  <si>
    <t>7-10</t>
  </si>
  <si>
    <t>10-15</t>
  </si>
  <si>
    <t>15 en adelante</t>
  </si>
  <si>
    <t>CCI</t>
  </si>
  <si>
    <t>REPARTO INDIVIDUALIZADO</t>
  </si>
  <si>
    <t>FONDO DE SOLIDARIDAD SOCIAL</t>
  </si>
  <si>
    <t xml:space="preserve">TOTAL </t>
  </si>
  <si>
    <t>Al 31 de enero de 2026</t>
  </si>
  <si>
    <t>Al 28 de febrero de 2026</t>
  </si>
  <si>
    <t>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</si>
</sst>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/>
      <top style="medium">
        <color indexed="64"/>
      </top>
      <bottom style="thick">
        <color theme="0"/>
      </bottom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164" fontId="8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43" fontId="5" fillId="0" borderId="0" xfId="2" applyFont="1" applyAlignment="1">
      <alignment horizontal="center"/>
    </xf>
    <xf numFmtId="43" fontId="4" fillId="0" borderId="0" xfId="2" applyFont="1" applyFill="1" applyBorder="1" applyAlignment="1">
      <alignment horizontal="center"/>
    </xf>
    <xf numFmtId="43" fontId="6" fillId="0" borderId="0" xfId="2" applyFont="1" applyFill="1" applyBorder="1" applyAlignment="1">
      <alignment horizontal="center" vertical="center"/>
    </xf>
    <xf numFmtId="0" fontId="3" fillId="0" borderId="0" xfId="5" applyFont="1"/>
    <xf numFmtId="0" fontId="4" fillId="0" borderId="0" xfId="5" applyFont="1"/>
    <xf numFmtId="43" fontId="4" fillId="3" borderId="6" xfId="2" applyFont="1" applyFill="1" applyBorder="1" applyAlignment="1">
      <alignment horizontal="center"/>
    </xf>
    <xf numFmtId="43" fontId="6" fillId="3" borderId="7" xfId="2" applyFont="1" applyFill="1" applyBorder="1" applyAlignment="1">
      <alignment horizontal="center" vertical="center"/>
    </xf>
    <xf numFmtId="43" fontId="6" fillId="3" borderId="6" xfId="2" applyFont="1" applyFill="1" applyBorder="1" applyAlignment="1">
      <alignment horizontal="center" vertical="center"/>
    </xf>
    <xf numFmtId="10" fontId="6" fillId="3" borderId="1" xfId="4" applyNumberFormat="1" applyFont="1" applyFill="1" applyBorder="1" applyAlignment="1">
      <alignment horizontal="center" vertical="center"/>
    </xf>
    <xf numFmtId="0" fontId="4" fillId="3" borderId="8" xfId="2" applyNumberFormat="1" applyFont="1" applyFill="1" applyBorder="1" applyAlignment="1">
      <alignment horizontal="center" vertical="center" wrapText="1"/>
    </xf>
    <xf numFmtId="0" fontId="4" fillId="3" borderId="9" xfId="2" applyNumberFormat="1" applyFont="1" applyFill="1" applyBorder="1" applyAlignment="1">
      <alignment horizontal="center" vertical="center" wrapText="1"/>
    </xf>
    <xf numFmtId="0" fontId="4" fillId="3" borderId="10" xfId="2" applyNumberFormat="1" applyFont="1" applyFill="1" applyBorder="1" applyAlignment="1">
      <alignment horizontal="center" vertical="center" wrapText="1"/>
    </xf>
    <xf numFmtId="43" fontId="6" fillId="3" borderId="1" xfId="2" applyFont="1" applyFill="1" applyBorder="1" applyAlignment="1">
      <alignment horizontal="center" vertical="center"/>
    </xf>
    <xf numFmtId="0" fontId="4" fillId="0" borderId="0" xfId="1" applyFont="1"/>
    <xf numFmtId="43" fontId="5" fillId="0" borderId="15" xfId="2" applyFont="1" applyFill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6" fillId="3" borderId="17" xfId="2" applyFont="1" applyFill="1" applyBorder="1" applyAlignment="1">
      <alignment horizontal="center" vertical="center"/>
    </xf>
    <xf numFmtId="10" fontId="6" fillId="0" borderId="8" xfId="3" applyNumberFormat="1" applyFont="1" applyBorder="1" applyAlignment="1">
      <alignment horizontal="center" vertical="center"/>
    </xf>
    <xf numFmtId="10" fontId="6" fillId="0" borderId="9" xfId="3" applyNumberFormat="1" applyFont="1" applyBorder="1" applyAlignment="1">
      <alignment horizontal="center" vertical="center"/>
    </xf>
    <xf numFmtId="10" fontId="6" fillId="0" borderId="10" xfId="3" applyNumberFormat="1" applyFont="1" applyBorder="1" applyAlignment="1">
      <alignment horizontal="center" vertical="center"/>
    </xf>
    <xf numFmtId="164" fontId="3" fillId="0" borderId="0" xfId="1" applyNumberFormat="1" applyFont="1"/>
    <xf numFmtId="43" fontId="3" fillId="0" borderId="0" xfId="1" applyNumberFormat="1" applyFont="1"/>
    <xf numFmtId="10" fontId="3" fillId="0" borderId="0" xfId="1" applyNumberFormat="1" applyFont="1"/>
    <xf numFmtId="164" fontId="3" fillId="0" borderId="0" xfId="6" applyFont="1" applyAlignment="1">
      <alignment horizontal="center"/>
    </xf>
    <xf numFmtId="164" fontId="3" fillId="0" borderId="0" xfId="6" applyFont="1"/>
    <xf numFmtId="164" fontId="3" fillId="0" borderId="0" xfId="1" applyNumberFormat="1" applyFont="1" applyAlignment="1">
      <alignment horizontal="center"/>
    </xf>
    <xf numFmtId="164" fontId="3" fillId="0" borderId="0" xfId="5" applyNumberFormat="1" applyFont="1"/>
    <xf numFmtId="49" fontId="7" fillId="2" borderId="5" xfId="5" applyNumberFormat="1" applyFont="1" applyFill="1" applyBorder="1" applyAlignment="1">
      <alignment horizontal="center"/>
    </xf>
    <xf numFmtId="0" fontId="7" fillId="2" borderId="5" xfId="5" applyFont="1" applyFill="1" applyBorder="1" applyAlignment="1">
      <alignment horizontal="center"/>
    </xf>
    <xf numFmtId="0" fontId="4" fillId="0" borderId="0" xfId="1" applyFont="1" applyAlignment="1">
      <alignment horizontal="center"/>
    </xf>
    <xf numFmtId="43" fontId="7" fillId="2" borderId="2" xfId="2" applyFont="1" applyFill="1" applyBorder="1" applyAlignment="1">
      <alignment horizontal="center" vertical="center" wrapText="1"/>
    </xf>
    <xf numFmtId="43" fontId="7" fillId="2" borderId="4" xfId="2" applyFont="1" applyFill="1" applyBorder="1" applyAlignment="1">
      <alignment horizontal="center" vertical="center" wrapText="1"/>
    </xf>
    <xf numFmtId="0" fontId="7" fillId="2" borderId="11" xfId="5" applyFont="1" applyFill="1" applyBorder="1" applyAlignment="1">
      <alignment horizontal="center"/>
    </xf>
    <xf numFmtId="0" fontId="7" fillId="2" borderId="12" xfId="5" applyFont="1" applyFill="1" applyBorder="1" applyAlignment="1">
      <alignment horizontal="center"/>
    </xf>
    <xf numFmtId="0" fontId="7" fillId="2" borderId="13" xfId="5" applyFont="1" applyFill="1" applyBorder="1" applyAlignment="1">
      <alignment horizontal="center"/>
    </xf>
    <xf numFmtId="43" fontId="7" fillId="2" borderId="3" xfId="2" applyFont="1" applyFill="1" applyBorder="1" applyAlignment="1">
      <alignment horizontal="center" vertical="center" wrapText="1"/>
    </xf>
    <xf numFmtId="43" fontId="7" fillId="2" borderId="14" xfId="2" applyFont="1" applyFill="1" applyBorder="1" applyAlignment="1">
      <alignment horizontal="center" vertical="center" wrapText="1"/>
    </xf>
    <xf numFmtId="43" fontId="7" fillId="2" borderId="5" xfId="2" applyFont="1" applyFill="1" applyBorder="1" applyAlignment="1">
      <alignment horizontal="center"/>
    </xf>
  </cellXfs>
  <cellStyles count="7">
    <cellStyle name="Millares" xfId="6" builtinId="3"/>
    <cellStyle name="Millares 2" xfId="2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Porcentaje" xfId="4" builtinId="5"/>
    <cellStyle name="Porcentual 2" xfId="3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8"/>
  <sheetViews>
    <sheetView showGridLines="0" zoomScale="90" zoomScaleNormal="90" workbookViewId="0">
      <selection activeCell="K24" sqref="K24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16"/>
      <c r="S2" s="16"/>
    </row>
    <row r="3" spans="2:19" x14ac:dyDescent="0.25"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16"/>
      <c r="S3" s="16"/>
    </row>
    <row r="4" spans="2:19" x14ac:dyDescent="0.25">
      <c r="B4" s="33" t="s">
        <v>16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16"/>
      <c r="S4" s="16"/>
    </row>
    <row r="5" spans="2:19" x14ac:dyDescent="0.25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x14ac:dyDescent="0.25">
      <c r="B6" s="34" t="s">
        <v>2</v>
      </c>
      <c r="C6" s="36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8"/>
      <c r="Q6" s="39" t="s">
        <v>4</v>
      </c>
    </row>
    <row r="7" spans="2:19" x14ac:dyDescent="0.25">
      <c r="B7" s="35"/>
      <c r="C7" s="41" t="s">
        <v>5</v>
      </c>
      <c r="D7" s="41"/>
      <c r="E7" s="31" t="s">
        <v>6</v>
      </c>
      <c r="F7" s="31"/>
      <c r="G7" s="32" t="s">
        <v>7</v>
      </c>
      <c r="H7" s="32"/>
      <c r="I7" s="31" t="s">
        <v>8</v>
      </c>
      <c r="J7" s="31"/>
      <c r="K7" s="31" t="s">
        <v>9</v>
      </c>
      <c r="L7" s="31"/>
      <c r="M7" s="31" t="s">
        <v>10</v>
      </c>
      <c r="N7" s="31"/>
      <c r="O7" s="32" t="s">
        <v>11</v>
      </c>
      <c r="P7" s="32"/>
      <c r="Q7" s="40"/>
    </row>
    <row r="8" spans="2:19" ht="16.5" thickBot="1" x14ac:dyDescent="0.3">
      <c r="B8" s="12" t="s">
        <v>12</v>
      </c>
      <c r="C8" s="17">
        <v>68994839014.739502</v>
      </c>
      <c r="D8" s="21">
        <f>+C8/$Q$8</f>
        <v>5.3777923900893157E-2</v>
      </c>
      <c r="E8" s="18">
        <v>70237540958.075897</v>
      </c>
      <c r="F8" s="21">
        <f>+E8/$Q$8</f>
        <v>5.4746546068791244E-2</v>
      </c>
      <c r="G8" s="18">
        <v>104901996024.88882</v>
      </c>
      <c r="H8" s="21">
        <f>+G8/$Q$8</f>
        <v>8.1765703635790526E-2</v>
      </c>
      <c r="I8" s="18">
        <v>149080367466.23697</v>
      </c>
      <c r="J8" s="21">
        <f>+I8/$Q$8</f>
        <v>0.11620046906702315</v>
      </c>
      <c r="K8" s="18">
        <v>318669133437.4104</v>
      </c>
      <c r="L8" s="21">
        <f>+K8/$Q$8</f>
        <v>0.24838617862271603</v>
      </c>
      <c r="M8" s="18">
        <v>271256246088.56412</v>
      </c>
      <c r="N8" s="21">
        <f>+M8/$Q$8</f>
        <v>0.21143027461338623</v>
      </c>
      <c r="O8" s="18">
        <v>299818273505.44666</v>
      </c>
      <c r="P8" s="21">
        <f>+O8/$Q$8</f>
        <v>0.2336929040913997</v>
      </c>
      <c r="Q8" s="20">
        <f>+C8+E8+G8+I8+K8+M8+O8</f>
        <v>1282958396495.3623</v>
      </c>
    </row>
    <row r="9" spans="2:19" ht="36" customHeight="1" thickBot="1" x14ac:dyDescent="0.3">
      <c r="B9" s="13" t="s">
        <v>13</v>
      </c>
      <c r="C9" s="18">
        <v>8590638932.8690968</v>
      </c>
      <c r="D9" s="21">
        <f>+C9/$Q$9</f>
        <v>0.16483880495203437</v>
      </c>
      <c r="E9" s="18">
        <v>10946981611.381098</v>
      </c>
      <c r="F9" s="22">
        <f>+E9/$Q$9</f>
        <v>0.21005275402132331</v>
      </c>
      <c r="G9" s="18">
        <v>6604043205.7050991</v>
      </c>
      <c r="H9" s="22">
        <f>+G9/$Q$9</f>
        <v>0.12671963033097233</v>
      </c>
      <c r="I9" s="18">
        <v>1369802516.1901</v>
      </c>
      <c r="J9" s="22">
        <f>+I9/$Q$9</f>
        <v>2.6284029808904374E-2</v>
      </c>
      <c r="K9" s="18">
        <v>7167602465.1742992</v>
      </c>
      <c r="L9" s="22">
        <f>+K9/$Q$9</f>
        <v>0.13753331201128607</v>
      </c>
      <c r="M9" s="18">
        <v>10306816655.607201</v>
      </c>
      <c r="N9" s="22">
        <f>+M9/$Q$9</f>
        <v>0.19776914774866411</v>
      </c>
      <c r="O9" s="18">
        <v>7129506588.6994991</v>
      </c>
      <c r="P9" s="22">
        <f>+O9/$Q$9</f>
        <v>0.13680232112681537</v>
      </c>
      <c r="Q9" s="20">
        <f t="shared" ref="Q9:Q10" si="0">+C9+E9+G9+I9+K9+M9+O9</f>
        <v>52115391975.626396</v>
      </c>
    </row>
    <row r="10" spans="2:19" ht="34.5" customHeight="1" thickBot="1" x14ac:dyDescent="0.3">
      <c r="B10" s="14" t="s">
        <v>14</v>
      </c>
      <c r="C10" s="19">
        <v>4302404533.6834002</v>
      </c>
      <c r="D10" s="21">
        <f>+C10/$Q$10</f>
        <v>4.5494969079278462E-2</v>
      </c>
      <c r="E10" s="19">
        <v>1175713892.5742002</v>
      </c>
      <c r="F10" s="23">
        <f>+E10/$Q$10</f>
        <v>1.2432365847975708E-2</v>
      </c>
      <c r="G10" s="19">
        <v>1002302626.4309</v>
      </c>
      <c r="H10" s="23">
        <f>+G10/$Q$10</f>
        <v>1.059866096750188E-2</v>
      </c>
      <c r="I10" s="19">
        <v>6146815478.3138008</v>
      </c>
      <c r="J10" s="23">
        <f>+I10/$Q$10</f>
        <v>6.4998346374115057E-2</v>
      </c>
      <c r="K10" s="19">
        <v>18144732930.6022</v>
      </c>
      <c r="L10" s="23">
        <f>+K10/$Q$10</f>
        <v>0.19186807218306498</v>
      </c>
      <c r="M10" s="19">
        <v>39492419696.960701</v>
      </c>
      <c r="N10" s="23">
        <f>+M10/$Q$10</f>
        <v>0.41760517843283967</v>
      </c>
      <c r="O10" s="19">
        <v>24304408683.370499</v>
      </c>
      <c r="P10" s="23">
        <f>+O10/$Q$10</f>
        <v>0.25700240711522426</v>
      </c>
      <c r="Q10" s="20">
        <f t="shared" si="0"/>
        <v>94568797841.935699</v>
      </c>
    </row>
    <row r="11" spans="2:19" ht="16.5" thickBot="1" x14ac:dyDescent="0.3">
      <c r="B11" s="8" t="s">
        <v>15</v>
      </c>
      <c r="C11" s="10">
        <f>SUM(C8:C10)</f>
        <v>81887882481.291992</v>
      </c>
      <c r="D11" s="11">
        <f t="shared" ref="D11" si="1">+C11/Q11</f>
        <v>5.7278569668578784E-2</v>
      </c>
      <c r="E11" s="10">
        <f t="shared" ref="E11:G11" si="2">SUM(E8:E10)</f>
        <v>82360236462.031204</v>
      </c>
      <c r="F11" s="11">
        <f t="shared" ref="F11" si="3">+E11/Q11</f>
        <v>5.7608969717696946E-2</v>
      </c>
      <c r="G11" s="10">
        <f t="shared" si="2"/>
        <v>112508341857.02481</v>
      </c>
      <c r="H11" s="11">
        <f t="shared" ref="H11" si="4">+G11/Q11</f>
        <v>7.8696831595640962E-2</v>
      </c>
      <c r="I11" s="9">
        <f>SUM(I8:I10)</f>
        <v>156596985460.74088</v>
      </c>
      <c r="J11" s="11">
        <f t="shared" ref="J11" si="5">+I11/Q11</f>
        <v>0.10953575876933515</v>
      </c>
      <c r="K11" s="9">
        <f>SUM(K8:K10)</f>
        <v>343981468833.18689</v>
      </c>
      <c r="L11" s="11">
        <f>+K11/Q11</f>
        <v>0.24060661883353776</v>
      </c>
      <c r="M11" s="9">
        <f>SUM(M8:M10)</f>
        <v>321055482441.13202</v>
      </c>
      <c r="N11" s="11">
        <f>+M11/Q11</f>
        <v>0.22457045244373999</v>
      </c>
      <c r="O11" s="9">
        <f>SUM(O8:O10)</f>
        <v>331252188777.51666</v>
      </c>
      <c r="P11" s="11">
        <f>+O11/Q11</f>
        <v>0.2317027989714705</v>
      </c>
      <c r="Q11" s="15">
        <f>+C11+E11+G11+I11+K11+M11+O11</f>
        <v>1429642586312.9243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E14" s="3"/>
      <c r="G14" s="25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24"/>
      <c r="E15" s="3"/>
      <c r="F15" s="26"/>
      <c r="G15" s="25"/>
      <c r="I15" s="29"/>
      <c r="K15" s="30"/>
      <c r="Q15" s="24"/>
    </row>
    <row r="16" spans="2:19" x14ac:dyDescent="0.25">
      <c r="C16" s="24"/>
      <c r="E16" s="3"/>
      <c r="F16" s="26"/>
      <c r="G16" s="25"/>
      <c r="I16" s="29"/>
      <c r="K16" s="30"/>
    </row>
    <row r="17" spans="3:17" x14ac:dyDescent="0.25">
      <c r="C17" s="24"/>
      <c r="F17" s="26"/>
      <c r="G17" s="25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AAF3-10A1-457C-9FC1-05018CA3A6B0}">
  <dimension ref="B2:S18"/>
  <sheetViews>
    <sheetView showGridLines="0" zoomScale="90" zoomScaleNormal="90" workbookViewId="0">
      <selection activeCell="K26" sqref="K26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16"/>
      <c r="S2" s="16"/>
    </row>
    <row r="3" spans="2:19" x14ac:dyDescent="0.25"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16"/>
      <c r="S3" s="16"/>
    </row>
    <row r="4" spans="2:19" x14ac:dyDescent="0.25">
      <c r="B4" s="33" t="s">
        <v>17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4" t="s">
        <v>2</v>
      </c>
      <c r="C6" s="36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8"/>
      <c r="Q6" s="39" t="s">
        <v>4</v>
      </c>
    </row>
    <row r="7" spans="2:19" ht="17.25" thickTop="1" thickBot="1" x14ac:dyDescent="0.3">
      <c r="B7" s="35"/>
      <c r="C7" s="41" t="s">
        <v>5</v>
      </c>
      <c r="D7" s="41"/>
      <c r="E7" s="31" t="s">
        <v>6</v>
      </c>
      <c r="F7" s="31"/>
      <c r="G7" s="32" t="s">
        <v>7</v>
      </c>
      <c r="H7" s="32"/>
      <c r="I7" s="31" t="s">
        <v>8</v>
      </c>
      <c r="J7" s="31"/>
      <c r="K7" s="31" t="s">
        <v>9</v>
      </c>
      <c r="L7" s="31"/>
      <c r="M7" s="31" t="s">
        <v>10</v>
      </c>
      <c r="N7" s="31"/>
      <c r="O7" s="32" t="s">
        <v>11</v>
      </c>
      <c r="P7" s="32"/>
      <c r="Q7" s="40"/>
    </row>
    <row r="8" spans="2:19" ht="16.5" thickBot="1" x14ac:dyDescent="0.3">
      <c r="B8" s="12" t="s">
        <v>12</v>
      </c>
      <c r="C8" s="17">
        <v>85660772606.997467</v>
      </c>
      <c r="D8" s="21">
        <f>+C8/$Q$8</f>
        <v>6.6315588226083994E-2</v>
      </c>
      <c r="E8" s="18">
        <v>68581046739.307007</v>
      </c>
      <c r="F8" s="21">
        <f>+E8/$Q$8</f>
        <v>5.3093059019481532E-2</v>
      </c>
      <c r="G8" s="18">
        <v>110002719891.02483</v>
      </c>
      <c r="H8" s="21">
        <f>+G8/$Q$8</f>
        <v>8.5160276448948982E-2</v>
      </c>
      <c r="I8" s="18">
        <v>160876168055.02298</v>
      </c>
      <c r="J8" s="21">
        <f>+I8/$Q$8</f>
        <v>0.12454472906838682</v>
      </c>
      <c r="K8" s="18">
        <v>291245586824.98236</v>
      </c>
      <c r="L8" s="21">
        <f>+K8/$Q$8</f>
        <v>0.22547219480684427</v>
      </c>
      <c r="M8" s="18">
        <v>274514110706.38742</v>
      </c>
      <c r="N8" s="21">
        <f>+M8/$Q$8</f>
        <v>0.21251926843311386</v>
      </c>
      <c r="O8" s="18">
        <v>300833578244.05402</v>
      </c>
      <c r="P8" s="21">
        <f>+O8/$Q$8</f>
        <v>0.23289488399714048</v>
      </c>
      <c r="Q8" s="20">
        <f>+C8+E8+G8+I8+K8+M8+O8</f>
        <v>1291713983067.7761</v>
      </c>
    </row>
    <row r="9" spans="2:19" ht="36" customHeight="1" thickBot="1" x14ac:dyDescent="0.3">
      <c r="B9" s="13" t="s">
        <v>13</v>
      </c>
      <c r="C9" s="18">
        <v>8903420601.3404026</v>
      </c>
      <c r="D9" s="21">
        <f>+C9/$Q$9</f>
        <v>0.17089601165937104</v>
      </c>
      <c r="E9" s="18">
        <v>12243684423.733501</v>
      </c>
      <c r="F9" s="22">
        <f>+E9/$Q$9</f>
        <v>0.2350104448302725</v>
      </c>
      <c r="G9" s="18">
        <v>4448774989.7658997</v>
      </c>
      <c r="H9" s="22">
        <f>+G9/$Q$9</f>
        <v>8.5391664233687034E-2</v>
      </c>
      <c r="I9" s="18">
        <v>4080853060.8972001</v>
      </c>
      <c r="J9" s="22">
        <f>+I9/$Q$9</f>
        <v>7.8329615492979718E-2</v>
      </c>
      <c r="K9" s="18">
        <v>4355866295.6855993</v>
      </c>
      <c r="L9" s="22">
        <f>+K9/$Q$9</f>
        <v>8.3608335558367164E-2</v>
      </c>
      <c r="M9" s="18">
        <v>10322832057.199301</v>
      </c>
      <c r="N9" s="22">
        <f>+M9/$Q$9</f>
        <v>0.19814079403811077</v>
      </c>
      <c r="O9" s="18">
        <v>7743037780.1659985</v>
      </c>
      <c r="P9" s="22">
        <f>+O9/$Q$9</f>
        <v>0.14862313418721163</v>
      </c>
      <c r="Q9" s="20">
        <f t="shared" ref="Q9:Q10" si="0">+C9+E9+G9+I9+K9+M9+O9</f>
        <v>52098469208.78791</v>
      </c>
    </row>
    <row r="10" spans="2:19" ht="34.5" customHeight="1" thickBot="1" x14ac:dyDescent="0.3">
      <c r="B10" s="14" t="s">
        <v>14</v>
      </c>
      <c r="C10" s="19">
        <v>5154205250.5817013</v>
      </c>
      <c r="D10" s="21">
        <f>+C10/$Q$10</f>
        <v>5.4119589924100882E-2</v>
      </c>
      <c r="E10" s="19">
        <v>1362540129.7351003</v>
      </c>
      <c r="F10" s="23">
        <f>+E10/$Q$10</f>
        <v>1.4306786301937154E-2</v>
      </c>
      <c r="G10" s="19">
        <v>792457168</v>
      </c>
      <c r="H10" s="23">
        <f>+G10/$Q$10</f>
        <v>8.3208671132633024E-3</v>
      </c>
      <c r="I10" s="19">
        <v>6170236408.0974007</v>
      </c>
      <c r="J10" s="23">
        <f>+I10/$Q$10</f>
        <v>6.4788002787297072E-2</v>
      </c>
      <c r="K10" s="19">
        <v>18032247732.8358</v>
      </c>
      <c r="L10" s="23">
        <f>+K10/$Q$10</f>
        <v>0.18934012234005076</v>
      </c>
      <c r="M10" s="19">
        <v>39441985239.553406</v>
      </c>
      <c r="N10" s="23">
        <f>+M10/$Q$10</f>
        <v>0.41414417222056921</v>
      </c>
      <c r="O10" s="19">
        <v>24283658173.108501</v>
      </c>
      <c r="P10" s="23">
        <f>+O10/$Q$10</f>
        <v>0.25498045931278163</v>
      </c>
      <c r="Q10" s="20">
        <f t="shared" si="0"/>
        <v>95237330101.911911</v>
      </c>
    </row>
    <row r="11" spans="2:19" ht="16.5" thickBot="1" x14ac:dyDescent="0.3">
      <c r="B11" s="8" t="s">
        <v>15</v>
      </c>
      <c r="C11" s="10">
        <f>SUM(C8:C10)</f>
        <v>99718398458.919571</v>
      </c>
      <c r="D11" s="11">
        <f t="shared" ref="D11" si="1">+C11/Q11</f>
        <v>6.9294613487313819E-2</v>
      </c>
      <c r="E11" s="10">
        <f t="shared" ref="E11:G11" si="2">SUM(E8:E10)</f>
        <v>82187271292.77562</v>
      </c>
      <c r="F11" s="11">
        <f t="shared" ref="F11" si="3">+E11/Q11</f>
        <v>5.7112180759261617E-2</v>
      </c>
      <c r="G11" s="10">
        <f t="shared" si="2"/>
        <v>115243952048.79073</v>
      </c>
      <c r="H11" s="11">
        <f t="shared" ref="H11" si="4">+G11/Q11</f>
        <v>8.0083367135718092E-2</v>
      </c>
      <c r="I11" s="9">
        <f>SUM(I8:I10)</f>
        <v>171127257524.01758</v>
      </c>
      <c r="J11" s="11">
        <f t="shared" ref="J11" si="5">+I11/Q11</f>
        <v>0.11891684333614694</v>
      </c>
      <c r="K11" s="9">
        <f>SUM(K8:K10)</f>
        <v>313633700853.50378</v>
      </c>
      <c r="L11" s="11">
        <f>+K11/Q11</f>
        <v>0.21794499724333846</v>
      </c>
      <c r="M11" s="9">
        <f>SUM(M8:M10)</f>
        <v>324278928003.14014</v>
      </c>
      <c r="N11" s="11">
        <f>+M11/Q11</f>
        <v>0.22534239744449192</v>
      </c>
      <c r="O11" s="9">
        <f>SUM(O8:O10)</f>
        <v>332860274197.32855</v>
      </c>
      <c r="P11" s="11">
        <f>+O11/Q11</f>
        <v>0.23130560059372909</v>
      </c>
      <c r="Q11" s="15">
        <f>+C11+E11+G11+I11+K11+M11+O11</f>
        <v>1439049782378.4761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E14" s="3"/>
      <c r="G14" s="25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24"/>
      <c r="E15" s="3"/>
      <c r="F15" s="26"/>
      <c r="G15" s="25"/>
      <c r="I15" s="29"/>
      <c r="K15" s="30"/>
      <c r="Q15" s="24"/>
    </row>
    <row r="16" spans="2:19" x14ac:dyDescent="0.25">
      <c r="C16" s="24"/>
      <c r="E16" s="3"/>
      <c r="F16" s="26"/>
      <c r="G16" s="25"/>
      <c r="I16" s="29"/>
      <c r="K16" s="30"/>
    </row>
    <row r="17" spans="3:17" x14ac:dyDescent="0.25">
      <c r="C17" s="24"/>
      <c r="F17" s="26"/>
      <c r="G17" s="25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73F1-68DB-4113-98BA-00DECBFD3AB9}">
  <dimension ref="B2:S18"/>
  <sheetViews>
    <sheetView showGridLines="0" tabSelected="1" zoomScale="90" zoomScaleNormal="90" workbookViewId="0">
      <selection activeCell="J18" sqref="J18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16"/>
      <c r="S2" s="16"/>
    </row>
    <row r="3" spans="2:19" x14ac:dyDescent="0.25"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16"/>
      <c r="S3" s="16"/>
    </row>
    <row r="4" spans="2:19" x14ac:dyDescent="0.25">
      <c r="B4" s="33" t="s">
        <v>18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4" t="s">
        <v>2</v>
      </c>
      <c r="C6" s="36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8"/>
      <c r="Q6" s="39" t="s">
        <v>4</v>
      </c>
    </row>
    <row r="7" spans="2:19" ht="17.25" thickTop="1" thickBot="1" x14ac:dyDescent="0.3">
      <c r="B7" s="35"/>
      <c r="C7" s="41" t="s">
        <v>5</v>
      </c>
      <c r="D7" s="41"/>
      <c r="E7" s="31" t="s">
        <v>6</v>
      </c>
      <c r="F7" s="31"/>
      <c r="G7" s="32" t="s">
        <v>7</v>
      </c>
      <c r="H7" s="32"/>
      <c r="I7" s="31" t="s">
        <v>8</v>
      </c>
      <c r="J7" s="31"/>
      <c r="K7" s="31" t="s">
        <v>9</v>
      </c>
      <c r="L7" s="31"/>
      <c r="M7" s="31" t="s">
        <v>10</v>
      </c>
      <c r="N7" s="31"/>
      <c r="O7" s="32" t="s">
        <v>11</v>
      </c>
      <c r="P7" s="32"/>
      <c r="Q7" s="40"/>
    </row>
    <row r="8" spans="2:19" ht="16.5" thickBot="1" x14ac:dyDescent="0.3">
      <c r="B8" s="12" t="s">
        <v>12</v>
      </c>
      <c r="C8" s="17">
        <v>79715886261.880234</v>
      </c>
      <c r="D8" s="21">
        <f>+C8/$Q$8</f>
        <v>6.1342575759266056E-2</v>
      </c>
      <c r="E8" s="18">
        <v>61435724515.275826</v>
      </c>
      <c r="F8" s="21">
        <f>+E8/$Q$8</f>
        <v>4.7275715821851756E-2</v>
      </c>
      <c r="G8" s="18">
        <v>113873508995.32562</v>
      </c>
      <c r="H8" s="21">
        <f>+G8/$Q$8</f>
        <v>8.7627381191891257E-2</v>
      </c>
      <c r="I8" s="18">
        <v>160082801881.44424</v>
      </c>
      <c r="J8" s="21">
        <f>+I8/$Q$8</f>
        <v>0.12318612841997466</v>
      </c>
      <c r="K8" s="18">
        <v>288990612134.01031</v>
      </c>
      <c r="L8" s="21">
        <f>+K8/$Q$8</f>
        <v>0.22238263098913039</v>
      </c>
      <c r="M8" s="18">
        <v>298023932465.55774</v>
      </c>
      <c r="N8" s="21">
        <f>+M8/$Q$8</f>
        <v>0.22933390711212631</v>
      </c>
      <c r="O8" s="18">
        <v>297397243755.40326</v>
      </c>
      <c r="P8" s="21">
        <f>+O8/$Q$8</f>
        <v>0.2288516607057596</v>
      </c>
      <c r="Q8" s="20">
        <f>+C8+E8+G8+I8+K8+M8+O8</f>
        <v>1299519710008.8972</v>
      </c>
    </row>
    <row r="9" spans="2:19" ht="36" customHeight="1" thickBot="1" x14ac:dyDescent="0.3">
      <c r="B9" s="13" t="s">
        <v>13</v>
      </c>
      <c r="C9" s="18">
        <v>9411201776.650898</v>
      </c>
      <c r="D9" s="21">
        <f>+C9/$Q$9</f>
        <v>0.18100917290084226</v>
      </c>
      <c r="E9" s="18">
        <v>11416597504.182301</v>
      </c>
      <c r="F9" s="22">
        <f>+E9/$Q$9</f>
        <v>0.2195797009369034</v>
      </c>
      <c r="G9" s="18">
        <v>4713982484.1144991</v>
      </c>
      <c r="H9" s="22">
        <f>+G9/$Q$9</f>
        <v>9.0665792825267877E-2</v>
      </c>
      <c r="I9" s="18">
        <v>4022380892.5345998</v>
      </c>
      <c r="J9" s="22">
        <f>+I9/$Q$9</f>
        <v>7.7363960068970006E-2</v>
      </c>
      <c r="K9" s="18">
        <v>4378516895.8334999</v>
      </c>
      <c r="L9" s="22">
        <f>+K9/$Q$9</f>
        <v>8.4213657368764364E-2</v>
      </c>
      <c r="M9" s="18">
        <v>9625653842.2308998</v>
      </c>
      <c r="N9" s="22">
        <f>+M9/$Q$9</f>
        <v>0.18513380989606851</v>
      </c>
      <c r="O9" s="18">
        <v>8424621579.2070007</v>
      </c>
      <c r="P9" s="22">
        <f>+O9/$Q$9</f>
        <v>0.16203390600318368</v>
      </c>
      <c r="Q9" s="20">
        <f t="shared" ref="Q9:Q10" si="0">+C9+E9+G9+I9+K9+M9+O9</f>
        <v>51992954974.753693</v>
      </c>
    </row>
    <row r="10" spans="2:19" ht="34.5" customHeight="1" thickBot="1" x14ac:dyDescent="0.3">
      <c r="B10" s="14" t="s">
        <v>14</v>
      </c>
      <c r="C10" s="19">
        <v>3382716345.0976</v>
      </c>
      <c r="D10" s="21">
        <f>+C10/$Q$10</f>
        <v>3.5370286885865569E-2</v>
      </c>
      <c r="E10" s="19">
        <v>1349806688.0637002</v>
      </c>
      <c r="F10" s="23">
        <f>+E10/$Q$10</f>
        <v>1.4113820056613591E-2</v>
      </c>
      <c r="G10" s="19">
        <v>799859688</v>
      </c>
      <c r="H10" s="23">
        <f>+G10/$Q$10</f>
        <v>8.3634759012531541E-3</v>
      </c>
      <c r="I10" s="19">
        <v>5950315171.2832994</v>
      </c>
      <c r="J10" s="23">
        <f>+I10/$Q$10</f>
        <v>6.2217559262580199E-2</v>
      </c>
      <c r="K10" s="19">
        <v>18046106398.733299</v>
      </c>
      <c r="L10" s="23">
        <f>+K10/$Q$10</f>
        <v>0.18869331489206928</v>
      </c>
      <c r="M10" s="19">
        <v>39246503120.714996</v>
      </c>
      <c r="N10" s="23">
        <f>+M10/$Q$10</f>
        <v>0.41036845334622812</v>
      </c>
      <c r="O10" s="19">
        <v>26861924935.503696</v>
      </c>
      <c r="P10" s="23">
        <f>+O10/$Q$10</f>
        <v>0.2808730896553901</v>
      </c>
      <c r="Q10" s="20">
        <f t="shared" si="0"/>
        <v>95637232347.396591</v>
      </c>
    </row>
    <row r="11" spans="2:19" ht="16.5" thickBot="1" x14ac:dyDescent="0.3">
      <c r="B11" s="8" t="s">
        <v>15</v>
      </c>
      <c r="C11" s="10">
        <f>SUM(C8:C10)</f>
        <v>92509804383.628723</v>
      </c>
      <c r="D11" s="11">
        <f t="shared" ref="D11" si="1">+C11/Q11</f>
        <v>6.3925516322975856E-2</v>
      </c>
      <c r="E11" s="10">
        <f t="shared" ref="E11:G11" si="2">SUM(E8:E10)</f>
        <v>74202128707.521835</v>
      </c>
      <c r="F11" s="11">
        <f t="shared" ref="F11" si="3">+E11/Q11</f>
        <v>5.1274666739341571E-2</v>
      </c>
      <c r="G11" s="10">
        <f t="shared" si="2"/>
        <v>119387351167.44012</v>
      </c>
      <c r="H11" s="11">
        <f t="shared" ref="H11" si="4">+G11/Q11</f>
        <v>8.2498261850844926E-2</v>
      </c>
      <c r="I11" s="9">
        <f>SUM(I8:I10)</f>
        <v>170055497945.26215</v>
      </c>
      <c r="J11" s="11">
        <f t="shared" ref="J11" si="5">+I11/Q11</f>
        <v>0.11751063124759392</v>
      </c>
      <c r="K11" s="9">
        <f>SUM(K8:K10)</f>
        <v>311415235428.57709</v>
      </c>
      <c r="L11" s="11">
        <f>+K11/Q11</f>
        <v>0.21519210691505736</v>
      </c>
      <c r="M11" s="9">
        <f>SUM(M8:M10)</f>
        <v>346896089428.50366</v>
      </c>
      <c r="N11" s="11">
        <f>+M11/Q11</f>
        <v>0.23970985318679</v>
      </c>
      <c r="O11" s="9">
        <f>SUM(O8:O10)</f>
        <v>332683790270.11395</v>
      </c>
      <c r="P11" s="11">
        <f>+O11/Q11</f>
        <v>0.22988896373739628</v>
      </c>
      <c r="Q11" s="15">
        <f>+C11+E11+G11+I11+K11+M11+O11</f>
        <v>1447149897331.0476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E14" s="3"/>
      <c r="G14" s="25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24"/>
      <c r="E15" s="3"/>
      <c r="F15" s="26"/>
      <c r="G15" s="25"/>
      <c r="I15" s="29"/>
      <c r="K15" s="30"/>
      <c r="Q15" s="24"/>
    </row>
    <row r="16" spans="2:19" x14ac:dyDescent="0.25">
      <c r="C16" s="24"/>
      <c r="E16" s="3"/>
      <c r="F16" s="26"/>
      <c r="G16" s="25"/>
      <c r="I16" s="29"/>
      <c r="K16" s="30"/>
    </row>
    <row r="17" spans="3:17" x14ac:dyDescent="0.25">
      <c r="C17" s="24"/>
      <c r="F17" s="26"/>
      <c r="G17" s="25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FDCEDE6E-C29C-4B0C-963A-D596AB7E23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F22175-8798-4CE9-9A78-6CEA3D9BD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68F5A7-6073-45E1-8F01-61D97209A915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2017-07-07T13:58:58Z</dcterms:created>
  <dcterms:modified xsi:type="dcterms:W3CDTF">2026-04-13T14:53:22Z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