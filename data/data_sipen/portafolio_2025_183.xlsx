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ipen-my.sharepoint.com/personal/aperez_sipen_gov_do/Documents/Inversiones Arianny/Datos WEB/2025/"/>
    </mc:Choice>
  </mc:AlternateContent>
  <xr:revisionPtr revIDLastSave="1294" documentId="11_DE2EAA4013700FC3D7D7027417E91DF695EF89AA" xr6:coauthVersionLast="47" xr6:coauthVersionMax="47" xr10:uidLastSave="{E2BC04B9-71D1-4281-B3AB-7C90BB135954}"/>
  <bookViews>
    <workbookView xWindow="-120" yWindow="-120" windowWidth="29040" windowHeight="15720" activeTab="11" xr2:uid="{00000000-000D-0000-FFFF-FFFF00000000}"/>
  </bookViews>
  <sheets>
    <sheet name="Enero" sheetId="41" r:id="rId1"/>
    <sheet name="Febrero" sheetId="42" r:id="rId2"/>
    <sheet name="Marzo" sheetId="43" r:id="rId3"/>
    <sheet name="Abril" sheetId="44" r:id="rId4"/>
    <sheet name="Mayo" sheetId="45" r:id="rId5"/>
    <sheet name="Junio" sheetId="46" r:id="rId6"/>
    <sheet name="Julio" sheetId="47" r:id="rId7"/>
    <sheet name="Agosto" sheetId="48" r:id="rId8"/>
    <sheet name="Septiembre" sheetId="49" r:id="rId9"/>
    <sheet name="Octubre" sheetId="50" r:id="rId10"/>
    <sheet name="Noviembre" sheetId="51" r:id="rId11"/>
    <sheet name="Diciembre" sheetId="5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3" i="52" l="1"/>
  <c r="X13" i="52"/>
  <c r="U13" i="52"/>
  <c r="T13" i="52"/>
  <c r="S13" i="52"/>
  <c r="R13" i="52"/>
  <c r="O13" i="52"/>
  <c r="N13" i="52"/>
  <c r="M13" i="52"/>
  <c r="L13" i="52"/>
  <c r="K13" i="52"/>
  <c r="J13" i="52"/>
  <c r="I13" i="52"/>
  <c r="H13" i="52"/>
  <c r="G13" i="52"/>
  <c r="F13" i="52"/>
  <c r="E13" i="52"/>
  <c r="D13" i="52"/>
  <c r="C13" i="52"/>
  <c r="B13" i="52"/>
  <c r="V12" i="52"/>
  <c r="P12" i="52"/>
  <c r="V11" i="52"/>
  <c r="P11" i="52"/>
  <c r="V10" i="52"/>
  <c r="P10" i="52"/>
  <c r="Z10" i="52" s="1"/>
  <c r="V9" i="52"/>
  <c r="P9" i="52"/>
  <c r="Z9" i="52" s="1"/>
  <c r="V8" i="52"/>
  <c r="P8" i="52"/>
  <c r="V7" i="52"/>
  <c r="P7" i="52"/>
  <c r="V6" i="52"/>
  <c r="P6" i="52"/>
  <c r="Z6" i="52" s="1"/>
  <c r="Y13" i="51"/>
  <c r="X13" i="51"/>
  <c r="U13" i="51"/>
  <c r="T13" i="51"/>
  <c r="R13" i="51"/>
  <c r="O13" i="51"/>
  <c r="N13" i="51"/>
  <c r="M13" i="51"/>
  <c r="L13" i="51"/>
  <c r="K13" i="51"/>
  <c r="J13" i="51"/>
  <c r="I13" i="51"/>
  <c r="H13" i="51"/>
  <c r="G13" i="51"/>
  <c r="F13" i="51"/>
  <c r="E13" i="51"/>
  <c r="D13" i="51"/>
  <c r="C13" i="51"/>
  <c r="B13" i="51"/>
  <c r="V12" i="51"/>
  <c r="P12" i="51"/>
  <c r="V11" i="51"/>
  <c r="P11" i="51"/>
  <c r="V10" i="51"/>
  <c r="P10" i="51"/>
  <c r="Z10" i="51" s="1"/>
  <c r="V9" i="51"/>
  <c r="P9" i="51"/>
  <c r="Z9" i="51" s="1"/>
  <c r="V8" i="51"/>
  <c r="P8" i="51"/>
  <c r="V7" i="51"/>
  <c r="P7" i="51"/>
  <c r="V6" i="51"/>
  <c r="S13" i="51"/>
  <c r="P6" i="51"/>
  <c r="Z6" i="51" s="1"/>
  <c r="S7" i="50"/>
  <c r="S13" i="50" s="1"/>
  <c r="S8" i="50"/>
  <c r="S9" i="50"/>
  <c r="S10" i="50"/>
  <c r="S11" i="50"/>
  <c r="S12" i="50"/>
  <c r="S6" i="50"/>
  <c r="Y13" i="50"/>
  <c r="X13" i="50"/>
  <c r="U13" i="50"/>
  <c r="T13" i="50"/>
  <c r="R13" i="50"/>
  <c r="O13" i="50"/>
  <c r="N13" i="50"/>
  <c r="M13" i="50"/>
  <c r="L13" i="50"/>
  <c r="K13" i="50"/>
  <c r="J13" i="50"/>
  <c r="I13" i="50"/>
  <c r="H13" i="50"/>
  <c r="G13" i="50"/>
  <c r="F13" i="50"/>
  <c r="E13" i="50"/>
  <c r="D13" i="50"/>
  <c r="C13" i="50"/>
  <c r="B13" i="50"/>
  <c r="V12" i="50"/>
  <c r="P12" i="50"/>
  <c r="V11" i="50"/>
  <c r="P11" i="50"/>
  <c r="V10" i="50"/>
  <c r="P10" i="50"/>
  <c r="V9" i="50"/>
  <c r="P9" i="50"/>
  <c r="Z9" i="50" s="1"/>
  <c r="V8" i="50"/>
  <c r="P8" i="50"/>
  <c r="V7" i="50"/>
  <c r="P7" i="50"/>
  <c r="V6" i="50"/>
  <c r="P6" i="50"/>
  <c r="Y13" i="49"/>
  <c r="X13" i="49"/>
  <c r="U13" i="49"/>
  <c r="T13" i="49"/>
  <c r="S13" i="49"/>
  <c r="R13" i="49"/>
  <c r="O13" i="49"/>
  <c r="N13" i="49"/>
  <c r="M13" i="49"/>
  <c r="L13" i="49"/>
  <c r="K13" i="49"/>
  <c r="J13" i="49"/>
  <c r="I13" i="49"/>
  <c r="H13" i="49"/>
  <c r="G13" i="49"/>
  <c r="F13" i="49"/>
  <c r="E13" i="49"/>
  <c r="D13" i="49"/>
  <c r="C13" i="49"/>
  <c r="B13" i="49"/>
  <c r="V12" i="49"/>
  <c r="P12" i="49"/>
  <c r="V11" i="49"/>
  <c r="P11" i="49"/>
  <c r="V10" i="49"/>
  <c r="P10" i="49"/>
  <c r="V9" i="49"/>
  <c r="P9" i="49"/>
  <c r="V8" i="49"/>
  <c r="P8" i="49"/>
  <c r="V7" i="49"/>
  <c r="P7" i="49"/>
  <c r="V6" i="49"/>
  <c r="P6" i="49"/>
  <c r="Z6" i="49" s="1"/>
  <c r="Y13" i="48"/>
  <c r="X13" i="48"/>
  <c r="U13" i="48"/>
  <c r="T13" i="48"/>
  <c r="S13" i="48"/>
  <c r="R13" i="48"/>
  <c r="O13" i="48"/>
  <c r="N13" i="48"/>
  <c r="M13" i="48"/>
  <c r="L13" i="48"/>
  <c r="K13" i="48"/>
  <c r="J13" i="48"/>
  <c r="I13" i="48"/>
  <c r="H13" i="48"/>
  <c r="G13" i="48"/>
  <c r="F13" i="48"/>
  <c r="E13" i="48"/>
  <c r="D13" i="48"/>
  <c r="C13" i="48"/>
  <c r="B13" i="48"/>
  <c r="V12" i="48"/>
  <c r="P12" i="48"/>
  <c r="V11" i="48"/>
  <c r="P11" i="48"/>
  <c r="V10" i="48"/>
  <c r="P10" i="48"/>
  <c r="Z10" i="48" s="1"/>
  <c r="V9" i="48"/>
  <c r="P9" i="48"/>
  <c r="V8" i="48"/>
  <c r="P8" i="48"/>
  <c r="V7" i="48"/>
  <c r="P7" i="48"/>
  <c r="V6" i="48"/>
  <c r="P6" i="48"/>
  <c r="Y13" i="47"/>
  <c r="X13" i="47"/>
  <c r="U13" i="47"/>
  <c r="T13" i="47"/>
  <c r="S13" i="47"/>
  <c r="R13" i="47"/>
  <c r="O13" i="47"/>
  <c r="N13" i="47"/>
  <c r="M13" i="47"/>
  <c r="L13" i="47"/>
  <c r="K13" i="47"/>
  <c r="J13" i="47"/>
  <c r="I13" i="47"/>
  <c r="H13" i="47"/>
  <c r="G13" i="47"/>
  <c r="F13" i="47"/>
  <c r="E13" i="47"/>
  <c r="D13" i="47"/>
  <c r="C13" i="47"/>
  <c r="B13" i="47"/>
  <c r="V12" i="47"/>
  <c r="P12" i="47"/>
  <c r="V11" i="47"/>
  <c r="P11" i="47"/>
  <c r="V10" i="47"/>
  <c r="P10" i="47"/>
  <c r="Z10" i="47" s="1"/>
  <c r="V9" i="47"/>
  <c r="P9" i="47"/>
  <c r="Z9" i="47" s="1"/>
  <c r="V8" i="47"/>
  <c r="P8" i="47"/>
  <c r="V7" i="47"/>
  <c r="P7" i="47"/>
  <c r="V6" i="47"/>
  <c r="P6" i="47"/>
  <c r="Y13" i="46"/>
  <c r="X13" i="46"/>
  <c r="U13" i="46"/>
  <c r="T13" i="46"/>
  <c r="S13" i="46"/>
  <c r="R13" i="46"/>
  <c r="O13" i="46"/>
  <c r="N13" i="46"/>
  <c r="M13" i="46"/>
  <c r="L13" i="46"/>
  <c r="K13" i="46"/>
  <c r="J13" i="46"/>
  <c r="I13" i="46"/>
  <c r="H13" i="46"/>
  <c r="G13" i="46"/>
  <c r="F13" i="46"/>
  <c r="E13" i="46"/>
  <c r="D13" i="46"/>
  <c r="C13" i="46"/>
  <c r="B13" i="46"/>
  <c r="V12" i="46"/>
  <c r="P12" i="46"/>
  <c r="V11" i="46"/>
  <c r="P11" i="46"/>
  <c r="Z11" i="46" s="1"/>
  <c r="V10" i="46"/>
  <c r="P10" i="46"/>
  <c r="V9" i="46"/>
  <c r="P9" i="46"/>
  <c r="Z9" i="46" s="1"/>
  <c r="V8" i="46"/>
  <c r="P8" i="46"/>
  <c r="Z8" i="46" s="1"/>
  <c r="V7" i="46"/>
  <c r="P7" i="46"/>
  <c r="V6" i="46"/>
  <c r="P6" i="46"/>
  <c r="Z6" i="46" s="1"/>
  <c r="Y13" i="45"/>
  <c r="X13" i="45"/>
  <c r="U13" i="45"/>
  <c r="T13" i="45"/>
  <c r="S13" i="45"/>
  <c r="R13" i="45"/>
  <c r="O13" i="45"/>
  <c r="N13" i="45"/>
  <c r="M13" i="45"/>
  <c r="L13" i="45"/>
  <c r="K13" i="45"/>
  <c r="J13" i="45"/>
  <c r="I13" i="45"/>
  <c r="H13" i="45"/>
  <c r="G13" i="45"/>
  <c r="F13" i="45"/>
  <c r="E13" i="45"/>
  <c r="D13" i="45"/>
  <c r="C13" i="45"/>
  <c r="B13" i="45"/>
  <c r="V12" i="45"/>
  <c r="P12" i="45"/>
  <c r="V11" i="45"/>
  <c r="P11" i="45"/>
  <c r="Z11" i="45" s="1"/>
  <c r="V10" i="45"/>
  <c r="P10" i="45"/>
  <c r="Z10" i="45" s="1"/>
  <c r="V9" i="45"/>
  <c r="P9" i="45"/>
  <c r="V8" i="45"/>
  <c r="P8" i="45"/>
  <c r="V7" i="45"/>
  <c r="P7" i="45"/>
  <c r="V6" i="45"/>
  <c r="P6" i="45"/>
  <c r="Z6" i="45" s="1"/>
  <c r="Y13" i="44"/>
  <c r="X13" i="44"/>
  <c r="U13" i="44"/>
  <c r="T13" i="44"/>
  <c r="S13" i="44"/>
  <c r="R13" i="44"/>
  <c r="O13" i="44"/>
  <c r="N13" i="44"/>
  <c r="M13" i="44"/>
  <c r="L13" i="44"/>
  <c r="K13" i="44"/>
  <c r="J13" i="44"/>
  <c r="I13" i="44"/>
  <c r="H13" i="44"/>
  <c r="G13" i="44"/>
  <c r="F13" i="44"/>
  <c r="E13" i="44"/>
  <c r="D13" i="44"/>
  <c r="C13" i="44"/>
  <c r="B13" i="44"/>
  <c r="V12" i="44"/>
  <c r="P12" i="44"/>
  <c r="V11" i="44"/>
  <c r="P11" i="44"/>
  <c r="Z11" i="44" s="1"/>
  <c r="V10" i="44"/>
  <c r="P10" i="44"/>
  <c r="Z10" i="44" s="1"/>
  <c r="V9" i="44"/>
  <c r="P9" i="44"/>
  <c r="V8" i="44"/>
  <c r="P8" i="44"/>
  <c r="V7" i="44"/>
  <c r="P7" i="44"/>
  <c r="Z7" i="44" s="1"/>
  <c r="V6" i="44"/>
  <c r="P6" i="44"/>
  <c r="Y13" i="43"/>
  <c r="X13" i="43"/>
  <c r="U13" i="43"/>
  <c r="T13" i="43"/>
  <c r="S13" i="43"/>
  <c r="R13" i="43"/>
  <c r="O13" i="43"/>
  <c r="N13" i="43"/>
  <c r="M13" i="43"/>
  <c r="L13" i="43"/>
  <c r="K13" i="43"/>
  <c r="J13" i="43"/>
  <c r="I13" i="43"/>
  <c r="H13" i="43"/>
  <c r="G13" i="43"/>
  <c r="F13" i="43"/>
  <c r="E13" i="43"/>
  <c r="D13" i="43"/>
  <c r="C13" i="43"/>
  <c r="B13" i="43"/>
  <c r="V12" i="43"/>
  <c r="P12" i="43"/>
  <c r="V11" i="43"/>
  <c r="P11" i="43"/>
  <c r="Z11" i="43" s="1"/>
  <c r="V10" i="43"/>
  <c r="P10" i="43"/>
  <c r="Z10" i="43" s="1"/>
  <c r="V9" i="43"/>
  <c r="P9" i="43"/>
  <c r="V8" i="43"/>
  <c r="P8" i="43"/>
  <c r="V7" i="43"/>
  <c r="P7" i="43"/>
  <c r="V6" i="43"/>
  <c r="P6" i="43"/>
  <c r="Z6" i="43" s="1"/>
  <c r="Y13" i="42"/>
  <c r="X13" i="42"/>
  <c r="U13" i="42"/>
  <c r="T13" i="42"/>
  <c r="S13" i="42"/>
  <c r="R13" i="42"/>
  <c r="O13" i="42"/>
  <c r="N13" i="42"/>
  <c r="M13" i="42"/>
  <c r="L13" i="42"/>
  <c r="K13" i="42"/>
  <c r="J13" i="42"/>
  <c r="I13" i="42"/>
  <c r="H13" i="42"/>
  <c r="G13" i="42"/>
  <c r="F13" i="42"/>
  <c r="E13" i="42"/>
  <c r="D13" i="42"/>
  <c r="C13" i="42"/>
  <c r="B13" i="42"/>
  <c r="V12" i="42"/>
  <c r="P12" i="42"/>
  <c r="V11" i="42"/>
  <c r="P11" i="42"/>
  <c r="Z11" i="42" s="1"/>
  <c r="V10" i="42"/>
  <c r="P10" i="42"/>
  <c r="V9" i="42"/>
  <c r="P9" i="42"/>
  <c r="Z9" i="42" s="1"/>
  <c r="V8" i="42"/>
  <c r="P8" i="42"/>
  <c r="V7" i="42"/>
  <c r="P7" i="42"/>
  <c r="V6" i="42"/>
  <c r="P6" i="42"/>
  <c r="Z6" i="42" s="1"/>
  <c r="V8" i="41"/>
  <c r="P8" i="41"/>
  <c r="N13" i="41"/>
  <c r="Z7" i="52" l="1"/>
  <c r="V13" i="52"/>
  <c r="W6" i="52" s="1"/>
  <c r="Z11" i="52"/>
  <c r="P13" i="52"/>
  <c r="Q10" i="52" s="1"/>
  <c r="Z12" i="52"/>
  <c r="Z12" i="51"/>
  <c r="Z7" i="51"/>
  <c r="V13" i="51"/>
  <c r="W7" i="51" s="1"/>
  <c r="Z11" i="51"/>
  <c r="P13" i="51"/>
  <c r="Z10" i="50"/>
  <c r="Z12" i="50"/>
  <c r="V13" i="50"/>
  <c r="W8" i="50" s="1"/>
  <c r="Z6" i="50"/>
  <c r="Z7" i="50"/>
  <c r="P13" i="50"/>
  <c r="Q10" i="50" s="1"/>
  <c r="Z11" i="50"/>
  <c r="Z7" i="49"/>
  <c r="Z11" i="49"/>
  <c r="Z12" i="49"/>
  <c r="Z9" i="49"/>
  <c r="Z10" i="49"/>
  <c r="P13" i="49"/>
  <c r="Q12" i="49" s="1"/>
  <c r="V13" i="49"/>
  <c r="Z11" i="48"/>
  <c r="Z12" i="48"/>
  <c r="V13" i="48"/>
  <c r="W12" i="48" s="1"/>
  <c r="Z7" i="48"/>
  <c r="Z6" i="48"/>
  <c r="Z9" i="48"/>
  <c r="P13" i="48"/>
  <c r="Q7" i="48" s="1"/>
  <c r="V13" i="47"/>
  <c r="W11" i="47" s="1"/>
  <c r="Z11" i="47"/>
  <c r="W12" i="47"/>
  <c r="P13" i="47"/>
  <c r="Q8" i="47" s="1"/>
  <c r="Z6" i="47"/>
  <c r="Z12" i="47"/>
  <c r="Z7" i="47"/>
  <c r="Z12" i="46"/>
  <c r="P13" i="46"/>
  <c r="Q10" i="46" s="1"/>
  <c r="Z10" i="46"/>
  <c r="Z7" i="46"/>
  <c r="V13" i="46"/>
  <c r="W11" i="46" s="1"/>
  <c r="Z8" i="45"/>
  <c r="V13" i="45"/>
  <c r="Z12" i="45"/>
  <c r="Z9" i="45"/>
  <c r="W6" i="45"/>
  <c r="W12" i="45"/>
  <c r="W8" i="45"/>
  <c r="W7" i="45"/>
  <c r="W9" i="45"/>
  <c r="W10" i="45"/>
  <c r="W11" i="45"/>
  <c r="Z7" i="45"/>
  <c r="P13" i="45"/>
  <c r="Q12" i="45" s="1"/>
  <c r="Z9" i="44"/>
  <c r="Z12" i="44"/>
  <c r="P13" i="44"/>
  <c r="Q9" i="44" s="1"/>
  <c r="Z6" i="44"/>
  <c r="Z8" i="44"/>
  <c r="Z13" i="44" s="1"/>
  <c r="AA6" i="44" s="1"/>
  <c r="V13" i="44"/>
  <c r="Z8" i="43"/>
  <c r="Z12" i="43"/>
  <c r="V13" i="43"/>
  <c r="W12" i="43" s="1"/>
  <c r="Z9" i="43"/>
  <c r="Z7" i="43"/>
  <c r="P13" i="43"/>
  <c r="Q9" i="43" s="1"/>
  <c r="Q6" i="43"/>
  <c r="Z12" i="42"/>
  <c r="Z8" i="42"/>
  <c r="P13" i="42"/>
  <c r="Q10" i="42" s="1"/>
  <c r="Z10" i="42"/>
  <c r="Z7" i="42"/>
  <c r="V13" i="42"/>
  <c r="W6" i="42" s="1"/>
  <c r="Z8" i="41"/>
  <c r="P6" i="41"/>
  <c r="V6" i="41"/>
  <c r="P7" i="41"/>
  <c r="V7" i="41"/>
  <c r="P9" i="41"/>
  <c r="V9" i="41"/>
  <c r="P10" i="41"/>
  <c r="V10" i="41"/>
  <c r="P11" i="41"/>
  <c r="V11" i="41"/>
  <c r="P12" i="41"/>
  <c r="V12" i="41"/>
  <c r="B13" i="41"/>
  <c r="C13" i="41"/>
  <c r="D13" i="41"/>
  <c r="E13" i="41"/>
  <c r="F13" i="41"/>
  <c r="G13" i="41"/>
  <c r="H13" i="41"/>
  <c r="J13" i="41"/>
  <c r="K13" i="41"/>
  <c r="L13" i="41"/>
  <c r="M13" i="41"/>
  <c r="R13" i="41"/>
  <c r="S13" i="41"/>
  <c r="T13" i="41"/>
  <c r="U13" i="41"/>
  <c r="X13" i="41"/>
  <c r="Y13" i="41"/>
  <c r="W12" i="52" l="1"/>
  <c r="W11" i="52"/>
  <c r="W10" i="52"/>
  <c r="W7" i="52"/>
  <c r="W9" i="52"/>
  <c r="W8" i="52"/>
  <c r="Q9" i="52"/>
  <c r="Q7" i="52"/>
  <c r="Q12" i="52"/>
  <c r="Q11" i="52"/>
  <c r="Q8" i="52"/>
  <c r="Z13" i="52"/>
  <c r="Q6" i="52"/>
  <c r="Q13" i="52" s="1"/>
  <c r="Z13" i="51"/>
  <c r="W12" i="51"/>
  <c r="W10" i="51"/>
  <c r="W9" i="51"/>
  <c r="W8" i="51"/>
  <c r="W13" i="51" s="1"/>
  <c r="W6" i="51"/>
  <c r="AA8" i="51"/>
  <c r="AA11" i="51"/>
  <c r="AA12" i="51"/>
  <c r="AA6" i="51"/>
  <c r="W11" i="51"/>
  <c r="Q7" i="51"/>
  <c r="Q11" i="51"/>
  <c r="Q8" i="51"/>
  <c r="Q10" i="51"/>
  <c r="Q12" i="51"/>
  <c r="Q6" i="51"/>
  <c r="Q9" i="51"/>
  <c r="AA10" i="51"/>
  <c r="AA9" i="51"/>
  <c r="AA7" i="51"/>
  <c r="W7" i="50"/>
  <c r="W11" i="50"/>
  <c r="W12" i="50"/>
  <c r="W6" i="50"/>
  <c r="W10" i="50"/>
  <c r="W9" i="50"/>
  <c r="Q9" i="50"/>
  <c r="Q6" i="50"/>
  <c r="Q12" i="50"/>
  <c r="Q8" i="50"/>
  <c r="Q7" i="50"/>
  <c r="Q11" i="50"/>
  <c r="Z13" i="50"/>
  <c r="AA8" i="50" s="1"/>
  <c r="Z13" i="49"/>
  <c r="AA8" i="49" s="1"/>
  <c r="W12" i="49"/>
  <c r="W8" i="49"/>
  <c r="W11" i="49"/>
  <c r="W9" i="49"/>
  <c r="Q9" i="49"/>
  <c r="Q8" i="49"/>
  <c r="Q11" i="49"/>
  <c r="Q7" i="49"/>
  <c r="W7" i="49"/>
  <c r="W10" i="49"/>
  <c r="W6" i="49"/>
  <c r="W13" i="49" s="1"/>
  <c r="Q10" i="49"/>
  <c r="Q6" i="49"/>
  <c r="Z13" i="48"/>
  <c r="W9" i="48"/>
  <c r="W8" i="48"/>
  <c r="W11" i="48"/>
  <c r="W7" i="48"/>
  <c r="W10" i="48"/>
  <c r="W6" i="48"/>
  <c r="AA8" i="48"/>
  <c r="AA11" i="48"/>
  <c r="W13" i="48"/>
  <c r="AA9" i="48"/>
  <c r="AA6" i="48"/>
  <c r="Q6" i="48"/>
  <c r="AA12" i="48"/>
  <c r="AA10" i="48"/>
  <c r="AA7" i="48"/>
  <c r="Q10" i="48"/>
  <c r="Q9" i="48"/>
  <c r="Q12" i="48"/>
  <c r="Q11" i="48"/>
  <c r="Q8" i="48"/>
  <c r="W10" i="47"/>
  <c r="W9" i="47"/>
  <c r="W8" i="47"/>
  <c r="W7" i="47"/>
  <c r="W6" i="47"/>
  <c r="W13" i="47" s="1"/>
  <c r="Q9" i="47"/>
  <c r="Q10" i="47"/>
  <c r="Q11" i="47"/>
  <c r="Q7" i="47"/>
  <c r="Q6" i="47"/>
  <c r="Q12" i="47"/>
  <c r="Z13" i="47"/>
  <c r="Q6" i="46"/>
  <c r="Q9" i="46"/>
  <c r="Q12" i="46"/>
  <c r="Q8" i="46"/>
  <c r="Q11" i="46"/>
  <c r="Q7" i="46"/>
  <c r="Z13" i="46"/>
  <c r="AA6" i="46" s="1"/>
  <c r="W10" i="46"/>
  <c r="W12" i="46"/>
  <c r="W9" i="46"/>
  <c r="W6" i="46"/>
  <c r="W8" i="46"/>
  <c r="W7" i="46"/>
  <c r="Q13" i="46"/>
  <c r="Q11" i="45"/>
  <c r="W13" i="45"/>
  <c r="Q7" i="45"/>
  <c r="Q10" i="45"/>
  <c r="Q9" i="45"/>
  <c r="Q8" i="45"/>
  <c r="Q6" i="45"/>
  <c r="Z13" i="45"/>
  <c r="Q7" i="44"/>
  <c r="Q8" i="44"/>
  <c r="Q12" i="44"/>
  <c r="Q6" i="44"/>
  <c r="Q11" i="44"/>
  <c r="AA12" i="44"/>
  <c r="AA10" i="44"/>
  <c r="AA11" i="44"/>
  <c r="Q10" i="44"/>
  <c r="AA9" i="44"/>
  <c r="AA7" i="44"/>
  <c r="AA8" i="44"/>
  <c r="W9" i="44"/>
  <c r="W10" i="44"/>
  <c r="W12" i="44"/>
  <c r="W8" i="44"/>
  <c r="W7" i="44"/>
  <c r="W11" i="44"/>
  <c r="AA13" i="44"/>
  <c r="W6" i="44"/>
  <c r="W13" i="44" s="1"/>
  <c r="W11" i="43"/>
  <c r="W9" i="43"/>
  <c r="W7" i="43"/>
  <c r="W8" i="43"/>
  <c r="W10" i="43"/>
  <c r="W6" i="43"/>
  <c r="Q11" i="43"/>
  <c r="Q12" i="43"/>
  <c r="Q10" i="43"/>
  <c r="Q8" i="43"/>
  <c r="Z13" i="43"/>
  <c r="Q7" i="43"/>
  <c r="Q13" i="43" s="1"/>
  <c r="W13" i="42"/>
  <c r="Q12" i="42"/>
  <c r="Q7" i="42"/>
  <c r="W12" i="42"/>
  <c r="W11" i="42"/>
  <c r="W10" i="42"/>
  <c r="W9" i="42"/>
  <c r="W8" i="42"/>
  <c r="W7" i="42"/>
  <c r="Q6" i="42"/>
  <c r="Q9" i="42"/>
  <c r="Q8" i="42"/>
  <c r="Q11" i="42"/>
  <c r="Z13" i="42"/>
  <c r="Z10" i="41"/>
  <c r="Z9" i="41"/>
  <c r="Z11" i="41"/>
  <c r="Z7" i="41"/>
  <c r="O13" i="41"/>
  <c r="I13" i="41"/>
  <c r="Z6" i="41"/>
  <c r="P13" i="41"/>
  <c r="Q8" i="41" s="1"/>
  <c r="Z12" i="41"/>
  <c r="V13" i="41"/>
  <c r="W8" i="41" s="1"/>
  <c r="W13" i="52" l="1"/>
  <c r="AA8" i="52"/>
  <c r="AA6" i="52"/>
  <c r="AA10" i="52"/>
  <c r="AA9" i="52"/>
  <c r="AA7" i="52"/>
  <c r="AA11" i="52"/>
  <c r="AA12" i="52"/>
  <c r="AA13" i="51"/>
  <c r="Q13" i="51"/>
  <c r="AA6" i="50"/>
  <c r="AA12" i="50"/>
  <c r="AA11" i="50"/>
  <c r="AA7" i="50"/>
  <c r="W13" i="50"/>
  <c r="Q13" i="50"/>
  <c r="AA9" i="50"/>
  <c r="AA10" i="50"/>
  <c r="AA6" i="49"/>
  <c r="AA12" i="49"/>
  <c r="AA11" i="49"/>
  <c r="AA9" i="49"/>
  <c r="AA7" i="49"/>
  <c r="AA10" i="49"/>
  <c r="Q13" i="49"/>
  <c r="AA13" i="48"/>
  <c r="Q13" i="48"/>
  <c r="Q13" i="47"/>
  <c r="AA11" i="47"/>
  <c r="AA9" i="47"/>
  <c r="AA10" i="47"/>
  <c r="AA6" i="47"/>
  <c r="AA12" i="47"/>
  <c r="AA8" i="47"/>
  <c r="AA7" i="47"/>
  <c r="W13" i="46"/>
  <c r="AA12" i="46"/>
  <c r="AA11" i="46"/>
  <c r="AA8" i="46"/>
  <c r="AA7" i="46"/>
  <c r="AA10" i="46"/>
  <c r="AA9" i="46"/>
  <c r="AA13" i="46"/>
  <c r="Q13" i="45"/>
  <c r="AA11" i="45"/>
  <c r="AA6" i="45"/>
  <c r="AA9" i="45"/>
  <c r="AA12" i="45"/>
  <c r="AA8" i="45"/>
  <c r="AA10" i="45"/>
  <c r="AA7" i="45"/>
  <c r="Q13" i="44"/>
  <c r="W13" i="43"/>
  <c r="AA8" i="43"/>
  <c r="AA9" i="43"/>
  <c r="AA6" i="43"/>
  <c r="AA10" i="43"/>
  <c r="AA11" i="43"/>
  <c r="AA12" i="43"/>
  <c r="AA7" i="43"/>
  <c r="Q13" i="42"/>
  <c r="AA8" i="42"/>
  <c r="AA11" i="42"/>
  <c r="AA12" i="42"/>
  <c r="AA6" i="42"/>
  <c r="AA9" i="42"/>
  <c r="AA7" i="42"/>
  <c r="AA10" i="42"/>
  <c r="Z13" i="41"/>
  <c r="AA8" i="41" s="1"/>
  <c r="Q12" i="41"/>
  <c r="W11" i="41"/>
  <c r="W9" i="41"/>
  <c r="W7" i="41"/>
  <c r="Q10" i="41"/>
  <c r="Q7" i="41"/>
  <c r="Q9" i="41"/>
  <c r="Q6" i="41"/>
  <c r="W6" i="41"/>
  <c r="W12" i="41"/>
  <c r="W10" i="41"/>
  <c r="Q11" i="41"/>
  <c r="AA13" i="52" l="1"/>
  <c r="AA13" i="50"/>
  <c r="AA13" i="49"/>
  <c r="AA13" i="47"/>
  <c r="AA13" i="45"/>
  <c r="AA13" i="43"/>
  <c r="AA13" i="42"/>
  <c r="AA12" i="41"/>
  <c r="AA6" i="41"/>
  <c r="Q13" i="41"/>
  <c r="W13" i="41"/>
  <c r="AA7" i="41"/>
  <c r="AA9" i="41"/>
  <c r="AA10" i="41"/>
  <c r="AA11" i="41"/>
  <c r="AA13" i="41" l="1"/>
</calcChain>
</file>

<file path=xl/sharedStrings.xml><?xml version="1.0" encoding="utf-8"?>
<sst xmlns="http://schemas.openxmlformats.org/spreadsheetml/2006/main" count="625" uniqueCount="40">
  <si>
    <t>Inversiones de los Fondos de Pensiones Por Calificación de Riesgo</t>
  </si>
  <si>
    <r>
      <t>CALIFICACIÓN RIESGO</t>
    </r>
    <r>
      <rPr>
        <b/>
        <vertAlign val="superscript"/>
        <sz val="11"/>
        <color rgb="FFFFFFFF"/>
        <rFont val="Calibri"/>
        <family val="2"/>
      </rPr>
      <t>1</t>
    </r>
  </si>
  <si>
    <t xml:space="preserve"> ATLÁNTICO</t>
  </si>
  <si>
    <t>CRECER</t>
  </si>
  <si>
    <t>JMMB- BDI</t>
  </si>
  <si>
    <t xml:space="preserve"> POPULAR</t>
  </si>
  <si>
    <t xml:space="preserve"> RESERVAS</t>
  </si>
  <si>
    <t xml:space="preserve"> ROMANA</t>
  </si>
  <si>
    <t xml:space="preserve"> SIEMBRA</t>
  </si>
  <si>
    <t>TOTAL CCI</t>
  </si>
  <si>
    <t xml:space="preserve"> FONDO BANCO DE RESERVAS</t>
  </si>
  <si>
    <t>FONDO BANCO CENTRAL</t>
  </si>
  <si>
    <t>TOTAL FONDOS DE REPARTO INDIVIDUALIZADO</t>
  </si>
  <si>
    <t>FONDO DE SOLIDARIDAD SOCIAL</t>
  </si>
  <si>
    <t>TOTAL GENERAL</t>
  </si>
  <si>
    <t>VALOR MERCADO</t>
  </si>
  <si>
    <t>%</t>
  </si>
  <si>
    <t>C-1</t>
  </si>
  <si>
    <t>C-2</t>
  </si>
  <si>
    <t>C-3</t>
  </si>
  <si>
    <t>AAA</t>
  </si>
  <si>
    <t xml:space="preserve">AA </t>
  </si>
  <si>
    <t xml:space="preserve">A  </t>
  </si>
  <si>
    <t>BBB</t>
  </si>
  <si>
    <t>TOTAL</t>
  </si>
  <si>
    <t>Nota: No incluye Fondos Complementarios.</t>
  </si>
  <si>
    <t>1/Las Calificaciones C-1, C-2 y C-3 corresponden a instrumentos de corto plazo.</t>
  </si>
  <si>
    <t>Al 31 de enero 2025</t>
  </si>
  <si>
    <t>Al 28 de febrero 2025</t>
  </si>
  <si>
    <t/>
  </si>
  <si>
    <t>Al 31 de marzo 2025</t>
  </si>
  <si>
    <t>Al 30 de abril 2025</t>
  </si>
  <si>
    <t>Al 31 de mayo 2025</t>
  </si>
  <si>
    <t>Al 30 de junio 2025</t>
  </si>
  <si>
    <t>Al 31 de julio 2025</t>
  </si>
  <si>
    <t>Al 31 de agosto 2025</t>
  </si>
  <si>
    <t>Al 30 de septiembre 2025</t>
  </si>
  <si>
    <t>Al 31 de octubre 2025</t>
  </si>
  <si>
    <t>Al 30 de noviembre 2025</t>
  </si>
  <si>
    <t>Al 31 de diciembre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</si>
</sst>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0.00%"/>
    <numFmt numFmtId="166" formatCode="#0.000%"/>
    <numFmt numFmtId="167" formatCode="0.000%"/>
  </numFmts>
  <fonts count="9" x14ac:knownFonts="1">
    <font>
      <sz val="11"/>
      <name val="Calibri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  <font>
      <sz val="11"/>
      <name val="Calibri"/>
      <family val="2"/>
    </font>
    <font>
      <sz val="8"/>
      <name val="Calibri"/>
      <family val="2"/>
    </font>
    <font>
      <b/>
      <vertAlign val="superscript"/>
      <sz val="11"/>
      <color rgb="FFFFFFFF"/>
      <name val="Calibri"/>
      <family val="2"/>
    </font>
    <font>
      <sz val="11"/>
      <name val="Calibri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30">
    <xf numFmtId="0" fontId="0" fillId="0" borderId="0" xfId="0"/>
    <xf numFmtId="4" fontId="0" fillId="0" borderId="1" xfId="0" applyNumberFormat="1" applyBorder="1"/>
    <xf numFmtId="165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4" fontId="2" fillId="3" borderId="1" xfId="0" applyNumberFormat="1" applyFont="1" applyFill="1" applyBorder="1" applyAlignment="1">
      <alignment horizontal="center" vertical="center" wrapText="1"/>
    </xf>
    <xf numFmtId="0" fontId="5" fillId="0" borderId="0" xfId="1" applyFont="1"/>
    <xf numFmtId="164" fontId="0" fillId="0" borderId="1" xfId="2" applyFont="1" applyBorder="1" applyAlignment="1">
      <alignment horizontal="center"/>
    </xf>
    <xf numFmtId="9" fontId="1" fillId="2" borderId="1" xfId="3" applyFont="1" applyFill="1" applyBorder="1" applyAlignment="1">
      <alignment horizontal="center"/>
    </xf>
    <xf numFmtId="165" fontId="0" fillId="0" borderId="1" xfId="0" applyNumberFormat="1" applyBorder="1"/>
    <xf numFmtId="0" fontId="8" fillId="0" borderId="0" xfId="0" applyFont="1"/>
    <xf numFmtId="4" fontId="2" fillId="3" borderId="4" xfId="1" applyNumberFormat="1" applyFont="1" applyFill="1" applyBorder="1" applyAlignment="1">
      <alignment horizontal="center" vertical="center" wrapText="1"/>
    </xf>
    <xf numFmtId="165" fontId="2" fillId="3" borderId="1" xfId="1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/>
    </xf>
    <xf numFmtId="0" fontId="0" fillId="0" borderId="0" xfId="1" applyFont="1"/>
    <xf numFmtId="0" fontId="0" fillId="0" borderId="0" xfId="1" applyFont="1" applyAlignment="1">
      <alignment horizontal="center"/>
    </xf>
    <xf numFmtId="4" fontId="0" fillId="0" borderId="0" xfId="1" applyNumberFormat="1" applyFont="1"/>
    <xf numFmtId="4" fontId="0" fillId="0" borderId="0" xfId="1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0" fillId="2" borderId="1" xfId="2" applyFont="1" applyFill="1" applyBorder="1" applyAlignment="1">
      <alignment horizontal="center"/>
    </xf>
    <xf numFmtId="166" fontId="1" fillId="2" borderId="1" xfId="0" applyNumberFormat="1" applyFont="1" applyFill="1" applyBorder="1" applyAlignment="1">
      <alignment horizontal="center"/>
    </xf>
    <xf numFmtId="166" fontId="0" fillId="0" borderId="1" xfId="0" applyNumberFormat="1" applyBorder="1"/>
    <xf numFmtId="167" fontId="0" fillId="0" borderId="1" xfId="3" applyNumberFormat="1" applyFont="1" applyBorder="1" applyAlignment="1">
      <alignment horizontal="center"/>
    </xf>
    <xf numFmtId="0" fontId="2" fillId="3" borderId="2" xfId="1" applyFont="1" applyFill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3" borderId="3" xfId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</cellXfs>
  <cellStyles count="4">
    <cellStyle name="Millares" xfId="2" builtinId="3"/>
    <cellStyle name="Normal" xfId="0" builtinId="0"/>
    <cellStyle name="Normal 2" xfId="1" xr:uid="{00000000-0005-0000-0000-000002000000}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"/>
  <sheetViews>
    <sheetView showGridLines="0" workbookViewId="0">
      <pane xSplit="1" ySplit="5" topLeftCell="L6" activePane="bottomRight" state="frozen"/>
      <selection pane="topRight" activeCell="B1" sqref="B1"/>
      <selection pane="bottomLeft" activeCell="A6" sqref="A6"/>
      <selection pane="bottomRight" activeCell="X27" sqref="X27"/>
    </sheetView>
  </sheetViews>
  <sheetFormatPr baseColWidth="10" defaultColWidth="9.140625" defaultRowHeight="15" x14ac:dyDescent="0.25"/>
  <cols>
    <col min="1" max="1" width="13.85546875" style="14" customWidth="1"/>
    <col min="2" max="2" width="17.28515625" style="14" customWidth="1"/>
    <col min="3" max="3" width="9.42578125" style="15" bestFit="1" customWidth="1"/>
    <col min="4" max="4" width="18.85546875" style="15" bestFit="1" customWidth="1"/>
    <col min="5" max="5" width="10.42578125" style="15" customWidth="1"/>
    <col min="6" max="6" width="18.85546875" style="14" customWidth="1"/>
    <col min="7" max="7" width="8.85546875" style="15" customWidth="1"/>
    <col min="8" max="8" width="19.42578125" style="14" customWidth="1"/>
    <col min="9" max="9" width="8.85546875" style="15" customWidth="1"/>
    <col min="10" max="10" width="17.85546875" style="14" bestFit="1" customWidth="1"/>
    <col min="11" max="11" width="8.85546875" style="14" customWidth="1"/>
    <col min="12" max="12" width="17.85546875" style="14" customWidth="1"/>
    <col min="13" max="13" width="8.85546875" style="14" customWidth="1"/>
    <col min="14" max="14" width="17.85546875" style="14" customWidth="1"/>
    <col min="15" max="15" width="8.85546875" style="14" customWidth="1"/>
    <col min="16" max="16" width="18.85546875" style="14" bestFit="1" customWidth="1"/>
    <col min="17" max="17" width="9.42578125" style="14" bestFit="1" customWidth="1"/>
    <col min="18" max="18" width="17.85546875" style="14" bestFit="1" customWidth="1"/>
    <col min="19" max="19" width="10.5703125" style="14" customWidth="1"/>
    <col min="20" max="20" width="19" style="14" bestFit="1" customWidth="1"/>
    <col min="21" max="21" width="9.140625" style="14" customWidth="1"/>
    <col min="22" max="22" width="19" style="14" bestFit="1" customWidth="1"/>
    <col min="23" max="23" width="9.42578125" style="14" customWidth="1"/>
    <col min="24" max="24" width="17.85546875" style="14" bestFit="1" customWidth="1"/>
    <col min="25" max="25" width="8.85546875" style="14" customWidth="1"/>
    <col min="26" max="26" width="18.5703125" style="14" customWidth="1"/>
    <col min="27" max="27" width="9.42578125" style="14" bestFit="1" customWidth="1"/>
    <col min="28" max="28" width="23" style="14" customWidth="1"/>
    <col min="29" max="16384" width="9.140625" style="14"/>
  </cols>
  <sheetData>
    <row r="1" spans="1:28" ht="18.600000000000001" customHeight="1" x14ac:dyDescent="0.3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/>
      <c r="Y1"/>
      <c r="Z1"/>
      <c r="AA1"/>
      <c r="AB1"/>
    </row>
    <row r="2" spans="1:28" x14ac:dyDescent="0.25">
      <c r="A2" s="26" t="s">
        <v>27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/>
      <c r="Y2"/>
      <c r="Z2"/>
      <c r="AA2"/>
      <c r="AB2"/>
    </row>
    <row r="3" spans="1:28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/>
      <c r="Y3"/>
      <c r="Z3"/>
      <c r="AA3"/>
      <c r="AB3"/>
    </row>
    <row r="4" spans="1:28" ht="33.75" customHeight="1" x14ac:dyDescent="0.25">
      <c r="A4" s="27" t="s">
        <v>1</v>
      </c>
      <c r="B4" s="23" t="s">
        <v>2</v>
      </c>
      <c r="C4" s="24"/>
      <c r="D4" s="23" t="s">
        <v>3</v>
      </c>
      <c r="E4" s="24"/>
      <c r="F4" s="23" t="s">
        <v>4</v>
      </c>
      <c r="G4" s="24"/>
      <c r="H4" s="23" t="s">
        <v>5</v>
      </c>
      <c r="I4" s="24"/>
      <c r="J4" s="23" t="s">
        <v>6</v>
      </c>
      <c r="K4" s="24"/>
      <c r="L4" s="23" t="s">
        <v>7</v>
      </c>
      <c r="M4" s="24"/>
      <c r="N4" s="23" t="s">
        <v>8</v>
      </c>
      <c r="O4" s="24"/>
      <c r="P4" s="23" t="s">
        <v>9</v>
      </c>
      <c r="Q4" s="24"/>
      <c r="R4" s="23" t="s">
        <v>10</v>
      </c>
      <c r="S4" s="24"/>
      <c r="T4" s="23" t="s">
        <v>11</v>
      </c>
      <c r="U4" s="24"/>
      <c r="V4" s="23" t="s">
        <v>12</v>
      </c>
      <c r="W4" s="24"/>
      <c r="X4" s="28" t="s">
        <v>13</v>
      </c>
      <c r="Y4" s="29"/>
      <c r="Z4" s="23" t="s">
        <v>14</v>
      </c>
      <c r="AA4" s="24"/>
    </row>
    <row r="5" spans="1:28" ht="31.5" customHeight="1" x14ac:dyDescent="0.25">
      <c r="A5" s="27"/>
      <c r="B5" s="10" t="s">
        <v>15</v>
      </c>
      <c r="C5" s="4" t="s">
        <v>16</v>
      </c>
      <c r="D5" s="10" t="s">
        <v>15</v>
      </c>
      <c r="E5" s="11" t="s">
        <v>16</v>
      </c>
      <c r="F5" s="10" t="s">
        <v>15</v>
      </c>
      <c r="G5" s="4" t="s">
        <v>16</v>
      </c>
      <c r="H5" s="10" t="s">
        <v>15</v>
      </c>
      <c r="I5" s="11" t="s">
        <v>16</v>
      </c>
      <c r="J5" s="10" t="s">
        <v>15</v>
      </c>
      <c r="K5" s="11" t="s">
        <v>16</v>
      </c>
      <c r="L5" s="10" t="s">
        <v>15</v>
      </c>
      <c r="M5" s="11" t="s">
        <v>16</v>
      </c>
      <c r="N5" s="10" t="s">
        <v>15</v>
      </c>
      <c r="O5" s="11" t="s">
        <v>16</v>
      </c>
      <c r="P5" s="10" t="s">
        <v>15</v>
      </c>
      <c r="Q5" s="11" t="s">
        <v>16</v>
      </c>
      <c r="R5" s="10" t="s">
        <v>15</v>
      </c>
      <c r="S5" s="11" t="s">
        <v>16</v>
      </c>
      <c r="T5" s="10" t="s">
        <v>15</v>
      </c>
      <c r="U5" s="11" t="s">
        <v>16</v>
      </c>
      <c r="V5" s="10" t="s">
        <v>15</v>
      </c>
      <c r="W5" s="11" t="s">
        <v>16</v>
      </c>
      <c r="X5" s="10" t="s">
        <v>15</v>
      </c>
      <c r="Y5" s="11" t="s">
        <v>16</v>
      </c>
      <c r="Z5" s="10" t="s">
        <v>15</v>
      </c>
      <c r="AA5" s="11" t="s">
        <v>16</v>
      </c>
    </row>
    <row r="6" spans="1:28" x14ac:dyDescent="0.25">
      <c r="A6" s="12" t="s">
        <v>17</v>
      </c>
      <c r="B6" s="6">
        <v>0</v>
      </c>
      <c r="C6" s="6">
        <v>0</v>
      </c>
      <c r="D6" s="1">
        <v>4978048962.4399996</v>
      </c>
      <c r="E6" s="8">
        <v>1.9051370000000001E-2</v>
      </c>
      <c r="F6" s="1">
        <v>476397210.70999998</v>
      </c>
      <c r="G6" s="8">
        <v>4.588892E-2</v>
      </c>
      <c r="H6" s="1">
        <v>10580563028.42</v>
      </c>
      <c r="I6" s="8">
        <v>2.7704960000000001E-2</v>
      </c>
      <c r="J6" s="1">
        <v>6792106552.6599998</v>
      </c>
      <c r="K6" s="8">
        <v>3.4507910000000003E-2</v>
      </c>
      <c r="L6" s="1">
        <v>2313020327.8200002</v>
      </c>
      <c r="M6" s="8">
        <v>0.23050314999999999</v>
      </c>
      <c r="N6" s="1">
        <v>12177769117.379999</v>
      </c>
      <c r="O6" s="8">
        <v>5.0035320000000001E-2</v>
      </c>
      <c r="P6" s="3">
        <f t="shared" ref="P6:P12" si="0">+B6+D6+F6+H6+J6+L6+N6</f>
        <v>37317905199.43</v>
      </c>
      <c r="Q6" s="2">
        <f t="shared" ref="Q6:Q12" si="1">+P6/$P$13</f>
        <v>3.3177054373699173E-2</v>
      </c>
      <c r="R6" s="1">
        <v>851675231.12</v>
      </c>
      <c r="S6" s="8">
        <v>3.9190410000000002E-2</v>
      </c>
      <c r="T6" s="1">
        <v>2516902957.1100001</v>
      </c>
      <c r="U6" s="8">
        <v>8.92757E-2</v>
      </c>
      <c r="V6" s="3">
        <f t="shared" ref="V6:V12" si="2">R6+T6</f>
        <v>3368578188.23</v>
      </c>
      <c r="W6" s="2">
        <f t="shared" ref="W6:W12" si="3">V6/$V$13</f>
        <v>6.7473858290617056E-2</v>
      </c>
      <c r="X6" s="1">
        <v>2655736152.0799999</v>
      </c>
      <c r="Y6" s="8">
        <v>3.2206930000000002E-2</v>
      </c>
      <c r="Z6" s="3">
        <f t="shared" ref="Z6:Z12" si="4">P6+V6+X6</f>
        <v>43342219539.740005</v>
      </c>
      <c r="AA6" s="2">
        <f t="shared" ref="AA6:AA12" si="5">Z6/$Z$13</f>
        <v>3.4475379311219689E-2</v>
      </c>
      <c r="AB6" s="16"/>
    </row>
    <row r="7" spans="1:28" x14ac:dyDescent="0.25">
      <c r="A7" s="12" t="s">
        <v>18</v>
      </c>
      <c r="B7" s="1">
        <v>265528806.75999999</v>
      </c>
      <c r="C7" s="8">
        <v>1.2652719999999999E-2</v>
      </c>
      <c r="D7" s="6">
        <v>70202381.609999999</v>
      </c>
      <c r="E7" s="6">
        <v>2.6866999999999999E-4</v>
      </c>
      <c r="F7" s="1">
        <v>655088783.49000001</v>
      </c>
      <c r="G7" s="8">
        <v>6.3101370000000004E-2</v>
      </c>
      <c r="H7" s="1">
        <v>1074592957.8199999</v>
      </c>
      <c r="I7" s="8">
        <v>2.8138E-3</v>
      </c>
      <c r="J7" s="1">
        <v>0</v>
      </c>
      <c r="K7" s="8">
        <v>0</v>
      </c>
      <c r="L7" s="6">
        <v>0</v>
      </c>
      <c r="M7" s="6">
        <v>0</v>
      </c>
      <c r="N7" s="1">
        <v>1778017117.9300001</v>
      </c>
      <c r="O7" s="8">
        <v>7.30541E-3</v>
      </c>
      <c r="P7" s="3">
        <f t="shared" si="0"/>
        <v>3843430047.6099997</v>
      </c>
      <c r="Q7" s="2">
        <f t="shared" si="1"/>
        <v>3.4169572753246029E-3</v>
      </c>
      <c r="R7" s="1">
        <v>90481659.939999998</v>
      </c>
      <c r="S7" s="8">
        <v>4.1635800000000001E-3</v>
      </c>
      <c r="T7" s="1">
        <v>337080339.56</v>
      </c>
      <c r="U7" s="8">
        <v>1.1956390000000001E-2</v>
      </c>
      <c r="V7" s="3">
        <f t="shared" si="2"/>
        <v>427561999.5</v>
      </c>
      <c r="W7" s="2">
        <f t="shared" si="3"/>
        <v>8.5642238810180495E-3</v>
      </c>
      <c r="X7" s="1">
        <v>37715917.57</v>
      </c>
      <c r="Y7" s="8">
        <v>4.5739000000000001E-4</v>
      </c>
      <c r="Z7" s="3">
        <f t="shared" si="4"/>
        <v>4308707964.6799994</v>
      </c>
      <c r="AA7" s="2">
        <f t="shared" si="5"/>
        <v>3.4272435283896263E-3</v>
      </c>
      <c r="AB7" s="16"/>
    </row>
    <row r="8" spans="1:28" x14ac:dyDescent="0.25">
      <c r="A8" s="12" t="s">
        <v>19</v>
      </c>
      <c r="B8" s="1">
        <v>62899431.859999999</v>
      </c>
      <c r="C8" s="8">
        <v>2.9972200000000001E-3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3">
        <f t="shared" si="0"/>
        <v>62899431.859999999</v>
      </c>
      <c r="Q8" s="20">
        <f t="shared" si="1"/>
        <v>5.5920016403436294E-5</v>
      </c>
      <c r="R8" s="6">
        <v>0</v>
      </c>
      <c r="S8" s="6">
        <v>0</v>
      </c>
      <c r="T8" s="6">
        <v>0</v>
      </c>
      <c r="U8" s="6">
        <v>0</v>
      </c>
      <c r="V8" s="19">
        <f t="shared" ref="V8" si="6">R8+T8</f>
        <v>0</v>
      </c>
      <c r="W8" s="19">
        <f t="shared" si="3"/>
        <v>0</v>
      </c>
      <c r="X8" s="6">
        <v>0</v>
      </c>
      <c r="Y8" s="6">
        <v>0</v>
      </c>
      <c r="Z8" s="3">
        <f t="shared" ref="Z8" si="7">P8+V8+X8</f>
        <v>62899431.859999999</v>
      </c>
      <c r="AA8" s="20">
        <f t="shared" si="5"/>
        <v>5.0031627241550457E-5</v>
      </c>
      <c r="AB8" s="16"/>
    </row>
    <row r="9" spans="1:28" x14ac:dyDescent="0.25">
      <c r="A9" s="12" t="s">
        <v>20</v>
      </c>
      <c r="B9" s="1">
        <v>15059559343.459999</v>
      </c>
      <c r="C9" s="8">
        <v>0.71760360999999995</v>
      </c>
      <c r="D9" s="1">
        <v>170144117586.67001</v>
      </c>
      <c r="E9" s="8">
        <v>0.65115427999999997</v>
      </c>
      <c r="F9" s="1">
        <v>6828714967.1899996</v>
      </c>
      <c r="G9" s="8">
        <v>0.65777532999999999</v>
      </c>
      <c r="H9" s="1">
        <v>252617082420.57999</v>
      </c>
      <c r="I9" s="8">
        <v>0.66147191000000005</v>
      </c>
      <c r="J9" s="1">
        <v>129295950012.17999</v>
      </c>
      <c r="K9" s="8">
        <v>0.65689976999999999</v>
      </c>
      <c r="L9" s="1">
        <v>7673933820.8699999</v>
      </c>
      <c r="M9" s="8">
        <v>0.76474291999999999</v>
      </c>
      <c r="N9" s="1">
        <v>180810025000.20999</v>
      </c>
      <c r="O9" s="8">
        <v>0.74290186000000002</v>
      </c>
      <c r="P9" s="3">
        <f t="shared" si="0"/>
        <v>762429383151.16003</v>
      </c>
      <c r="Q9" s="2">
        <f t="shared" si="1"/>
        <v>0.67782907335587317</v>
      </c>
      <c r="R9" s="1">
        <v>15548056597.49</v>
      </c>
      <c r="S9" s="8">
        <v>0.71545437999999995</v>
      </c>
      <c r="T9" s="1">
        <v>24166800066.630001</v>
      </c>
      <c r="U9" s="8">
        <v>0.85720750000000001</v>
      </c>
      <c r="V9" s="3">
        <f t="shared" si="2"/>
        <v>39714856664.120003</v>
      </c>
      <c r="W9" s="2">
        <f t="shared" si="3"/>
        <v>0.79550316508907926</v>
      </c>
      <c r="X9" s="1">
        <v>51512269027.480003</v>
      </c>
      <c r="Y9" s="8">
        <v>0.62470519000000002</v>
      </c>
      <c r="Z9" s="3">
        <f t="shared" si="4"/>
        <v>853656508842.76001</v>
      </c>
      <c r="AA9" s="2">
        <f t="shared" si="5"/>
        <v>0.67901764737409331</v>
      </c>
      <c r="AB9" s="16"/>
    </row>
    <row r="10" spans="1:28" x14ac:dyDescent="0.25">
      <c r="A10" s="12" t="s">
        <v>21</v>
      </c>
      <c r="B10" s="1">
        <v>1967514031.96</v>
      </c>
      <c r="C10" s="8">
        <v>9.3754080000000004E-2</v>
      </c>
      <c r="D10" s="1">
        <v>44820226283.43</v>
      </c>
      <c r="E10" s="8">
        <v>0.17153035999999999</v>
      </c>
      <c r="F10" s="1">
        <v>144851634</v>
      </c>
      <c r="G10" s="8">
        <v>1.3952819999999999E-2</v>
      </c>
      <c r="H10" s="1">
        <v>39282806647.910004</v>
      </c>
      <c r="I10" s="8">
        <v>0.10286111000000001</v>
      </c>
      <c r="J10" s="1">
        <v>18060759466.650002</v>
      </c>
      <c r="K10" s="8">
        <v>9.1759320000000005E-2</v>
      </c>
      <c r="L10" s="6">
        <v>0</v>
      </c>
      <c r="M10" s="6">
        <v>0</v>
      </c>
      <c r="N10" s="1">
        <v>24569739683.700001</v>
      </c>
      <c r="O10" s="8">
        <v>0.10095074</v>
      </c>
      <c r="P10" s="3">
        <f t="shared" si="0"/>
        <v>128845897747.65001</v>
      </c>
      <c r="Q10" s="2">
        <f t="shared" si="1"/>
        <v>0.11454896336108279</v>
      </c>
      <c r="R10" s="1">
        <v>67012979.859999999</v>
      </c>
      <c r="S10" s="8">
        <v>3.0836499999999998E-3</v>
      </c>
      <c r="T10" s="1">
        <v>228658628.08000001</v>
      </c>
      <c r="U10" s="8">
        <v>8.1106300000000006E-3</v>
      </c>
      <c r="V10" s="3">
        <f t="shared" si="2"/>
        <v>295671607.94</v>
      </c>
      <c r="W10" s="2">
        <f t="shared" si="3"/>
        <v>5.9224108985830339E-3</v>
      </c>
      <c r="X10" s="1">
        <v>8183290324.0600004</v>
      </c>
      <c r="Y10" s="8">
        <v>9.9241289999999996E-2</v>
      </c>
      <c r="Z10" s="3">
        <f t="shared" si="4"/>
        <v>137324859679.65001</v>
      </c>
      <c r="AA10" s="2">
        <f t="shared" si="5"/>
        <v>0.10923129171949998</v>
      </c>
      <c r="AB10" s="16"/>
    </row>
    <row r="11" spans="1:28" x14ac:dyDescent="0.25">
      <c r="A11" s="12" t="s">
        <v>22</v>
      </c>
      <c r="B11" s="1">
        <v>2216652043.1799998</v>
      </c>
      <c r="C11" s="8">
        <v>0.10562576999999999</v>
      </c>
      <c r="D11" s="1">
        <v>6007014108.4700003</v>
      </c>
      <c r="E11" s="8">
        <v>2.2989289999999999E-2</v>
      </c>
      <c r="F11" s="1">
        <v>2014566732.78</v>
      </c>
      <c r="G11" s="8">
        <v>0.19405295</v>
      </c>
      <c r="H11" s="1">
        <v>11276917573.290001</v>
      </c>
      <c r="I11" s="8">
        <v>2.952834E-2</v>
      </c>
      <c r="J11" s="1">
        <v>4872816407.1800003</v>
      </c>
      <c r="K11" s="8">
        <v>2.4756779999999999E-2</v>
      </c>
      <c r="L11" s="1">
        <v>47704050.020000003</v>
      </c>
      <c r="M11" s="8">
        <v>4.75393E-3</v>
      </c>
      <c r="N11" s="1">
        <v>5970077687.7299995</v>
      </c>
      <c r="O11" s="8">
        <v>2.4529510000000001E-2</v>
      </c>
      <c r="P11" s="3">
        <f t="shared" si="0"/>
        <v>32405748602.650002</v>
      </c>
      <c r="Q11" s="2">
        <f t="shared" si="1"/>
        <v>2.8809958052708886E-2</v>
      </c>
      <c r="R11" s="1">
        <v>740502422.04999995</v>
      </c>
      <c r="S11" s="8">
        <v>3.4074720000000003E-2</v>
      </c>
      <c r="T11" s="1">
        <v>943031810.96000004</v>
      </c>
      <c r="U11" s="8">
        <v>3.3449769999999997E-2</v>
      </c>
      <c r="V11" s="3">
        <f t="shared" si="2"/>
        <v>1683534233.01</v>
      </c>
      <c r="W11" s="2">
        <f t="shared" si="3"/>
        <v>3.3721809000136944E-2</v>
      </c>
      <c r="X11" s="1">
        <v>1817651822.4400001</v>
      </c>
      <c r="Y11" s="8">
        <v>2.2043219999999999E-2</v>
      </c>
      <c r="Z11" s="3">
        <f t="shared" si="4"/>
        <v>35906934658.099998</v>
      </c>
      <c r="AA11" s="2">
        <f t="shared" si="5"/>
        <v>2.8561185961096344E-2</v>
      </c>
      <c r="AB11" s="16"/>
    </row>
    <row r="12" spans="1:28" x14ac:dyDescent="0.25">
      <c r="A12" s="12" t="s">
        <v>23</v>
      </c>
      <c r="B12" s="1">
        <v>1413748679.9200001</v>
      </c>
      <c r="C12" s="8">
        <v>6.7366590000000004E-2</v>
      </c>
      <c r="D12" s="1">
        <v>35276556663.449997</v>
      </c>
      <c r="E12" s="8">
        <v>0.13500602</v>
      </c>
      <c r="F12" s="1">
        <v>261911702.11000001</v>
      </c>
      <c r="G12" s="8">
        <v>2.522862E-2</v>
      </c>
      <c r="H12" s="1">
        <v>67069487527.919998</v>
      </c>
      <c r="I12" s="8">
        <v>0.17561988000000001</v>
      </c>
      <c r="J12" s="1">
        <v>37805884868.870003</v>
      </c>
      <c r="K12" s="8">
        <v>0.19207621999999999</v>
      </c>
      <c r="L12" s="6">
        <v>0</v>
      </c>
      <c r="M12" s="6">
        <v>0</v>
      </c>
      <c r="N12" s="1">
        <v>18077829661.34</v>
      </c>
      <c r="O12" s="8">
        <v>7.427715E-2</v>
      </c>
      <c r="P12" s="3">
        <f t="shared" si="0"/>
        <v>159905419103.60999</v>
      </c>
      <c r="Q12" s="2">
        <f t="shared" si="1"/>
        <v>0.14216207356490781</v>
      </c>
      <c r="R12" s="1">
        <v>4433994226.8599997</v>
      </c>
      <c r="S12" s="8">
        <v>0.20403325999999999</v>
      </c>
      <c r="T12" s="6">
        <v>0</v>
      </c>
      <c r="U12" s="6">
        <v>0</v>
      </c>
      <c r="V12" s="3">
        <f t="shared" si="2"/>
        <v>4433994226.8599997</v>
      </c>
      <c r="W12" s="2">
        <f t="shared" si="3"/>
        <v>8.8814532840565438E-2</v>
      </c>
      <c r="X12" s="1">
        <v>18251862562.189999</v>
      </c>
      <c r="Y12" s="8">
        <v>0.22134597</v>
      </c>
      <c r="Z12" s="3">
        <f t="shared" si="4"/>
        <v>182591275892.65997</v>
      </c>
      <c r="AA12" s="2">
        <f t="shared" si="5"/>
        <v>0.14523722047845952</v>
      </c>
      <c r="AB12" s="16"/>
    </row>
    <row r="13" spans="1:28" x14ac:dyDescent="0.25">
      <c r="A13" s="13" t="s">
        <v>24</v>
      </c>
      <c r="B13" s="3">
        <f t="shared" ref="B13:AA13" si="8">SUM(B6:B12)</f>
        <v>20985902337.139999</v>
      </c>
      <c r="C13" s="7">
        <f t="shared" si="8"/>
        <v>0.99999998999999984</v>
      </c>
      <c r="D13" s="3">
        <f t="shared" si="8"/>
        <v>261296165986.07001</v>
      </c>
      <c r="E13" s="7">
        <f t="shared" si="8"/>
        <v>0.99999999000000006</v>
      </c>
      <c r="F13" s="3">
        <f t="shared" si="8"/>
        <v>10381531030.280001</v>
      </c>
      <c r="G13" s="7">
        <f t="shared" si="8"/>
        <v>1.0000000099999999</v>
      </c>
      <c r="H13" s="3">
        <f t="shared" si="8"/>
        <v>381901450155.93994</v>
      </c>
      <c r="I13" s="7">
        <f t="shared" si="8"/>
        <v>1</v>
      </c>
      <c r="J13" s="3">
        <f t="shared" si="8"/>
        <v>196827517307.53998</v>
      </c>
      <c r="K13" s="7">
        <f t="shared" si="8"/>
        <v>1</v>
      </c>
      <c r="L13" s="3">
        <f t="shared" si="8"/>
        <v>10034658198.710001</v>
      </c>
      <c r="M13" s="7">
        <f t="shared" si="8"/>
        <v>1</v>
      </c>
      <c r="N13" s="3">
        <f>SUM(N6:N12)</f>
        <v>243383458268.29001</v>
      </c>
      <c r="O13" s="7">
        <f t="shared" si="8"/>
        <v>0.99999999000000006</v>
      </c>
      <c r="P13" s="3">
        <f t="shared" si="8"/>
        <v>1124810683283.9702</v>
      </c>
      <c r="Q13" s="7">
        <f t="shared" si="8"/>
        <v>0.99999999999999989</v>
      </c>
      <c r="R13" s="3">
        <f t="shared" si="8"/>
        <v>21731723117.32</v>
      </c>
      <c r="S13" s="7">
        <f t="shared" si="8"/>
        <v>0.99999999999999989</v>
      </c>
      <c r="T13" s="3">
        <f t="shared" si="8"/>
        <v>28192473802.340004</v>
      </c>
      <c r="U13" s="7">
        <f t="shared" si="8"/>
        <v>0.99999999000000006</v>
      </c>
      <c r="V13" s="3">
        <f t="shared" si="8"/>
        <v>49924196919.660011</v>
      </c>
      <c r="W13" s="7">
        <f t="shared" si="8"/>
        <v>0.99999999999999978</v>
      </c>
      <c r="X13" s="3">
        <f t="shared" si="8"/>
        <v>82458525805.820007</v>
      </c>
      <c r="Y13" s="7">
        <f t="shared" si="8"/>
        <v>0.99999999000000006</v>
      </c>
      <c r="Z13" s="3">
        <f>SUM(Z6:Z12)</f>
        <v>1257193406009.45</v>
      </c>
      <c r="AA13" s="7">
        <f t="shared" si="8"/>
        <v>1</v>
      </c>
    </row>
    <row r="14" spans="1:28" x14ac:dyDescent="0.25">
      <c r="B14" s="16"/>
      <c r="F14" s="16"/>
      <c r="H14" s="16"/>
      <c r="J14" s="16"/>
      <c r="L14" s="16"/>
      <c r="N14" s="16"/>
      <c r="P14" s="16"/>
      <c r="R14" s="16"/>
      <c r="T14" s="16"/>
      <c r="V14" s="16"/>
      <c r="X14" s="16"/>
      <c r="Z14" s="16"/>
    </row>
    <row r="15" spans="1:28" x14ac:dyDescent="0.25">
      <c r="A15" s="5" t="s">
        <v>25</v>
      </c>
      <c r="P15" s="16"/>
      <c r="R15" s="16"/>
      <c r="T15" s="16"/>
    </row>
    <row r="16" spans="1:28" x14ac:dyDescent="0.25">
      <c r="A16" s="5" t="s">
        <v>26</v>
      </c>
      <c r="L16" s="16"/>
      <c r="P16" s="16"/>
    </row>
    <row r="17" spans="1:26" ht="1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26" x14ac:dyDescent="0.25">
      <c r="B18" s="16"/>
      <c r="D18" s="17"/>
      <c r="F18" s="16"/>
      <c r="H18" s="16"/>
      <c r="J18" s="16"/>
      <c r="L18" s="16"/>
      <c r="N18" s="16"/>
      <c r="P18" s="16"/>
      <c r="R18" s="16"/>
      <c r="T18" s="16"/>
      <c r="V18" s="16"/>
      <c r="X18" s="16"/>
      <c r="Z18" s="16"/>
    </row>
    <row r="27" spans="1:26" x14ac:dyDescent="0.25">
      <c r="H27" s="9"/>
    </row>
    <row r="28" spans="1:26" x14ac:dyDescent="0.25">
      <c r="H28" s="9"/>
    </row>
  </sheetData>
  <mergeCells count="16">
    <mergeCell ref="Z4:AA4"/>
    <mergeCell ref="A1:W1"/>
    <mergeCell ref="A2:W2"/>
    <mergeCell ref="A4:A5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EDB8-D47F-40BB-A394-4F7F9B81EAF6}">
  <dimension ref="A1:AB28"/>
  <sheetViews>
    <sheetView showGridLines="0" zoomScaleNormal="100" workbookViewId="0">
      <selection activeCell="N24" sqref="N24"/>
    </sheetView>
  </sheetViews>
  <sheetFormatPr baseColWidth="10" defaultColWidth="9.140625" defaultRowHeight="15" x14ac:dyDescent="0.25"/>
  <cols>
    <col min="1" max="1" width="13.85546875" style="14" customWidth="1"/>
    <col min="2" max="2" width="17.28515625" style="14" customWidth="1"/>
    <col min="3" max="3" width="9.42578125" style="15" bestFit="1" customWidth="1"/>
    <col min="4" max="4" width="18.85546875" style="15" bestFit="1" customWidth="1"/>
    <col min="5" max="5" width="10.42578125" style="15" customWidth="1"/>
    <col min="6" max="6" width="18.85546875" style="14" customWidth="1"/>
    <col min="7" max="7" width="8.85546875" style="15" customWidth="1"/>
    <col min="8" max="8" width="19.42578125" style="14" customWidth="1"/>
    <col min="9" max="9" width="8.85546875" style="15" customWidth="1"/>
    <col min="10" max="10" width="17.85546875" style="14" bestFit="1" customWidth="1"/>
    <col min="11" max="11" width="8.85546875" style="14" customWidth="1"/>
    <col min="12" max="12" width="17.85546875" style="14" customWidth="1"/>
    <col min="13" max="13" width="8.85546875" style="14" customWidth="1"/>
    <col min="14" max="14" width="17.85546875" style="14" customWidth="1"/>
    <col min="15" max="15" width="8.85546875" style="14" customWidth="1"/>
    <col min="16" max="16" width="18.85546875" style="14" bestFit="1" customWidth="1"/>
    <col min="17" max="17" width="9.42578125" style="14" bestFit="1" customWidth="1"/>
    <col min="18" max="18" width="17.85546875" style="14" bestFit="1" customWidth="1"/>
    <col min="19" max="19" width="10.5703125" style="14" customWidth="1"/>
    <col min="20" max="20" width="19" style="14" bestFit="1" customWidth="1"/>
    <col min="21" max="21" width="9.140625" style="14" customWidth="1"/>
    <col min="22" max="22" width="19" style="14" bestFit="1" customWidth="1"/>
    <col min="23" max="23" width="9.42578125" style="14" customWidth="1"/>
    <col min="24" max="24" width="17.85546875" style="14" bestFit="1" customWidth="1"/>
    <col min="25" max="25" width="8.85546875" style="14" customWidth="1"/>
    <col min="26" max="26" width="18.5703125" style="14" customWidth="1"/>
    <col min="27" max="27" width="9.42578125" style="14" bestFit="1" customWidth="1"/>
    <col min="28" max="28" width="23" style="14" customWidth="1"/>
    <col min="29" max="16384" width="9.140625" style="14"/>
  </cols>
  <sheetData>
    <row r="1" spans="1:28" ht="18.600000000000001" customHeight="1" x14ac:dyDescent="0.3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/>
      <c r="Y1"/>
      <c r="Z1"/>
      <c r="AA1"/>
      <c r="AB1"/>
    </row>
    <row r="2" spans="1:28" x14ac:dyDescent="0.25">
      <c r="A2" s="26" t="s">
        <v>28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/>
      <c r="Y2"/>
      <c r="Z2"/>
      <c r="AA2"/>
      <c r="AB2"/>
    </row>
    <row r="3" spans="1:28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/>
      <c r="Y3"/>
      <c r="Z3"/>
      <c r="AA3"/>
      <c r="AB3"/>
    </row>
    <row r="4" spans="1:28" ht="33.75" customHeight="1" x14ac:dyDescent="0.25">
      <c r="A4" s="27" t="s">
        <v>1</v>
      </c>
      <c r="B4" s="23" t="s">
        <v>2</v>
      </c>
      <c r="C4" s="24"/>
      <c r="D4" s="23" t="s">
        <v>3</v>
      </c>
      <c r="E4" s="24"/>
      <c r="F4" s="23" t="s">
        <v>4</v>
      </c>
      <c r="G4" s="24"/>
      <c r="H4" s="23" t="s">
        <v>5</v>
      </c>
      <c r="I4" s="24"/>
      <c r="J4" s="23" t="s">
        <v>6</v>
      </c>
      <c r="K4" s="24"/>
      <c r="L4" s="23" t="s">
        <v>7</v>
      </c>
      <c r="M4" s="24"/>
      <c r="N4" s="23" t="s">
        <v>8</v>
      </c>
      <c r="O4" s="24"/>
      <c r="P4" s="23" t="s">
        <v>9</v>
      </c>
      <c r="Q4" s="24"/>
      <c r="R4" s="23" t="s">
        <v>10</v>
      </c>
      <c r="S4" s="24"/>
      <c r="T4" s="23" t="s">
        <v>11</v>
      </c>
      <c r="U4" s="24"/>
      <c r="V4" s="23" t="s">
        <v>12</v>
      </c>
      <c r="W4" s="24"/>
      <c r="X4" s="28" t="s">
        <v>13</v>
      </c>
      <c r="Y4" s="29"/>
      <c r="Z4" s="23" t="s">
        <v>14</v>
      </c>
      <c r="AA4" s="24"/>
    </row>
    <row r="5" spans="1:28" ht="31.5" customHeight="1" x14ac:dyDescent="0.25">
      <c r="A5" s="27"/>
      <c r="B5" s="10" t="s">
        <v>15</v>
      </c>
      <c r="C5" s="4" t="s">
        <v>16</v>
      </c>
      <c r="D5" s="10" t="s">
        <v>15</v>
      </c>
      <c r="E5" s="11" t="s">
        <v>16</v>
      </c>
      <c r="F5" s="10" t="s">
        <v>15</v>
      </c>
      <c r="G5" s="4" t="s">
        <v>16</v>
      </c>
      <c r="H5" s="10" t="s">
        <v>15</v>
      </c>
      <c r="I5" s="11" t="s">
        <v>16</v>
      </c>
      <c r="J5" s="10" t="s">
        <v>15</v>
      </c>
      <c r="K5" s="11" t="s">
        <v>16</v>
      </c>
      <c r="L5" s="10" t="s">
        <v>15</v>
      </c>
      <c r="M5" s="11" t="s">
        <v>16</v>
      </c>
      <c r="N5" s="10" t="s">
        <v>15</v>
      </c>
      <c r="O5" s="11" t="s">
        <v>16</v>
      </c>
      <c r="P5" s="10" t="s">
        <v>15</v>
      </c>
      <c r="Q5" s="11" t="s">
        <v>16</v>
      </c>
      <c r="R5" s="10" t="s">
        <v>15</v>
      </c>
      <c r="S5" s="11" t="s">
        <v>16</v>
      </c>
      <c r="T5" s="10" t="s">
        <v>15</v>
      </c>
      <c r="U5" s="11" t="s">
        <v>16</v>
      </c>
      <c r="V5" s="10" t="s">
        <v>15</v>
      </c>
      <c r="W5" s="11" t="s">
        <v>16</v>
      </c>
      <c r="X5" s="10" t="s">
        <v>15</v>
      </c>
      <c r="Y5" s="11" t="s">
        <v>16</v>
      </c>
      <c r="Z5" s="10" t="s">
        <v>15</v>
      </c>
      <c r="AA5" s="11" t="s">
        <v>16</v>
      </c>
    </row>
    <row r="6" spans="1:28" x14ac:dyDescent="0.25">
      <c r="A6" s="12" t="s">
        <v>17</v>
      </c>
      <c r="B6" s="6">
        <v>0</v>
      </c>
      <c r="C6" s="6">
        <v>0</v>
      </c>
      <c r="D6" s="1">
        <v>8234312682.6300001</v>
      </c>
      <c r="E6" s="8">
        <v>3.1159360000000001E-2</v>
      </c>
      <c r="F6" s="1">
        <v>446130428.42000002</v>
      </c>
      <c r="G6" s="8">
        <v>4.1681259999999998E-2</v>
      </c>
      <c r="H6" s="1">
        <v>10050612719.860001</v>
      </c>
      <c r="I6" s="8">
        <v>2.6059990000000002E-2</v>
      </c>
      <c r="J6" s="1">
        <v>6273810880.1700001</v>
      </c>
      <c r="K6" s="8">
        <v>3.1470930000000001E-2</v>
      </c>
      <c r="L6" s="1">
        <v>2409269698.48</v>
      </c>
      <c r="M6" s="8">
        <v>0.23873099</v>
      </c>
      <c r="N6" s="1">
        <v>12611378478.459999</v>
      </c>
      <c r="O6" s="8">
        <v>5.1126739999999997E-2</v>
      </c>
      <c r="P6" s="3">
        <f t="shared" ref="P6:P12" si="0">+B6+D6+F6+H6+J6+L6+N6</f>
        <v>40025514888.020004</v>
      </c>
      <c r="Q6" s="2">
        <f t="shared" ref="Q6:Q12" si="1">+P6/$P$13</f>
        <v>3.5168915801791718E-2</v>
      </c>
      <c r="R6" s="1">
        <v>619034523.21000004</v>
      </c>
      <c r="S6" s="8">
        <v>2.8300579999999999E-2</v>
      </c>
      <c r="T6" s="1">
        <v>1660496333.1500001</v>
      </c>
      <c r="U6" s="8">
        <v>5.8670519999999997E-2</v>
      </c>
      <c r="V6" s="3">
        <f t="shared" ref="V6:V12" si="2">R6+T6</f>
        <v>2279530856.3600001</v>
      </c>
      <c r="W6" s="2">
        <f t="shared" ref="W6:W12" si="3">V6/$V$13</f>
        <v>4.5431046897728651E-2</v>
      </c>
      <c r="X6" s="1">
        <v>2313891163.0999999</v>
      </c>
      <c r="Y6" s="8">
        <v>2.748273E-2</v>
      </c>
      <c r="Z6" s="3">
        <f t="shared" ref="Z6:Z12" si="4">P6+V6+X6</f>
        <v>44618936907.480003</v>
      </c>
      <c r="AA6" s="2">
        <f t="shared" ref="AA6:AA12" si="5">Z6/$Z$13</f>
        <v>3.5065003414874618E-2</v>
      </c>
      <c r="AB6" s="16"/>
    </row>
    <row r="7" spans="1:28" x14ac:dyDescent="0.25">
      <c r="A7" s="12" t="s">
        <v>18</v>
      </c>
      <c r="B7" s="1">
        <v>225803861.72</v>
      </c>
      <c r="C7" s="8">
        <v>1.058125E-2</v>
      </c>
      <c r="D7" s="6">
        <v>0</v>
      </c>
      <c r="E7" s="6">
        <v>0</v>
      </c>
      <c r="F7" s="1">
        <v>733872759.94000006</v>
      </c>
      <c r="G7" s="8">
        <v>6.856458E-2</v>
      </c>
      <c r="H7" s="1">
        <v>1235157886.8299999</v>
      </c>
      <c r="I7" s="8">
        <v>3.2026099999999998E-3</v>
      </c>
      <c r="J7" s="6">
        <v>0</v>
      </c>
      <c r="K7" s="6">
        <v>0</v>
      </c>
      <c r="L7" s="6">
        <v>0</v>
      </c>
      <c r="M7" s="6">
        <v>0</v>
      </c>
      <c r="N7" s="1">
        <v>2114038506.24</v>
      </c>
      <c r="O7" s="8">
        <v>8.5703499999999991E-3</v>
      </c>
      <c r="P7" s="3">
        <f t="shared" si="0"/>
        <v>4308873014.7299995</v>
      </c>
      <c r="Q7" s="2">
        <f t="shared" si="1"/>
        <v>3.7860447936675667E-3</v>
      </c>
      <c r="R7" s="1">
        <v>91372925.390000001</v>
      </c>
      <c r="S7" s="8">
        <v>4.17732E-3</v>
      </c>
      <c r="T7" s="1">
        <v>407687116.08999997</v>
      </c>
      <c r="U7" s="8">
        <v>1.440486E-2</v>
      </c>
      <c r="V7" s="3">
        <f t="shared" si="2"/>
        <v>499060041.47999996</v>
      </c>
      <c r="W7" s="2">
        <f t="shared" si="3"/>
        <v>9.9462659546818728E-3</v>
      </c>
      <c r="X7" s="1">
        <v>38026458.380000003</v>
      </c>
      <c r="Y7" s="8">
        <v>4.5165E-4</v>
      </c>
      <c r="Z7" s="3">
        <f t="shared" si="4"/>
        <v>4845959514.5899992</v>
      </c>
      <c r="AA7" s="2">
        <f t="shared" si="5"/>
        <v>3.8083289003453631E-3</v>
      </c>
      <c r="AB7" s="16"/>
    </row>
    <row r="8" spans="1:28" x14ac:dyDescent="0.25">
      <c r="A8" s="12" t="s">
        <v>19</v>
      </c>
      <c r="B8" s="1">
        <v>63159608.140000001</v>
      </c>
      <c r="C8" s="8">
        <v>2.9596800000000001E-3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3">
        <f t="shared" si="0"/>
        <v>63159608.140000001</v>
      </c>
      <c r="Q8" s="20">
        <f t="shared" si="1"/>
        <v>5.5495974179576651E-5</v>
      </c>
      <c r="R8" s="6">
        <v>0</v>
      </c>
      <c r="S8" s="6">
        <v>0</v>
      </c>
      <c r="T8" s="6">
        <v>0</v>
      </c>
      <c r="U8" s="6">
        <v>0</v>
      </c>
      <c r="V8" s="19">
        <f t="shared" si="2"/>
        <v>0</v>
      </c>
      <c r="W8" s="19">
        <f t="shared" si="3"/>
        <v>0</v>
      </c>
      <c r="X8" s="6">
        <v>0</v>
      </c>
      <c r="Y8" s="6" t="s">
        <v>29</v>
      </c>
      <c r="Z8" s="3">
        <f t="shared" si="4"/>
        <v>63159608.140000001</v>
      </c>
      <c r="AA8" s="20">
        <f t="shared" si="5"/>
        <v>4.9635693465837984E-5</v>
      </c>
      <c r="AB8" s="16"/>
    </row>
    <row r="9" spans="1:28" x14ac:dyDescent="0.25">
      <c r="A9" s="12" t="s">
        <v>20</v>
      </c>
      <c r="B9" s="1">
        <v>15462586423.24</v>
      </c>
      <c r="C9" s="8">
        <v>0.72458241999999995</v>
      </c>
      <c r="D9" s="1">
        <v>169678884132.48999</v>
      </c>
      <c r="E9" s="8">
        <v>0.64207985000000001</v>
      </c>
      <c r="F9" s="1">
        <v>6727559559.9300003</v>
      </c>
      <c r="G9" s="8">
        <v>0.62854531999999996</v>
      </c>
      <c r="H9" s="1">
        <v>255419617265.19</v>
      </c>
      <c r="I9" s="8">
        <v>0.66227130999999995</v>
      </c>
      <c r="J9" s="1">
        <v>129764328747.47</v>
      </c>
      <c r="K9" s="8">
        <v>0.65092870999999997</v>
      </c>
      <c r="L9" s="1">
        <v>7634653348.6599998</v>
      </c>
      <c r="M9" s="8">
        <v>0.75650656999999999</v>
      </c>
      <c r="N9" s="1">
        <v>182111299936</v>
      </c>
      <c r="O9" s="8">
        <v>0.73828232000000005</v>
      </c>
      <c r="P9" s="3">
        <f t="shared" si="0"/>
        <v>766798929412.97998</v>
      </c>
      <c r="Q9" s="2">
        <f t="shared" si="1"/>
        <v>0.67375740351814273</v>
      </c>
      <c r="R9" s="1">
        <v>15468165830.57</v>
      </c>
      <c r="S9" s="8">
        <v>0.70716268999999998</v>
      </c>
      <c r="T9" s="1">
        <v>24937686049.900002</v>
      </c>
      <c r="U9" s="8">
        <v>0.88112625</v>
      </c>
      <c r="V9" s="3">
        <f t="shared" si="2"/>
        <v>40405851880.470001</v>
      </c>
      <c r="W9" s="2">
        <f t="shared" si="3"/>
        <v>0.80528857356884409</v>
      </c>
      <c r="X9" s="1">
        <v>52561749258.309998</v>
      </c>
      <c r="Y9" s="8">
        <v>0.62429056000000005</v>
      </c>
      <c r="Z9" s="3">
        <f t="shared" si="4"/>
        <v>859766530551.76001</v>
      </c>
      <c r="AA9" s="2">
        <f t="shared" si="5"/>
        <v>0.67567087921223745</v>
      </c>
      <c r="AB9" s="16"/>
    </row>
    <row r="10" spans="1:28" x14ac:dyDescent="0.25">
      <c r="A10" s="12" t="s">
        <v>21</v>
      </c>
      <c r="B10" s="1">
        <v>1974522381.7</v>
      </c>
      <c r="C10" s="8">
        <v>9.2526839999999999E-2</v>
      </c>
      <c r="D10" s="1">
        <v>44676959761.580002</v>
      </c>
      <c r="E10" s="8">
        <v>0.16906155</v>
      </c>
      <c r="F10" s="1">
        <v>144740473.06</v>
      </c>
      <c r="G10" s="8">
        <v>1.3522869999999999E-2</v>
      </c>
      <c r="H10" s="1">
        <v>39064801867.739998</v>
      </c>
      <c r="I10" s="8">
        <v>0.10129017</v>
      </c>
      <c r="J10" s="1">
        <v>17846038986.07</v>
      </c>
      <c r="K10" s="8">
        <v>8.9519970000000004E-2</v>
      </c>
      <c r="L10" s="6">
        <v>0</v>
      </c>
      <c r="M10" s="6">
        <v>0</v>
      </c>
      <c r="N10" s="1">
        <v>24532668429.34</v>
      </c>
      <c r="O10" s="8">
        <v>9.9455859999999993E-2</v>
      </c>
      <c r="P10" s="3">
        <f t="shared" si="0"/>
        <v>128239731899.48999</v>
      </c>
      <c r="Q10" s="2">
        <f t="shared" si="1"/>
        <v>0.11267943326239149</v>
      </c>
      <c r="R10" s="1">
        <v>66960131.899999999</v>
      </c>
      <c r="S10" s="8">
        <v>3.0612399999999998E-3</v>
      </c>
      <c r="T10" s="1">
        <v>356369182.24000001</v>
      </c>
      <c r="U10" s="8">
        <v>1.2591639999999999E-2</v>
      </c>
      <c r="V10" s="3">
        <f t="shared" si="2"/>
        <v>423329314.13999999</v>
      </c>
      <c r="W10" s="2">
        <f t="shared" si="3"/>
        <v>8.436952660771678E-3</v>
      </c>
      <c r="X10" s="1">
        <v>8083612203.46</v>
      </c>
      <c r="Y10" s="8">
        <v>9.6011319999999997E-2</v>
      </c>
      <c r="Z10" s="3">
        <f t="shared" si="4"/>
        <v>136746673417.09</v>
      </c>
      <c r="AA10" s="2">
        <f t="shared" si="5"/>
        <v>0.10746608733161363</v>
      </c>
      <c r="AB10" s="16"/>
    </row>
    <row r="11" spans="1:28" x14ac:dyDescent="0.25">
      <c r="A11" s="12" t="s">
        <v>22</v>
      </c>
      <c r="B11" s="1">
        <v>2189065788.6900001</v>
      </c>
      <c r="C11" s="8">
        <v>0.10258042000000001</v>
      </c>
      <c r="D11" s="1">
        <v>6018024528.4399996</v>
      </c>
      <c r="E11" s="8">
        <v>2.277274E-2</v>
      </c>
      <c r="F11" s="1">
        <v>2228578235</v>
      </c>
      <c r="G11" s="8">
        <v>0.20821255999999999</v>
      </c>
      <c r="H11" s="1">
        <v>12517361810.25</v>
      </c>
      <c r="I11" s="8">
        <v>3.2455959999999999E-2</v>
      </c>
      <c r="J11" s="1">
        <v>5396247127.1400003</v>
      </c>
      <c r="K11" s="8">
        <v>2.706886E-2</v>
      </c>
      <c r="L11" s="1">
        <v>48062477.659999996</v>
      </c>
      <c r="M11" s="8">
        <v>4.7624399999999997E-3</v>
      </c>
      <c r="N11" s="1">
        <v>7017965602.8699999</v>
      </c>
      <c r="O11" s="8">
        <v>2.8450949999999999E-2</v>
      </c>
      <c r="P11" s="3">
        <f t="shared" si="0"/>
        <v>35415305570.049995</v>
      </c>
      <c r="Q11" s="2">
        <f t="shared" si="1"/>
        <v>3.1118098122470583E-2</v>
      </c>
      <c r="R11" s="1">
        <v>744157459.98000002</v>
      </c>
      <c r="S11" s="8">
        <v>3.4020870000000002E-2</v>
      </c>
      <c r="T11" s="1">
        <v>939819004.97000003</v>
      </c>
      <c r="U11" s="8">
        <v>3.3206739999999998E-2</v>
      </c>
      <c r="V11" s="3">
        <f t="shared" si="2"/>
        <v>1683976464.95</v>
      </c>
      <c r="W11" s="2">
        <f t="shared" si="3"/>
        <v>3.3561648678877357E-2</v>
      </c>
      <c r="X11" s="1">
        <v>2828214145.8200002</v>
      </c>
      <c r="Y11" s="8">
        <v>3.3591490000000002E-2</v>
      </c>
      <c r="Z11" s="3">
        <f t="shared" si="4"/>
        <v>39927496180.819992</v>
      </c>
      <c r="AA11" s="2">
        <f t="shared" si="5"/>
        <v>3.137810730073979E-2</v>
      </c>
      <c r="AB11" s="16"/>
    </row>
    <row r="12" spans="1:28" x14ac:dyDescent="0.25">
      <c r="A12" s="12" t="s">
        <v>23</v>
      </c>
      <c r="B12" s="1">
        <v>1424858474.3800001</v>
      </c>
      <c r="C12" s="8">
        <v>6.6769389999999998E-2</v>
      </c>
      <c r="D12" s="1">
        <v>35656277674.650002</v>
      </c>
      <c r="E12" s="8">
        <v>0.1349265</v>
      </c>
      <c r="F12" s="1">
        <v>422498797.17000002</v>
      </c>
      <c r="G12" s="8">
        <v>3.9473399999999999E-2</v>
      </c>
      <c r="H12" s="1">
        <v>67384627315.889999</v>
      </c>
      <c r="I12" s="8">
        <v>0.17471996000000001</v>
      </c>
      <c r="J12" s="1">
        <v>40072170454.919998</v>
      </c>
      <c r="K12" s="8">
        <v>0.20101152999999999</v>
      </c>
      <c r="L12" s="6">
        <v>0</v>
      </c>
      <c r="M12" s="6">
        <v>0</v>
      </c>
      <c r="N12" s="1">
        <v>18281564603.150002</v>
      </c>
      <c r="O12" s="8">
        <v>7.4113780000000004E-2</v>
      </c>
      <c r="P12" s="3">
        <f t="shared" si="0"/>
        <v>163241997320.16</v>
      </c>
      <c r="Q12" s="2">
        <f t="shared" si="1"/>
        <v>0.14343460852735621</v>
      </c>
      <c r="R12" s="1">
        <v>4883869483.9700003</v>
      </c>
      <c r="S12" s="8">
        <v>0.22327730000000001</v>
      </c>
      <c r="T12" s="6">
        <v>0</v>
      </c>
      <c r="U12" s="6">
        <v>0</v>
      </c>
      <c r="V12" s="3">
        <f t="shared" si="2"/>
        <v>4883869483.9700003</v>
      </c>
      <c r="W12" s="2">
        <f t="shared" si="3"/>
        <v>9.7335512239096506E-2</v>
      </c>
      <c r="X12" s="1">
        <v>18368875153.07</v>
      </c>
      <c r="Y12" s="8">
        <v>0.21817225000000001</v>
      </c>
      <c r="Z12" s="3">
        <f t="shared" si="4"/>
        <v>186494741957.20001</v>
      </c>
      <c r="AA12" s="2">
        <f t="shared" si="5"/>
        <v>0.14656195814672346</v>
      </c>
      <c r="AB12" s="16"/>
    </row>
    <row r="13" spans="1:28" x14ac:dyDescent="0.25">
      <c r="A13" s="13" t="s">
        <v>24</v>
      </c>
      <c r="B13" s="3">
        <f t="shared" ref="B13:AA13" si="6">SUM(B6:B12)</f>
        <v>21339996537.869999</v>
      </c>
      <c r="C13" s="7">
        <f t="shared" si="6"/>
        <v>1</v>
      </c>
      <c r="D13" s="3">
        <f t="shared" si="6"/>
        <v>264264458779.79001</v>
      </c>
      <c r="E13" s="7">
        <f t="shared" si="6"/>
        <v>1</v>
      </c>
      <c r="F13" s="3">
        <f t="shared" si="6"/>
        <v>10703380253.520002</v>
      </c>
      <c r="G13" s="7">
        <f t="shared" si="6"/>
        <v>0.99999998999999995</v>
      </c>
      <c r="H13" s="3">
        <f t="shared" si="6"/>
        <v>385672178865.76001</v>
      </c>
      <c r="I13" s="7">
        <f t="shared" si="6"/>
        <v>0.99999999999999989</v>
      </c>
      <c r="J13" s="3">
        <f t="shared" si="6"/>
        <v>199352596195.77002</v>
      </c>
      <c r="K13" s="7">
        <f t="shared" si="6"/>
        <v>1</v>
      </c>
      <c r="L13" s="3">
        <f t="shared" si="6"/>
        <v>10091985524.799999</v>
      </c>
      <c r="M13" s="7">
        <f t="shared" si="6"/>
        <v>1</v>
      </c>
      <c r="N13" s="3">
        <f>SUM(N6:N12)</f>
        <v>246668915556.06</v>
      </c>
      <c r="O13" s="7">
        <f t="shared" si="6"/>
        <v>1</v>
      </c>
      <c r="P13" s="3">
        <f t="shared" si="6"/>
        <v>1138093511713.5701</v>
      </c>
      <c r="Q13" s="7">
        <f t="shared" si="6"/>
        <v>0.99999999999999989</v>
      </c>
      <c r="R13" s="3">
        <f t="shared" si="6"/>
        <v>21873560355.02</v>
      </c>
      <c r="S13" s="7">
        <f t="shared" si="6"/>
        <v>0.99999999999999989</v>
      </c>
      <c r="T13" s="3">
        <f t="shared" si="6"/>
        <v>28302057686.350006</v>
      </c>
      <c r="U13" s="7">
        <f t="shared" si="6"/>
        <v>1.0000000099999999</v>
      </c>
      <c r="V13" s="3">
        <f t="shared" si="6"/>
        <v>50175618041.369995</v>
      </c>
      <c r="W13" s="7">
        <f t="shared" si="6"/>
        <v>1.0000000000000002</v>
      </c>
      <c r="X13" s="3">
        <f t="shared" si="6"/>
        <v>84194368382.139999</v>
      </c>
      <c r="Y13" s="7">
        <f t="shared" si="6"/>
        <v>1.0000000000000002</v>
      </c>
      <c r="Z13" s="3">
        <f>SUM(Z6:Z12)</f>
        <v>1272463498137.0798</v>
      </c>
      <c r="AA13" s="7">
        <f t="shared" si="6"/>
        <v>1</v>
      </c>
    </row>
    <row r="14" spans="1:28" x14ac:dyDescent="0.25">
      <c r="B14" s="16"/>
      <c r="F14" s="16"/>
      <c r="H14" s="16"/>
      <c r="J14" s="16"/>
      <c r="L14" s="16"/>
      <c r="N14" s="16"/>
      <c r="P14" s="16"/>
      <c r="R14" s="16"/>
      <c r="T14" s="16"/>
      <c r="V14" s="16"/>
      <c r="X14" s="16"/>
      <c r="Z14" s="16"/>
    </row>
    <row r="15" spans="1:28" x14ac:dyDescent="0.25">
      <c r="A15" s="5" t="s">
        <v>25</v>
      </c>
      <c r="P15" s="16"/>
      <c r="R15" s="16"/>
      <c r="T15" s="16"/>
    </row>
    <row r="16" spans="1:28" x14ac:dyDescent="0.25">
      <c r="A16" s="5" t="s">
        <v>26</v>
      </c>
      <c r="L16" s="16"/>
      <c r="P16" s="16"/>
    </row>
    <row r="17" spans="1:26" ht="1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26" x14ac:dyDescent="0.25">
      <c r="B18" s="16"/>
      <c r="D18" s="17"/>
      <c r="F18" s="16"/>
      <c r="H18" s="16"/>
      <c r="J18" s="16"/>
      <c r="L18" s="16"/>
      <c r="N18" s="16"/>
      <c r="P18" s="16"/>
      <c r="R18" s="16"/>
      <c r="T18" s="16"/>
      <c r="V18" s="16"/>
      <c r="X18" s="16"/>
      <c r="Z18" s="16"/>
    </row>
    <row r="27" spans="1:26" x14ac:dyDescent="0.25">
      <c r="H27" s="9"/>
    </row>
    <row r="28" spans="1:26" x14ac:dyDescent="0.25">
      <c r="H28" s="9"/>
    </row>
  </sheetData>
  <mergeCells count="16">
    <mergeCell ref="Z4:AA4"/>
    <mergeCell ref="A1:W1"/>
    <mergeCell ref="A2:W2"/>
    <mergeCell ref="A4:A5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596D2-D550-4398-98DA-10B5AE8AE3AB}">
  <dimension ref="A1:AB28"/>
  <sheetViews>
    <sheetView showGridLines="0" zoomScaleNormal="100" workbookViewId="0">
      <selection activeCell="P22" sqref="P22"/>
    </sheetView>
  </sheetViews>
  <sheetFormatPr baseColWidth="10" defaultColWidth="9.140625" defaultRowHeight="15" x14ac:dyDescent="0.25"/>
  <cols>
    <col min="1" max="1" width="13.85546875" style="14" customWidth="1"/>
    <col min="2" max="2" width="17.28515625" style="14" customWidth="1"/>
    <col min="3" max="3" width="9.42578125" style="15" bestFit="1" customWidth="1"/>
    <col min="4" max="4" width="18.85546875" style="15" bestFit="1" customWidth="1"/>
    <col min="5" max="5" width="10.42578125" style="15" customWidth="1"/>
    <col min="6" max="6" width="18.85546875" style="14" customWidth="1"/>
    <col min="7" max="7" width="8.85546875" style="15" customWidth="1"/>
    <col min="8" max="8" width="19.42578125" style="14" customWidth="1"/>
    <col min="9" max="9" width="8.85546875" style="15" customWidth="1"/>
    <col min="10" max="10" width="17.85546875" style="14" bestFit="1" customWidth="1"/>
    <col min="11" max="11" width="8.85546875" style="14" customWidth="1"/>
    <col min="12" max="12" width="17.85546875" style="14" customWidth="1"/>
    <col min="13" max="13" width="8.85546875" style="14" customWidth="1"/>
    <col min="14" max="14" width="17.85546875" style="14" customWidth="1"/>
    <col min="15" max="15" width="8.85546875" style="14" customWidth="1"/>
    <col min="16" max="16" width="18.85546875" style="14" bestFit="1" customWidth="1"/>
    <col min="17" max="17" width="9.42578125" style="14" bestFit="1" customWidth="1"/>
    <col min="18" max="18" width="17.85546875" style="14" bestFit="1" customWidth="1"/>
    <col min="19" max="19" width="10.5703125" style="14" customWidth="1"/>
    <col min="20" max="20" width="19" style="14" bestFit="1" customWidth="1"/>
    <col min="21" max="21" width="9.140625" style="14" customWidth="1"/>
    <col min="22" max="22" width="19" style="14" bestFit="1" customWidth="1"/>
    <col min="23" max="23" width="9.42578125" style="14" customWidth="1"/>
    <col min="24" max="24" width="17.85546875" style="14" bestFit="1" customWidth="1"/>
    <col min="25" max="25" width="8.85546875" style="14" customWidth="1"/>
    <col min="26" max="26" width="18.5703125" style="14" customWidth="1"/>
    <col min="27" max="27" width="9.42578125" style="14" bestFit="1" customWidth="1"/>
    <col min="28" max="28" width="23" style="14" customWidth="1"/>
    <col min="29" max="16384" width="9.140625" style="14"/>
  </cols>
  <sheetData>
    <row r="1" spans="1:28" ht="18.600000000000001" customHeight="1" x14ac:dyDescent="0.3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/>
      <c r="Y1"/>
      <c r="Z1"/>
      <c r="AA1"/>
      <c r="AB1"/>
    </row>
    <row r="2" spans="1:28" x14ac:dyDescent="0.25">
      <c r="A2" s="26" t="s">
        <v>30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/>
      <c r="Y2"/>
      <c r="Z2"/>
      <c r="AA2"/>
      <c r="AB2"/>
    </row>
    <row r="3" spans="1:28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/>
      <c r="Y3"/>
      <c r="Z3"/>
      <c r="AA3"/>
      <c r="AB3"/>
    </row>
    <row r="4" spans="1:28" ht="33.75" customHeight="1" x14ac:dyDescent="0.25">
      <c r="A4" s="27" t="s">
        <v>1</v>
      </c>
      <c r="B4" s="23" t="s">
        <v>2</v>
      </c>
      <c r="C4" s="24"/>
      <c r="D4" s="23" t="s">
        <v>3</v>
      </c>
      <c r="E4" s="24"/>
      <c r="F4" s="23" t="s">
        <v>4</v>
      </c>
      <c r="G4" s="24"/>
      <c r="H4" s="23" t="s">
        <v>5</v>
      </c>
      <c r="I4" s="24"/>
      <c r="J4" s="23" t="s">
        <v>6</v>
      </c>
      <c r="K4" s="24"/>
      <c r="L4" s="23" t="s">
        <v>7</v>
      </c>
      <c r="M4" s="24"/>
      <c r="N4" s="23" t="s">
        <v>8</v>
      </c>
      <c r="O4" s="24"/>
      <c r="P4" s="23" t="s">
        <v>9</v>
      </c>
      <c r="Q4" s="24"/>
      <c r="R4" s="23" t="s">
        <v>10</v>
      </c>
      <c r="S4" s="24"/>
      <c r="T4" s="23" t="s">
        <v>11</v>
      </c>
      <c r="U4" s="24"/>
      <c r="V4" s="23" t="s">
        <v>12</v>
      </c>
      <c r="W4" s="24"/>
      <c r="X4" s="28" t="s">
        <v>13</v>
      </c>
      <c r="Y4" s="29"/>
      <c r="Z4" s="23" t="s">
        <v>14</v>
      </c>
      <c r="AA4" s="24"/>
    </row>
    <row r="5" spans="1:28" ht="31.5" customHeight="1" x14ac:dyDescent="0.25">
      <c r="A5" s="27"/>
      <c r="B5" s="10" t="s">
        <v>15</v>
      </c>
      <c r="C5" s="4" t="s">
        <v>16</v>
      </c>
      <c r="D5" s="10" t="s">
        <v>15</v>
      </c>
      <c r="E5" s="11" t="s">
        <v>16</v>
      </c>
      <c r="F5" s="10" t="s">
        <v>15</v>
      </c>
      <c r="G5" s="4" t="s">
        <v>16</v>
      </c>
      <c r="H5" s="10" t="s">
        <v>15</v>
      </c>
      <c r="I5" s="11" t="s">
        <v>16</v>
      </c>
      <c r="J5" s="10" t="s">
        <v>15</v>
      </c>
      <c r="K5" s="11" t="s">
        <v>16</v>
      </c>
      <c r="L5" s="10" t="s">
        <v>15</v>
      </c>
      <c r="M5" s="11" t="s">
        <v>16</v>
      </c>
      <c r="N5" s="10" t="s">
        <v>15</v>
      </c>
      <c r="O5" s="11" t="s">
        <v>16</v>
      </c>
      <c r="P5" s="10" t="s">
        <v>15</v>
      </c>
      <c r="Q5" s="11" t="s">
        <v>16</v>
      </c>
      <c r="R5" s="10" t="s">
        <v>15</v>
      </c>
      <c r="S5" s="11" t="s">
        <v>16</v>
      </c>
      <c r="T5" s="10" t="s">
        <v>15</v>
      </c>
      <c r="U5" s="11" t="s">
        <v>16</v>
      </c>
      <c r="V5" s="10" t="s">
        <v>15</v>
      </c>
      <c r="W5" s="11" t="s">
        <v>16</v>
      </c>
      <c r="X5" s="10" t="s">
        <v>15</v>
      </c>
      <c r="Y5" s="11" t="s">
        <v>16</v>
      </c>
      <c r="Z5" s="10" t="s">
        <v>15</v>
      </c>
      <c r="AA5" s="11" t="s">
        <v>16</v>
      </c>
    </row>
    <row r="6" spans="1:28" x14ac:dyDescent="0.25">
      <c r="A6" s="12" t="s">
        <v>17</v>
      </c>
      <c r="B6" s="6">
        <v>0</v>
      </c>
      <c r="C6" s="6">
        <v>0</v>
      </c>
      <c r="D6" s="1">
        <v>4431691545.2799997</v>
      </c>
      <c r="E6" s="8">
        <v>1.6568119999999999E-2</v>
      </c>
      <c r="F6" s="1">
        <v>551858384.35000002</v>
      </c>
      <c r="G6" s="8">
        <v>4.8183660000000003E-2</v>
      </c>
      <c r="H6" s="1">
        <v>7215045417.3999996</v>
      </c>
      <c r="I6" s="8">
        <v>1.8503869999999999E-2</v>
      </c>
      <c r="J6" s="1">
        <v>7245947995.3299999</v>
      </c>
      <c r="K6" s="8">
        <v>3.592045E-2</v>
      </c>
      <c r="L6" s="1">
        <v>2492530775.1900001</v>
      </c>
      <c r="M6" s="8">
        <v>0.24529408</v>
      </c>
      <c r="N6" s="1">
        <v>9744802873.5799999</v>
      </c>
      <c r="O6" s="8">
        <v>3.9037809999999999E-2</v>
      </c>
      <c r="P6" s="3">
        <f t="shared" ref="P6:P12" si="0">+B6+D6+F6+H6+J6+L6+N6</f>
        <v>31681876991.129997</v>
      </c>
      <c r="Q6" s="2">
        <f t="shared" ref="Q6:Q12" si="1">+P6/$P$13</f>
        <v>2.7502253549382228E-2</v>
      </c>
      <c r="R6" s="1">
        <v>596450419.78999996</v>
      </c>
      <c r="S6" s="8">
        <v>2.677647E-2</v>
      </c>
      <c r="T6" s="1">
        <v>1615573295.28</v>
      </c>
      <c r="U6" s="8">
        <v>5.6775480000000003E-2</v>
      </c>
      <c r="V6" s="3">
        <f t="shared" ref="V6:V12" si="2">R6+T6</f>
        <v>2212023715.0699997</v>
      </c>
      <c r="W6" s="2">
        <f t="shared" ref="W6:W12" si="3">V6/$V$13</f>
        <v>4.3603302429363354E-2</v>
      </c>
      <c r="X6" s="1">
        <v>2581032698.1199999</v>
      </c>
      <c r="Y6" s="8">
        <v>3.0260120000000001E-2</v>
      </c>
      <c r="Z6" s="3">
        <f t="shared" ref="Z6:Z12" si="4">P6+V6+X6</f>
        <v>36474933404.32</v>
      </c>
      <c r="AA6" s="2">
        <f t="shared" ref="AA6:AA12" si="5">Z6/$Z$13</f>
        <v>2.8319061680323283E-2</v>
      </c>
      <c r="AB6" s="16"/>
    </row>
    <row r="7" spans="1:28" x14ac:dyDescent="0.25">
      <c r="A7" s="12" t="s">
        <v>18</v>
      </c>
      <c r="B7" s="1">
        <v>64905683.57</v>
      </c>
      <c r="C7" s="8">
        <v>3.0037200000000001E-3</v>
      </c>
      <c r="D7" s="6">
        <v>40141953.590000004</v>
      </c>
      <c r="E7" s="6">
        <v>1.5007E-4</v>
      </c>
      <c r="F7" s="1">
        <v>682671353.22000003</v>
      </c>
      <c r="G7" s="8">
        <v>5.9605159999999997E-2</v>
      </c>
      <c r="H7" s="1">
        <v>666821478.70000005</v>
      </c>
      <c r="I7" s="8">
        <v>1.7101499999999999E-3</v>
      </c>
      <c r="J7" s="6">
        <v>0</v>
      </c>
      <c r="K7" s="6">
        <v>0</v>
      </c>
      <c r="L7" s="6">
        <v>0</v>
      </c>
      <c r="M7" s="6">
        <v>0</v>
      </c>
      <c r="N7" s="1">
        <v>2245524969.79</v>
      </c>
      <c r="O7" s="8">
        <v>8.9955999999999994E-3</v>
      </c>
      <c r="P7" s="3">
        <f t="shared" si="0"/>
        <v>3700065438.8699999</v>
      </c>
      <c r="Q7" s="2">
        <f t="shared" si="1"/>
        <v>3.2119352612093926E-3</v>
      </c>
      <c r="R7" s="1">
        <v>109340572.48</v>
      </c>
      <c r="S7" s="8">
        <v>4.9086299999999998E-3</v>
      </c>
      <c r="T7" s="1">
        <v>317306067.22000003</v>
      </c>
      <c r="U7" s="8">
        <v>1.115097E-2</v>
      </c>
      <c r="V7" s="3">
        <f t="shared" si="2"/>
        <v>426646639.70000005</v>
      </c>
      <c r="W7" s="2">
        <f t="shared" si="3"/>
        <v>8.4100375301455685E-3</v>
      </c>
      <c r="X7" s="1">
        <v>38419655.079999998</v>
      </c>
      <c r="Y7" s="8">
        <v>4.5042999999999998E-4</v>
      </c>
      <c r="Z7" s="3">
        <f t="shared" si="4"/>
        <v>4165131733.6499996</v>
      </c>
      <c r="AA7" s="2">
        <f t="shared" si="5"/>
        <v>3.233799529238789E-3</v>
      </c>
      <c r="AB7" s="16"/>
    </row>
    <row r="8" spans="1:28" x14ac:dyDescent="0.25">
      <c r="A8" s="12" t="s">
        <v>19</v>
      </c>
      <c r="B8" s="1">
        <v>63700539.75</v>
      </c>
      <c r="C8" s="8">
        <v>2.94794E-3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3">
        <f t="shared" si="0"/>
        <v>63700539.75</v>
      </c>
      <c r="Q8" s="20">
        <f t="shared" si="1"/>
        <v>5.5296862491053939E-5</v>
      </c>
      <c r="R8" s="6">
        <v>0</v>
      </c>
      <c r="S8" s="6">
        <v>0</v>
      </c>
      <c r="T8" s="6">
        <v>0</v>
      </c>
      <c r="U8" s="6">
        <v>0</v>
      </c>
      <c r="V8" s="19">
        <f t="shared" si="2"/>
        <v>0</v>
      </c>
      <c r="W8" s="19">
        <f t="shared" si="3"/>
        <v>0</v>
      </c>
      <c r="X8" s="6">
        <v>0</v>
      </c>
      <c r="Y8" s="6">
        <v>0</v>
      </c>
      <c r="Z8" s="3">
        <f t="shared" si="4"/>
        <v>63700539.75</v>
      </c>
      <c r="AA8" s="20">
        <f t="shared" si="5"/>
        <v>4.945696526032536E-5</v>
      </c>
      <c r="AB8" s="16"/>
    </row>
    <row r="9" spans="1:28" x14ac:dyDescent="0.25">
      <c r="A9" s="12" t="s">
        <v>20</v>
      </c>
      <c r="B9" s="1">
        <v>15700596538.33</v>
      </c>
      <c r="C9" s="8">
        <v>0.72659492999999997</v>
      </c>
      <c r="D9" s="1">
        <v>175076631367.53</v>
      </c>
      <c r="E9" s="8">
        <v>0.65453351999999998</v>
      </c>
      <c r="F9" s="1">
        <v>7408067728.3900003</v>
      </c>
      <c r="G9" s="8">
        <v>0.64681056999999997</v>
      </c>
      <c r="H9" s="1">
        <v>261546348581.95001</v>
      </c>
      <c r="I9" s="8">
        <v>0.67076769000000003</v>
      </c>
      <c r="J9" s="1">
        <v>129214359992.74001</v>
      </c>
      <c r="K9" s="8">
        <v>0.64055631000000002</v>
      </c>
      <c r="L9" s="1">
        <v>7620404859.1700001</v>
      </c>
      <c r="M9" s="8">
        <v>0.74993664999999998</v>
      </c>
      <c r="N9" s="1">
        <v>186429282510.23001</v>
      </c>
      <c r="O9" s="8">
        <v>0.74683827999999997</v>
      </c>
      <c r="P9" s="3">
        <f t="shared" si="0"/>
        <v>782995691578.34009</v>
      </c>
      <c r="Q9" s="2">
        <f t="shared" si="1"/>
        <v>0.67969918713750233</v>
      </c>
      <c r="R9" s="1">
        <v>15808527903.52</v>
      </c>
      <c r="S9" s="8">
        <v>0.70969276999999997</v>
      </c>
      <c r="T9" s="1">
        <v>25210238891.639999</v>
      </c>
      <c r="U9" s="8">
        <v>0.88595389000000002</v>
      </c>
      <c r="V9" s="3">
        <f t="shared" si="2"/>
        <v>41018766795.160004</v>
      </c>
      <c r="W9" s="2">
        <f t="shared" si="3"/>
        <v>0.80855990903890018</v>
      </c>
      <c r="X9" s="1">
        <v>52757676251.220001</v>
      </c>
      <c r="Y9" s="8">
        <v>0.61853285999999996</v>
      </c>
      <c r="Z9" s="3">
        <f t="shared" si="4"/>
        <v>876772134624.72009</v>
      </c>
      <c r="AA9" s="2">
        <f t="shared" si="5"/>
        <v>0.68072404368215877</v>
      </c>
      <c r="AB9" s="16"/>
    </row>
    <row r="10" spans="1:28" x14ac:dyDescent="0.25">
      <c r="A10" s="12" t="s">
        <v>21</v>
      </c>
      <c r="B10" s="1">
        <v>1984567008.3599999</v>
      </c>
      <c r="C10" s="8">
        <v>9.1842140000000003E-2</v>
      </c>
      <c r="D10" s="1">
        <v>44940345948.690002</v>
      </c>
      <c r="E10" s="8">
        <v>0.16801193</v>
      </c>
      <c r="F10" s="1">
        <v>144953195.96000001</v>
      </c>
      <c r="G10" s="8">
        <v>1.26561E-2</v>
      </c>
      <c r="H10" s="1">
        <v>39355747833.370003</v>
      </c>
      <c r="I10" s="8">
        <v>0.10093264</v>
      </c>
      <c r="J10" s="1">
        <v>17934872832.389999</v>
      </c>
      <c r="K10" s="8">
        <v>8.890882E-2</v>
      </c>
      <c r="L10" s="6">
        <v>0</v>
      </c>
      <c r="M10" s="6">
        <v>0</v>
      </c>
      <c r="N10" s="1">
        <v>24747052669.220001</v>
      </c>
      <c r="O10" s="8">
        <v>9.9137030000000001E-2</v>
      </c>
      <c r="P10" s="3">
        <f t="shared" si="0"/>
        <v>129107539487.99001</v>
      </c>
      <c r="Q10" s="2">
        <f t="shared" si="1"/>
        <v>0.11207506067679278</v>
      </c>
      <c r="R10" s="1">
        <v>69329195.590000004</v>
      </c>
      <c r="S10" s="8">
        <v>3.1124E-3</v>
      </c>
      <c r="T10" s="1">
        <v>361343380.62</v>
      </c>
      <c r="U10" s="8">
        <v>1.2698549999999999E-2</v>
      </c>
      <c r="V10" s="3">
        <f t="shared" si="2"/>
        <v>430672576.21000004</v>
      </c>
      <c r="W10" s="2">
        <f t="shared" si="3"/>
        <v>8.4893965921714418E-3</v>
      </c>
      <c r="X10" s="1">
        <v>8154780392.6199999</v>
      </c>
      <c r="Y10" s="8">
        <v>9.5606930000000007E-2</v>
      </c>
      <c r="Z10" s="3">
        <f t="shared" si="4"/>
        <v>137692992456.82001</v>
      </c>
      <c r="AA10" s="2">
        <f t="shared" si="5"/>
        <v>0.10690455012239027</v>
      </c>
      <c r="AB10" s="16"/>
    </row>
    <row r="11" spans="1:28" x14ac:dyDescent="0.25">
      <c r="A11" s="12" t="s">
        <v>22</v>
      </c>
      <c r="B11" s="1">
        <v>2350266612.77</v>
      </c>
      <c r="C11" s="8">
        <v>0.10876605</v>
      </c>
      <c r="D11" s="1">
        <v>6616964494.8800001</v>
      </c>
      <c r="E11" s="8">
        <v>2.473788E-2</v>
      </c>
      <c r="F11" s="1">
        <v>2239634106.3600001</v>
      </c>
      <c r="G11" s="8">
        <v>0.19554614000000001</v>
      </c>
      <c r="H11" s="1">
        <v>12231396955.33</v>
      </c>
      <c r="I11" s="8">
        <v>3.1368920000000002E-2</v>
      </c>
      <c r="J11" s="1">
        <v>5427605057.8699999</v>
      </c>
      <c r="K11" s="8">
        <v>2.6906349999999999E-2</v>
      </c>
      <c r="L11" s="1">
        <v>48462450</v>
      </c>
      <c r="M11" s="8">
        <v>4.7692699999999999E-3</v>
      </c>
      <c r="N11" s="1">
        <v>7408019419.71</v>
      </c>
      <c r="O11" s="8">
        <v>2.9676629999999999E-2</v>
      </c>
      <c r="P11" s="3">
        <f t="shared" si="0"/>
        <v>36322349096.919998</v>
      </c>
      <c r="Q11" s="2">
        <f t="shared" si="1"/>
        <v>3.153053257079258E-2</v>
      </c>
      <c r="R11" s="1">
        <v>751228893.66999996</v>
      </c>
      <c r="S11" s="8">
        <v>3.3724940000000002E-2</v>
      </c>
      <c r="T11" s="1">
        <v>951013426.22000003</v>
      </c>
      <c r="U11" s="8">
        <v>3.3421109999999997E-2</v>
      </c>
      <c r="V11" s="3">
        <f t="shared" si="2"/>
        <v>1702242319.8899999</v>
      </c>
      <c r="W11" s="2">
        <f t="shared" si="3"/>
        <v>3.355451669733836E-2</v>
      </c>
      <c r="X11" s="1">
        <v>2841007640.6799998</v>
      </c>
      <c r="Y11" s="8">
        <v>3.3308070000000002E-2</v>
      </c>
      <c r="Z11" s="3">
        <f t="shared" si="4"/>
        <v>40865599057.489998</v>
      </c>
      <c r="AA11" s="2">
        <f t="shared" si="5"/>
        <v>3.1727965270948393E-2</v>
      </c>
      <c r="AB11" s="16"/>
    </row>
    <row r="12" spans="1:28" x14ac:dyDescent="0.25">
      <c r="A12" s="12" t="s">
        <v>23</v>
      </c>
      <c r="B12" s="1">
        <v>1444422218</v>
      </c>
      <c r="C12" s="8">
        <v>6.6845219999999997E-2</v>
      </c>
      <c r="D12" s="1">
        <v>36377289172.050003</v>
      </c>
      <c r="E12" s="8">
        <v>0.13599848</v>
      </c>
      <c r="F12" s="1">
        <v>426041308.25999999</v>
      </c>
      <c r="G12" s="8">
        <v>3.7198370000000001E-2</v>
      </c>
      <c r="H12" s="1">
        <v>68905550158.119995</v>
      </c>
      <c r="I12" s="8">
        <v>0.17671672999999999</v>
      </c>
      <c r="J12" s="1">
        <v>41899307930.099998</v>
      </c>
      <c r="K12" s="8">
        <v>0.20770807999999999</v>
      </c>
      <c r="L12" s="6">
        <v>0</v>
      </c>
      <c r="M12" s="6">
        <v>0</v>
      </c>
      <c r="N12" s="1">
        <v>19050019213.740002</v>
      </c>
      <c r="O12" s="8">
        <v>7.6314640000000003E-2</v>
      </c>
      <c r="P12" s="3">
        <f t="shared" si="0"/>
        <v>168102630000.26999</v>
      </c>
      <c r="Q12" s="2">
        <f t="shared" si="1"/>
        <v>0.14592573394182973</v>
      </c>
      <c r="R12" s="1">
        <v>4940294300.1599998</v>
      </c>
      <c r="S12" s="8">
        <v>0.2217848</v>
      </c>
      <c r="T12" s="6">
        <v>0</v>
      </c>
      <c r="U12" s="6">
        <v>0</v>
      </c>
      <c r="V12" s="3">
        <f t="shared" si="2"/>
        <v>4940294300.1599998</v>
      </c>
      <c r="W12" s="2">
        <f t="shared" si="3"/>
        <v>9.7382837712081075E-2</v>
      </c>
      <c r="X12" s="1">
        <v>18921946858.310001</v>
      </c>
      <c r="Y12" s="8">
        <v>0.22184158000000001</v>
      </c>
      <c r="Z12" s="3">
        <f t="shared" si="4"/>
        <v>191964871158.73999</v>
      </c>
      <c r="AA12" s="2">
        <f t="shared" si="5"/>
        <v>0.14904112274968026</v>
      </c>
      <c r="AB12" s="16"/>
    </row>
    <row r="13" spans="1:28" x14ac:dyDescent="0.25">
      <c r="A13" s="13" t="s">
        <v>24</v>
      </c>
      <c r="B13" s="3">
        <f t="shared" ref="B13:AA13" si="6">SUM(B6:B12)</f>
        <v>21608458600.779999</v>
      </c>
      <c r="C13" s="7">
        <f t="shared" si="6"/>
        <v>1</v>
      </c>
      <c r="D13" s="3">
        <f t="shared" si="6"/>
        <v>267483064482.02002</v>
      </c>
      <c r="E13" s="7">
        <f t="shared" si="6"/>
        <v>1</v>
      </c>
      <c r="F13" s="3">
        <f t="shared" si="6"/>
        <v>11453226076.540001</v>
      </c>
      <c r="G13" s="7">
        <f t="shared" si="6"/>
        <v>1</v>
      </c>
      <c r="H13" s="3">
        <f t="shared" si="6"/>
        <v>389920910424.87006</v>
      </c>
      <c r="I13" s="7">
        <f t="shared" si="6"/>
        <v>1</v>
      </c>
      <c r="J13" s="3">
        <f t="shared" si="6"/>
        <v>201722093808.43002</v>
      </c>
      <c r="K13" s="7">
        <f t="shared" si="6"/>
        <v>1.0000000099999999</v>
      </c>
      <c r="L13" s="3">
        <f t="shared" si="6"/>
        <v>10161398084.360001</v>
      </c>
      <c r="M13" s="7">
        <f t="shared" si="6"/>
        <v>1</v>
      </c>
      <c r="N13" s="3">
        <f>SUM(N6:N12)</f>
        <v>249624701656.26999</v>
      </c>
      <c r="O13" s="7">
        <f t="shared" si="6"/>
        <v>0.99999998999999984</v>
      </c>
      <c r="P13" s="3">
        <f t="shared" si="6"/>
        <v>1151973853133.27</v>
      </c>
      <c r="Q13" s="7">
        <f t="shared" si="6"/>
        <v>1</v>
      </c>
      <c r="R13" s="3">
        <f t="shared" si="6"/>
        <v>22275171285.209999</v>
      </c>
      <c r="S13" s="7">
        <f t="shared" si="6"/>
        <v>1.0000000099999999</v>
      </c>
      <c r="T13" s="3">
        <f t="shared" si="6"/>
        <v>28455475060.98</v>
      </c>
      <c r="U13" s="7">
        <f t="shared" si="6"/>
        <v>1</v>
      </c>
      <c r="V13" s="3">
        <f t="shared" si="6"/>
        <v>50730646346.190002</v>
      </c>
      <c r="W13" s="7">
        <f t="shared" si="6"/>
        <v>1</v>
      </c>
      <c r="X13" s="3">
        <f t="shared" si="6"/>
        <v>85294863496.029999</v>
      </c>
      <c r="Y13" s="7">
        <f t="shared" si="6"/>
        <v>0.99999998999999995</v>
      </c>
      <c r="Z13" s="3">
        <f>SUM(Z6:Z12)</f>
        <v>1287999362975.49</v>
      </c>
      <c r="AA13" s="7">
        <f t="shared" si="6"/>
        <v>1</v>
      </c>
    </row>
    <row r="14" spans="1:28" x14ac:dyDescent="0.25">
      <c r="B14" s="16"/>
      <c r="F14" s="16"/>
      <c r="H14" s="16"/>
      <c r="J14" s="16"/>
      <c r="L14" s="16"/>
      <c r="N14" s="16"/>
      <c r="P14" s="16"/>
      <c r="R14" s="16"/>
      <c r="T14" s="16"/>
      <c r="V14" s="16"/>
      <c r="X14" s="16"/>
      <c r="Z14" s="16"/>
    </row>
    <row r="15" spans="1:28" x14ac:dyDescent="0.25">
      <c r="A15" s="5" t="s">
        <v>25</v>
      </c>
      <c r="P15" s="16"/>
      <c r="R15" s="16"/>
      <c r="T15" s="16"/>
    </row>
    <row r="16" spans="1:28" x14ac:dyDescent="0.25">
      <c r="A16" s="5" t="s">
        <v>26</v>
      </c>
      <c r="L16" s="16"/>
      <c r="P16" s="16"/>
    </row>
    <row r="17" spans="1:26" ht="1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26" x14ac:dyDescent="0.25">
      <c r="B18" s="16"/>
      <c r="D18" s="17"/>
      <c r="F18" s="16"/>
      <c r="H18" s="16"/>
      <c r="J18" s="16"/>
      <c r="L18" s="16"/>
      <c r="N18" s="16"/>
      <c r="P18" s="16"/>
      <c r="R18" s="16"/>
      <c r="T18" s="16"/>
      <c r="V18" s="16"/>
      <c r="X18" s="16"/>
      <c r="Z18" s="16"/>
    </row>
    <row r="27" spans="1:26" x14ac:dyDescent="0.25">
      <c r="H27" s="9"/>
    </row>
    <row r="28" spans="1:26" x14ac:dyDescent="0.25">
      <c r="H28" s="9"/>
    </row>
  </sheetData>
  <mergeCells count="16">
    <mergeCell ref="Z4:AA4"/>
    <mergeCell ref="A1:W1"/>
    <mergeCell ref="A2:W2"/>
    <mergeCell ref="A4:A5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3DBBD-D1BE-47A2-9332-485EC04B3B89}">
  <dimension ref="A1:AB28"/>
  <sheetViews>
    <sheetView showGridLines="0" zoomScaleNormal="100" workbookViewId="0">
      <selection activeCell="L27" sqref="L27"/>
    </sheetView>
  </sheetViews>
  <sheetFormatPr baseColWidth="10" defaultColWidth="9.140625" defaultRowHeight="15" x14ac:dyDescent="0.25"/>
  <cols>
    <col min="1" max="1" width="13.85546875" style="14" customWidth="1"/>
    <col min="2" max="2" width="17.28515625" style="14" customWidth="1"/>
    <col min="3" max="3" width="9.42578125" style="15" bestFit="1" customWidth="1"/>
    <col min="4" max="4" width="18.85546875" style="15" bestFit="1" customWidth="1"/>
    <col min="5" max="5" width="10.42578125" style="15" customWidth="1"/>
    <col min="6" max="6" width="18.85546875" style="14" customWidth="1"/>
    <col min="7" max="7" width="8.85546875" style="15" customWidth="1"/>
    <col min="8" max="8" width="19.42578125" style="14" customWidth="1"/>
    <col min="9" max="9" width="8.85546875" style="15" customWidth="1"/>
    <col min="10" max="10" width="17.85546875" style="14" bestFit="1" customWidth="1"/>
    <col min="11" max="11" width="8.85546875" style="14" customWidth="1"/>
    <col min="12" max="12" width="17.85546875" style="14" customWidth="1"/>
    <col min="13" max="13" width="8.85546875" style="14" customWidth="1"/>
    <col min="14" max="14" width="17.85546875" style="14" customWidth="1"/>
    <col min="15" max="15" width="8.85546875" style="14" customWidth="1"/>
    <col min="16" max="16" width="18.85546875" style="14" bestFit="1" customWidth="1"/>
    <col min="17" max="17" width="9.42578125" style="14" bestFit="1" customWidth="1"/>
    <col min="18" max="18" width="17.85546875" style="14" bestFit="1" customWidth="1"/>
    <col min="19" max="19" width="10.5703125" style="14" customWidth="1"/>
    <col min="20" max="20" width="19" style="14" bestFit="1" customWidth="1"/>
    <col min="21" max="21" width="9.140625" style="14" customWidth="1"/>
    <col min="22" max="22" width="19" style="14" bestFit="1" customWidth="1"/>
    <col min="23" max="23" width="9.42578125" style="14" customWidth="1"/>
    <col min="24" max="24" width="17.85546875" style="14" bestFit="1" customWidth="1"/>
    <col min="25" max="25" width="8.85546875" style="14" customWidth="1"/>
    <col min="26" max="26" width="18.5703125" style="14" customWidth="1"/>
    <col min="27" max="27" width="9.42578125" style="14" bestFit="1" customWidth="1"/>
    <col min="28" max="28" width="23" style="14" customWidth="1"/>
    <col min="29" max="16384" width="9.140625" style="14"/>
  </cols>
  <sheetData>
    <row r="1" spans="1:28" ht="18.600000000000001" customHeight="1" x14ac:dyDescent="0.3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/>
      <c r="Y1"/>
      <c r="Z1"/>
      <c r="AA1"/>
      <c r="AB1"/>
    </row>
    <row r="2" spans="1:28" x14ac:dyDescent="0.25">
      <c r="A2" s="26" t="s">
        <v>31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/>
      <c r="Y2"/>
      <c r="Z2"/>
      <c r="AA2"/>
      <c r="AB2"/>
    </row>
    <row r="3" spans="1:28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/>
      <c r="Y3"/>
      <c r="Z3"/>
      <c r="AA3"/>
      <c r="AB3"/>
    </row>
    <row r="4" spans="1:28" ht="33.75" customHeight="1" x14ac:dyDescent="0.25">
      <c r="A4" s="27" t="s">
        <v>1</v>
      </c>
      <c r="B4" s="23" t="s">
        <v>2</v>
      </c>
      <c r="C4" s="24"/>
      <c r="D4" s="23" t="s">
        <v>3</v>
      </c>
      <c r="E4" s="24"/>
      <c r="F4" s="23" t="s">
        <v>4</v>
      </c>
      <c r="G4" s="24"/>
      <c r="H4" s="23" t="s">
        <v>5</v>
      </c>
      <c r="I4" s="24"/>
      <c r="J4" s="23" t="s">
        <v>6</v>
      </c>
      <c r="K4" s="24"/>
      <c r="L4" s="23" t="s">
        <v>7</v>
      </c>
      <c r="M4" s="24"/>
      <c r="N4" s="23" t="s">
        <v>8</v>
      </c>
      <c r="O4" s="24"/>
      <c r="P4" s="23" t="s">
        <v>9</v>
      </c>
      <c r="Q4" s="24"/>
      <c r="R4" s="23" t="s">
        <v>10</v>
      </c>
      <c r="S4" s="24"/>
      <c r="T4" s="23" t="s">
        <v>11</v>
      </c>
      <c r="U4" s="24"/>
      <c r="V4" s="23" t="s">
        <v>12</v>
      </c>
      <c r="W4" s="24"/>
      <c r="X4" s="28" t="s">
        <v>13</v>
      </c>
      <c r="Y4" s="29"/>
      <c r="Z4" s="23" t="s">
        <v>14</v>
      </c>
      <c r="AA4" s="24"/>
    </row>
    <row r="5" spans="1:28" ht="31.5" customHeight="1" x14ac:dyDescent="0.25">
      <c r="A5" s="27"/>
      <c r="B5" s="10" t="s">
        <v>15</v>
      </c>
      <c r="C5" s="4" t="s">
        <v>16</v>
      </c>
      <c r="D5" s="10" t="s">
        <v>15</v>
      </c>
      <c r="E5" s="11" t="s">
        <v>16</v>
      </c>
      <c r="F5" s="10" t="s">
        <v>15</v>
      </c>
      <c r="G5" s="4" t="s">
        <v>16</v>
      </c>
      <c r="H5" s="10" t="s">
        <v>15</v>
      </c>
      <c r="I5" s="11" t="s">
        <v>16</v>
      </c>
      <c r="J5" s="10" t="s">
        <v>15</v>
      </c>
      <c r="K5" s="11" t="s">
        <v>16</v>
      </c>
      <c r="L5" s="10" t="s">
        <v>15</v>
      </c>
      <c r="M5" s="11" t="s">
        <v>16</v>
      </c>
      <c r="N5" s="10" t="s">
        <v>15</v>
      </c>
      <c r="O5" s="11" t="s">
        <v>16</v>
      </c>
      <c r="P5" s="10" t="s">
        <v>15</v>
      </c>
      <c r="Q5" s="11" t="s">
        <v>16</v>
      </c>
      <c r="R5" s="10" t="s">
        <v>15</v>
      </c>
      <c r="S5" s="11" t="s">
        <v>16</v>
      </c>
      <c r="T5" s="10" t="s">
        <v>15</v>
      </c>
      <c r="U5" s="11" t="s">
        <v>16</v>
      </c>
      <c r="V5" s="10" t="s">
        <v>15</v>
      </c>
      <c r="W5" s="11" t="s">
        <v>16</v>
      </c>
      <c r="X5" s="10" t="s">
        <v>15</v>
      </c>
      <c r="Y5" s="11" t="s">
        <v>16</v>
      </c>
      <c r="Z5" s="10" t="s">
        <v>15</v>
      </c>
      <c r="AA5" s="11" t="s">
        <v>16</v>
      </c>
    </row>
    <row r="6" spans="1:28" x14ac:dyDescent="0.25">
      <c r="A6" s="12" t="s">
        <v>17</v>
      </c>
      <c r="B6" s="6">
        <v>69307146</v>
      </c>
      <c r="C6" s="6">
        <v>3.1252699999999999E-3</v>
      </c>
      <c r="D6" s="1">
        <v>833384325.5</v>
      </c>
      <c r="E6" s="8">
        <v>3.1095599999999999E-3</v>
      </c>
      <c r="F6" s="1">
        <v>966339607.13999999</v>
      </c>
      <c r="G6" s="8">
        <v>8.2766370000000006E-2</v>
      </c>
      <c r="H6" s="1">
        <v>8509509794.6199999</v>
      </c>
      <c r="I6" s="8">
        <v>2.1749689999999999E-2</v>
      </c>
      <c r="J6" s="1">
        <v>7565629194.54</v>
      </c>
      <c r="K6" s="8">
        <v>3.7189939999999998E-2</v>
      </c>
      <c r="L6" s="1">
        <v>2511198486.5</v>
      </c>
      <c r="M6" s="8">
        <v>0.24299034</v>
      </c>
      <c r="N6" s="1">
        <v>10162292673.1</v>
      </c>
      <c r="O6" s="8">
        <v>4.0441049999999999E-2</v>
      </c>
      <c r="P6" s="3">
        <f t="shared" ref="P6:P12" si="0">+B6+D6+F6+H6+J6+L6+N6</f>
        <v>30617661227.400002</v>
      </c>
      <c r="Q6" s="2">
        <f t="shared" ref="Q6:Q12" si="1">+P6/$P$13</f>
        <v>2.6436484269235786E-2</v>
      </c>
      <c r="R6" s="1">
        <v>421006717.72000003</v>
      </c>
      <c r="S6" s="8">
        <v>1.8883190000000001E-2</v>
      </c>
      <c r="T6" s="1">
        <v>644251353.22000003</v>
      </c>
      <c r="U6" s="8">
        <v>2.2660590000000001E-2</v>
      </c>
      <c r="V6" s="3">
        <f t="shared" ref="V6:V12" si="2">R6+T6</f>
        <v>1065258070.9400001</v>
      </c>
      <c r="W6" s="2">
        <f t="shared" ref="W6:W12" si="3">V6/$V$13</f>
        <v>2.1000320732702825E-2</v>
      </c>
      <c r="X6" s="1">
        <v>2686779813.3099999</v>
      </c>
      <c r="Y6" s="8">
        <v>3.1282270000000001E-2</v>
      </c>
      <c r="Z6" s="3">
        <f t="shared" ref="Z6:Z12" si="4">P6+V6+X6</f>
        <v>34369699111.650002</v>
      </c>
      <c r="AA6" s="2">
        <f t="shared" ref="AA6:AA12" si="5">Z6/$Z$13</f>
        <v>2.6544952739897886E-2</v>
      </c>
      <c r="AB6" s="16"/>
    </row>
    <row r="7" spans="1:28" x14ac:dyDescent="0.25">
      <c r="A7" s="12" t="s">
        <v>18</v>
      </c>
      <c r="B7" s="1">
        <v>67698980.810000002</v>
      </c>
      <c r="C7" s="8">
        <v>3.0527599999999998E-3</v>
      </c>
      <c r="D7" s="6">
        <v>0</v>
      </c>
      <c r="E7" s="6">
        <v>0</v>
      </c>
      <c r="F7" s="1">
        <v>162634755.78999999</v>
      </c>
      <c r="G7" s="8">
        <v>1.3929560000000001E-2</v>
      </c>
      <c r="H7" s="1">
        <v>461438601.88</v>
      </c>
      <c r="I7" s="8">
        <v>1.1793999999999999E-3</v>
      </c>
      <c r="J7" s="6">
        <v>0</v>
      </c>
      <c r="K7" s="6">
        <v>0</v>
      </c>
      <c r="L7" s="6">
        <v>0</v>
      </c>
      <c r="M7" s="6">
        <v>0</v>
      </c>
      <c r="N7" s="1">
        <v>1205561153.78</v>
      </c>
      <c r="O7" s="8">
        <v>4.7975600000000002E-3</v>
      </c>
      <c r="P7" s="3">
        <f t="shared" si="0"/>
        <v>1897333492.26</v>
      </c>
      <c r="Q7" s="2">
        <f t="shared" si="1"/>
        <v>1.6382318247331752E-3</v>
      </c>
      <c r="R7" s="1">
        <v>69963267.290000007</v>
      </c>
      <c r="S7" s="8">
        <v>3.13802E-3</v>
      </c>
      <c r="T7" s="1">
        <v>75393266.549999997</v>
      </c>
      <c r="U7" s="8">
        <v>2.6518499999999999E-3</v>
      </c>
      <c r="V7" s="3">
        <f t="shared" si="2"/>
        <v>145356533.84</v>
      </c>
      <c r="W7" s="2">
        <f t="shared" si="3"/>
        <v>2.8655345728010951E-3</v>
      </c>
      <c r="X7" s="1">
        <v>37256389.380000003</v>
      </c>
      <c r="Y7" s="8">
        <v>4.3377999999999998E-4</v>
      </c>
      <c r="Z7" s="3">
        <f t="shared" si="4"/>
        <v>2079946415.48</v>
      </c>
      <c r="AA7" s="2">
        <f t="shared" si="5"/>
        <v>1.6064173015038659E-3</v>
      </c>
      <c r="AB7" s="16"/>
    </row>
    <row r="8" spans="1:28" x14ac:dyDescent="0.25">
      <c r="A8" s="12" t="s">
        <v>19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3">
        <f t="shared" si="0"/>
        <v>0</v>
      </c>
      <c r="Q8" s="20">
        <f t="shared" si="1"/>
        <v>0</v>
      </c>
      <c r="R8" s="6">
        <v>0</v>
      </c>
      <c r="S8" s="6">
        <v>0</v>
      </c>
      <c r="T8" s="6">
        <v>0</v>
      </c>
      <c r="U8" s="6">
        <v>0</v>
      </c>
      <c r="V8" s="19">
        <f t="shared" si="2"/>
        <v>0</v>
      </c>
      <c r="W8" s="19">
        <f t="shared" si="3"/>
        <v>0</v>
      </c>
      <c r="X8" s="6">
        <v>0</v>
      </c>
      <c r="Y8" s="6">
        <v>0</v>
      </c>
      <c r="Z8" s="3">
        <f t="shared" si="4"/>
        <v>0</v>
      </c>
      <c r="AA8" s="20">
        <f t="shared" si="5"/>
        <v>0</v>
      </c>
      <c r="AB8" s="16"/>
    </row>
    <row r="9" spans="1:28" x14ac:dyDescent="0.25">
      <c r="A9" s="12" t="s">
        <v>20</v>
      </c>
      <c r="B9" s="1">
        <v>16257429183.01</v>
      </c>
      <c r="C9" s="8">
        <v>0.73309804000000001</v>
      </c>
      <c r="D9" s="1">
        <v>179882434414.54999</v>
      </c>
      <c r="E9" s="8">
        <v>0.67118626999999997</v>
      </c>
      <c r="F9" s="1">
        <v>7741411041.9899998</v>
      </c>
      <c r="G9" s="8">
        <v>0.66304689999999999</v>
      </c>
      <c r="H9" s="1">
        <v>262606177848.48999</v>
      </c>
      <c r="I9" s="8">
        <v>0.67120221000000002</v>
      </c>
      <c r="J9" s="1">
        <v>130598561513.61</v>
      </c>
      <c r="K9" s="8">
        <v>0.64197596000000001</v>
      </c>
      <c r="L9" s="1">
        <v>7774509594.4099998</v>
      </c>
      <c r="M9" s="8">
        <v>0.75228254000000006</v>
      </c>
      <c r="N9" s="1">
        <v>188845856077.23001</v>
      </c>
      <c r="O9" s="8">
        <v>0.75151597000000003</v>
      </c>
      <c r="P9" s="3">
        <f t="shared" si="0"/>
        <v>793706379673.29004</v>
      </c>
      <c r="Q9" s="2">
        <f t="shared" si="1"/>
        <v>0.68531708103972777</v>
      </c>
      <c r="R9" s="1">
        <v>15878079149.02</v>
      </c>
      <c r="S9" s="8">
        <v>0.71217098000000001</v>
      </c>
      <c r="T9" s="1">
        <v>26396548326.130001</v>
      </c>
      <c r="U9" s="8">
        <v>0.92845942999999997</v>
      </c>
      <c r="V9" s="3">
        <f t="shared" si="2"/>
        <v>42274627475.150002</v>
      </c>
      <c r="W9" s="2">
        <f t="shared" si="3"/>
        <v>0.83339498667237477</v>
      </c>
      <c r="X9" s="1">
        <v>52929962553.889999</v>
      </c>
      <c r="Y9" s="8">
        <v>0.61626530000000002</v>
      </c>
      <c r="Z9" s="3">
        <f t="shared" si="4"/>
        <v>888910969702.33008</v>
      </c>
      <c r="AA9" s="2">
        <f t="shared" si="5"/>
        <v>0.68653786010966233</v>
      </c>
      <c r="AB9" s="16"/>
    </row>
    <row r="10" spans="1:28" x14ac:dyDescent="0.25">
      <c r="A10" s="12" t="s">
        <v>21</v>
      </c>
      <c r="B10" s="1">
        <v>1999076569.5799999</v>
      </c>
      <c r="C10" s="8">
        <v>9.0144580000000002E-2</v>
      </c>
      <c r="D10" s="1">
        <v>45089411711.370003</v>
      </c>
      <c r="E10" s="8">
        <v>0.16823985</v>
      </c>
      <c r="F10" s="1">
        <v>144115667.72999999</v>
      </c>
      <c r="G10" s="8">
        <v>1.2343410000000001E-2</v>
      </c>
      <c r="H10" s="1">
        <v>39464597919.550003</v>
      </c>
      <c r="I10" s="8">
        <v>0.10086863</v>
      </c>
      <c r="J10" s="1">
        <v>18065770705.939999</v>
      </c>
      <c r="K10" s="8">
        <v>8.8804889999999997E-2</v>
      </c>
      <c r="L10" s="6">
        <v>0</v>
      </c>
      <c r="M10" s="6">
        <v>0</v>
      </c>
      <c r="N10" s="1">
        <v>24744597300.029999</v>
      </c>
      <c r="O10" s="8">
        <v>9.8471630000000004E-2</v>
      </c>
      <c r="P10" s="3">
        <f t="shared" si="0"/>
        <v>129507569874.20001</v>
      </c>
      <c r="Q10" s="2">
        <f t="shared" si="1"/>
        <v>0.11182189287084812</v>
      </c>
      <c r="R10" s="1">
        <v>69295617.439999998</v>
      </c>
      <c r="S10" s="8">
        <v>3.10808E-3</v>
      </c>
      <c r="T10" s="1">
        <v>357516849.80000001</v>
      </c>
      <c r="U10" s="8">
        <v>1.257512E-2</v>
      </c>
      <c r="V10" s="3">
        <f t="shared" si="2"/>
        <v>426812467.24000001</v>
      </c>
      <c r="W10" s="2">
        <f t="shared" si="3"/>
        <v>8.4141101102824349E-3</v>
      </c>
      <c r="X10" s="1">
        <v>8185922945.6199999</v>
      </c>
      <c r="Y10" s="8">
        <v>9.5308970000000007E-2</v>
      </c>
      <c r="Z10" s="3">
        <f t="shared" si="4"/>
        <v>138120305287.06003</v>
      </c>
      <c r="AA10" s="2">
        <f t="shared" si="5"/>
        <v>0.1066752712717962</v>
      </c>
      <c r="AB10" s="16"/>
    </row>
    <row r="11" spans="1:28" x14ac:dyDescent="0.25">
      <c r="A11" s="12" t="s">
        <v>22</v>
      </c>
      <c r="B11" s="1">
        <v>2347047431.4699998</v>
      </c>
      <c r="C11" s="8">
        <v>0.10583567000000001</v>
      </c>
      <c r="D11" s="1">
        <v>6596314418.25</v>
      </c>
      <c r="E11" s="8">
        <v>2.4612499999999999E-2</v>
      </c>
      <c r="F11" s="1">
        <v>2246527465.2800002</v>
      </c>
      <c r="G11" s="8">
        <v>0.19241364</v>
      </c>
      <c r="H11" s="1">
        <v>12264780160.940001</v>
      </c>
      <c r="I11" s="8">
        <v>3.1347880000000002E-2</v>
      </c>
      <c r="J11" s="1">
        <v>5446900166.6899996</v>
      </c>
      <c r="K11" s="8">
        <v>2.677502E-2</v>
      </c>
      <c r="L11" s="1">
        <v>48852689.359999999</v>
      </c>
      <c r="M11" s="8">
        <v>4.7271199999999996E-3</v>
      </c>
      <c r="N11" s="1">
        <v>7407649101.4799995</v>
      </c>
      <c r="O11" s="8">
        <v>2.9478890000000001E-2</v>
      </c>
      <c r="P11" s="3">
        <f t="shared" si="0"/>
        <v>36358071433.470001</v>
      </c>
      <c r="Q11" s="2">
        <f t="shared" si="1"/>
        <v>3.1392978594018572E-2</v>
      </c>
      <c r="R11" s="1">
        <v>740979190.80999994</v>
      </c>
      <c r="S11" s="8">
        <v>3.3234739999999999E-2</v>
      </c>
      <c r="T11" s="1">
        <v>956771387.96000004</v>
      </c>
      <c r="U11" s="8">
        <v>3.3653009999999997E-2</v>
      </c>
      <c r="V11" s="3">
        <f t="shared" si="2"/>
        <v>1697750578.77</v>
      </c>
      <c r="W11" s="2">
        <f t="shared" si="3"/>
        <v>3.3469173011607248E-2</v>
      </c>
      <c r="X11" s="1">
        <v>2839695497.71</v>
      </c>
      <c r="Y11" s="8">
        <v>3.3062670000000002E-2</v>
      </c>
      <c r="Z11" s="3">
        <f t="shared" si="4"/>
        <v>40895517509.949997</v>
      </c>
      <c r="AA11" s="2">
        <f t="shared" si="5"/>
        <v>3.1585076612070863E-2</v>
      </c>
      <c r="AB11" s="16"/>
    </row>
    <row r="12" spans="1:28" x14ac:dyDescent="0.25">
      <c r="A12" s="12" t="s">
        <v>23</v>
      </c>
      <c r="B12" s="1">
        <v>1435777715.2</v>
      </c>
      <c r="C12" s="8">
        <v>6.4743679999999998E-2</v>
      </c>
      <c r="D12" s="1">
        <v>35605181316.940002</v>
      </c>
      <c r="E12" s="8">
        <v>0.13285182000000001</v>
      </c>
      <c r="F12" s="1">
        <v>414481878.93000001</v>
      </c>
      <c r="G12" s="8">
        <v>3.5500110000000001E-2</v>
      </c>
      <c r="H12" s="1">
        <v>67940983468.379997</v>
      </c>
      <c r="I12" s="8">
        <v>0.17365219000000001</v>
      </c>
      <c r="J12" s="1">
        <v>41755306787.709999</v>
      </c>
      <c r="K12" s="8">
        <v>0.2052542</v>
      </c>
      <c r="L12" s="6">
        <v>0</v>
      </c>
      <c r="M12" s="6">
        <v>0</v>
      </c>
      <c r="N12" s="1">
        <v>18920595183.23</v>
      </c>
      <c r="O12" s="8">
        <v>7.5294899999999998E-2</v>
      </c>
      <c r="P12" s="3">
        <f t="shared" si="0"/>
        <v>166072326350.39001</v>
      </c>
      <c r="Q12" s="2">
        <f t="shared" si="1"/>
        <v>0.14339333140143637</v>
      </c>
      <c r="R12" s="1">
        <v>5115994946.3000002</v>
      </c>
      <c r="S12" s="8">
        <v>0.22946498000000001</v>
      </c>
      <c r="T12" s="6">
        <v>0</v>
      </c>
      <c r="U12" s="6">
        <v>0</v>
      </c>
      <c r="V12" s="3">
        <f t="shared" si="2"/>
        <v>5115994946.3000002</v>
      </c>
      <c r="W12" s="2">
        <f t="shared" si="3"/>
        <v>0.10085587490023168</v>
      </c>
      <c r="X12" s="1">
        <v>19208655737.07</v>
      </c>
      <c r="Y12" s="8">
        <v>0.22364701000000001</v>
      </c>
      <c r="Z12" s="3">
        <f t="shared" si="4"/>
        <v>190396977033.76001</v>
      </c>
      <c r="AA12" s="2">
        <f t="shared" si="5"/>
        <v>0.14705042196506879</v>
      </c>
      <c r="AB12" s="16"/>
    </row>
    <row r="13" spans="1:28" x14ac:dyDescent="0.25">
      <c r="A13" s="13" t="s">
        <v>24</v>
      </c>
      <c r="B13" s="3">
        <f t="shared" ref="B13:AA13" si="6">SUM(B6:B12)</f>
        <v>22176337026.070004</v>
      </c>
      <c r="C13" s="7">
        <f t="shared" si="6"/>
        <v>1</v>
      </c>
      <c r="D13" s="3">
        <f t="shared" si="6"/>
        <v>268006726186.60999</v>
      </c>
      <c r="E13" s="7">
        <f t="shared" si="6"/>
        <v>1</v>
      </c>
      <c r="F13" s="3">
        <f t="shared" si="6"/>
        <v>11675510416.860001</v>
      </c>
      <c r="G13" s="7">
        <f t="shared" si="6"/>
        <v>0.99999998999999995</v>
      </c>
      <c r="H13" s="3">
        <f t="shared" si="6"/>
        <v>391247487793.85999</v>
      </c>
      <c r="I13" s="7">
        <f t="shared" si="6"/>
        <v>1</v>
      </c>
      <c r="J13" s="3">
        <f t="shared" si="6"/>
        <v>203432168368.48999</v>
      </c>
      <c r="K13" s="7">
        <f t="shared" si="6"/>
        <v>1.0000000099999999</v>
      </c>
      <c r="L13" s="3">
        <f t="shared" si="6"/>
        <v>10334560770.27</v>
      </c>
      <c r="M13" s="7">
        <f t="shared" si="6"/>
        <v>1</v>
      </c>
      <c r="N13" s="3">
        <f>SUM(N6:N12)</f>
        <v>251286551488.85004</v>
      </c>
      <c r="O13" s="7">
        <f t="shared" si="6"/>
        <v>1</v>
      </c>
      <c r="P13" s="3">
        <f t="shared" si="6"/>
        <v>1158159342051.0103</v>
      </c>
      <c r="Q13" s="7">
        <f t="shared" si="6"/>
        <v>0.99999999999999978</v>
      </c>
      <c r="R13" s="3">
        <f t="shared" si="6"/>
        <v>22295318888.580002</v>
      </c>
      <c r="S13" s="7">
        <f t="shared" si="6"/>
        <v>0.99999999000000006</v>
      </c>
      <c r="T13" s="3">
        <f t="shared" si="6"/>
        <v>28430481183.66</v>
      </c>
      <c r="U13" s="7">
        <f t="shared" si="6"/>
        <v>1</v>
      </c>
      <c r="V13" s="3">
        <f t="shared" si="6"/>
        <v>50725800072.239998</v>
      </c>
      <c r="W13" s="7">
        <f t="shared" si="6"/>
        <v>1</v>
      </c>
      <c r="X13" s="3">
        <f t="shared" si="6"/>
        <v>85888272936.980011</v>
      </c>
      <c r="Y13" s="7">
        <f t="shared" si="6"/>
        <v>1</v>
      </c>
      <c r="Z13" s="3">
        <f>SUM(Z6:Z12)</f>
        <v>1294773415060.2302</v>
      </c>
      <c r="AA13" s="7">
        <f t="shared" si="6"/>
        <v>1</v>
      </c>
    </row>
    <row r="14" spans="1:28" x14ac:dyDescent="0.25">
      <c r="B14" s="16"/>
      <c r="F14" s="16"/>
      <c r="H14" s="16"/>
      <c r="J14" s="16"/>
      <c r="L14" s="16"/>
      <c r="N14" s="16"/>
      <c r="P14" s="16"/>
      <c r="R14" s="16"/>
      <c r="T14" s="16"/>
      <c r="V14" s="16"/>
      <c r="X14" s="16"/>
      <c r="Z14" s="16"/>
    </row>
    <row r="15" spans="1:28" x14ac:dyDescent="0.25">
      <c r="A15" s="5" t="s">
        <v>25</v>
      </c>
      <c r="P15" s="16"/>
      <c r="R15" s="16"/>
      <c r="T15" s="16"/>
    </row>
    <row r="16" spans="1:28" x14ac:dyDescent="0.25">
      <c r="A16" s="5" t="s">
        <v>26</v>
      </c>
      <c r="L16" s="16"/>
      <c r="P16" s="16"/>
    </row>
    <row r="17" spans="1:26" ht="1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26" x14ac:dyDescent="0.25">
      <c r="B18" s="16"/>
      <c r="D18" s="17"/>
      <c r="F18" s="16"/>
      <c r="H18" s="16"/>
      <c r="J18" s="16"/>
      <c r="L18" s="16"/>
      <c r="N18" s="16"/>
      <c r="P18" s="16"/>
      <c r="R18" s="16"/>
      <c r="T18" s="16"/>
      <c r="V18" s="16"/>
      <c r="X18" s="16"/>
      <c r="Z18" s="16"/>
    </row>
    <row r="27" spans="1:26" x14ac:dyDescent="0.25">
      <c r="H27" s="9"/>
    </row>
    <row r="28" spans="1:26" x14ac:dyDescent="0.25">
      <c r="H28" s="9"/>
    </row>
  </sheetData>
  <mergeCells count="16">
    <mergeCell ref="Z4:AA4"/>
    <mergeCell ref="A1:W1"/>
    <mergeCell ref="A2:W2"/>
    <mergeCell ref="A4:A5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95260-D813-4578-9255-0BEE69D0A600}">
  <dimension ref="A1:AB28"/>
  <sheetViews>
    <sheetView showGridLines="0" zoomScaleNormal="100" workbookViewId="0">
      <selection activeCell="K19" sqref="K19"/>
    </sheetView>
  </sheetViews>
  <sheetFormatPr baseColWidth="10" defaultColWidth="9.140625" defaultRowHeight="15" x14ac:dyDescent="0.25"/>
  <cols>
    <col min="1" max="1" width="13.85546875" style="14" customWidth="1"/>
    <col min="2" max="2" width="17.28515625" style="14" customWidth="1"/>
    <col min="3" max="3" width="9.42578125" style="15" bestFit="1" customWidth="1"/>
    <col min="4" max="4" width="18.85546875" style="15" bestFit="1" customWidth="1"/>
    <col min="5" max="5" width="10.42578125" style="15" customWidth="1"/>
    <col min="6" max="6" width="18.85546875" style="14" customWidth="1"/>
    <col min="7" max="7" width="8.85546875" style="15" customWidth="1"/>
    <col min="8" max="8" width="19.42578125" style="14" customWidth="1"/>
    <col min="9" max="9" width="8.85546875" style="15" customWidth="1"/>
    <col min="10" max="10" width="17.85546875" style="14" bestFit="1" customWidth="1"/>
    <col min="11" max="11" width="8.85546875" style="14" customWidth="1"/>
    <col min="12" max="12" width="17.85546875" style="14" customWidth="1"/>
    <col min="13" max="13" width="8.85546875" style="14" customWidth="1"/>
    <col min="14" max="14" width="17.85546875" style="14" customWidth="1"/>
    <col min="15" max="15" width="8.85546875" style="14" customWidth="1"/>
    <col min="16" max="16" width="18.85546875" style="14" bestFit="1" customWidth="1"/>
    <col min="17" max="17" width="9.42578125" style="14" bestFit="1" customWidth="1"/>
    <col min="18" max="18" width="17.85546875" style="14" bestFit="1" customWidth="1"/>
    <col min="19" max="19" width="10.5703125" style="14" customWidth="1"/>
    <col min="20" max="20" width="19" style="14" bestFit="1" customWidth="1"/>
    <col min="21" max="21" width="9.140625" style="14" customWidth="1"/>
    <col min="22" max="22" width="19" style="14" bestFit="1" customWidth="1"/>
    <col min="23" max="23" width="9.42578125" style="14" customWidth="1"/>
    <col min="24" max="24" width="17.85546875" style="14" bestFit="1" customWidth="1"/>
    <col min="25" max="25" width="8.85546875" style="14" customWidth="1"/>
    <col min="26" max="26" width="18.5703125" style="14" customWidth="1"/>
    <col min="27" max="27" width="9.42578125" style="14" bestFit="1" customWidth="1"/>
    <col min="28" max="28" width="23" style="14" customWidth="1"/>
    <col min="29" max="16384" width="9.140625" style="14"/>
  </cols>
  <sheetData>
    <row r="1" spans="1:28" ht="18.600000000000001" customHeight="1" x14ac:dyDescent="0.3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/>
      <c r="Y1"/>
      <c r="Z1"/>
      <c r="AA1"/>
      <c r="AB1"/>
    </row>
    <row r="2" spans="1:28" x14ac:dyDescent="0.25">
      <c r="A2" s="26" t="s">
        <v>32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/>
      <c r="Y2"/>
      <c r="Z2"/>
      <c r="AA2"/>
      <c r="AB2"/>
    </row>
    <row r="3" spans="1:28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/>
      <c r="Y3"/>
      <c r="Z3"/>
      <c r="AA3"/>
      <c r="AB3"/>
    </row>
    <row r="4" spans="1:28" ht="33.75" customHeight="1" x14ac:dyDescent="0.25">
      <c r="A4" s="27" t="s">
        <v>1</v>
      </c>
      <c r="B4" s="23" t="s">
        <v>2</v>
      </c>
      <c r="C4" s="24"/>
      <c r="D4" s="23" t="s">
        <v>3</v>
      </c>
      <c r="E4" s="24"/>
      <c r="F4" s="23" t="s">
        <v>4</v>
      </c>
      <c r="G4" s="24"/>
      <c r="H4" s="23" t="s">
        <v>5</v>
      </c>
      <c r="I4" s="24"/>
      <c r="J4" s="23" t="s">
        <v>6</v>
      </c>
      <c r="K4" s="24"/>
      <c r="L4" s="23" t="s">
        <v>7</v>
      </c>
      <c r="M4" s="24"/>
      <c r="N4" s="23" t="s">
        <v>8</v>
      </c>
      <c r="O4" s="24"/>
      <c r="P4" s="23" t="s">
        <v>9</v>
      </c>
      <c r="Q4" s="24"/>
      <c r="R4" s="23" t="s">
        <v>10</v>
      </c>
      <c r="S4" s="24"/>
      <c r="T4" s="23" t="s">
        <v>11</v>
      </c>
      <c r="U4" s="24"/>
      <c r="V4" s="23" t="s">
        <v>12</v>
      </c>
      <c r="W4" s="24"/>
      <c r="X4" s="28" t="s">
        <v>13</v>
      </c>
      <c r="Y4" s="29"/>
      <c r="Z4" s="23" t="s">
        <v>14</v>
      </c>
      <c r="AA4" s="24"/>
    </row>
    <row r="5" spans="1:28" ht="31.5" customHeight="1" x14ac:dyDescent="0.25">
      <c r="A5" s="27"/>
      <c r="B5" s="10" t="s">
        <v>15</v>
      </c>
      <c r="C5" s="4" t="s">
        <v>16</v>
      </c>
      <c r="D5" s="10" t="s">
        <v>15</v>
      </c>
      <c r="E5" s="11" t="s">
        <v>16</v>
      </c>
      <c r="F5" s="10" t="s">
        <v>15</v>
      </c>
      <c r="G5" s="4" t="s">
        <v>16</v>
      </c>
      <c r="H5" s="10" t="s">
        <v>15</v>
      </c>
      <c r="I5" s="11" t="s">
        <v>16</v>
      </c>
      <c r="J5" s="10" t="s">
        <v>15</v>
      </c>
      <c r="K5" s="11" t="s">
        <v>16</v>
      </c>
      <c r="L5" s="10" t="s">
        <v>15</v>
      </c>
      <c r="M5" s="11" t="s">
        <v>16</v>
      </c>
      <c r="N5" s="10" t="s">
        <v>15</v>
      </c>
      <c r="O5" s="11" t="s">
        <v>16</v>
      </c>
      <c r="P5" s="10" t="s">
        <v>15</v>
      </c>
      <c r="Q5" s="11" t="s">
        <v>16</v>
      </c>
      <c r="R5" s="10" t="s">
        <v>15</v>
      </c>
      <c r="S5" s="11" t="s">
        <v>16</v>
      </c>
      <c r="T5" s="10" t="s">
        <v>15</v>
      </c>
      <c r="U5" s="11" t="s">
        <v>16</v>
      </c>
      <c r="V5" s="10" t="s">
        <v>15</v>
      </c>
      <c r="W5" s="11" t="s">
        <v>16</v>
      </c>
      <c r="X5" s="10" t="s">
        <v>15</v>
      </c>
      <c r="Y5" s="11" t="s">
        <v>16</v>
      </c>
      <c r="Z5" s="10" t="s">
        <v>15</v>
      </c>
      <c r="AA5" s="11" t="s">
        <v>16</v>
      </c>
    </row>
    <row r="6" spans="1:28" x14ac:dyDescent="0.25">
      <c r="A6" s="12" t="s">
        <v>17</v>
      </c>
      <c r="B6" s="6">
        <v>94885947.959999993</v>
      </c>
      <c r="C6" s="6">
        <v>4.1789899999999996E-3</v>
      </c>
      <c r="D6" s="1">
        <v>250424149.13</v>
      </c>
      <c r="E6" s="8">
        <v>9.2811E-4</v>
      </c>
      <c r="F6" s="1">
        <v>895344397.61000001</v>
      </c>
      <c r="G6" s="8">
        <v>7.5637170000000004E-2</v>
      </c>
      <c r="H6" s="1">
        <v>10069061574.09</v>
      </c>
      <c r="I6" s="8">
        <v>2.5575549999999999E-2</v>
      </c>
      <c r="J6" s="1">
        <v>8695143140.5300007</v>
      </c>
      <c r="K6" s="8">
        <v>4.2347799999999998E-2</v>
      </c>
      <c r="L6" s="1">
        <v>2599274928.4899998</v>
      </c>
      <c r="M6" s="8">
        <v>0.24943319999999999</v>
      </c>
      <c r="N6" s="1">
        <v>11083459010.879999</v>
      </c>
      <c r="O6" s="8">
        <v>4.368785E-2</v>
      </c>
      <c r="P6" s="3">
        <f t="shared" ref="P6:P12" si="0">+B6+D6+F6+H6+J6+L6+N6</f>
        <v>33687593148.689995</v>
      </c>
      <c r="Q6" s="2">
        <f t="shared" ref="Q6:Q12" si="1">+P6/$P$13</f>
        <v>2.8854312216744546E-2</v>
      </c>
      <c r="R6" s="1">
        <v>389169173.55000001</v>
      </c>
      <c r="S6" s="8">
        <v>1.7465930000000001E-2</v>
      </c>
      <c r="T6" s="1">
        <v>603868996.97000003</v>
      </c>
      <c r="U6" s="8">
        <v>2.1134980000000001E-2</v>
      </c>
      <c r="V6" s="3">
        <f t="shared" ref="V6:V12" si="2">R6+T6</f>
        <v>993038170.51999998</v>
      </c>
      <c r="W6" s="2">
        <f t="shared" ref="W6:W12" si="3">V6/$V$13</f>
        <v>1.9527381023034977E-2</v>
      </c>
      <c r="X6" s="1">
        <v>2745300410.1100001</v>
      </c>
      <c r="Y6" s="8">
        <v>3.1740629999999999E-2</v>
      </c>
      <c r="Z6" s="3">
        <f t="shared" ref="Z6:Z12" si="4">P6+V6+X6</f>
        <v>37425931729.319992</v>
      </c>
      <c r="AA6" s="2">
        <f t="shared" ref="AA6:AA12" si="5">Z6/$Z$13</f>
        <v>2.8682134975776159E-2</v>
      </c>
      <c r="AB6" s="16"/>
    </row>
    <row r="7" spans="1:28" x14ac:dyDescent="0.25">
      <c r="A7" s="12" t="s">
        <v>18</v>
      </c>
      <c r="B7" s="1">
        <v>174444175.90000001</v>
      </c>
      <c r="C7" s="8">
        <v>7.6829100000000003E-3</v>
      </c>
      <c r="D7" s="6">
        <v>0</v>
      </c>
      <c r="E7" s="6">
        <v>0</v>
      </c>
      <c r="F7" s="1">
        <v>254345392.44999999</v>
      </c>
      <c r="G7" s="8">
        <v>2.1486669999999999E-2</v>
      </c>
      <c r="H7" s="1">
        <v>466916208.45999998</v>
      </c>
      <c r="I7" s="8">
        <v>1.1859699999999999E-3</v>
      </c>
      <c r="J7" s="6">
        <v>0</v>
      </c>
      <c r="K7" s="6">
        <v>0</v>
      </c>
      <c r="L7" s="6">
        <v>0</v>
      </c>
      <c r="M7" s="6">
        <v>0</v>
      </c>
      <c r="N7" s="1">
        <v>1274141658.6800001</v>
      </c>
      <c r="O7" s="8">
        <v>5.0223100000000003E-3</v>
      </c>
      <c r="P7" s="3">
        <f t="shared" si="0"/>
        <v>2169847435.4899998</v>
      </c>
      <c r="Q7" s="2">
        <f t="shared" si="1"/>
        <v>1.8585315694708694E-3</v>
      </c>
      <c r="R7" s="1">
        <v>63740044.030000001</v>
      </c>
      <c r="S7" s="8">
        <v>2.8606600000000001E-3</v>
      </c>
      <c r="T7" s="1">
        <v>76098345.890000001</v>
      </c>
      <c r="U7" s="8">
        <v>2.6633899999999999E-3</v>
      </c>
      <c r="V7" s="3">
        <f t="shared" si="2"/>
        <v>139838389.92000002</v>
      </c>
      <c r="W7" s="2">
        <f t="shared" si="3"/>
        <v>2.7498213086669838E-3</v>
      </c>
      <c r="X7" s="1">
        <v>42354975.890000001</v>
      </c>
      <c r="Y7" s="8">
        <v>4.8970000000000003E-4</v>
      </c>
      <c r="Z7" s="3">
        <f t="shared" si="4"/>
        <v>2352040801.2999997</v>
      </c>
      <c r="AA7" s="2">
        <f t="shared" si="5"/>
        <v>1.8025349968393437E-3</v>
      </c>
      <c r="AB7" s="16"/>
    </row>
    <row r="8" spans="1:28" x14ac:dyDescent="0.25">
      <c r="A8" s="12" t="s">
        <v>19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3">
        <f t="shared" si="0"/>
        <v>0</v>
      </c>
      <c r="Q8" s="20">
        <f t="shared" si="1"/>
        <v>0</v>
      </c>
      <c r="R8" s="6">
        <v>0</v>
      </c>
      <c r="S8" s="6">
        <v>0</v>
      </c>
      <c r="T8" s="6">
        <v>0</v>
      </c>
      <c r="U8" s="6">
        <v>0</v>
      </c>
      <c r="V8" s="19">
        <f t="shared" si="2"/>
        <v>0</v>
      </c>
      <c r="W8" s="19">
        <f t="shared" si="3"/>
        <v>0</v>
      </c>
      <c r="X8" s="6">
        <v>0</v>
      </c>
      <c r="Y8" s="6">
        <v>0</v>
      </c>
      <c r="Z8" s="3">
        <f t="shared" si="4"/>
        <v>0</v>
      </c>
      <c r="AA8" s="20">
        <f t="shared" si="5"/>
        <v>0</v>
      </c>
      <c r="AB8" s="16"/>
    </row>
    <row r="9" spans="1:28" x14ac:dyDescent="0.25">
      <c r="A9" s="12" t="s">
        <v>20</v>
      </c>
      <c r="B9" s="1">
        <v>16496791181.41</v>
      </c>
      <c r="C9" s="8">
        <v>0.72655583999999995</v>
      </c>
      <c r="D9" s="1">
        <v>181279826084.25</v>
      </c>
      <c r="E9" s="8">
        <v>0.67185331000000004</v>
      </c>
      <c r="F9" s="1">
        <v>7837966540.3999996</v>
      </c>
      <c r="G9" s="8">
        <v>0.66213809999999995</v>
      </c>
      <c r="H9" s="1">
        <v>262832443310.56</v>
      </c>
      <c r="I9" s="8">
        <v>0.66759780000000002</v>
      </c>
      <c r="J9" s="1">
        <v>130173785681.92999</v>
      </c>
      <c r="K9" s="8">
        <v>0.63398310000000002</v>
      </c>
      <c r="L9" s="1">
        <v>7774531357.5299997</v>
      </c>
      <c r="M9" s="8">
        <v>0.74606430000000001</v>
      </c>
      <c r="N9" s="1">
        <v>190464535993.29001</v>
      </c>
      <c r="O9" s="8">
        <v>0.75075720999999995</v>
      </c>
      <c r="P9" s="3">
        <f t="shared" si="0"/>
        <v>796859880149.37012</v>
      </c>
      <c r="Q9" s="2">
        <f t="shared" si="1"/>
        <v>0.68253150865785983</v>
      </c>
      <c r="R9" s="1">
        <v>15913108137.219999</v>
      </c>
      <c r="S9" s="8">
        <v>0.71418099999999995</v>
      </c>
      <c r="T9" s="1">
        <v>26599880075.75</v>
      </c>
      <c r="U9" s="8">
        <v>0.93097684999999997</v>
      </c>
      <c r="V9" s="3">
        <f t="shared" si="2"/>
        <v>42512988212.970001</v>
      </c>
      <c r="W9" s="2">
        <f t="shared" si="3"/>
        <v>0.83598732043476898</v>
      </c>
      <c r="X9" s="1">
        <v>52922964936.699997</v>
      </c>
      <c r="Y9" s="8">
        <v>0.61188505000000004</v>
      </c>
      <c r="Z9" s="3">
        <f t="shared" si="4"/>
        <v>892295833299.04004</v>
      </c>
      <c r="AA9" s="2">
        <f t="shared" si="5"/>
        <v>0.68382932224920023</v>
      </c>
      <c r="AB9" s="16"/>
    </row>
    <row r="10" spans="1:28" x14ac:dyDescent="0.25">
      <c r="A10" s="12" t="s">
        <v>21</v>
      </c>
      <c r="B10" s="1">
        <v>1936142945.73</v>
      </c>
      <c r="C10" s="8">
        <v>8.5272100000000003E-2</v>
      </c>
      <c r="D10" s="1">
        <v>45227725649.120003</v>
      </c>
      <c r="E10" s="8">
        <v>0.16762151</v>
      </c>
      <c r="F10" s="1">
        <v>139653695.77000001</v>
      </c>
      <c r="G10" s="8">
        <v>1.1797709999999999E-2</v>
      </c>
      <c r="H10" s="1">
        <v>39151197472.550003</v>
      </c>
      <c r="I10" s="8">
        <v>9.9444550000000007E-2</v>
      </c>
      <c r="J10" s="1">
        <v>17927420006.799999</v>
      </c>
      <c r="K10" s="8">
        <v>8.7311600000000003E-2</v>
      </c>
      <c r="L10" s="6">
        <v>0</v>
      </c>
      <c r="M10" s="6">
        <v>0</v>
      </c>
      <c r="N10" s="1">
        <v>24638549776.139999</v>
      </c>
      <c r="O10" s="8">
        <v>9.7118179999999998E-2</v>
      </c>
      <c r="P10" s="3">
        <f t="shared" si="0"/>
        <v>129020689546.11002</v>
      </c>
      <c r="Q10" s="2">
        <f t="shared" si="1"/>
        <v>0.11050962418571883</v>
      </c>
      <c r="R10" s="1">
        <v>68898947.269999996</v>
      </c>
      <c r="S10" s="8">
        <v>3.0921899999999999E-3</v>
      </c>
      <c r="T10" s="1">
        <v>354322507.44</v>
      </c>
      <c r="U10" s="8">
        <v>1.240104E-2</v>
      </c>
      <c r="V10" s="3">
        <f t="shared" si="2"/>
        <v>423221454.70999998</v>
      </c>
      <c r="W10" s="2">
        <f t="shared" si="3"/>
        <v>8.3223453524628264E-3</v>
      </c>
      <c r="X10" s="1">
        <v>8083759189.5100002</v>
      </c>
      <c r="Y10" s="8">
        <v>9.3462859999999995E-2</v>
      </c>
      <c r="Z10" s="3">
        <f t="shared" si="4"/>
        <v>137527670190.33002</v>
      </c>
      <c r="AA10" s="2">
        <f t="shared" si="5"/>
        <v>0.10539716760646012</v>
      </c>
      <c r="AB10" s="16"/>
    </row>
    <row r="11" spans="1:28" x14ac:dyDescent="0.25">
      <c r="A11" s="12" t="s">
        <v>22</v>
      </c>
      <c r="B11" s="1">
        <v>2556502454.9699998</v>
      </c>
      <c r="C11" s="8">
        <v>0.11259413</v>
      </c>
      <c r="D11" s="1">
        <v>6597805805.9399996</v>
      </c>
      <c r="E11" s="8">
        <v>2.445257E-2</v>
      </c>
      <c r="F11" s="1">
        <v>2293639895.5300002</v>
      </c>
      <c r="G11" s="8">
        <v>0.19376280000000001</v>
      </c>
      <c r="H11" s="1">
        <v>12213608351.16</v>
      </c>
      <c r="I11" s="8">
        <v>3.102272E-2</v>
      </c>
      <c r="J11" s="1">
        <v>5402785236</v>
      </c>
      <c r="K11" s="8">
        <v>2.6313090000000001E-2</v>
      </c>
      <c r="L11" s="1">
        <v>46919368.729999997</v>
      </c>
      <c r="M11" s="8">
        <v>4.5025000000000004E-3</v>
      </c>
      <c r="N11" s="1">
        <v>7383728292.0299997</v>
      </c>
      <c r="O11" s="8">
        <v>2.9104560000000002E-2</v>
      </c>
      <c r="P11" s="3">
        <f t="shared" si="0"/>
        <v>36494989404.360001</v>
      </c>
      <c r="Q11" s="2">
        <f t="shared" si="1"/>
        <v>3.1258921169354505E-2</v>
      </c>
      <c r="R11" s="1">
        <v>735400974.76999998</v>
      </c>
      <c r="S11" s="8">
        <v>3.3004829999999999E-2</v>
      </c>
      <c r="T11" s="1">
        <v>937840340.40999997</v>
      </c>
      <c r="U11" s="8">
        <v>3.2823739999999997E-2</v>
      </c>
      <c r="V11" s="3">
        <f t="shared" si="2"/>
        <v>1673241315.1799998</v>
      </c>
      <c r="W11" s="2">
        <f t="shared" si="3"/>
        <v>3.2903086381759532E-2</v>
      </c>
      <c r="X11" s="1">
        <v>2834383803.8699999</v>
      </c>
      <c r="Y11" s="8">
        <v>3.2770599999999997E-2</v>
      </c>
      <c r="Z11" s="3">
        <f t="shared" si="4"/>
        <v>41002614523.410004</v>
      </c>
      <c r="AA11" s="2">
        <f t="shared" si="5"/>
        <v>3.1423199631362489E-2</v>
      </c>
      <c r="AB11" s="16"/>
    </row>
    <row r="12" spans="1:28" x14ac:dyDescent="0.25">
      <c r="A12" s="12" t="s">
        <v>23</v>
      </c>
      <c r="B12" s="1">
        <v>1446702354.73</v>
      </c>
      <c r="C12" s="8">
        <v>6.3716030000000007E-2</v>
      </c>
      <c r="D12" s="1">
        <v>36464761755.699997</v>
      </c>
      <c r="E12" s="8">
        <v>0.1351445</v>
      </c>
      <c r="F12" s="1">
        <v>416409264.33999997</v>
      </c>
      <c r="G12" s="8">
        <v>3.5177550000000002E-2</v>
      </c>
      <c r="H12" s="1">
        <v>68965559183.350006</v>
      </c>
      <c r="I12" s="8">
        <v>0.17517341</v>
      </c>
      <c r="J12" s="1">
        <v>43127768650.919998</v>
      </c>
      <c r="K12" s="8">
        <v>0.21004440999999999</v>
      </c>
      <c r="L12" s="6">
        <v>0</v>
      </c>
      <c r="M12" s="6">
        <v>0</v>
      </c>
      <c r="N12" s="1">
        <v>18852163342.529999</v>
      </c>
      <c r="O12" s="8">
        <v>7.4309879999999995E-2</v>
      </c>
      <c r="P12" s="3">
        <f t="shared" si="0"/>
        <v>169273364551.56998</v>
      </c>
      <c r="Q12" s="2">
        <f t="shared" si="1"/>
        <v>0.14498710220085143</v>
      </c>
      <c r="R12" s="1">
        <v>5111300464.9099998</v>
      </c>
      <c r="S12" s="8">
        <v>0.22939539</v>
      </c>
      <c r="T12" s="6">
        <v>0</v>
      </c>
      <c r="U12" s="6">
        <v>0</v>
      </c>
      <c r="V12" s="3">
        <f t="shared" si="2"/>
        <v>5111300464.9099998</v>
      </c>
      <c r="W12" s="2">
        <f t="shared" si="3"/>
        <v>0.10051004549930659</v>
      </c>
      <c r="X12" s="1">
        <v>19862914684.630001</v>
      </c>
      <c r="Y12" s="8">
        <v>0.22965116999999999</v>
      </c>
      <c r="Z12" s="3">
        <f t="shared" si="4"/>
        <v>194247579701.10999</v>
      </c>
      <c r="AA12" s="2">
        <f t="shared" si="5"/>
        <v>0.14886564054036186</v>
      </c>
      <c r="AB12" s="16"/>
    </row>
    <row r="13" spans="1:28" x14ac:dyDescent="0.25">
      <c r="A13" s="13" t="s">
        <v>24</v>
      </c>
      <c r="B13" s="3">
        <f t="shared" ref="B13:AA13" si="6">SUM(B6:B12)</f>
        <v>22705469060.700001</v>
      </c>
      <c r="C13" s="7">
        <f t="shared" si="6"/>
        <v>0.99999999999999989</v>
      </c>
      <c r="D13" s="3">
        <f t="shared" si="6"/>
        <v>269820543444.14001</v>
      </c>
      <c r="E13" s="7">
        <f t="shared" si="6"/>
        <v>1</v>
      </c>
      <c r="F13" s="3">
        <f t="shared" si="6"/>
        <v>11837359186.1</v>
      </c>
      <c r="G13" s="7">
        <f t="shared" si="6"/>
        <v>0.99999999999999989</v>
      </c>
      <c r="H13" s="3">
        <f t="shared" si="6"/>
        <v>393698786100.16992</v>
      </c>
      <c r="I13" s="7">
        <f t="shared" si="6"/>
        <v>0.99999999999999989</v>
      </c>
      <c r="J13" s="3">
        <f t="shared" si="6"/>
        <v>205326902716.17999</v>
      </c>
      <c r="K13" s="7">
        <f t="shared" si="6"/>
        <v>1.0000000000000002</v>
      </c>
      <c r="L13" s="3">
        <f t="shared" si="6"/>
        <v>10420725654.75</v>
      </c>
      <c r="M13" s="7">
        <f t="shared" si="6"/>
        <v>1</v>
      </c>
      <c r="N13" s="3">
        <f>SUM(N6:N12)</f>
        <v>253696578073.54999</v>
      </c>
      <c r="O13" s="7">
        <f t="shared" si="6"/>
        <v>0.99999998999999984</v>
      </c>
      <c r="P13" s="3">
        <f t="shared" si="6"/>
        <v>1167506364235.5901</v>
      </c>
      <c r="Q13" s="7">
        <f t="shared" si="6"/>
        <v>1</v>
      </c>
      <c r="R13" s="3">
        <f t="shared" si="6"/>
        <v>22281617741.75</v>
      </c>
      <c r="S13" s="7">
        <f t="shared" si="6"/>
        <v>1</v>
      </c>
      <c r="T13" s="3">
        <f t="shared" si="6"/>
        <v>28572010266.459999</v>
      </c>
      <c r="U13" s="7">
        <f t="shared" si="6"/>
        <v>0.99999999999999989</v>
      </c>
      <c r="V13" s="3">
        <f t="shared" si="6"/>
        <v>50853628008.210007</v>
      </c>
      <c r="W13" s="7">
        <f t="shared" si="6"/>
        <v>0.99999999999999978</v>
      </c>
      <c r="X13" s="3">
        <f t="shared" si="6"/>
        <v>86491678000.710007</v>
      </c>
      <c r="Y13" s="7">
        <f t="shared" si="6"/>
        <v>1.0000000099999999</v>
      </c>
      <c r="Z13" s="3">
        <f>SUM(Z6:Z12)</f>
        <v>1304851670244.5098</v>
      </c>
      <c r="AA13" s="7">
        <f t="shared" si="6"/>
        <v>1.0000000000000002</v>
      </c>
    </row>
    <row r="14" spans="1:28" x14ac:dyDescent="0.25">
      <c r="B14" s="16"/>
      <c r="F14" s="16"/>
      <c r="H14" s="16"/>
      <c r="J14" s="16"/>
      <c r="L14" s="16"/>
      <c r="N14" s="16"/>
      <c r="P14" s="16"/>
      <c r="R14" s="16"/>
      <c r="T14" s="16"/>
      <c r="V14" s="16"/>
      <c r="X14" s="16"/>
      <c r="Z14" s="16"/>
    </row>
    <row r="15" spans="1:28" x14ac:dyDescent="0.25">
      <c r="A15" s="5" t="s">
        <v>25</v>
      </c>
      <c r="P15" s="16"/>
      <c r="R15" s="16"/>
      <c r="T15" s="16"/>
    </row>
    <row r="16" spans="1:28" x14ac:dyDescent="0.25">
      <c r="A16" s="5" t="s">
        <v>26</v>
      </c>
      <c r="L16" s="16"/>
      <c r="P16" s="16"/>
    </row>
    <row r="17" spans="1:26" ht="1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26" x14ac:dyDescent="0.25">
      <c r="B18" s="16"/>
      <c r="D18" s="17"/>
      <c r="F18" s="16"/>
      <c r="H18" s="16"/>
      <c r="J18" s="16"/>
      <c r="L18" s="16"/>
      <c r="N18" s="16"/>
      <c r="P18" s="16"/>
      <c r="R18" s="16"/>
      <c r="T18" s="16"/>
      <c r="V18" s="16"/>
      <c r="X18" s="16"/>
      <c r="Z18" s="16"/>
    </row>
    <row r="27" spans="1:26" x14ac:dyDescent="0.25">
      <c r="H27" s="9"/>
    </row>
    <row r="28" spans="1:26" x14ac:dyDescent="0.25">
      <c r="H28" s="9"/>
    </row>
  </sheetData>
  <mergeCells count="16">
    <mergeCell ref="Z4:AA4"/>
    <mergeCell ref="A1:W1"/>
    <mergeCell ref="A2:W2"/>
    <mergeCell ref="A4:A5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C8CE2-15D5-45EF-832B-187FC072B501}">
  <dimension ref="A1:AB28"/>
  <sheetViews>
    <sheetView showGridLines="0" topLeftCell="J1" zoomScaleNormal="100" workbookViewId="0">
      <selection activeCell="W29" sqref="W29"/>
    </sheetView>
  </sheetViews>
  <sheetFormatPr baseColWidth="10" defaultColWidth="9.140625" defaultRowHeight="15" x14ac:dyDescent="0.25"/>
  <cols>
    <col min="1" max="1" width="13.85546875" style="14" customWidth="1"/>
    <col min="2" max="2" width="17.28515625" style="14" customWidth="1"/>
    <col min="3" max="3" width="9.42578125" style="15" bestFit="1" customWidth="1"/>
    <col min="4" max="4" width="18.85546875" style="15" bestFit="1" customWidth="1"/>
    <col min="5" max="5" width="10.42578125" style="15" customWidth="1"/>
    <col min="6" max="6" width="18.85546875" style="14" customWidth="1"/>
    <col min="7" max="7" width="8.85546875" style="15" customWidth="1"/>
    <col min="8" max="8" width="19.42578125" style="14" customWidth="1"/>
    <col min="9" max="9" width="8.85546875" style="15" customWidth="1"/>
    <col min="10" max="10" width="17.85546875" style="14" bestFit="1" customWidth="1"/>
    <col min="11" max="11" width="8.85546875" style="14" customWidth="1"/>
    <col min="12" max="12" width="17.85546875" style="14" customWidth="1"/>
    <col min="13" max="13" width="8.85546875" style="14" customWidth="1"/>
    <col min="14" max="14" width="17.85546875" style="14" customWidth="1"/>
    <col min="15" max="15" width="8.85546875" style="14" customWidth="1"/>
    <col min="16" max="16" width="18.85546875" style="14" bestFit="1" customWidth="1"/>
    <col min="17" max="17" width="9.42578125" style="14" bestFit="1" customWidth="1"/>
    <col min="18" max="18" width="17.85546875" style="14" bestFit="1" customWidth="1"/>
    <col min="19" max="19" width="10.5703125" style="14" customWidth="1"/>
    <col min="20" max="20" width="19" style="14" bestFit="1" customWidth="1"/>
    <col min="21" max="21" width="9.140625" style="14" customWidth="1"/>
    <col min="22" max="22" width="19" style="14" bestFit="1" customWidth="1"/>
    <col min="23" max="23" width="9.42578125" style="14" customWidth="1"/>
    <col min="24" max="24" width="17.85546875" style="14" bestFit="1" customWidth="1"/>
    <col min="25" max="25" width="8.85546875" style="14" customWidth="1"/>
    <col min="26" max="26" width="18.5703125" style="14" customWidth="1"/>
    <col min="27" max="27" width="9.42578125" style="14" bestFit="1" customWidth="1"/>
    <col min="28" max="28" width="23" style="14" customWidth="1"/>
    <col min="29" max="16384" width="9.140625" style="14"/>
  </cols>
  <sheetData>
    <row r="1" spans="1:28" ht="18.600000000000001" customHeight="1" x14ac:dyDescent="0.3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/>
      <c r="Y1"/>
      <c r="Z1"/>
      <c r="AA1"/>
      <c r="AB1"/>
    </row>
    <row r="2" spans="1:28" x14ac:dyDescent="0.25">
      <c r="A2" s="26" t="s">
        <v>33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/>
      <c r="Y2"/>
      <c r="Z2"/>
      <c r="AA2"/>
      <c r="AB2"/>
    </row>
    <row r="3" spans="1:28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/>
      <c r="Y3"/>
      <c r="Z3"/>
      <c r="AA3"/>
      <c r="AB3"/>
    </row>
    <row r="4" spans="1:28" ht="33.75" customHeight="1" x14ac:dyDescent="0.25">
      <c r="A4" s="27" t="s">
        <v>1</v>
      </c>
      <c r="B4" s="23" t="s">
        <v>2</v>
      </c>
      <c r="C4" s="24"/>
      <c r="D4" s="23" t="s">
        <v>3</v>
      </c>
      <c r="E4" s="24"/>
      <c r="F4" s="23" t="s">
        <v>4</v>
      </c>
      <c r="G4" s="24"/>
      <c r="H4" s="23" t="s">
        <v>5</v>
      </c>
      <c r="I4" s="24"/>
      <c r="J4" s="23" t="s">
        <v>6</v>
      </c>
      <c r="K4" s="24"/>
      <c r="L4" s="23" t="s">
        <v>7</v>
      </c>
      <c r="M4" s="24"/>
      <c r="N4" s="23" t="s">
        <v>8</v>
      </c>
      <c r="O4" s="24"/>
      <c r="P4" s="23" t="s">
        <v>9</v>
      </c>
      <c r="Q4" s="24"/>
      <c r="R4" s="23" t="s">
        <v>10</v>
      </c>
      <c r="S4" s="24"/>
      <c r="T4" s="23" t="s">
        <v>11</v>
      </c>
      <c r="U4" s="24"/>
      <c r="V4" s="23" t="s">
        <v>12</v>
      </c>
      <c r="W4" s="24"/>
      <c r="X4" s="28" t="s">
        <v>13</v>
      </c>
      <c r="Y4" s="29"/>
      <c r="Z4" s="23" t="s">
        <v>14</v>
      </c>
      <c r="AA4" s="24"/>
    </row>
    <row r="5" spans="1:28" ht="31.5" customHeight="1" x14ac:dyDescent="0.25">
      <c r="A5" s="27"/>
      <c r="B5" s="10" t="s">
        <v>15</v>
      </c>
      <c r="C5" s="4" t="s">
        <v>16</v>
      </c>
      <c r="D5" s="10" t="s">
        <v>15</v>
      </c>
      <c r="E5" s="11" t="s">
        <v>16</v>
      </c>
      <c r="F5" s="10" t="s">
        <v>15</v>
      </c>
      <c r="G5" s="4" t="s">
        <v>16</v>
      </c>
      <c r="H5" s="10" t="s">
        <v>15</v>
      </c>
      <c r="I5" s="11" t="s">
        <v>16</v>
      </c>
      <c r="J5" s="10" t="s">
        <v>15</v>
      </c>
      <c r="K5" s="11" t="s">
        <v>16</v>
      </c>
      <c r="L5" s="10" t="s">
        <v>15</v>
      </c>
      <c r="M5" s="11" t="s">
        <v>16</v>
      </c>
      <c r="N5" s="10" t="s">
        <v>15</v>
      </c>
      <c r="O5" s="11" t="s">
        <v>16</v>
      </c>
      <c r="P5" s="10" t="s">
        <v>15</v>
      </c>
      <c r="Q5" s="11" t="s">
        <v>16</v>
      </c>
      <c r="R5" s="10" t="s">
        <v>15</v>
      </c>
      <c r="S5" s="11" t="s">
        <v>16</v>
      </c>
      <c r="T5" s="10" t="s">
        <v>15</v>
      </c>
      <c r="U5" s="11" t="s">
        <v>16</v>
      </c>
      <c r="V5" s="10" t="s">
        <v>15</v>
      </c>
      <c r="W5" s="11" t="s">
        <v>16</v>
      </c>
      <c r="X5" s="10" t="s">
        <v>15</v>
      </c>
      <c r="Y5" s="11" t="s">
        <v>16</v>
      </c>
      <c r="Z5" s="10" t="s">
        <v>15</v>
      </c>
      <c r="AA5" s="11" t="s">
        <v>16</v>
      </c>
    </row>
    <row r="6" spans="1:28" x14ac:dyDescent="0.25">
      <c r="A6" s="12" t="s">
        <v>17</v>
      </c>
      <c r="B6" s="6">
        <v>95748690.590000004</v>
      </c>
      <c r="C6" s="8">
        <v>4.1416999999999999E-3</v>
      </c>
      <c r="D6" s="1">
        <v>1464439667.4400001</v>
      </c>
      <c r="E6" s="8">
        <v>5.3815900000000003E-3</v>
      </c>
      <c r="F6" s="1">
        <v>735462493.30999994</v>
      </c>
      <c r="G6" s="8">
        <v>6.1596379999999999E-2</v>
      </c>
      <c r="H6" s="1">
        <v>14369413817.280001</v>
      </c>
      <c r="I6" s="8">
        <v>3.6179349999999999E-2</v>
      </c>
      <c r="J6" s="1">
        <v>7521139930.46</v>
      </c>
      <c r="K6" s="8">
        <v>3.6522760000000001E-2</v>
      </c>
      <c r="L6" s="1">
        <v>2646452167.4899998</v>
      </c>
      <c r="M6" s="8">
        <v>0.25256115000000001</v>
      </c>
      <c r="N6" s="1">
        <v>10943409983.09</v>
      </c>
      <c r="O6" s="8">
        <v>4.2846629999999997E-2</v>
      </c>
      <c r="P6" s="3">
        <f t="shared" ref="P6:P12" si="0">+B6+D6+F6+H6+J6+L6+N6</f>
        <v>37776066749.660004</v>
      </c>
      <c r="Q6" s="2">
        <f t="shared" ref="Q6:Q12" si="1">+P6/$P$13</f>
        <v>3.2117918971792052E-2</v>
      </c>
      <c r="R6" s="1">
        <v>200081062.71000001</v>
      </c>
      <c r="S6" s="8">
        <v>8.9872800000000003E-3</v>
      </c>
      <c r="T6" s="1">
        <v>402673619.51999998</v>
      </c>
      <c r="U6" s="8">
        <v>1.4113860000000001E-2</v>
      </c>
      <c r="V6" s="3">
        <f t="shared" ref="V6:V12" si="2">R6+T6</f>
        <v>602754682.23000002</v>
      </c>
      <c r="W6" s="2">
        <f t="shared" ref="W6:W12" si="3">V6/$V$13</f>
        <v>1.1866869844334226E-2</v>
      </c>
      <c r="X6" s="1">
        <v>814838096.75</v>
      </c>
      <c r="Y6" s="8">
        <v>9.35333E-3</v>
      </c>
      <c r="Z6" s="3">
        <f t="shared" ref="Z6:Z12" si="4">P6+V6+X6</f>
        <v>39193659528.640007</v>
      </c>
      <c r="AA6" s="2">
        <f t="shared" ref="AA6:AA12" si="5">Z6/$Z$13</f>
        <v>2.9825967168511346E-2</v>
      </c>
      <c r="AB6" s="16"/>
    </row>
    <row r="7" spans="1:28" x14ac:dyDescent="0.25">
      <c r="A7" s="12" t="s">
        <v>18</v>
      </c>
      <c r="B7" s="1">
        <v>272746415.60000002</v>
      </c>
      <c r="C7" s="8">
        <v>1.17979E-2</v>
      </c>
      <c r="D7" s="6">
        <v>0</v>
      </c>
      <c r="E7" s="6">
        <v>0</v>
      </c>
      <c r="F7" s="1">
        <v>240687811.40000001</v>
      </c>
      <c r="G7" s="8">
        <v>2.0158059999999998E-2</v>
      </c>
      <c r="H7" s="1">
        <v>470602051.42000002</v>
      </c>
      <c r="I7" s="8">
        <v>1.1848799999999999E-3</v>
      </c>
      <c r="J7" s="6">
        <v>0</v>
      </c>
      <c r="K7" s="6">
        <v>0</v>
      </c>
      <c r="L7" s="6">
        <v>0</v>
      </c>
      <c r="M7" s="6">
        <v>0</v>
      </c>
      <c r="N7" s="1">
        <v>1489716654.97</v>
      </c>
      <c r="O7" s="8">
        <v>5.8326699999999999E-3</v>
      </c>
      <c r="P7" s="3">
        <f t="shared" si="0"/>
        <v>2473752933.3900003</v>
      </c>
      <c r="Q7" s="2">
        <f t="shared" si="1"/>
        <v>2.1032310430139744E-3</v>
      </c>
      <c r="R7" s="1">
        <v>64380118.100000001</v>
      </c>
      <c r="S7" s="8">
        <v>2.8918400000000001E-3</v>
      </c>
      <c r="T7" s="1">
        <v>399666592.13999999</v>
      </c>
      <c r="U7" s="8">
        <v>1.400846E-2</v>
      </c>
      <c r="V7" s="3">
        <f t="shared" si="2"/>
        <v>464046710.24000001</v>
      </c>
      <c r="W7" s="2">
        <f t="shared" si="3"/>
        <v>9.1360251101430222E-3</v>
      </c>
      <c r="X7" s="1">
        <v>94235120.069999993</v>
      </c>
      <c r="Y7" s="8">
        <v>1.0816999999999999E-3</v>
      </c>
      <c r="Z7" s="3">
        <f t="shared" si="4"/>
        <v>3032034763.7000003</v>
      </c>
      <c r="AA7" s="2">
        <f t="shared" si="5"/>
        <v>2.3073469128295824E-3</v>
      </c>
      <c r="AB7" s="16"/>
    </row>
    <row r="8" spans="1:28" x14ac:dyDescent="0.25">
      <c r="A8" s="12" t="s">
        <v>19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3">
        <f t="shared" si="0"/>
        <v>0</v>
      </c>
      <c r="Q8" s="20">
        <f t="shared" si="1"/>
        <v>0</v>
      </c>
      <c r="R8" s="6">
        <v>0</v>
      </c>
      <c r="S8" s="6">
        <v>0</v>
      </c>
      <c r="T8" s="6">
        <v>0</v>
      </c>
      <c r="U8" s="6">
        <v>0</v>
      </c>
      <c r="V8" s="19">
        <f t="shared" si="2"/>
        <v>0</v>
      </c>
      <c r="W8" s="19">
        <f t="shared" si="3"/>
        <v>0</v>
      </c>
      <c r="X8" s="6">
        <v>0</v>
      </c>
      <c r="Y8" s="6">
        <v>0</v>
      </c>
      <c r="Z8" s="3">
        <f t="shared" si="4"/>
        <v>0</v>
      </c>
      <c r="AA8" s="20">
        <f t="shared" si="5"/>
        <v>0</v>
      </c>
      <c r="AB8" s="16"/>
    </row>
    <row r="9" spans="1:28" x14ac:dyDescent="0.25">
      <c r="A9" s="12" t="s">
        <v>20</v>
      </c>
      <c r="B9" s="1">
        <v>16840640482.24</v>
      </c>
      <c r="C9" s="8">
        <v>0.72845784999999996</v>
      </c>
      <c r="D9" s="1">
        <v>182650451135.51001</v>
      </c>
      <c r="E9" s="8">
        <v>0.67121198999999998</v>
      </c>
      <c r="F9" s="1">
        <v>8119547218.25</v>
      </c>
      <c r="G9" s="8">
        <v>0.68002746000000003</v>
      </c>
      <c r="H9" s="1">
        <v>261054208014.39999</v>
      </c>
      <c r="I9" s="8">
        <v>0.65728293000000004</v>
      </c>
      <c r="J9" s="1">
        <v>131003736716.56</v>
      </c>
      <c r="K9" s="8">
        <v>0.63615593999999998</v>
      </c>
      <c r="L9" s="1">
        <v>7784699202.1700001</v>
      </c>
      <c r="M9" s="8">
        <v>0.74292389000000003</v>
      </c>
      <c r="N9" s="1">
        <v>189976417648.54001</v>
      </c>
      <c r="O9" s="8">
        <v>0.74381280000000005</v>
      </c>
      <c r="P9" s="3">
        <f t="shared" si="0"/>
        <v>797429700417.67004</v>
      </c>
      <c r="Q9" s="2">
        <f t="shared" si="1"/>
        <v>0.67798965608153605</v>
      </c>
      <c r="R9" s="1">
        <v>15775947666.040001</v>
      </c>
      <c r="S9" s="8">
        <v>0.70862696999999997</v>
      </c>
      <c r="T9" s="1">
        <v>26439365790.93</v>
      </c>
      <c r="U9" s="8">
        <v>0.92670962999999995</v>
      </c>
      <c r="V9" s="3">
        <f t="shared" si="2"/>
        <v>42215313456.970001</v>
      </c>
      <c r="W9" s="2">
        <f t="shared" si="3"/>
        <v>0.8311235814514597</v>
      </c>
      <c r="X9" s="1">
        <v>55303376138.870003</v>
      </c>
      <c r="Y9" s="8">
        <v>0.63481434999999997</v>
      </c>
      <c r="Z9" s="3">
        <f t="shared" si="4"/>
        <v>894948390013.51001</v>
      </c>
      <c r="AA9" s="2">
        <f t="shared" si="5"/>
        <v>0.6810464146260663</v>
      </c>
      <c r="AB9" s="16"/>
    </row>
    <row r="10" spans="1:28" x14ac:dyDescent="0.25">
      <c r="A10" s="12" t="s">
        <v>21</v>
      </c>
      <c r="B10" s="1">
        <v>1946440005.27</v>
      </c>
      <c r="C10" s="8">
        <v>8.4195110000000004E-2</v>
      </c>
      <c r="D10" s="1">
        <v>44554602626.370003</v>
      </c>
      <c r="E10" s="8">
        <v>0.16373123000000001</v>
      </c>
      <c r="F10" s="1">
        <v>136515640.88999999</v>
      </c>
      <c r="G10" s="8">
        <v>1.143344E-2</v>
      </c>
      <c r="H10" s="1">
        <v>39399658473.540001</v>
      </c>
      <c r="I10" s="8">
        <v>9.9200559999999993E-2</v>
      </c>
      <c r="J10" s="1">
        <v>18045244034.5</v>
      </c>
      <c r="K10" s="8">
        <v>8.7627949999999996E-2</v>
      </c>
      <c r="L10" s="6">
        <v>0</v>
      </c>
      <c r="M10" s="6">
        <v>0</v>
      </c>
      <c r="N10" s="1">
        <v>24666999433.790001</v>
      </c>
      <c r="O10" s="8">
        <v>9.6578460000000005E-2</v>
      </c>
      <c r="P10" s="3">
        <f t="shared" si="0"/>
        <v>128749460214.36002</v>
      </c>
      <c r="Q10" s="2">
        <f t="shared" si="1"/>
        <v>0.10946520076402599</v>
      </c>
      <c r="R10" s="1">
        <v>68731085.629999995</v>
      </c>
      <c r="S10" s="8">
        <v>3.08728E-3</v>
      </c>
      <c r="T10" s="1">
        <v>349186188.75999999</v>
      </c>
      <c r="U10" s="8">
        <v>1.2239109999999999E-2</v>
      </c>
      <c r="V10" s="3">
        <f t="shared" si="2"/>
        <v>417917274.38999999</v>
      </c>
      <c r="W10" s="2">
        <f t="shared" si="3"/>
        <v>8.2278413541923175E-3</v>
      </c>
      <c r="X10" s="1">
        <v>8139897893.4200001</v>
      </c>
      <c r="Y10" s="8">
        <v>9.3435959999999998E-2</v>
      </c>
      <c r="Z10" s="3">
        <f t="shared" si="4"/>
        <v>137307275382.17001</v>
      </c>
      <c r="AA10" s="2">
        <f t="shared" si="5"/>
        <v>0.10448940815423911</v>
      </c>
      <c r="AB10" s="16"/>
    </row>
    <row r="11" spans="1:28" x14ac:dyDescent="0.25">
      <c r="A11" s="12" t="s">
        <v>22</v>
      </c>
      <c r="B11" s="1">
        <v>2552402202.9299998</v>
      </c>
      <c r="C11" s="8">
        <v>0.11040657</v>
      </c>
      <c r="D11" s="1">
        <v>6698005539.75</v>
      </c>
      <c r="E11" s="8">
        <v>2.4614130000000001E-2</v>
      </c>
      <c r="F11" s="1">
        <v>2227443238.5</v>
      </c>
      <c r="G11" s="8">
        <v>0.18655258999999999</v>
      </c>
      <c r="H11" s="1">
        <v>12202837687.41</v>
      </c>
      <c r="I11" s="8">
        <v>3.0724330000000001E-2</v>
      </c>
      <c r="J11" s="1">
        <v>5394596635.1400003</v>
      </c>
      <c r="K11" s="8">
        <v>2.6196239999999999E-2</v>
      </c>
      <c r="L11" s="1">
        <v>47309828.539999999</v>
      </c>
      <c r="M11" s="8">
        <v>4.5149600000000002E-3</v>
      </c>
      <c r="N11" s="1">
        <v>7390803337.4899998</v>
      </c>
      <c r="O11" s="8">
        <v>2.893714E-2</v>
      </c>
      <c r="P11" s="3">
        <f t="shared" si="0"/>
        <v>36513398469.760002</v>
      </c>
      <c r="Q11" s="2">
        <f t="shared" si="1"/>
        <v>3.1044374767975613E-2</v>
      </c>
      <c r="R11" s="1">
        <v>734630767.89999998</v>
      </c>
      <c r="S11" s="8">
        <v>3.2998279999999998E-2</v>
      </c>
      <c r="T11" s="1">
        <v>939474838.48000002</v>
      </c>
      <c r="U11" s="8">
        <v>3.2928939999999997E-2</v>
      </c>
      <c r="V11" s="3">
        <f t="shared" si="2"/>
        <v>1674105606.3800001</v>
      </c>
      <c r="W11" s="2">
        <f t="shared" si="3"/>
        <v>3.295933473810999E-2</v>
      </c>
      <c r="X11" s="1">
        <v>2844042449.9400001</v>
      </c>
      <c r="Y11" s="8">
        <v>3.2646090000000003E-2</v>
      </c>
      <c r="Z11" s="3">
        <f t="shared" si="4"/>
        <v>41031546526.080002</v>
      </c>
      <c r="AA11" s="2">
        <f t="shared" si="5"/>
        <v>3.1224580053971121E-2</v>
      </c>
      <c r="AB11" s="16"/>
    </row>
    <row r="12" spans="1:28" x14ac:dyDescent="0.25">
      <c r="A12" s="12" t="s">
        <v>23</v>
      </c>
      <c r="B12" s="1">
        <v>1410230817.1600001</v>
      </c>
      <c r="C12" s="8">
        <v>6.1000869999999999E-2</v>
      </c>
      <c r="D12" s="1">
        <v>36752864386.139999</v>
      </c>
      <c r="E12" s="8">
        <v>0.13506106000000001</v>
      </c>
      <c r="F12" s="1">
        <v>480371984.02999997</v>
      </c>
      <c r="G12" s="8">
        <v>4.023206E-2</v>
      </c>
      <c r="H12" s="1">
        <v>69675024851.970001</v>
      </c>
      <c r="I12" s="8">
        <v>0.17542795</v>
      </c>
      <c r="J12" s="1">
        <v>43965508894.559998</v>
      </c>
      <c r="K12" s="8">
        <v>0.21349710999999999</v>
      </c>
      <c r="L12" s="6">
        <v>0</v>
      </c>
      <c r="M12" s="6">
        <v>0</v>
      </c>
      <c r="N12" s="1">
        <v>20941565123.470001</v>
      </c>
      <c r="O12" s="8">
        <v>8.1992300000000004E-2</v>
      </c>
      <c r="P12" s="3">
        <f t="shared" si="0"/>
        <v>173225566057.32999</v>
      </c>
      <c r="Q12" s="2">
        <f t="shared" si="1"/>
        <v>0.14727961837165618</v>
      </c>
      <c r="R12" s="1">
        <v>5418926501.2799997</v>
      </c>
      <c r="S12" s="8">
        <v>0.24340835</v>
      </c>
      <c r="T12" s="6">
        <v>0</v>
      </c>
      <c r="U12" s="6">
        <v>0</v>
      </c>
      <c r="V12" s="3">
        <f t="shared" si="2"/>
        <v>5418926501.2799997</v>
      </c>
      <c r="W12" s="2">
        <f t="shared" si="3"/>
        <v>0.10668634750176081</v>
      </c>
      <c r="X12" s="1">
        <v>19921011734.580002</v>
      </c>
      <c r="Y12" s="8">
        <v>0.22866856999999999</v>
      </c>
      <c r="Z12" s="3">
        <f t="shared" si="4"/>
        <v>198565504293.19</v>
      </c>
      <c r="AA12" s="2">
        <f t="shared" si="5"/>
        <v>0.15110628308438254</v>
      </c>
      <c r="AB12" s="16"/>
    </row>
    <row r="13" spans="1:28" x14ac:dyDescent="0.25">
      <c r="A13" s="13" t="s">
        <v>24</v>
      </c>
      <c r="B13" s="3">
        <f t="shared" ref="B13:AA13" si="6">SUM(B6:B12)</f>
        <v>23118208613.790001</v>
      </c>
      <c r="C13" s="7">
        <f t="shared" si="6"/>
        <v>0.99999999999999989</v>
      </c>
      <c r="D13" s="3">
        <f t="shared" si="6"/>
        <v>272120363355.21002</v>
      </c>
      <c r="E13" s="7">
        <f t="shared" si="6"/>
        <v>1</v>
      </c>
      <c r="F13" s="3">
        <f t="shared" si="6"/>
        <v>11940028386.379999</v>
      </c>
      <c r="G13" s="7">
        <f t="shared" si="6"/>
        <v>0.99999999000000006</v>
      </c>
      <c r="H13" s="3">
        <f t="shared" si="6"/>
        <v>397171744896.0199</v>
      </c>
      <c r="I13" s="7">
        <f t="shared" si="6"/>
        <v>1</v>
      </c>
      <c r="J13" s="3">
        <f t="shared" si="6"/>
        <v>205930226211.22</v>
      </c>
      <c r="K13" s="7">
        <f t="shared" si="6"/>
        <v>1</v>
      </c>
      <c r="L13" s="3">
        <f t="shared" si="6"/>
        <v>10478461198.200001</v>
      </c>
      <c r="M13" s="7">
        <f t="shared" si="6"/>
        <v>1</v>
      </c>
      <c r="N13" s="3">
        <f>SUM(N6:N12)</f>
        <v>255408912181.35001</v>
      </c>
      <c r="O13" s="7">
        <f t="shared" si="6"/>
        <v>1</v>
      </c>
      <c r="P13" s="3">
        <f t="shared" si="6"/>
        <v>1176167944842.1702</v>
      </c>
      <c r="Q13" s="7">
        <f t="shared" si="6"/>
        <v>0.99999999999999989</v>
      </c>
      <c r="R13" s="3">
        <f t="shared" si="6"/>
        <v>22262697201.66</v>
      </c>
      <c r="S13" s="7">
        <f t="shared" si="6"/>
        <v>1</v>
      </c>
      <c r="T13" s="3">
        <f t="shared" si="6"/>
        <v>28530367029.829998</v>
      </c>
      <c r="U13" s="7">
        <f t="shared" si="6"/>
        <v>1</v>
      </c>
      <c r="V13" s="3">
        <f t="shared" si="6"/>
        <v>50793064231.489998</v>
      </c>
      <c r="W13" s="7">
        <f t="shared" si="6"/>
        <v>1</v>
      </c>
      <c r="X13" s="3">
        <f t="shared" si="6"/>
        <v>87117401433.630005</v>
      </c>
      <c r="Y13" s="7">
        <f t="shared" si="6"/>
        <v>0.99999999999999989</v>
      </c>
      <c r="Z13" s="3">
        <f>SUM(Z6:Z12)</f>
        <v>1314078410507.29</v>
      </c>
      <c r="AA13" s="7">
        <f t="shared" si="6"/>
        <v>1</v>
      </c>
    </row>
    <row r="14" spans="1:28" x14ac:dyDescent="0.25">
      <c r="B14" s="16"/>
      <c r="F14" s="16"/>
      <c r="H14" s="16"/>
      <c r="J14" s="16"/>
      <c r="L14" s="16"/>
      <c r="N14" s="16"/>
      <c r="P14" s="16"/>
      <c r="R14" s="16"/>
      <c r="T14" s="16"/>
      <c r="V14" s="16"/>
      <c r="X14" s="16"/>
      <c r="Z14" s="16"/>
    </row>
    <row r="15" spans="1:28" x14ac:dyDescent="0.25">
      <c r="A15" s="5" t="s">
        <v>25</v>
      </c>
      <c r="P15" s="16"/>
      <c r="R15" s="16"/>
      <c r="T15" s="16"/>
    </row>
    <row r="16" spans="1:28" x14ac:dyDescent="0.25">
      <c r="A16" s="5" t="s">
        <v>26</v>
      </c>
      <c r="L16" s="16"/>
      <c r="P16" s="16"/>
    </row>
    <row r="17" spans="1:26" ht="1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26" x14ac:dyDescent="0.25">
      <c r="B18" s="16"/>
      <c r="D18" s="17"/>
      <c r="F18" s="16"/>
      <c r="H18" s="16"/>
      <c r="J18" s="16"/>
      <c r="L18" s="16"/>
      <c r="N18" s="16"/>
      <c r="P18" s="16"/>
      <c r="R18" s="16"/>
      <c r="T18" s="16"/>
      <c r="V18" s="16"/>
      <c r="X18" s="16"/>
      <c r="Z18" s="16"/>
    </row>
    <row r="27" spans="1:26" x14ac:dyDescent="0.25">
      <c r="H27" s="9"/>
    </row>
    <row r="28" spans="1:26" x14ac:dyDescent="0.25">
      <c r="H28" s="9"/>
    </row>
  </sheetData>
  <mergeCells count="16">
    <mergeCell ref="Z4:AA4"/>
    <mergeCell ref="A1:W1"/>
    <mergeCell ref="A2:W2"/>
    <mergeCell ref="A4:A5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ABDD9-7A19-41D6-8206-E1D512D2AFE7}">
  <dimension ref="A1:AB28"/>
  <sheetViews>
    <sheetView showGridLines="0" topLeftCell="K1" zoomScaleNormal="100" workbookViewId="0">
      <selection activeCell="Z18" sqref="Z18"/>
    </sheetView>
  </sheetViews>
  <sheetFormatPr baseColWidth="10" defaultColWidth="9.140625" defaultRowHeight="15" x14ac:dyDescent="0.25"/>
  <cols>
    <col min="1" max="1" width="13.85546875" style="14" customWidth="1"/>
    <col min="2" max="2" width="17.28515625" style="14" customWidth="1"/>
    <col min="3" max="3" width="9.42578125" style="15" bestFit="1" customWidth="1"/>
    <col min="4" max="4" width="18.85546875" style="15" bestFit="1" customWidth="1"/>
    <col min="5" max="5" width="10.42578125" style="15" customWidth="1"/>
    <col min="6" max="6" width="18.85546875" style="14" customWidth="1"/>
    <col min="7" max="7" width="8.85546875" style="15" customWidth="1"/>
    <col min="8" max="8" width="19.42578125" style="14" customWidth="1"/>
    <col min="9" max="9" width="8.85546875" style="15" customWidth="1"/>
    <col min="10" max="10" width="17.85546875" style="14" bestFit="1" customWidth="1"/>
    <col min="11" max="11" width="8.85546875" style="14" customWidth="1"/>
    <col min="12" max="12" width="17.85546875" style="14" customWidth="1"/>
    <col min="13" max="13" width="8.85546875" style="14" customWidth="1"/>
    <col min="14" max="14" width="17.85546875" style="14" customWidth="1"/>
    <col min="15" max="15" width="8.85546875" style="14" customWidth="1"/>
    <col min="16" max="16" width="18.85546875" style="14" bestFit="1" customWidth="1"/>
    <col min="17" max="17" width="9.42578125" style="14" bestFit="1" customWidth="1"/>
    <col min="18" max="18" width="17.85546875" style="14" bestFit="1" customWidth="1"/>
    <col min="19" max="19" width="10.5703125" style="14" customWidth="1"/>
    <col min="20" max="20" width="19" style="14" bestFit="1" customWidth="1"/>
    <col min="21" max="21" width="9.140625" style="14" customWidth="1"/>
    <col min="22" max="22" width="19" style="14" bestFit="1" customWidth="1"/>
    <col min="23" max="23" width="9.42578125" style="14" customWidth="1"/>
    <col min="24" max="24" width="17.85546875" style="14" bestFit="1" customWidth="1"/>
    <col min="25" max="25" width="8.85546875" style="14" customWidth="1"/>
    <col min="26" max="26" width="18.5703125" style="14" customWidth="1"/>
    <col min="27" max="27" width="9.42578125" style="14" bestFit="1" customWidth="1"/>
    <col min="28" max="28" width="23" style="14" customWidth="1"/>
    <col min="29" max="16384" width="9.140625" style="14"/>
  </cols>
  <sheetData>
    <row r="1" spans="1:28" ht="18.600000000000001" customHeight="1" x14ac:dyDescent="0.3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/>
      <c r="Y1"/>
      <c r="Z1"/>
      <c r="AA1"/>
      <c r="AB1"/>
    </row>
    <row r="2" spans="1:28" x14ac:dyDescent="0.25">
      <c r="A2" s="26" t="s">
        <v>34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/>
      <c r="Y2"/>
      <c r="Z2"/>
      <c r="AA2"/>
      <c r="AB2"/>
    </row>
    <row r="3" spans="1:28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/>
      <c r="Y3"/>
      <c r="Z3"/>
      <c r="AA3"/>
      <c r="AB3"/>
    </row>
    <row r="4" spans="1:28" ht="33.75" customHeight="1" x14ac:dyDescent="0.25">
      <c r="A4" s="27" t="s">
        <v>1</v>
      </c>
      <c r="B4" s="23" t="s">
        <v>2</v>
      </c>
      <c r="C4" s="24"/>
      <c r="D4" s="23" t="s">
        <v>3</v>
      </c>
      <c r="E4" s="24"/>
      <c r="F4" s="23" t="s">
        <v>4</v>
      </c>
      <c r="G4" s="24"/>
      <c r="H4" s="23" t="s">
        <v>5</v>
      </c>
      <c r="I4" s="24"/>
      <c r="J4" s="23" t="s">
        <v>6</v>
      </c>
      <c r="K4" s="24"/>
      <c r="L4" s="23" t="s">
        <v>7</v>
      </c>
      <c r="M4" s="24"/>
      <c r="N4" s="23" t="s">
        <v>8</v>
      </c>
      <c r="O4" s="24"/>
      <c r="P4" s="23" t="s">
        <v>9</v>
      </c>
      <c r="Q4" s="24"/>
      <c r="R4" s="23" t="s">
        <v>10</v>
      </c>
      <c r="S4" s="24"/>
      <c r="T4" s="23" t="s">
        <v>11</v>
      </c>
      <c r="U4" s="24"/>
      <c r="V4" s="23" t="s">
        <v>12</v>
      </c>
      <c r="W4" s="24"/>
      <c r="X4" s="28" t="s">
        <v>13</v>
      </c>
      <c r="Y4" s="29"/>
      <c r="Z4" s="23" t="s">
        <v>14</v>
      </c>
      <c r="AA4" s="24"/>
    </row>
    <row r="5" spans="1:28" ht="31.5" customHeight="1" x14ac:dyDescent="0.25">
      <c r="A5" s="27"/>
      <c r="B5" s="10" t="s">
        <v>15</v>
      </c>
      <c r="C5" s="4" t="s">
        <v>16</v>
      </c>
      <c r="D5" s="10" t="s">
        <v>15</v>
      </c>
      <c r="E5" s="11" t="s">
        <v>16</v>
      </c>
      <c r="F5" s="10" t="s">
        <v>15</v>
      </c>
      <c r="G5" s="4" t="s">
        <v>16</v>
      </c>
      <c r="H5" s="10" t="s">
        <v>15</v>
      </c>
      <c r="I5" s="11" t="s">
        <v>16</v>
      </c>
      <c r="J5" s="10" t="s">
        <v>15</v>
      </c>
      <c r="K5" s="11" t="s">
        <v>16</v>
      </c>
      <c r="L5" s="10" t="s">
        <v>15</v>
      </c>
      <c r="M5" s="11" t="s">
        <v>16</v>
      </c>
      <c r="N5" s="10" t="s">
        <v>15</v>
      </c>
      <c r="O5" s="11" t="s">
        <v>16</v>
      </c>
      <c r="P5" s="10" t="s">
        <v>15</v>
      </c>
      <c r="Q5" s="11" t="s">
        <v>16</v>
      </c>
      <c r="R5" s="10" t="s">
        <v>15</v>
      </c>
      <c r="S5" s="11" t="s">
        <v>16</v>
      </c>
      <c r="T5" s="10" t="s">
        <v>15</v>
      </c>
      <c r="U5" s="11" t="s">
        <v>16</v>
      </c>
      <c r="V5" s="10" t="s">
        <v>15</v>
      </c>
      <c r="W5" s="11" t="s">
        <v>16</v>
      </c>
      <c r="X5" s="10" t="s">
        <v>15</v>
      </c>
      <c r="Y5" s="11" t="s">
        <v>16</v>
      </c>
      <c r="Z5" s="10" t="s">
        <v>15</v>
      </c>
      <c r="AA5" s="11" t="s">
        <v>16</v>
      </c>
    </row>
    <row r="6" spans="1:28" x14ac:dyDescent="0.25">
      <c r="A6" s="12" t="s">
        <v>17</v>
      </c>
      <c r="B6" s="6">
        <v>136852973.52000001</v>
      </c>
      <c r="C6" s="8">
        <v>5.8435500000000003E-3</v>
      </c>
      <c r="D6" s="1">
        <v>2025447125.78</v>
      </c>
      <c r="E6" s="8">
        <v>7.3820099999999996E-3</v>
      </c>
      <c r="F6" s="1">
        <v>1001840904.46</v>
      </c>
      <c r="G6" s="8">
        <v>8.2415450000000001E-2</v>
      </c>
      <c r="H6" s="1">
        <v>14732174713.16</v>
      </c>
      <c r="I6" s="8">
        <v>3.6972119999999997E-2</v>
      </c>
      <c r="J6" s="1">
        <v>7364617955.1899996</v>
      </c>
      <c r="K6" s="8">
        <v>3.5676159999999998E-2</v>
      </c>
      <c r="L6" s="1">
        <v>2478138826.5</v>
      </c>
      <c r="M6" s="8">
        <v>0.23509983000000001</v>
      </c>
      <c r="N6" s="1">
        <v>9276076271.7299995</v>
      </c>
      <c r="O6" s="8">
        <v>3.6210770000000003E-2</v>
      </c>
      <c r="P6" s="3">
        <f t="shared" ref="P6:P12" si="0">+B6+D6+F6+H6+J6+L6+N6</f>
        <v>37015148770.339996</v>
      </c>
      <c r="Q6" s="2">
        <f t="shared" ref="Q6:Q12" si="1">+P6/$P$13</f>
        <v>3.1327400943777471E-2</v>
      </c>
      <c r="R6" s="1">
        <v>1090411192.9200001</v>
      </c>
      <c r="S6" s="8">
        <v>4.905963E-2</v>
      </c>
      <c r="T6" s="1">
        <v>524210803.36000001</v>
      </c>
      <c r="U6" s="8">
        <v>1.8391920573880848E-2</v>
      </c>
      <c r="V6" s="3">
        <f t="shared" ref="V6:V12" si="2">R6+T6</f>
        <v>1614621996.2800002</v>
      </c>
      <c r="W6" s="2">
        <f t="shared" ref="W6:W12" si="3">V6/$V$13</f>
        <v>3.1828711376013848E-2</v>
      </c>
      <c r="X6" s="1">
        <v>1863745665.02</v>
      </c>
      <c r="Y6" s="8">
        <v>2.1277399999999998E-2</v>
      </c>
      <c r="Z6" s="3">
        <f t="shared" ref="Z6:Z12" si="4">P6+V6+X6</f>
        <v>40493516431.639992</v>
      </c>
      <c r="AA6" s="2">
        <f t="shared" ref="AA6:AA12" si="5">Z6/$Z$13</f>
        <v>3.0679708226518061E-2</v>
      </c>
      <c r="AB6" s="16"/>
    </row>
    <row r="7" spans="1:28" x14ac:dyDescent="0.25">
      <c r="A7" s="12" t="s">
        <v>18</v>
      </c>
      <c r="B7" s="1">
        <v>318561375.38</v>
      </c>
      <c r="C7" s="8">
        <v>1.3602400000000001E-2</v>
      </c>
      <c r="D7" s="6">
        <v>80356747.519999996</v>
      </c>
      <c r="E7" s="6">
        <v>2.9286999999999998E-4</v>
      </c>
      <c r="F7" s="1">
        <v>171050750.44999999</v>
      </c>
      <c r="G7" s="8">
        <v>1.407132E-2</v>
      </c>
      <c r="H7" s="1">
        <v>324211232.52999997</v>
      </c>
      <c r="I7" s="8">
        <v>8.1364999999999996E-4</v>
      </c>
      <c r="J7" s="6">
        <v>3123256.35</v>
      </c>
      <c r="K7" s="21">
        <v>1.5130000000000001E-5</v>
      </c>
      <c r="L7" s="6">
        <v>0</v>
      </c>
      <c r="M7" s="6">
        <v>0</v>
      </c>
      <c r="N7" s="1">
        <v>1472249532.52</v>
      </c>
      <c r="O7" s="8">
        <v>5.7471800000000002E-3</v>
      </c>
      <c r="P7" s="3">
        <f t="shared" si="0"/>
        <v>2369552894.75</v>
      </c>
      <c r="Q7" s="2">
        <f t="shared" si="1"/>
        <v>2.0054473926848933E-3</v>
      </c>
      <c r="R7" s="1">
        <v>50378825.770000003</v>
      </c>
      <c r="S7" s="8">
        <v>2.2666399999999999E-3</v>
      </c>
      <c r="T7" s="1">
        <v>411511193.72000003</v>
      </c>
      <c r="U7" s="8">
        <v>1.443785809382396E-2</v>
      </c>
      <c r="V7" s="3">
        <f t="shared" si="2"/>
        <v>461890019.49000001</v>
      </c>
      <c r="W7" s="2">
        <f t="shared" si="3"/>
        <v>9.1051429694874418E-3</v>
      </c>
      <c r="X7" s="1">
        <v>105996431.61</v>
      </c>
      <c r="Y7" s="8">
        <v>1.2101099999999999E-3</v>
      </c>
      <c r="Z7" s="3">
        <f t="shared" si="4"/>
        <v>2937439345.8499999</v>
      </c>
      <c r="AA7" s="2">
        <f t="shared" si="5"/>
        <v>2.2255360859042644E-3</v>
      </c>
      <c r="AB7" s="16"/>
    </row>
    <row r="8" spans="1:28" x14ac:dyDescent="0.25">
      <c r="A8" s="12" t="s">
        <v>19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3">
        <f t="shared" si="0"/>
        <v>0</v>
      </c>
      <c r="Q8" s="20">
        <f t="shared" si="1"/>
        <v>0</v>
      </c>
      <c r="R8" s="6">
        <v>0</v>
      </c>
      <c r="S8" s="6">
        <v>0</v>
      </c>
      <c r="T8" s="6">
        <v>0</v>
      </c>
      <c r="U8" s="6">
        <v>0</v>
      </c>
      <c r="V8" s="19">
        <f t="shared" si="2"/>
        <v>0</v>
      </c>
      <c r="W8" s="19">
        <f t="shared" si="3"/>
        <v>0</v>
      </c>
      <c r="X8" s="6">
        <v>0</v>
      </c>
      <c r="Y8" s="6">
        <v>0</v>
      </c>
      <c r="Z8" s="3">
        <v>0</v>
      </c>
      <c r="AA8" s="20">
        <f t="shared" si="5"/>
        <v>0</v>
      </c>
      <c r="AB8" s="16"/>
    </row>
    <row r="9" spans="1:28" x14ac:dyDescent="0.25">
      <c r="A9" s="12" t="s">
        <v>20</v>
      </c>
      <c r="B9" s="1">
        <v>17040237401.120001</v>
      </c>
      <c r="C9" s="8">
        <v>0.72760877000000002</v>
      </c>
      <c r="D9" s="1">
        <v>183980822727.73001</v>
      </c>
      <c r="E9" s="8">
        <v>0.67054239999999998</v>
      </c>
      <c r="F9" s="1">
        <v>8387880457.21</v>
      </c>
      <c r="G9" s="8">
        <v>0.69002068999999999</v>
      </c>
      <c r="H9" s="1">
        <v>259398402423.98001</v>
      </c>
      <c r="I9" s="8">
        <v>0.65099066000000005</v>
      </c>
      <c r="J9" s="1">
        <v>130645947910.86</v>
      </c>
      <c r="K9" s="8">
        <v>0.63288358</v>
      </c>
      <c r="L9" s="1">
        <v>8014951611.2200003</v>
      </c>
      <c r="M9" s="8">
        <v>0.76037456000000003</v>
      </c>
      <c r="N9" s="1">
        <v>191890425592.82001</v>
      </c>
      <c r="O9" s="8">
        <v>0.74907745999999997</v>
      </c>
      <c r="P9" s="3">
        <f t="shared" si="0"/>
        <v>799358668124.93994</v>
      </c>
      <c r="Q9" s="2">
        <f t="shared" si="1"/>
        <v>0.67652921374450359</v>
      </c>
      <c r="R9" s="1">
        <v>14906336899.85</v>
      </c>
      <c r="S9" s="8">
        <v>0.67066382999999996</v>
      </c>
      <c r="T9" s="1">
        <v>26272650901.48</v>
      </c>
      <c r="U9" s="8">
        <v>0.92177518194618391</v>
      </c>
      <c r="V9" s="3">
        <f t="shared" si="2"/>
        <v>41178987801.330002</v>
      </c>
      <c r="W9" s="2">
        <f t="shared" si="3"/>
        <v>0.81175291833298957</v>
      </c>
      <c r="X9" s="1">
        <v>54624281490.089996</v>
      </c>
      <c r="Y9" s="8">
        <v>0.62361659000000003</v>
      </c>
      <c r="Z9" s="3">
        <f t="shared" si="4"/>
        <v>895161937416.35986</v>
      </c>
      <c r="AA9" s="2">
        <f t="shared" si="5"/>
        <v>0.67821492119068794</v>
      </c>
      <c r="AB9" s="16"/>
    </row>
    <row r="10" spans="1:28" x14ac:dyDescent="0.25">
      <c r="A10" s="12" t="s">
        <v>21</v>
      </c>
      <c r="B10" s="1">
        <v>1956496151.2</v>
      </c>
      <c r="C10" s="8">
        <v>8.3541309999999994E-2</v>
      </c>
      <c r="D10" s="1">
        <v>44696281567.410004</v>
      </c>
      <c r="E10" s="8">
        <v>0.1629015</v>
      </c>
      <c r="F10" s="1">
        <v>174239690.97999999</v>
      </c>
      <c r="G10" s="8">
        <v>1.433366E-2</v>
      </c>
      <c r="H10" s="1">
        <v>39438070424.879997</v>
      </c>
      <c r="I10" s="8">
        <v>9.8974450000000005E-2</v>
      </c>
      <c r="J10" s="1">
        <v>18144682057.52</v>
      </c>
      <c r="K10" s="8">
        <v>8.7897649999999994E-2</v>
      </c>
      <c r="L10" s="6">
        <v>0</v>
      </c>
      <c r="M10" s="6">
        <v>0</v>
      </c>
      <c r="N10" s="1">
        <v>24595156186.169998</v>
      </c>
      <c r="O10" s="8">
        <v>9.6011449999999998E-2</v>
      </c>
      <c r="P10" s="3">
        <f t="shared" si="0"/>
        <v>129004926078.16</v>
      </c>
      <c r="Q10" s="2">
        <f t="shared" si="1"/>
        <v>0.10918202890518251</v>
      </c>
      <c r="R10" s="1">
        <v>68454210.829999998</v>
      </c>
      <c r="S10" s="8">
        <v>3.0798800000000001E-3</v>
      </c>
      <c r="T10" s="1">
        <v>345589849.75</v>
      </c>
      <c r="U10" s="8">
        <v>1.2125009685037744E-2</v>
      </c>
      <c r="V10" s="3">
        <f t="shared" si="2"/>
        <v>414044060.57999998</v>
      </c>
      <c r="W10" s="2">
        <f t="shared" si="3"/>
        <v>8.1619654207090719E-3</v>
      </c>
      <c r="X10" s="1">
        <v>8193968979.8000002</v>
      </c>
      <c r="Y10" s="8">
        <v>9.3546219999999999E-2</v>
      </c>
      <c r="Z10" s="3">
        <f t="shared" si="4"/>
        <v>137612939118.54001</v>
      </c>
      <c r="AA10" s="2">
        <f t="shared" si="5"/>
        <v>0.10426174835859799</v>
      </c>
      <c r="AB10" s="16"/>
    </row>
    <row r="11" spans="1:28" x14ac:dyDescent="0.25">
      <c r="A11" s="12" t="s">
        <v>22</v>
      </c>
      <c r="B11" s="1">
        <v>2570759910.1100001</v>
      </c>
      <c r="C11" s="8">
        <v>0.10977003</v>
      </c>
      <c r="D11" s="1">
        <v>6746786548.4499998</v>
      </c>
      <c r="E11" s="8">
        <v>2.4589550000000002E-2</v>
      </c>
      <c r="F11" s="1">
        <v>1939205563.55</v>
      </c>
      <c r="G11" s="8">
        <v>0.15952683000000001</v>
      </c>
      <c r="H11" s="1">
        <v>12243713405.540001</v>
      </c>
      <c r="I11" s="8">
        <v>3.0727029999999999E-2</v>
      </c>
      <c r="J11" s="1">
        <v>5395614884.4799995</v>
      </c>
      <c r="K11" s="8">
        <v>2.6137790000000001E-2</v>
      </c>
      <c r="L11" s="1">
        <v>47703537.799999997</v>
      </c>
      <c r="M11" s="8">
        <v>4.5256100000000002E-3</v>
      </c>
      <c r="N11" s="1">
        <v>7476584764.71</v>
      </c>
      <c r="O11" s="8">
        <v>2.9186139999999999E-2</v>
      </c>
      <c r="P11" s="3">
        <f t="shared" si="0"/>
        <v>36420368614.639999</v>
      </c>
      <c r="Q11" s="2">
        <f t="shared" si="1"/>
        <v>3.0824014707871088E-2</v>
      </c>
      <c r="R11" s="1">
        <v>729073485.05999994</v>
      </c>
      <c r="S11" s="8">
        <v>3.2802369999999997E-2</v>
      </c>
      <c r="T11" s="1">
        <v>948270134.55999994</v>
      </c>
      <c r="U11" s="8">
        <v>3.3270029701073546E-2</v>
      </c>
      <c r="V11" s="3">
        <f t="shared" si="2"/>
        <v>1677343619.6199999</v>
      </c>
      <c r="W11" s="2">
        <f t="shared" si="3"/>
        <v>3.3065129838615856E-2</v>
      </c>
      <c r="X11" s="1">
        <v>2853345514.5100002</v>
      </c>
      <c r="Y11" s="8">
        <v>3.2575140000000002E-2</v>
      </c>
      <c r="Z11" s="3">
        <f t="shared" si="4"/>
        <v>40951057748.770004</v>
      </c>
      <c r="AA11" s="2">
        <f t="shared" si="5"/>
        <v>3.1026362094794056E-2</v>
      </c>
      <c r="AB11" s="16"/>
    </row>
    <row r="12" spans="1:28" x14ac:dyDescent="0.25">
      <c r="A12" s="12" t="s">
        <v>23</v>
      </c>
      <c r="B12" s="1">
        <v>1396597552.4200001</v>
      </c>
      <c r="C12" s="8">
        <v>5.9633949999999998E-2</v>
      </c>
      <c r="D12" s="1">
        <v>36846424356.080002</v>
      </c>
      <c r="E12" s="8">
        <v>0.13429166000000001</v>
      </c>
      <c r="F12" s="1">
        <v>481766644.87</v>
      </c>
      <c r="G12" s="8">
        <v>3.9632059999999997E-2</v>
      </c>
      <c r="H12" s="1">
        <v>72330594622.080002</v>
      </c>
      <c r="I12" s="8">
        <v>0.18152209</v>
      </c>
      <c r="J12" s="1">
        <v>44875683471.440002</v>
      </c>
      <c r="K12" s="8">
        <v>0.21738969999999999</v>
      </c>
      <c r="L12" s="6">
        <v>0</v>
      </c>
      <c r="M12" s="6">
        <v>0</v>
      </c>
      <c r="N12" s="1">
        <v>21458510384.48</v>
      </c>
      <c r="O12" s="8">
        <v>8.3767010000000003E-2</v>
      </c>
      <c r="P12" s="3">
        <f t="shared" si="0"/>
        <v>177389577031.37003</v>
      </c>
      <c r="Q12" s="2">
        <f t="shared" si="1"/>
        <v>0.15013189430598048</v>
      </c>
      <c r="R12" s="1">
        <v>5381587721.3599997</v>
      </c>
      <c r="S12" s="8">
        <v>0.24212765</v>
      </c>
      <c r="T12" s="6">
        <v>0</v>
      </c>
      <c r="U12" s="6">
        <v>0</v>
      </c>
      <c r="V12" s="3">
        <f t="shared" si="2"/>
        <v>5381587721.3599997</v>
      </c>
      <c r="W12" s="2">
        <f t="shared" si="3"/>
        <v>0.10608613206218412</v>
      </c>
      <c r="X12" s="1">
        <v>19951395559.740002</v>
      </c>
      <c r="Y12" s="8">
        <v>0.22777454999999999</v>
      </c>
      <c r="Z12" s="3">
        <f t="shared" si="4"/>
        <v>202722560312.47</v>
      </c>
      <c r="AA12" s="2">
        <f t="shared" si="5"/>
        <v>0.15359172404349772</v>
      </c>
      <c r="AB12" s="16"/>
    </row>
    <row r="13" spans="1:28" x14ac:dyDescent="0.25">
      <c r="A13" s="13" t="s">
        <v>24</v>
      </c>
      <c r="B13" s="3">
        <f t="shared" ref="B13:AA13" si="6">SUM(B6:B12)</f>
        <v>23419505363.75</v>
      </c>
      <c r="C13" s="7">
        <f t="shared" si="6"/>
        <v>1.0000000099999999</v>
      </c>
      <c r="D13" s="3">
        <f t="shared" si="6"/>
        <v>274376119072.97003</v>
      </c>
      <c r="E13" s="7">
        <f t="shared" si="6"/>
        <v>0.99999999000000006</v>
      </c>
      <c r="F13" s="3">
        <f t="shared" si="6"/>
        <v>12155984011.52</v>
      </c>
      <c r="G13" s="7">
        <f t="shared" si="6"/>
        <v>1.0000000099999999</v>
      </c>
      <c r="H13" s="3">
        <f t="shared" si="6"/>
        <v>398467166822.16998</v>
      </c>
      <c r="I13" s="7">
        <f t="shared" si="6"/>
        <v>1.0000000000000002</v>
      </c>
      <c r="J13" s="3">
        <f t="shared" si="6"/>
        <v>206429669535.84</v>
      </c>
      <c r="K13" s="7">
        <f t="shared" si="6"/>
        <v>1.0000000099999999</v>
      </c>
      <c r="L13" s="3">
        <f t="shared" si="6"/>
        <v>10540793975.52</v>
      </c>
      <c r="M13" s="7">
        <f t="shared" si="6"/>
        <v>1</v>
      </c>
      <c r="N13" s="3">
        <f>SUM(N6:N12)</f>
        <v>256169002732.42999</v>
      </c>
      <c r="O13" s="7">
        <f t="shared" si="6"/>
        <v>1.0000000099999999</v>
      </c>
      <c r="P13" s="3">
        <f t="shared" si="6"/>
        <v>1181558241514.2</v>
      </c>
      <c r="Q13" s="7">
        <f t="shared" si="6"/>
        <v>1</v>
      </c>
      <c r="R13" s="3">
        <f t="shared" si="6"/>
        <v>22226242335.790001</v>
      </c>
      <c r="S13" s="7">
        <f t="shared" si="6"/>
        <v>1</v>
      </c>
      <c r="T13" s="3">
        <f t="shared" si="6"/>
        <v>28502232882.870003</v>
      </c>
      <c r="U13" s="7">
        <f t="shared" si="6"/>
        <v>0.99999999999999989</v>
      </c>
      <c r="V13" s="3">
        <f t="shared" si="6"/>
        <v>50728475218.660004</v>
      </c>
      <c r="W13" s="7">
        <f t="shared" si="6"/>
        <v>0.99999999999999978</v>
      </c>
      <c r="X13" s="3">
        <f t="shared" si="6"/>
        <v>87592733640.770004</v>
      </c>
      <c r="Y13" s="7">
        <f t="shared" si="6"/>
        <v>1.0000000099999999</v>
      </c>
      <c r="Z13" s="3">
        <f>SUM(Z6:Z12)</f>
        <v>1319879450373.6299</v>
      </c>
      <c r="AA13" s="7">
        <f t="shared" si="6"/>
        <v>1</v>
      </c>
    </row>
    <row r="14" spans="1:28" x14ac:dyDescent="0.25">
      <c r="B14" s="16"/>
      <c r="F14" s="16"/>
      <c r="H14" s="16"/>
      <c r="J14" s="16"/>
      <c r="L14" s="16"/>
      <c r="N14" s="16"/>
      <c r="P14" s="16"/>
      <c r="R14" s="16"/>
      <c r="T14" s="16"/>
      <c r="V14" s="16"/>
      <c r="X14" s="16"/>
      <c r="Z14" s="16"/>
    </row>
    <row r="15" spans="1:28" x14ac:dyDescent="0.25">
      <c r="A15" s="5" t="s">
        <v>25</v>
      </c>
      <c r="P15" s="16"/>
      <c r="R15" s="16"/>
      <c r="T15" s="16"/>
    </row>
    <row r="16" spans="1:28" x14ac:dyDescent="0.25">
      <c r="A16" s="5" t="s">
        <v>26</v>
      </c>
      <c r="L16" s="16"/>
      <c r="P16" s="16"/>
    </row>
    <row r="17" spans="1:26" ht="1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26" x14ac:dyDescent="0.25">
      <c r="B18" s="16"/>
      <c r="D18" s="17"/>
      <c r="F18" s="16"/>
      <c r="H18" s="16"/>
      <c r="J18" s="16"/>
      <c r="L18" s="16"/>
      <c r="N18" s="16"/>
      <c r="P18" s="16"/>
      <c r="R18" s="16"/>
      <c r="T18" s="16"/>
      <c r="V18" s="16"/>
      <c r="X18" s="16"/>
      <c r="Z18" s="16"/>
    </row>
    <row r="27" spans="1:26" x14ac:dyDescent="0.25">
      <c r="H27" s="9"/>
    </row>
    <row r="28" spans="1:26" x14ac:dyDescent="0.25">
      <c r="H28" s="9"/>
    </row>
  </sheetData>
  <mergeCells count="16">
    <mergeCell ref="Z4:AA4"/>
    <mergeCell ref="A1:W1"/>
    <mergeCell ref="A2:W2"/>
    <mergeCell ref="A4:A5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D22BE-0441-4FCC-AA32-C941F38D7559}">
  <dimension ref="A1:AB28"/>
  <sheetViews>
    <sheetView showGridLines="0" zoomScaleNormal="100" workbookViewId="0">
      <selection activeCell="B26" sqref="B26"/>
    </sheetView>
  </sheetViews>
  <sheetFormatPr baseColWidth="10" defaultColWidth="9.140625" defaultRowHeight="15" x14ac:dyDescent="0.25"/>
  <cols>
    <col min="1" max="1" width="13.85546875" style="14" customWidth="1"/>
    <col min="2" max="2" width="17.28515625" style="14" customWidth="1"/>
    <col min="3" max="3" width="9.42578125" style="15" bestFit="1" customWidth="1"/>
    <col min="4" max="4" width="18.85546875" style="15" bestFit="1" customWidth="1"/>
    <col min="5" max="5" width="10.42578125" style="15" customWidth="1"/>
    <col min="6" max="6" width="18.85546875" style="14" customWidth="1"/>
    <col min="7" max="7" width="8.85546875" style="15" customWidth="1"/>
    <col min="8" max="8" width="19.42578125" style="14" customWidth="1"/>
    <col min="9" max="9" width="8.85546875" style="15" customWidth="1"/>
    <col min="10" max="10" width="17.85546875" style="14" bestFit="1" customWidth="1"/>
    <col min="11" max="11" width="8.85546875" style="14" customWidth="1"/>
    <col min="12" max="12" width="17.85546875" style="14" customWidth="1"/>
    <col min="13" max="13" width="8.85546875" style="14" customWidth="1"/>
    <col min="14" max="14" width="17.85546875" style="14" customWidth="1"/>
    <col min="15" max="15" width="8.85546875" style="14" customWidth="1"/>
    <col min="16" max="16" width="18.85546875" style="14" bestFit="1" customWidth="1"/>
    <col min="17" max="17" width="9.42578125" style="14" bestFit="1" customWidth="1"/>
    <col min="18" max="18" width="17.85546875" style="14" bestFit="1" customWidth="1"/>
    <col min="19" max="19" width="10.5703125" style="14" customWidth="1"/>
    <col min="20" max="20" width="19" style="14" bestFit="1" customWidth="1"/>
    <col min="21" max="21" width="9.140625" style="14" customWidth="1"/>
    <col min="22" max="22" width="19" style="14" bestFit="1" customWidth="1"/>
    <col min="23" max="23" width="9.42578125" style="14" customWidth="1"/>
    <col min="24" max="24" width="17.85546875" style="14" bestFit="1" customWidth="1"/>
    <col min="25" max="25" width="8.85546875" style="14" customWidth="1"/>
    <col min="26" max="26" width="18.5703125" style="14" customWidth="1"/>
    <col min="27" max="27" width="9.42578125" style="14" bestFit="1" customWidth="1"/>
    <col min="28" max="28" width="23" style="14" customWidth="1"/>
    <col min="29" max="16384" width="9.140625" style="14"/>
  </cols>
  <sheetData>
    <row r="1" spans="1:28" ht="18.600000000000001" customHeight="1" x14ac:dyDescent="0.3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/>
      <c r="Y1"/>
      <c r="Z1"/>
      <c r="AA1"/>
      <c r="AB1"/>
    </row>
    <row r="2" spans="1:28" x14ac:dyDescent="0.25">
      <c r="A2" s="26" t="s">
        <v>35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/>
      <c r="Y2"/>
      <c r="Z2"/>
      <c r="AA2"/>
      <c r="AB2"/>
    </row>
    <row r="3" spans="1:28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/>
      <c r="Y3"/>
      <c r="Z3"/>
      <c r="AA3"/>
      <c r="AB3"/>
    </row>
    <row r="4" spans="1:28" ht="33.75" customHeight="1" x14ac:dyDescent="0.25">
      <c r="A4" s="27" t="s">
        <v>1</v>
      </c>
      <c r="B4" s="23" t="s">
        <v>2</v>
      </c>
      <c r="C4" s="24"/>
      <c r="D4" s="23" t="s">
        <v>3</v>
      </c>
      <c r="E4" s="24"/>
      <c r="F4" s="23" t="s">
        <v>4</v>
      </c>
      <c r="G4" s="24"/>
      <c r="H4" s="23" t="s">
        <v>5</v>
      </c>
      <c r="I4" s="24"/>
      <c r="J4" s="23" t="s">
        <v>6</v>
      </c>
      <c r="K4" s="24"/>
      <c r="L4" s="23" t="s">
        <v>7</v>
      </c>
      <c r="M4" s="24"/>
      <c r="N4" s="23" t="s">
        <v>8</v>
      </c>
      <c r="O4" s="24"/>
      <c r="P4" s="23" t="s">
        <v>9</v>
      </c>
      <c r="Q4" s="24"/>
      <c r="R4" s="23" t="s">
        <v>10</v>
      </c>
      <c r="S4" s="24"/>
      <c r="T4" s="23" t="s">
        <v>11</v>
      </c>
      <c r="U4" s="24"/>
      <c r="V4" s="23" t="s">
        <v>12</v>
      </c>
      <c r="W4" s="24"/>
      <c r="X4" s="28" t="s">
        <v>13</v>
      </c>
      <c r="Y4" s="29"/>
      <c r="Z4" s="23" t="s">
        <v>14</v>
      </c>
      <c r="AA4" s="24"/>
    </row>
    <row r="5" spans="1:28" ht="31.5" customHeight="1" x14ac:dyDescent="0.25">
      <c r="A5" s="27"/>
      <c r="B5" s="10" t="s">
        <v>15</v>
      </c>
      <c r="C5" s="4" t="s">
        <v>16</v>
      </c>
      <c r="D5" s="10" t="s">
        <v>15</v>
      </c>
      <c r="E5" s="11" t="s">
        <v>16</v>
      </c>
      <c r="F5" s="10" t="s">
        <v>15</v>
      </c>
      <c r="G5" s="4" t="s">
        <v>16</v>
      </c>
      <c r="H5" s="10" t="s">
        <v>15</v>
      </c>
      <c r="I5" s="11" t="s">
        <v>16</v>
      </c>
      <c r="J5" s="10" t="s">
        <v>15</v>
      </c>
      <c r="K5" s="11" t="s">
        <v>16</v>
      </c>
      <c r="L5" s="10" t="s">
        <v>15</v>
      </c>
      <c r="M5" s="11" t="s">
        <v>16</v>
      </c>
      <c r="N5" s="10" t="s">
        <v>15</v>
      </c>
      <c r="O5" s="11" t="s">
        <v>16</v>
      </c>
      <c r="P5" s="10" t="s">
        <v>15</v>
      </c>
      <c r="Q5" s="11" t="s">
        <v>16</v>
      </c>
      <c r="R5" s="10" t="s">
        <v>15</v>
      </c>
      <c r="S5" s="11" t="s">
        <v>16</v>
      </c>
      <c r="T5" s="10" t="s">
        <v>15</v>
      </c>
      <c r="U5" s="11" t="s">
        <v>16</v>
      </c>
      <c r="V5" s="10" t="s">
        <v>15</v>
      </c>
      <c r="W5" s="11" t="s">
        <v>16</v>
      </c>
      <c r="X5" s="10" t="s">
        <v>15</v>
      </c>
      <c r="Y5" s="11" t="s">
        <v>16</v>
      </c>
      <c r="Z5" s="10" t="s">
        <v>15</v>
      </c>
      <c r="AA5" s="11" t="s">
        <v>16</v>
      </c>
    </row>
    <row r="6" spans="1:28" x14ac:dyDescent="0.25">
      <c r="A6" s="12" t="s">
        <v>17</v>
      </c>
      <c r="B6" s="6">
        <v>158469575.84</v>
      </c>
      <c r="C6" s="8">
        <v>6.62394E-3</v>
      </c>
      <c r="D6" s="1">
        <v>4687442035.04</v>
      </c>
      <c r="E6" s="8">
        <v>1.6701299999999999E-2</v>
      </c>
      <c r="F6" s="1">
        <v>712670269.01999998</v>
      </c>
      <c r="G6" s="8">
        <v>5.7184350000000002E-2</v>
      </c>
      <c r="H6" s="1">
        <v>20055085393.110001</v>
      </c>
      <c r="I6" s="8">
        <v>4.9463890000000003E-2</v>
      </c>
      <c r="J6" s="1">
        <v>1944034279.6900001</v>
      </c>
      <c r="K6" s="8">
        <v>9.3047000000000008E-3</v>
      </c>
      <c r="L6" s="1">
        <v>2713233446.75</v>
      </c>
      <c r="M6" s="8">
        <v>0.25523262000000002</v>
      </c>
      <c r="N6" s="1">
        <v>12470553422.41</v>
      </c>
      <c r="O6" s="8">
        <v>4.7693180000000002E-2</v>
      </c>
      <c r="P6" s="3">
        <f t="shared" ref="P6:P12" si="0">+B6+D6+F6+H6+J6+L6+N6</f>
        <v>42741488421.860001</v>
      </c>
      <c r="Q6" s="2">
        <f t="shared" ref="Q6:Q12" si="1">+P6/$P$13</f>
        <v>3.5513314787913863E-2</v>
      </c>
      <c r="R6" s="1">
        <v>1094847235.29</v>
      </c>
      <c r="S6" s="8">
        <v>4.8961930000000001E-2</v>
      </c>
      <c r="T6" s="1">
        <v>797010526.37</v>
      </c>
      <c r="U6" s="8">
        <v>2.7756004513788676E-2</v>
      </c>
      <c r="V6" s="3">
        <f t="shared" ref="V6:V12" si="2">R6+T6</f>
        <v>1891857761.6599998</v>
      </c>
      <c r="W6" s="2">
        <f t="shared" ref="W6:W12" si="3">V6/$V$13</f>
        <v>3.703999506086611E-2</v>
      </c>
      <c r="X6" s="1">
        <v>1342184513.04</v>
      </c>
      <c r="Y6" s="8">
        <v>1.511475E-2</v>
      </c>
      <c r="Z6" s="3">
        <f t="shared" ref="Z6:Z12" si="4">P6+V6+X6</f>
        <v>45975530696.560005</v>
      </c>
      <c r="AA6" s="2">
        <f t="shared" ref="AA6:AA12" si="5">Z6/$Z$13</f>
        <v>3.4223009177751618E-2</v>
      </c>
      <c r="AB6" s="16"/>
    </row>
    <row r="7" spans="1:28" x14ac:dyDescent="0.25">
      <c r="A7" s="12" t="s">
        <v>18</v>
      </c>
      <c r="B7" s="1">
        <v>322725751.94</v>
      </c>
      <c r="C7" s="8">
        <v>1.348975E-2</v>
      </c>
      <c r="D7" s="6">
        <v>90278650.590000004</v>
      </c>
      <c r="E7" s="22">
        <v>3.2165999999999998E-4</v>
      </c>
      <c r="F7" s="1">
        <v>619426387.87</v>
      </c>
      <c r="G7" s="8">
        <v>4.9702499999999997E-2</v>
      </c>
      <c r="H7" s="1">
        <v>327816416.75999999</v>
      </c>
      <c r="I7" s="8">
        <v>8.0853000000000001E-4</v>
      </c>
      <c r="J7" s="6">
        <v>3152828.39</v>
      </c>
      <c r="K7" s="21">
        <v>1.509E-5</v>
      </c>
      <c r="L7" s="6">
        <v>0</v>
      </c>
      <c r="M7" s="6">
        <v>0</v>
      </c>
      <c r="N7" s="1">
        <v>1324268463.7</v>
      </c>
      <c r="O7" s="8">
        <v>5.0646199999999997E-3</v>
      </c>
      <c r="P7" s="3">
        <f t="shared" si="0"/>
        <v>2687668499.25</v>
      </c>
      <c r="Q7" s="2">
        <f t="shared" si="1"/>
        <v>2.2331467850943789E-3</v>
      </c>
      <c r="R7" s="1">
        <v>90973003.799999997</v>
      </c>
      <c r="S7" s="8">
        <v>4.0683400000000002E-3</v>
      </c>
      <c r="T7" s="1">
        <v>470979891.75</v>
      </c>
      <c r="U7" s="8">
        <v>1.6401941466012687E-2</v>
      </c>
      <c r="V7" s="3">
        <f t="shared" si="2"/>
        <v>561952895.54999995</v>
      </c>
      <c r="W7" s="2">
        <f t="shared" si="3"/>
        <v>1.1002271363861751E-2</v>
      </c>
      <c r="X7" s="1">
        <v>99139401.299999997</v>
      </c>
      <c r="Y7" s="8">
        <v>1.11644E-3</v>
      </c>
      <c r="Z7" s="3">
        <f t="shared" si="4"/>
        <v>3348760796.1000004</v>
      </c>
      <c r="AA7" s="2">
        <f t="shared" si="5"/>
        <v>2.4927318885217373E-3</v>
      </c>
      <c r="AB7" s="16"/>
    </row>
    <row r="8" spans="1:28" x14ac:dyDescent="0.25">
      <c r="A8" s="12" t="s">
        <v>19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19">
        <f t="shared" si="0"/>
        <v>0</v>
      </c>
      <c r="Q8" s="19">
        <f t="shared" si="1"/>
        <v>0</v>
      </c>
      <c r="R8" s="6">
        <v>0</v>
      </c>
      <c r="S8" s="6">
        <v>0</v>
      </c>
      <c r="T8" s="6">
        <v>0</v>
      </c>
      <c r="U8" s="6">
        <v>0</v>
      </c>
      <c r="V8" s="19">
        <f t="shared" si="2"/>
        <v>0</v>
      </c>
      <c r="W8" s="19">
        <f t="shared" si="3"/>
        <v>0</v>
      </c>
      <c r="X8" s="6">
        <v>0</v>
      </c>
      <c r="Y8" s="6">
        <v>0</v>
      </c>
      <c r="Z8" s="19">
        <v>0</v>
      </c>
      <c r="AA8" s="19">
        <f t="shared" si="5"/>
        <v>0</v>
      </c>
      <c r="AB8" s="16"/>
    </row>
    <row r="9" spans="1:28" x14ac:dyDescent="0.25">
      <c r="A9" s="12" t="s">
        <v>20</v>
      </c>
      <c r="B9" s="1">
        <v>17518511440.91</v>
      </c>
      <c r="C9" s="8">
        <v>0.73226367999999997</v>
      </c>
      <c r="D9" s="1">
        <v>184229403657.31</v>
      </c>
      <c r="E9" s="8">
        <v>0.65640723000000001</v>
      </c>
      <c r="F9" s="1">
        <v>8461235252.2700005</v>
      </c>
      <c r="G9" s="8">
        <v>0.67892582000000001</v>
      </c>
      <c r="H9" s="1">
        <v>259262105774.16</v>
      </c>
      <c r="I9" s="8">
        <v>0.63944444</v>
      </c>
      <c r="J9" s="1">
        <v>133827853766.17999</v>
      </c>
      <c r="K9" s="8">
        <v>0.64053784999999996</v>
      </c>
      <c r="L9" s="1">
        <v>7869125422.0799999</v>
      </c>
      <c r="M9" s="8">
        <v>0.74024500000000004</v>
      </c>
      <c r="N9" s="1">
        <v>193487759423.35001</v>
      </c>
      <c r="O9" s="8">
        <v>0.73998684999999997</v>
      </c>
      <c r="P9" s="3">
        <f t="shared" si="0"/>
        <v>804655994736.26001</v>
      </c>
      <c r="Q9" s="2">
        <f t="shared" si="1"/>
        <v>0.6685775973687349</v>
      </c>
      <c r="R9" s="1">
        <v>14916164364.959999</v>
      </c>
      <c r="S9" s="8">
        <v>0.66705581999999997</v>
      </c>
      <c r="T9" s="1">
        <v>26085604884.279999</v>
      </c>
      <c r="U9" s="8">
        <v>0.90843488631273439</v>
      </c>
      <c r="V9" s="3">
        <f t="shared" si="2"/>
        <v>41001769249.239998</v>
      </c>
      <c r="W9" s="2">
        <f t="shared" si="3"/>
        <v>0.8027587280906584</v>
      </c>
      <c r="X9" s="1">
        <v>54894821250.160004</v>
      </c>
      <c r="Y9" s="8">
        <v>0.61818720000000005</v>
      </c>
      <c r="Z9" s="3">
        <f t="shared" si="4"/>
        <v>900552585235.66003</v>
      </c>
      <c r="AA9" s="2">
        <f t="shared" si="5"/>
        <v>0.67034831186568411</v>
      </c>
      <c r="AB9" s="16"/>
    </row>
    <row r="10" spans="1:28" x14ac:dyDescent="0.25">
      <c r="A10" s="12" t="s">
        <v>21</v>
      </c>
      <c r="B10" s="1">
        <v>1965176713.1500001</v>
      </c>
      <c r="C10" s="8">
        <v>8.2143250000000001E-2</v>
      </c>
      <c r="D10" s="1">
        <v>44611626636.699997</v>
      </c>
      <c r="E10" s="8">
        <v>0.15895071</v>
      </c>
      <c r="F10" s="1">
        <v>252636612.63</v>
      </c>
      <c r="G10" s="8">
        <v>2.027145E-2</v>
      </c>
      <c r="H10" s="1">
        <v>39342330109.93</v>
      </c>
      <c r="I10" s="8">
        <v>9.7033980000000006E-2</v>
      </c>
      <c r="J10" s="1">
        <v>17999086448.939999</v>
      </c>
      <c r="K10" s="8">
        <v>8.6148699999999995E-2</v>
      </c>
      <c r="L10" s="6">
        <v>0</v>
      </c>
      <c r="M10" s="6">
        <v>0</v>
      </c>
      <c r="N10" s="1">
        <v>24606456886.560001</v>
      </c>
      <c r="O10" s="8">
        <v>9.4106490000000001E-2</v>
      </c>
      <c r="P10" s="3">
        <f t="shared" si="0"/>
        <v>128777313407.91</v>
      </c>
      <c r="Q10" s="2">
        <f t="shared" si="1"/>
        <v>0.10699929828035525</v>
      </c>
      <c r="R10" s="1">
        <v>68309751.650000006</v>
      </c>
      <c r="S10" s="8">
        <v>3.0548300000000001E-3</v>
      </c>
      <c r="T10" s="1">
        <v>415005680.47000003</v>
      </c>
      <c r="U10" s="8">
        <v>1.4452631626882413E-2</v>
      </c>
      <c r="V10" s="3">
        <f t="shared" si="2"/>
        <v>483315432.12</v>
      </c>
      <c r="W10" s="2">
        <f t="shared" si="3"/>
        <v>9.4626570672295997E-3</v>
      </c>
      <c r="X10" s="1">
        <v>8109978063.5799999</v>
      </c>
      <c r="Y10" s="8">
        <v>9.1328919999999994E-2</v>
      </c>
      <c r="Z10" s="3">
        <f t="shared" si="4"/>
        <v>137370606903.61</v>
      </c>
      <c r="AA10" s="2">
        <f t="shared" si="5"/>
        <v>0.10225516638065284</v>
      </c>
      <c r="AB10" s="16"/>
    </row>
    <row r="11" spans="1:28" x14ac:dyDescent="0.25">
      <c r="A11" s="12" t="s">
        <v>22</v>
      </c>
      <c r="B11" s="1">
        <v>2542949173.4499998</v>
      </c>
      <c r="C11" s="8">
        <v>0.10629381</v>
      </c>
      <c r="D11" s="1">
        <v>8008037713.6499996</v>
      </c>
      <c r="E11" s="8">
        <v>2.853255E-2</v>
      </c>
      <c r="F11" s="1">
        <v>1927972936.8599999</v>
      </c>
      <c r="G11" s="8">
        <v>0.15469970999999999</v>
      </c>
      <c r="H11" s="1">
        <v>13147600277.33</v>
      </c>
      <c r="I11" s="8">
        <v>3.2427259999999999E-2</v>
      </c>
      <c r="J11" s="1">
        <v>6392361516.04</v>
      </c>
      <c r="K11" s="8">
        <v>3.0595649999999999E-2</v>
      </c>
      <c r="L11" s="1">
        <v>48074811.780000001</v>
      </c>
      <c r="M11" s="8">
        <v>4.5223800000000003E-3</v>
      </c>
      <c r="N11" s="1">
        <v>7464252184.75</v>
      </c>
      <c r="O11" s="8">
        <v>2.8546760000000001E-2</v>
      </c>
      <c r="P11" s="3">
        <f t="shared" si="0"/>
        <v>39531248613.860001</v>
      </c>
      <c r="Q11" s="2">
        <f t="shared" si="1"/>
        <v>3.2845970690746483E-2</v>
      </c>
      <c r="R11" s="1">
        <v>733620225</v>
      </c>
      <c r="S11" s="8">
        <v>3.2807740000000002E-2</v>
      </c>
      <c r="T11" s="1">
        <v>946285771.60000002</v>
      </c>
      <c r="U11" s="8">
        <v>3.2954536080581728E-2</v>
      </c>
      <c r="V11" s="3">
        <f t="shared" si="2"/>
        <v>1679905996.5999999</v>
      </c>
      <c r="W11" s="2">
        <f t="shared" si="3"/>
        <v>3.289026853804565E-2</v>
      </c>
      <c r="X11" s="1">
        <v>2818198090.3200002</v>
      </c>
      <c r="Y11" s="8">
        <v>3.173658E-2</v>
      </c>
      <c r="Z11" s="3">
        <f t="shared" si="4"/>
        <v>44029352700.779999</v>
      </c>
      <c r="AA11" s="2">
        <f t="shared" si="5"/>
        <v>3.277432405325123E-2</v>
      </c>
      <c r="AB11" s="16"/>
    </row>
    <row r="12" spans="1:28" x14ac:dyDescent="0.25">
      <c r="A12" s="12" t="s">
        <v>23</v>
      </c>
      <c r="B12" s="1">
        <v>1415942167.28</v>
      </c>
      <c r="C12" s="8">
        <v>5.918557E-2</v>
      </c>
      <c r="D12" s="1">
        <v>39036485567.419998</v>
      </c>
      <c r="E12" s="8">
        <v>0.13908655</v>
      </c>
      <c r="F12" s="1">
        <v>488738571.43000001</v>
      </c>
      <c r="G12" s="8">
        <v>3.9216170000000002E-2</v>
      </c>
      <c r="H12" s="1">
        <v>73314057030.789993</v>
      </c>
      <c r="I12" s="8">
        <v>0.18082190000000001</v>
      </c>
      <c r="J12" s="1">
        <v>48763949198.169998</v>
      </c>
      <c r="K12" s="8">
        <v>0.23339800999999999</v>
      </c>
      <c r="L12" s="6">
        <v>0</v>
      </c>
      <c r="M12" s="6">
        <v>0</v>
      </c>
      <c r="N12" s="1">
        <v>22121300248.310001</v>
      </c>
      <c r="O12" s="8">
        <v>8.46021E-2</v>
      </c>
      <c r="P12" s="3">
        <f t="shared" si="0"/>
        <v>185140472783.39996</v>
      </c>
      <c r="Q12" s="2">
        <f t="shared" si="1"/>
        <v>0.15383067208715509</v>
      </c>
      <c r="R12" s="1">
        <v>5457278954.5600004</v>
      </c>
      <c r="S12" s="8">
        <v>0.24405133000000001</v>
      </c>
      <c r="T12" s="6">
        <v>0</v>
      </c>
      <c r="U12" s="6">
        <v>0</v>
      </c>
      <c r="V12" s="3">
        <f t="shared" si="2"/>
        <v>5457278954.5600004</v>
      </c>
      <c r="W12" s="2">
        <f t="shared" si="3"/>
        <v>0.10684607987933856</v>
      </c>
      <c r="X12" s="1">
        <v>21535351650.490002</v>
      </c>
      <c r="Y12" s="8">
        <v>0.24251611000000001</v>
      </c>
      <c r="Z12" s="3">
        <f t="shared" si="4"/>
        <v>212133103388.44995</v>
      </c>
      <c r="AA12" s="2">
        <f t="shared" si="5"/>
        <v>0.15790645663413849</v>
      </c>
      <c r="AB12" s="16"/>
    </row>
    <row r="13" spans="1:28" x14ac:dyDescent="0.25">
      <c r="A13" s="13" t="s">
        <v>24</v>
      </c>
      <c r="B13" s="3">
        <f t="shared" ref="B13:AA13" si="6">SUM(B6:B12)</f>
        <v>23923774822.57</v>
      </c>
      <c r="C13" s="7">
        <f t="shared" si="6"/>
        <v>1</v>
      </c>
      <c r="D13" s="3">
        <f t="shared" si="6"/>
        <v>280663274260.71002</v>
      </c>
      <c r="E13" s="7">
        <f t="shared" si="6"/>
        <v>1</v>
      </c>
      <c r="F13" s="3">
        <f t="shared" si="6"/>
        <v>12462680030.08</v>
      </c>
      <c r="G13" s="7">
        <f t="shared" si="6"/>
        <v>1</v>
      </c>
      <c r="H13" s="3">
        <f t="shared" si="6"/>
        <v>405448995002.08002</v>
      </c>
      <c r="I13" s="7">
        <f t="shared" si="6"/>
        <v>0.99999999999999989</v>
      </c>
      <c r="J13" s="3">
        <f t="shared" si="6"/>
        <v>208930438037.40997</v>
      </c>
      <c r="K13" s="7">
        <f t="shared" si="6"/>
        <v>1</v>
      </c>
      <c r="L13" s="3">
        <f t="shared" si="6"/>
        <v>10630433680.610001</v>
      </c>
      <c r="M13" s="7">
        <f t="shared" si="6"/>
        <v>1</v>
      </c>
      <c r="N13" s="3">
        <f>SUM(N6:N12)</f>
        <v>261474590629.08002</v>
      </c>
      <c r="O13" s="7">
        <f t="shared" si="6"/>
        <v>1</v>
      </c>
      <c r="P13" s="3">
        <f t="shared" si="6"/>
        <v>1203534186462.54</v>
      </c>
      <c r="Q13" s="7">
        <f t="shared" si="6"/>
        <v>0.99999999999999989</v>
      </c>
      <c r="R13" s="3">
        <f t="shared" si="6"/>
        <v>22361193535.259998</v>
      </c>
      <c r="S13" s="7">
        <f t="shared" si="6"/>
        <v>0.99999998999999995</v>
      </c>
      <c r="T13" s="3">
        <f t="shared" si="6"/>
        <v>28714886754.469997</v>
      </c>
      <c r="U13" s="7">
        <f t="shared" si="6"/>
        <v>0.99999999999999989</v>
      </c>
      <c r="V13" s="3">
        <f t="shared" si="6"/>
        <v>51076080289.729996</v>
      </c>
      <c r="W13" s="7">
        <f t="shared" si="6"/>
        <v>1</v>
      </c>
      <c r="X13" s="3">
        <f t="shared" si="6"/>
        <v>88799672968.889999</v>
      </c>
      <c r="Y13" s="7">
        <f t="shared" si="6"/>
        <v>1</v>
      </c>
      <c r="Z13" s="3">
        <f>SUM(Z6:Z12)</f>
        <v>1343409939721.1599</v>
      </c>
      <c r="AA13" s="7">
        <f t="shared" si="6"/>
        <v>1</v>
      </c>
    </row>
    <row r="14" spans="1:28" x14ac:dyDescent="0.25">
      <c r="B14" s="16"/>
      <c r="F14" s="16"/>
      <c r="H14" s="16"/>
      <c r="J14" s="16"/>
      <c r="L14" s="16"/>
      <c r="N14" s="16"/>
      <c r="P14" s="16"/>
      <c r="R14" s="16"/>
      <c r="T14" s="16"/>
      <c r="V14" s="16"/>
      <c r="X14" s="16"/>
      <c r="Z14" s="16"/>
    </row>
    <row r="15" spans="1:28" x14ac:dyDescent="0.25">
      <c r="A15" s="5" t="s">
        <v>25</v>
      </c>
      <c r="P15" s="16"/>
      <c r="R15" s="16"/>
      <c r="T15" s="16"/>
    </row>
    <row r="16" spans="1:28" x14ac:dyDescent="0.25">
      <c r="A16" s="5" t="s">
        <v>26</v>
      </c>
      <c r="L16" s="16"/>
      <c r="P16" s="16"/>
    </row>
    <row r="17" spans="1:26" ht="1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26" x14ac:dyDescent="0.25">
      <c r="B18" s="16"/>
      <c r="D18" s="17"/>
      <c r="F18" s="16"/>
      <c r="H18" s="16"/>
      <c r="J18" s="16"/>
      <c r="L18" s="16"/>
      <c r="N18" s="16"/>
      <c r="P18" s="16"/>
      <c r="R18" s="16"/>
      <c r="T18" s="16"/>
      <c r="V18" s="16"/>
      <c r="X18" s="16"/>
      <c r="Z18" s="16"/>
    </row>
    <row r="27" spans="1:26" x14ac:dyDescent="0.25">
      <c r="H27" s="9"/>
    </row>
    <row r="28" spans="1:26" x14ac:dyDescent="0.25">
      <c r="H28" s="9"/>
    </row>
  </sheetData>
  <mergeCells count="16">
    <mergeCell ref="Z4:AA4"/>
    <mergeCell ref="A1:W1"/>
    <mergeCell ref="A2:W2"/>
    <mergeCell ref="A4:A5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24375-2EEC-40D8-A5A1-FC532ABBAC93}">
  <dimension ref="A1:AB28"/>
  <sheetViews>
    <sheetView showGridLines="0" zoomScaleNormal="100" workbookViewId="0">
      <selection activeCell="V24" sqref="V24"/>
    </sheetView>
  </sheetViews>
  <sheetFormatPr baseColWidth="10" defaultColWidth="9.140625" defaultRowHeight="15" x14ac:dyDescent="0.25"/>
  <cols>
    <col min="1" max="1" width="13.85546875" style="14" customWidth="1"/>
    <col min="2" max="2" width="17.28515625" style="14" customWidth="1"/>
    <col min="3" max="3" width="9.42578125" style="15" bestFit="1" customWidth="1"/>
    <col min="4" max="4" width="18.85546875" style="15" bestFit="1" customWidth="1"/>
    <col min="5" max="5" width="10.42578125" style="15" customWidth="1"/>
    <col min="6" max="6" width="18.85546875" style="14" customWidth="1"/>
    <col min="7" max="7" width="8.85546875" style="15" customWidth="1"/>
    <col min="8" max="8" width="19.42578125" style="14" customWidth="1"/>
    <col min="9" max="9" width="8.85546875" style="15" customWidth="1"/>
    <col min="10" max="10" width="17.85546875" style="14" bestFit="1" customWidth="1"/>
    <col min="11" max="11" width="8.85546875" style="14" customWidth="1"/>
    <col min="12" max="12" width="17.85546875" style="14" customWidth="1"/>
    <col min="13" max="13" width="8.85546875" style="14" customWidth="1"/>
    <col min="14" max="14" width="17.85546875" style="14" customWidth="1"/>
    <col min="15" max="15" width="8.85546875" style="14" customWidth="1"/>
    <col min="16" max="16" width="18.85546875" style="14" bestFit="1" customWidth="1"/>
    <col min="17" max="17" width="9.42578125" style="14" bestFit="1" customWidth="1"/>
    <col min="18" max="18" width="17.85546875" style="14" bestFit="1" customWidth="1"/>
    <col min="19" max="19" width="10.5703125" style="14" customWidth="1"/>
    <col min="20" max="20" width="19" style="14" bestFit="1" customWidth="1"/>
    <col min="21" max="21" width="9.140625" style="14" customWidth="1"/>
    <col min="22" max="22" width="19" style="14" bestFit="1" customWidth="1"/>
    <col min="23" max="23" width="9.42578125" style="14" customWidth="1"/>
    <col min="24" max="24" width="17.85546875" style="14" bestFit="1" customWidth="1"/>
    <col min="25" max="25" width="8.85546875" style="14" customWidth="1"/>
    <col min="26" max="26" width="18.5703125" style="14" customWidth="1"/>
    <col min="27" max="27" width="9.42578125" style="14" bestFit="1" customWidth="1"/>
    <col min="28" max="28" width="23" style="14" customWidth="1"/>
    <col min="29" max="16384" width="9.140625" style="14"/>
  </cols>
  <sheetData>
    <row r="1" spans="1:28" ht="18.600000000000001" customHeight="1" x14ac:dyDescent="0.3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/>
      <c r="Y1"/>
      <c r="Z1"/>
      <c r="AA1"/>
      <c r="AB1"/>
    </row>
    <row r="2" spans="1:28" x14ac:dyDescent="0.25">
      <c r="A2" s="26" t="s">
        <v>36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/>
      <c r="Y2"/>
      <c r="Z2"/>
      <c r="AA2"/>
      <c r="AB2"/>
    </row>
    <row r="3" spans="1:28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/>
      <c r="Y3"/>
      <c r="Z3"/>
      <c r="AA3"/>
      <c r="AB3"/>
    </row>
    <row r="4" spans="1:28" ht="33.75" customHeight="1" x14ac:dyDescent="0.25">
      <c r="A4" s="27" t="s">
        <v>1</v>
      </c>
      <c r="B4" s="23" t="s">
        <v>2</v>
      </c>
      <c r="C4" s="24"/>
      <c r="D4" s="23" t="s">
        <v>3</v>
      </c>
      <c r="E4" s="24"/>
      <c r="F4" s="23" t="s">
        <v>4</v>
      </c>
      <c r="G4" s="24"/>
      <c r="H4" s="23" t="s">
        <v>5</v>
      </c>
      <c r="I4" s="24"/>
      <c r="J4" s="23" t="s">
        <v>6</v>
      </c>
      <c r="K4" s="24"/>
      <c r="L4" s="23" t="s">
        <v>7</v>
      </c>
      <c r="M4" s="24"/>
      <c r="N4" s="23" t="s">
        <v>8</v>
      </c>
      <c r="O4" s="24"/>
      <c r="P4" s="23" t="s">
        <v>9</v>
      </c>
      <c r="Q4" s="24"/>
      <c r="R4" s="23" t="s">
        <v>10</v>
      </c>
      <c r="S4" s="24"/>
      <c r="T4" s="23" t="s">
        <v>11</v>
      </c>
      <c r="U4" s="24"/>
      <c r="V4" s="23" t="s">
        <v>12</v>
      </c>
      <c r="W4" s="24"/>
      <c r="X4" s="28" t="s">
        <v>13</v>
      </c>
      <c r="Y4" s="29"/>
      <c r="Z4" s="23" t="s">
        <v>14</v>
      </c>
      <c r="AA4" s="24"/>
    </row>
    <row r="5" spans="1:28" ht="31.5" customHeight="1" x14ac:dyDescent="0.25">
      <c r="A5" s="27"/>
      <c r="B5" s="10" t="s">
        <v>15</v>
      </c>
      <c r="C5" s="4" t="s">
        <v>16</v>
      </c>
      <c r="D5" s="10" t="s">
        <v>15</v>
      </c>
      <c r="E5" s="11" t="s">
        <v>16</v>
      </c>
      <c r="F5" s="10" t="s">
        <v>15</v>
      </c>
      <c r="G5" s="4" t="s">
        <v>16</v>
      </c>
      <c r="H5" s="10" t="s">
        <v>15</v>
      </c>
      <c r="I5" s="11" t="s">
        <v>16</v>
      </c>
      <c r="J5" s="10" t="s">
        <v>15</v>
      </c>
      <c r="K5" s="11" t="s">
        <v>16</v>
      </c>
      <c r="L5" s="10" t="s">
        <v>15</v>
      </c>
      <c r="M5" s="11" t="s">
        <v>16</v>
      </c>
      <c r="N5" s="10" t="s">
        <v>15</v>
      </c>
      <c r="O5" s="11" t="s">
        <v>16</v>
      </c>
      <c r="P5" s="10" t="s">
        <v>15</v>
      </c>
      <c r="Q5" s="11" t="s">
        <v>16</v>
      </c>
      <c r="R5" s="10" t="s">
        <v>15</v>
      </c>
      <c r="S5" s="11" t="s">
        <v>16</v>
      </c>
      <c r="T5" s="10" t="s">
        <v>15</v>
      </c>
      <c r="U5" s="11" t="s">
        <v>16</v>
      </c>
      <c r="V5" s="10" t="s">
        <v>15</v>
      </c>
      <c r="W5" s="11" t="s">
        <v>16</v>
      </c>
      <c r="X5" s="10" t="s">
        <v>15</v>
      </c>
      <c r="Y5" s="11" t="s">
        <v>16</v>
      </c>
      <c r="Z5" s="10" t="s">
        <v>15</v>
      </c>
      <c r="AA5" s="11" t="s">
        <v>16</v>
      </c>
    </row>
    <row r="6" spans="1:28" x14ac:dyDescent="0.25">
      <c r="A6" s="12" t="s">
        <v>17</v>
      </c>
      <c r="B6" s="6">
        <v>159957261.84</v>
      </c>
      <c r="C6" s="8">
        <v>6.6151700000000001E-3</v>
      </c>
      <c r="D6" s="1">
        <v>5557729185.0799999</v>
      </c>
      <c r="E6" s="8">
        <v>1.9447820000000001E-2</v>
      </c>
      <c r="F6" s="1">
        <v>716317078.27999997</v>
      </c>
      <c r="G6" s="8">
        <v>5.6075890000000003E-2</v>
      </c>
      <c r="H6" s="1">
        <v>18405674558.639999</v>
      </c>
      <c r="I6" s="8">
        <v>4.4901730000000001E-2</v>
      </c>
      <c r="J6" s="1">
        <v>2460742509.3000002</v>
      </c>
      <c r="K6" s="8">
        <v>1.163351E-2</v>
      </c>
      <c r="L6" s="1">
        <v>2127651430.8499999</v>
      </c>
      <c r="M6" s="8">
        <v>0.19917081</v>
      </c>
      <c r="N6" s="1">
        <v>11544130309.58</v>
      </c>
      <c r="O6" s="8">
        <v>4.3490569999999999E-2</v>
      </c>
      <c r="P6" s="3">
        <f t="shared" ref="P6:P12" si="0">+B6+D6+F6+H6+J6+L6+N6</f>
        <v>40972202333.57</v>
      </c>
      <c r="Q6" s="2">
        <f t="shared" ref="Q6:Q12" si="1">+P6/$P$13</f>
        <v>3.3575962583829486E-2</v>
      </c>
      <c r="R6" s="1">
        <v>906152568.14999998</v>
      </c>
      <c r="S6" s="8">
        <v>4.0227930000000002E-2</v>
      </c>
      <c r="T6" s="1">
        <v>879442767.32000005</v>
      </c>
      <c r="U6" s="8">
        <v>3.0421139999999999E-2</v>
      </c>
      <c r="V6" s="3">
        <f t="shared" ref="V6:V12" si="2">R6+T6</f>
        <v>1785595335.47</v>
      </c>
      <c r="W6" s="2">
        <f t="shared" ref="W6:W12" si="3">V6/$V$13</f>
        <v>3.4716133056577031E-2</v>
      </c>
      <c r="X6" s="1">
        <v>2066899714.9200001</v>
      </c>
      <c r="Y6" s="8">
        <v>2.2935520000000001E-2</v>
      </c>
      <c r="Z6" s="3">
        <f t="shared" ref="Z6:Z12" si="4">P6+V6+X6</f>
        <v>44824697383.959999</v>
      </c>
      <c r="AA6" s="2">
        <f t="shared" ref="AA6:AA12" si="5">Z6/$Z$13</f>
        <v>3.2914906249796969E-2</v>
      </c>
      <c r="AB6" s="16"/>
    </row>
    <row r="7" spans="1:28" x14ac:dyDescent="0.25">
      <c r="A7" s="12" t="s">
        <v>18</v>
      </c>
      <c r="B7" s="1">
        <v>265196724.50999999</v>
      </c>
      <c r="C7" s="8">
        <v>1.096744E-2</v>
      </c>
      <c r="D7" s="6">
        <v>90229497.469999999</v>
      </c>
      <c r="E7" s="22">
        <v>3.1573000000000001E-4</v>
      </c>
      <c r="F7" s="1">
        <v>543260698.27999997</v>
      </c>
      <c r="G7" s="8">
        <v>4.2528410000000003E-2</v>
      </c>
      <c r="H7" s="1">
        <v>327722042.85000002</v>
      </c>
      <c r="I7" s="8">
        <v>7.9949999999999997E-4</v>
      </c>
      <c r="J7" s="6">
        <v>3185784.66</v>
      </c>
      <c r="K7" s="21">
        <v>1.506E-5</v>
      </c>
      <c r="L7" s="6">
        <v>0</v>
      </c>
      <c r="M7" s="6">
        <v>0</v>
      </c>
      <c r="N7" s="1">
        <v>1215229909.95</v>
      </c>
      <c r="O7" s="8">
        <v>4.5781700000000003E-3</v>
      </c>
      <c r="P7" s="3">
        <f t="shared" si="0"/>
        <v>2444824657.7200003</v>
      </c>
      <c r="Q7" s="2">
        <f t="shared" si="1"/>
        <v>2.0034886229284617E-3</v>
      </c>
      <c r="R7" s="1">
        <v>86678635.079999998</v>
      </c>
      <c r="S7" s="8">
        <v>3.8480300000000001E-3</v>
      </c>
      <c r="T7" s="1">
        <v>476741715.25999999</v>
      </c>
      <c r="U7" s="8">
        <v>1.649115E-2</v>
      </c>
      <c r="V7" s="3">
        <f t="shared" si="2"/>
        <v>563420350.34000003</v>
      </c>
      <c r="W7" s="2">
        <f t="shared" si="3"/>
        <v>1.0954204158490485E-2</v>
      </c>
      <c r="X7" s="1">
        <v>98184190.010000005</v>
      </c>
      <c r="Y7" s="8">
        <v>1.0895099999999999E-3</v>
      </c>
      <c r="Z7" s="3">
        <f t="shared" si="4"/>
        <v>3106429198.0700006</v>
      </c>
      <c r="AA7" s="2">
        <f t="shared" si="5"/>
        <v>2.2810600359500534E-3</v>
      </c>
      <c r="AB7" s="16"/>
    </row>
    <row r="8" spans="1:28" x14ac:dyDescent="0.25">
      <c r="A8" s="12" t="s">
        <v>19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19">
        <f t="shared" si="0"/>
        <v>0</v>
      </c>
      <c r="Q8" s="19">
        <f t="shared" si="1"/>
        <v>0</v>
      </c>
      <c r="R8" s="6">
        <v>0</v>
      </c>
      <c r="S8" s="6">
        <v>0</v>
      </c>
      <c r="T8" s="6">
        <v>0</v>
      </c>
      <c r="U8" s="6">
        <v>0</v>
      </c>
      <c r="V8" s="19">
        <f t="shared" si="2"/>
        <v>0</v>
      </c>
      <c r="W8" s="19">
        <f t="shared" si="3"/>
        <v>0</v>
      </c>
      <c r="X8" s="6">
        <v>0</v>
      </c>
      <c r="Y8" s="6">
        <v>0</v>
      </c>
      <c r="Z8" s="19">
        <v>0</v>
      </c>
      <c r="AA8" s="19">
        <f t="shared" si="5"/>
        <v>0</v>
      </c>
      <c r="AB8" s="16"/>
    </row>
    <row r="9" spans="1:28" x14ac:dyDescent="0.25">
      <c r="A9" s="12" t="s">
        <v>20</v>
      </c>
      <c r="B9" s="1">
        <v>17693632709.290001</v>
      </c>
      <c r="C9" s="8">
        <v>0.73173546</v>
      </c>
      <c r="D9" s="1">
        <v>187626660504.5</v>
      </c>
      <c r="E9" s="8">
        <v>0.65655043999999996</v>
      </c>
      <c r="F9" s="1">
        <v>8889356815.6399994</v>
      </c>
      <c r="G9" s="8">
        <v>0.69589104000000002</v>
      </c>
      <c r="H9" s="1">
        <v>259596114029.82001</v>
      </c>
      <c r="I9" s="8">
        <v>0.63329999000000003</v>
      </c>
      <c r="J9" s="1">
        <v>134370826290.3</v>
      </c>
      <c r="K9" s="8">
        <v>0.63525734</v>
      </c>
      <c r="L9" s="1">
        <v>8506369969.2600002</v>
      </c>
      <c r="M9" s="8">
        <v>0.79628673999999999</v>
      </c>
      <c r="N9" s="1">
        <v>197442235924.56</v>
      </c>
      <c r="O9" s="8">
        <v>0.74383045000000003</v>
      </c>
      <c r="P9" s="3">
        <f t="shared" si="0"/>
        <v>814125196243.37012</v>
      </c>
      <c r="Q9" s="2">
        <f t="shared" si="1"/>
        <v>0.66716055205125391</v>
      </c>
      <c r="R9" s="1">
        <v>14982697809.07</v>
      </c>
      <c r="S9" s="8">
        <v>0.66514503999999997</v>
      </c>
      <c r="T9" s="1">
        <v>26174850728.57</v>
      </c>
      <c r="U9" s="8">
        <v>0.90542412000000005</v>
      </c>
      <c r="V9" s="3">
        <f t="shared" si="2"/>
        <v>41157548537.639999</v>
      </c>
      <c r="W9" s="2">
        <f t="shared" si="3"/>
        <v>0.80019862447677392</v>
      </c>
      <c r="X9" s="1">
        <v>55044763044.790001</v>
      </c>
      <c r="Y9" s="8">
        <v>0.61080864999999995</v>
      </c>
      <c r="Z9" s="3">
        <f t="shared" si="4"/>
        <v>910327507825.80017</v>
      </c>
      <c r="AA9" s="2">
        <f t="shared" si="5"/>
        <v>0.66845614862800096</v>
      </c>
      <c r="AB9" s="16"/>
    </row>
    <row r="10" spans="1:28" x14ac:dyDescent="0.25">
      <c r="A10" s="12" t="s">
        <v>21</v>
      </c>
      <c r="B10" s="1">
        <v>2031350919.05</v>
      </c>
      <c r="C10" s="8">
        <v>8.4020639999999994E-2</v>
      </c>
      <c r="D10" s="1">
        <v>44633600155.75</v>
      </c>
      <c r="E10" s="8">
        <v>0.15618361</v>
      </c>
      <c r="F10" s="1">
        <v>250744064.78999999</v>
      </c>
      <c r="G10" s="8">
        <v>1.9629150000000001E-2</v>
      </c>
      <c r="H10" s="1">
        <v>39564608855.910004</v>
      </c>
      <c r="I10" s="8">
        <v>9.6520190000000006E-2</v>
      </c>
      <c r="J10" s="1">
        <v>17971134652.48</v>
      </c>
      <c r="K10" s="8">
        <v>8.4967100000000004E-2</v>
      </c>
      <c r="L10" s="6">
        <v>0</v>
      </c>
      <c r="M10" s="6">
        <v>0</v>
      </c>
      <c r="N10" s="1">
        <v>25099199922.77</v>
      </c>
      <c r="O10" s="8">
        <v>9.4557020000000006E-2</v>
      </c>
      <c r="P10" s="3">
        <f t="shared" si="0"/>
        <v>129550638570.75</v>
      </c>
      <c r="Q10" s="2">
        <f t="shared" si="1"/>
        <v>0.10616435401615651</v>
      </c>
      <c r="R10" s="1">
        <v>68724221.769999996</v>
      </c>
      <c r="S10" s="8">
        <v>3.0509600000000001E-3</v>
      </c>
      <c r="T10" s="1">
        <v>423292760.58999997</v>
      </c>
      <c r="U10" s="8">
        <v>1.4642280000000001E-2</v>
      </c>
      <c r="V10" s="3">
        <f t="shared" si="2"/>
        <v>492016982.35999995</v>
      </c>
      <c r="W10" s="2">
        <f t="shared" si="3"/>
        <v>9.5659563431875084E-3</v>
      </c>
      <c r="X10" s="1">
        <v>8160468563.1899996</v>
      </c>
      <c r="Y10" s="8">
        <v>9.0553300000000003E-2</v>
      </c>
      <c r="Z10" s="3">
        <f t="shared" si="4"/>
        <v>138203124116.29999</v>
      </c>
      <c r="AA10" s="2">
        <f t="shared" si="5"/>
        <v>0.10148295781568077</v>
      </c>
      <c r="AB10" s="16"/>
    </row>
    <row r="11" spans="1:28" x14ac:dyDescent="0.25">
      <c r="A11" s="12" t="s">
        <v>22</v>
      </c>
      <c r="B11" s="1">
        <v>2798569597.4499998</v>
      </c>
      <c r="C11" s="8">
        <v>0.11573725999999999</v>
      </c>
      <c r="D11" s="1">
        <v>8514427303.3000002</v>
      </c>
      <c r="E11" s="8">
        <v>2.9794009999999999E-2</v>
      </c>
      <c r="F11" s="1">
        <v>1870663868.5699999</v>
      </c>
      <c r="G11" s="8">
        <v>0.14644234</v>
      </c>
      <c r="H11" s="1">
        <v>13199065928.33</v>
      </c>
      <c r="I11" s="8">
        <v>3.2199899999999997E-2</v>
      </c>
      <c r="J11" s="1">
        <v>6248414070.8900003</v>
      </c>
      <c r="K11" s="8">
        <v>2.954027E-2</v>
      </c>
      <c r="L11" s="1">
        <v>48524864.43</v>
      </c>
      <c r="M11" s="8">
        <v>4.54244E-3</v>
      </c>
      <c r="N11" s="1">
        <v>7707089456.21</v>
      </c>
      <c r="O11" s="8">
        <v>2.9035160000000001E-2</v>
      </c>
      <c r="P11" s="3">
        <f t="shared" si="0"/>
        <v>40386755089.18</v>
      </c>
      <c r="Q11" s="2">
        <f t="shared" si="1"/>
        <v>3.3096199387006184E-2</v>
      </c>
      <c r="R11" s="1">
        <v>744798928.79999995</v>
      </c>
      <c r="S11" s="8">
        <v>3.307512E-2</v>
      </c>
      <c r="T11" s="1">
        <v>954611039.90999997</v>
      </c>
      <c r="U11" s="8">
        <v>3.3021309999999998E-2</v>
      </c>
      <c r="V11" s="3">
        <f t="shared" si="2"/>
        <v>1699409968.71</v>
      </c>
      <c r="W11" s="2">
        <f t="shared" si="3"/>
        <v>3.304048874874594E-2</v>
      </c>
      <c r="X11" s="1">
        <v>2776241608.6999998</v>
      </c>
      <c r="Y11" s="8">
        <v>3.0806790000000001E-2</v>
      </c>
      <c r="Z11" s="3">
        <f t="shared" si="4"/>
        <v>44862406666.589996</v>
      </c>
      <c r="AA11" s="2">
        <f t="shared" si="5"/>
        <v>3.2942596286204391E-2</v>
      </c>
      <c r="AB11" s="16"/>
    </row>
    <row r="12" spans="1:28" x14ac:dyDescent="0.25">
      <c r="A12" s="12" t="s">
        <v>23</v>
      </c>
      <c r="B12" s="1">
        <v>1231361786.8599999</v>
      </c>
      <c r="C12" s="8">
        <v>5.0924030000000002E-2</v>
      </c>
      <c r="D12" s="1">
        <v>39353812326.190002</v>
      </c>
      <c r="E12" s="8">
        <v>0.13770837999999999</v>
      </c>
      <c r="F12" s="1">
        <v>503721619.86000001</v>
      </c>
      <c r="G12" s="8">
        <v>3.943315E-2</v>
      </c>
      <c r="H12" s="1">
        <v>78816996037.440002</v>
      </c>
      <c r="I12" s="8">
        <v>0.1922787</v>
      </c>
      <c r="J12" s="1">
        <v>50466309756.459999</v>
      </c>
      <c r="K12" s="8">
        <v>0.23858671000000001</v>
      </c>
      <c r="L12" s="6">
        <v>0</v>
      </c>
      <c r="M12" s="6">
        <v>0</v>
      </c>
      <c r="N12" s="1">
        <v>22431955462.200001</v>
      </c>
      <c r="O12" s="8">
        <v>8.4508620000000007E-2</v>
      </c>
      <c r="P12" s="3">
        <f t="shared" si="0"/>
        <v>192804156989.01001</v>
      </c>
      <c r="Q12" s="2">
        <f t="shared" si="1"/>
        <v>0.15799944333882548</v>
      </c>
      <c r="R12" s="1">
        <v>5736174392.25</v>
      </c>
      <c r="S12" s="8">
        <v>0.25465293</v>
      </c>
      <c r="T12" s="6">
        <v>0</v>
      </c>
      <c r="U12" s="6">
        <v>0</v>
      </c>
      <c r="V12" s="3">
        <f t="shared" si="2"/>
        <v>5736174392.25</v>
      </c>
      <c r="W12" s="2">
        <f t="shared" si="3"/>
        <v>0.11152459321622518</v>
      </c>
      <c r="X12" s="1">
        <v>21971294293.639999</v>
      </c>
      <c r="Y12" s="8">
        <v>0.24380624000000001</v>
      </c>
      <c r="Z12" s="3">
        <f t="shared" si="4"/>
        <v>220511625674.90002</v>
      </c>
      <c r="AA12" s="2">
        <f t="shared" si="5"/>
        <v>0.16192233098436692</v>
      </c>
      <c r="AB12" s="16"/>
    </row>
    <row r="13" spans="1:28" x14ac:dyDescent="0.25">
      <c r="A13" s="13" t="s">
        <v>24</v>
      </c>
      <c r="B13" s="3">
        <f t="shared" ref="B13:AA13" si="6">SUM(B6:B12)</f>
        <v>24180068999</v>
      </c>
      <c r="C13" s="7">
        <f t="shared" si="6"/>
        <v>0.99999999999999989</v>
      </c>
      <c r="D13" s="3">
        <f t="shared" si="6"/>
        <v>285776458972.28998</v>
      </c>
      <c r="E13" s="7">
        <f t="shared" si="6"/>
        <v>0.99999998999999995</v>
      </c>
      <c r="F13" s="3">
        <f t="shared" si="6"/>
        <v>12774064145.42</v>
      </c>
      <c r="G13" s="7">
        <f t="shared" si="6"/>
        <v>0.99999998000000001</v>
      </c>
      <c r="H13" s="3">
        <f t="shared" si="6"/>
        <v>409910181452.98999</v>
      </c>
      <c r="I13" s="7">
        <f t="shared" si="6"/>
        <v>1.0000000099999999</v>
      </c>
      <c r="J13" s="3">
        <f t="shared" si="6"/>
        <v>211520613064.09003</v>
      </c>
      <c r="K13" s="7">
        <f t="shared" si="6"/>
        <v>0.99999998999999995</v>
      </c>
      <c r="L13" s="3">
        <f t="shared" si="6"/>
        <v>10682546264.540001</v>
      </c>
      <c r="M13" s="7">
        <f t="shared" si="6"/>
        <v>0.99999999000000006</v>
      </c>
      <c r="N13" s="3">
        <f>SUM(N6:N12)</f>
        <v>265439840985.26999</v>
      </c>
      <c r="O13" s="7">
        <f t="shared" si="6"/>
        <v>0.99999999000000006</v>
      </c>
      <c r="P13" s="3">
        <f t="shared" si="6"/>
        <v>1220283773883.6001</v>
      </c>
      <c r="Q13" s="7">
        <f t="shared" si="6"/>
        <v>1</v>
      </c>
      <c r="R13" s="3">
        <f t="shared" si="6"/>
        <v>22525226555.119999</v>
      </c>
      <c r="S13" s="7">
        <f t="shared" si="6"/>
        <v>1.0000000099999999</v>
      </c>
      <c r="T13" s="3">
        <f t="shared" si="6"/>
        <v>28908939011.650002</v>
      </c>
      <c r="U13" s="7">
        <f t="shared" si="6"/>
        <v>1</v>
      </c>
      <c r="V13" s="3">
        <f t="shared" si="6"/>
        <v>51434165566.769997</v>
      </c>
      <c r="W13" s="7">
        <f t="shared" si="6"/>
        <v>1</v>
      </c>
      <c r="X13" s="3">
        <f t="shared" si="6"/>
        <v>90117851415.25</v>
      </c>
      <c r="Y13" s="7">
        <f t="shared" si="6"/>
        <v>1.0000000099999999</v>
      </c>
      <c r="Z13" s="3">
        <f>SUM(Z6:Z12)</f>
        <v>1361835790865.6201</v>
      </c>
      <c r="AA13" s="7">
        <f t="shared" si="6"/>
        <v>1</v>
      </c>
    </row>
    <row r="14" spans="1:28" x14ac:dyDescent="0.25">
      <c r="B14" s="16"/>
      <c r="F14" s="16"/>
      <c r="H14" s="16"/>
      <c r="J14" s="16"/>
      <c r="L14" s="16"/>
      <c r="N14" s="16"/>
      <c r="P14" s="16"/>
      <c r="R14" s="16"/>
      <c r="T14" s="16"/>
      <c r="V14" s="16"/>
      <c r="X14" s="16"/>
      <c r="Z14" s="16"/>
    </row>
    <row r="15" spans="1:28" x14ac:dyDescent="0.25">
      <c r="A15" s="5" t="s">
        <v>25</v>
      </c>
      <c r="P15" s="16"/>
      <c r="R15" s="16"/>
      <c r="T15" s="16"/>
    </row>
    <row r="16" spans="1:28" x14ac:dyDescent="0.25">
      <c r="A16" s="5" t="s">
        <v>26</v>
      </c>
      <c r="L16" s="16"/>
      <c r="P16" s="16"/>
    </row>
    <row r="17" spans="1:26" ht="1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26" x14ac:dyDescent="0.25">
      <c r="B18" s="16"/>
      <c r="D18" s="17"/>
      <c r="F18" s="16"/>
      <c r="H18" s="16"/>
      <c r="J18" s="16"/>
      <c r="L18" s="16"/>
      <c r="N18" s="16"/>
      <c r="P18" s="16"/>
      <c r="R18" s="16"/>
      <c r="T18" s="16"/>
      <c r="V18" s="16"/>
      <c r="X18" s="16"/>
      <c r="Z18" s="16"/>
    </row>
    <row r="27" spans="1:26" x14ac:dyDescent="0.25">
      <c r="H27" s="9"/>
    </row>
    <row r="28" spans="1:26" x14ac:dyDescent="0.25">
      <c r="H28" s="9"/>
    </row>
  </sheetData>
  <mergeCells count="16">
    <mergeCell ref="Z4:AA4"/>
    <mergeCell ref="A1:W1"/>
    <mergeCell ref="A2:W2"/>
    <mergeCell ref="A4:A5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3D64A-806A-4A68-B3C0-72C605D2EBDD}">
  <dimension ref="A1:AB28"/>
  <sheetViews>
    <sheetView showGridLines="0" topLeftCell="K1" zoomScaleNormal="100" workbookViewId="0">
      <selection activeCell="V24" sqref="V24"/>
    </sheetView>
  </sheetViews>
  <sheetFormatPr baseColWidth="10" defaultColWidth="9.140625" defaultRowHeight="15" x14ac:dyDescent="0.25"/>
  <cols>
    <col min="1" max="1" width="13.85546875" style="14" customWidth="1"/>
    <col min="2" max="2" width="17.28515625" style="14" customWidth="1"/>
    <col min="3" max="3" width="9.42578125" style="15" bestFit="1" customWidth="1"/>
    <col min="4" max="4" width="18.85546875" style="15" bestFit="1" customWidth="1"/>
    <col min="5" max="5" width="10.42578125" style="15" customWidth="1"/>
    <col min="6" max="6" width="18.85546875" style="14" customWidth="1"/>
    <col min="7" max="7" width="8.85546875" style="15" customWidth="1"/>
    <col min="8" max="8" width="19.42578125" style="14" customWidth="1"/>
    <col min="9" max="9" width="8.85546875" style="15" customWidth="1"/>
    <col min="10" max="10" width="17.85546875" style="14" bestFit="1" customWidth="1"/>
    <col min="11" max="11" width="8.85546875" style="14" customWidth="1"/>
    <col min="12" max="12" width="17.85546875" style="14" customWidth="1"/>
    <col min="13" max="13" width="8.85546875" style="14" customWidth="1"/>
    <col min="14" max="14" width="17.85546875" style="14" customWidth="1"/>
    <col min="15" max="15" width="8.85546875" style="14" customWidth="1"/>
    <col min="16" max="16" width="18.85546875" style="14" bestFit="1" customWidth="1"/>
    <col min="17" max="17" width="9.42578125" style="14" bestFit="1" customWidth="1"/>
    <col min="18" max="18" width="17.85546875" style="14" bestFit="1" customWidth="1"/>
    <col min="19" max="19" width="10.5703125" style="14" customWidth="1"/>
    <col min="20" max="20" width="19" style="14" bestFit="1" customWidth="1"/>
    <col min="21" max="21" width="9.140625" style="14" customWidth="1"/>
    <col min="22" max="22" width="19" style="14" bestFit="1" customWidth="1"/>
    <col min="23" max="23" width="9.42578125" style="14" customWidth="1"/>
    <col min="24" max="24" width="17.85546875" style="14" bestFit="1" customWidth="1"/>
    <col min="25" max="25" width="8.85546875" style="14" customWidth="1"/>
    <col min="26" max="26" width="18.5703125" style="14" customWidth="1"/>
    <col min="27" max="27" width="9.42578125" style="14" bestFit="1" customWidth="1"/>
    <col min="28" max="28" width="23" style="14" customWidth="1"/>
    <col min="29" max="16384" width="9.140625" style="14"/>
  </cols>
  <sheetData>
    <row r="1" spans="1:28" ht="18.600000000000001" customHeight="1" x14ac:dyDescent="0.3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/>
      <c r="Y1"/>
      <c r="Z1"/>
      <c r="AA1"/>
      <c r="AB1"/>
    </row>
    <row r="2" spans="1:28" x14ac:dyDescent="0.25">
      <c r="A2" s="26" t="s">
        <v>37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/>
      <c r="Y2"/>
      <c r="Z2"/>
      <c r="AA2"/>
      <c r="AB2"/>
    </row>
    <row r="3" spans="1:28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/>
      <c r="Y3"/>
      <c r="Z3"/>
      <c r="AA3"/>
      <c r="AB3"/>
    </row>
    <row r="4" spans="1:28" ht="33.75" customHeight="1" x14ac:dyDescent="0.25">
      <c r="A4" s="27" t="s">
        <v>1</v>
      </c>
      <c r="B4" s="23" t="s">
        <v>2</v>
      </c>
      <c r="C4" s="24"/>
      <c r="D4" s="23" t="s">
        <v>3</v>
      </c>
      <c r="E4" s="24"/>
      <c r="F4" s="23" t="s">
        <v>4</v>
      </c>
      <c r="G4" s="24"/>
      <c r="H4" s="23" t="s">
        <v>5</v>
      </c>
      <c r="I4" s="24"/>
      <c r="J4" s="23" t="s">
        <v>6</v>
      </c>
      <c r="K4" s="24"/>
      <c r="L4" s="23" t="s">
        <v>7</v>
      </c>
      <c r="M4" s="24"/>
      <c r="N4" s="23" t="s">
        <v>8</v>
      </c>
      <c r="O4" s="24"/>
      <c r="P4" s="23" t="s">
        <v>9</v>
      </c>
      <c r="Q4" s="24"/>
      <c r="R4" s="23" t="s">
        <v>10</v>
      </c>
      <c r="S4" s="24"/>
      <c r="T4" s="23" t="s">
        <v>11</v>
      </c>
      <c r="U4" s="24"/>
      <c r="V4" s="23" t="s">
        <v>12</v>
      </c>
      <c r="W4" s="24"/>
      <c r="X4" s="28" t="s">
        <v>13</v>
      </c>
      <c r="Y4" s="29"/>
      <c r="Z4" s="23" t="s">
        <v>14</v>
      </c>
      <c r="AA4" s="24"/>
    </row>
    <row r="5" spans="1:28" ht="31.5" customHeight="1" x14ac:dyDescent="0.25">
      <c r="A5" s="27"/>
      <c r="B5" s="10" t="s">
        <v>15</v>
      </c>
      <c r="C5" s="4" t="s">
        <v>16</v>
      </c>
      <c r="D5" s="10" t="s">
        <v>15</v>
      </c>
      <c r="E5" s="11" t="s">
        <v>16</v>
      </c>
      <c r="F5" s="10" t="s">
        <v>15</v>
      </c>
      <c r="G5" s="4" t="s">
        <v>16</v>
      </c>
      <c r="H5" s="10" t="s">
        <v>15</v>
      </c>
      <c r="I5" s="11" t="s">
        <v>16</v>
      </c>
      <c r="J5" s="10" t="s">
        <v>15</v>
      </c>
      <c r="K5" s="11" t="s">
        <v>16</v>
      </c>
      <c r="L5" s="10" t="s">
        <v>15</v>
      </c>
      <c r="M5" s="11" t="s">
        <v>16</v>
      </c>
      <c r="N5" s="10" t="s">
        <v>15</v>
      </c>
      <c r="O5" s="11" t="s">
        <v>16</v>
      </c>
      <c r="P5" s="10" t="s">
        <v>15</v>
      </c>
      <c r="Q5" s="11" t="s">
        <v>16</v>
      </c>
      <c r="R5" s="10" t="s">
        <v>15</v>
      </c>
      <c r="S5" s="11" t="s">
        <v>16</v>
      </c>
      <c r="T5" s="10" t="s">
        <v>15</v>
      </c>
      <c r="U5" s="11" t="s">
        <v>16</v>
      </c>
      <c r="V5" s="10" t="s">
        <v>15</v>
      </c>
      <c r="W5" s="11" t="s">
        <v>16</v>
      </c>
      <c r="X5" s="10" t="s">
        <v>15</v>
      </c>
      <c r="Y5" s="11" t="s">
        <v>16</v>
      </c>
      <c r="Z5" s="10" t="s">
        <v>15</v>
      </c>
      <c r="AA5" s="11" t="s">
        <v>16</v>
      </c>
    </row>
    <row r="6" spans="1:28" x14ac:dyDescent="0.25">
      <c r="A6" s="12" t="s">
        <v>17</v>
      </c>
      <c r="B6" s="6">
        <v>149245478.09</v>
      </c>
      <c r="C6" s="8">
        <v>6.1770599999999998E-3</v>
      </c>
      <c r="D6" s="1">
        <v>7670570630.25</v>
      </c>
      <c r="E6" s="8">
        <v>2.6379449999999999E-2</v>
      </c>
      <c r="F6" s="1">
        <v>715155827.54999995</v>
      </c>
      <c r="G6" s="8">
        <v>5.4105559999999997E-2</v>
      </c>
      <c r="H6" s="1">
        <v>19155601177.43</v>
      </c>
      <c r="I6" s="8">
        <v>4.6174859999999998E-2</v>
      </c>
      <c r="J6" s="1">
        <v>3093690541.3299999</v>
      </c>
      <c r="K6" s="8">
        <v>1.445398E-2</v>
      </c>
      <c r="L6" s="1">
        <v>1874410731.49</v>
      </c>
      <c r="M6" s="8">
        <v>0.17457995000000001</v>
      </c>
      <c r="N6" s="1">
        <v>12775617905.049999</v>
      </c>
      <c r="O6" s="8">
        <v>4.7355889999999998E-2</v>
      </c>
      <c r="P6" s="3">
        <f t="shared" ref="P6:P12" si="0">+B6+D6+F6+H6+J6+L6+N6</f>
        <v>45434292291.190002</v>
      </c>
      <c r="Q6" s="2">
        <f t="shared" ref="Q6:Q12" si="1">+P6/$P$13</f>
        <v>3.671281837933018E-2</v>
      </c>
      <c r="R6" s="1">
        <v>928805360.51999998</v>
      </c>
      <c r="S6" s="8">
        <f>+R6/$R$13</f>
        <v>4.0977021173916196E-2</v>
      </c>
      <c r="T6" s="1">
        <v>1106377818.6700001</v>
      </c>
      <c r="U6" s="8">
        <v>3.8011530000000002E-2</v>
      </c>
      <c r="V6" s="3">
        <f t="shared" ref="V6:V12" si="2">R6+T6</f>
        <v>2035183179.1900001</v>
      </c>
      <c r="W6" s="2">
        <f t="shared" ref="W6:W12" si="3">V6/$V$13</f>
        <v>3.9309843567192942E-2</v>
      </c>
      <c r="X6" s="1">
        <v>2002770694.52</v>
      </c>
      <c r="Y6" s="8">
        <v>2.1943210000000001E-2</v>
      </c>
      <c r="Z6" s="3">
        <f t="shared" ref="Z6:Z12" si="4">P6+V6+X6</f>
        <v>49472246164.900002</v>
      </c>
      <c r="AA6" s="2">
        <f t="shared" ref="AA6:AA12" si="5">Z6/$Z$13</f>
        <v>3.5833799360919717E-2</v>
      </c>
      <c r="AB6" s="16"/>
    </row>
    <row r="7" spans="1:28" x14ac:dyDescent="0.25">
      <c r="A7" s="12" t="s">
        <v>18</v>
      </c>
      <c r="B7" s="1">
        <v>73624768.579999998</v>
      </c>
      <c r="C7" s="8">
        <v>3.0472300000000002E-3</v>
      </c>
      <c r="D7" s="6">
        <v>241247743.66999999</v>
      </c>
      <c r="E7" s="22">
        <v>8.2965999999999997E-4</v>
      </c>
      <c r="F7" s="1">
        <v>609377353.65999997</v>
      </c>
      <c r="G7" s="8">
        <v>4.6102820000000003E-2</v>
      </c>
      <c r="H7" s="1">
        <v>330447558.94</v>
      </c>
      <c r="I7" s="8">
        <v>7.9655000000000004E-4</v>
      </c>
      <c r="J7" s="6">
        <v>0</v>
      </c>
      <c r="K7" s="21">
        <v>0</v>
      </c>
      <c r="L7" s="6">
        <v>0</v>
      </c>
      <c r="M7" s="6">
        <v>0</v>
      </c>
      <c r="N7" s="1">
        <v>1227310705.9000001</v>
      </c>
      <c r="O7" s="8">
        <v>4.5493199999999999E-3</v>
      </c>
      <c r="P7" s="3">
        <f t="shared" si="0"/>
        <v>2482008130.75</v>
      </c>
      <c r="Q7" s="2">
        <f t="shared" si="1"/>
        <v>2.0055669214839862E-3</v>
      </c>
      <c r="R7" s="1">
        <v>36452608.229999997</v>
      </c>
      <c r="S7" s="8">
        <f t="shared" ref="S7:S12" si="6">+R7/$R$13</f>
        <v>1.6082156313664141E-3</v>
      </c>
      <c r="T7" s="1">
        <v>499772511.83999997</v>
      </c>
      <c r="U7" s="8">
        <v>1.717055E-2</v>
      </c>
      <c r="V7" s="3">
        <f t="shared" si="2"/>
        <v>536225120.06999999</v>
      </c>
      <c r="W7" s="2">
        <f t="shared" si="3"/>
        <v>1.0357262089371402E-2</v>
      </c>
      <c r="X7" s="1">
        <v>126133836.01000001</v>
      </c>
      <c r="Y7" s="8">
        <v>1.3819800000000001E-3</v>
      </c>
      <c r="Z7" s="3">
        <f t="shared" si="4"/>
        <v>3144367086.8300004</v>
      </c>
      <c r="AA7" s="2">
        <f t="shared" si="5"/>
        <v>2.2775319101336305E-3</v>
      </c>
      <c r="AB7" s="16"/>
    </row>
    <row r="8" spans="1:28" x14ac:dyDescent="0.25">
      <c r="A8" s="12" t="s">
        <v>19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19">
        <f t="shared" si="0"/>
        <v>0</v>
      </c>
      <c r="Q8" s="19">
        <f t="shared" si="1"/>
        <v>0</v>
      </c>
      <c r="R8" s="6">
        <v>0</v>
      </c>
      <c r="S8" s="6">
        <f t="shared" si="6"/>
        <v>0</v>
      </c>
      <c r="T8" s="6">
        <v>0</v>
      </c>
      <c r="U8" s="6">
        <v>0</v>
      </c>
      <c r="V8" s="19">
        <f t="shared" si="2"/>
        <v>0</v>
      </c>
      <c r="W8" s="19">
        <f t="shared" si="3"/>
        <v>0</v>
      </c>
      <c r="X8" s="6">
        <v>0</v>
      </c>
      <c r="Y8" s="6">
        <v>0</v>
      </c>
      <c r="Z8" s="19">
        <v>0</v>
      </c>
      <c r="AA8" s="19">
        <f t="shared" si="5"/>
        <v>0</v>
      </c>
      <c r="AB8" s="16"/>
    </row>
    <row r="9" spans="1:28" x14ac:dyDescent="0.25">
      <c r="A9" s="12" t="s">
        <v>20</v>
      </c>
      <c r="B9" s="1">
        <v>17835339919.700001</v>
      </c>
      <c r="C9" s="8">
        <v>0.73818012</v>
      </c>
      <c r="D9" s="1">
        <v>189599267488.14999</v>
      </c>
      <c r="E9" s="8">
        <v>0.65204063000000001</v>
      </c>
      <c r="F9" s="1">
        <v>9251390875.0799999</v>
      </c>
      <c r="G9" s="8">
        <v>0.69991968999999998</v>
      </c>
      <c r="H9" s="1">
        <v>262838462900.13</v>
      </c>
      <c r="I9" s="8">
        <v>0.63357595</v>
      </c>
      <c r="J9" s="1">
        <v>135977004465.47</v>
      </c>
      <c r="K9" s="8">
        <v>0.63529577999999998</v>
      </c>
      <c r="L9" s="1">
        <v>8812744062.0699997</v>
      </c>
      <c r="M9" s="8">
        <v>0.82080646000000002</v>
      </c>
      <c r="N9" s="1">
        <v>200161834124.07001</v>
      </c>
      <c r="O9" s="8">
        <v>0.74194780999999999</v>
      </c>
      <c r="P9" s="3">
        <f t="shared" si="0"/>
        <v>824476043834.66992</v>
      </c>
      <c r="Q9" s="2">
        <f t="shared" si="1"/>
        <v>0.66621130712055188</v>
      </c>
      <c r="R9" s="1">
        <v>15105984537.129999</v>
      </c>
      <c r="S9" s="8">
        <f t="shared" si="6"/>
        <v>0.66644560264410502</v>
      </c>
      <c r="T9" s="1">
        <v>26103271200.5</v>
      </c>
      <c r="U9" s="8">
        <v>0.89682329000000005</v>
      </c>
      <c r="V9" s="3">
        <f t="shared" si="2"/>
        <v>41209255737.629997</v>
      </c>
      <c r="W9" s="2">
        <f t="shared" si="3"/>
        <v>0.79596245346888772</v>
      </c>
      <c r="X9" s="1">
        <v>55863808289.059998</v>
      </c>
      <c r="Y9" s="8">
        <v>0.61206769999999999</v>
      </c>
      <c r="Z9" s="3">
        <f t="shared" si="4"/>
        <v>921549107861.35986</v>
      </c>
      <c r="AA9" s="2">
        <f t="shared" si="5"/>
        <v>0.66749760506665046</v>
      </c>
      <c r="AB9" s="16"/>
    </row>
    <row r="10" spans="1:28" x14ac:dyDescent="0.25">
      <c r="A10" s="12" t="s">
        <v>21</v>
      </c>
      <c r="B10" s="1">
        <v>2039923226.4000001</v>
      </c>
      <c r="C10" s="8">
        <v>8.4429610000000002E-2</v>
      </c>
      <c r="D10" s="1">
        <v>44703332718.779999</v>
      </c>
      <c r="E10" s="8">
        <v>0.15373682</v>
      </c>
      <c r="F10" s="1">
        <v>251627664.88999999</v>
      </c>
      <c r="G10" s="8">
        <v>1.903705E-2</v>
      </c>
      <c r="H10" s="1">
        <v>39639216361.110001</v>
      </c>
      <c r="I10" s="8">
        <v>9.5550910000000003E-2</v>
      </c>
      <c r="J10" s="1">
        <v>17391892915.360001</v>
      </c>
      <c r="K10" s="8">
        <v>8.125636E-2</v>
      </c>
      <c r="L10" s="6">
        <v>0</v>
      </c>
      <c r="M10" s="6">
        <v>0</v>
      </c>
      <c r="N10" s="1">
        <v>25099915349.900002</v>
      </c>
      <c r="O10" s="8">
        <v>9.3038850000000006E-2</v>
      </c>
      <c r="P10" s="3">
        <f t="shared" si="0"/>
        <v>129125908236.44</v>
      </c>
      <c r="Q10" s="2">
        <f t="shared" si="1"/>
        <v>0.10433916273567014</v>
      </c>
      <c r="R10" s="1">
        <v>50043550</v>
      </c>
      <c r="S10" s="8">
        <f t="shared" si="6"/>
        <v>2.2078205995924344E-3</v>
      </c>
      <c r="T10" s="1">
        <v>428408628.44</v>
      </c>
      <c r="U10" s="8">
        <v>1.4718719999999999E-2</v>
      </c>
      <c r="V10" s="3">
        <f t="shared" si="2"/>
        <v>478452178.44</v>
      </c>
      <c r="W10" s="2">
        <f t="shared" si="3"/>
        <v>9.2413697603105152E-3</v>
      </c>
      <c r="X10" s="1">
        <v>7890980501.3699999</v>
      </c>
      <c r="Y10" s="8">
        <v>8.6456950000000005E-2</v>
      </c>
      <c r="Z10" s="3">
        <f t="shared" si="4"/>
        <v>137495340916.25</v>
      </c>
      <c r="AA10" s="2">
        <f t="shared" si="5"/>
        <v>9.9590797697594644E-2</v>
      </c>
      <c r="AB10" s="16"/>
    </row>
    <row r="11" spans="1:28" x14ac:dyDescent="0.25">
      <c r="A11" s="12" t="s">
        <v>22</v>
      </c>
      <c r="B11" s="1">
        <v>2811843488.0100002</v>
      </c>
      <c r="C11" s="8">
        <v>0.11637831999999999</v>
      </c>
      <c r="D11" s="1">
        <v>8092233664.2700005</v>
      </c>
      <c r="E11" s="8">
        <v>2.782956E-2</v>
      </c>
      <c r="F11" s="1">
        <v>1882701288.96</v>
      </c>
      <c r="G11" s="8">
        <v>0.14243692999999999</v>
      </c>
      <c r="H11" s="1">
        <v>13033197681.43</v>
      </c>
      <c r="I11" s="8">
        <v>3.141671E-2</v>
      </c>
      <c r="J11" s="1">
        <v>6293452017.3599997</v>
      </c>
      <c r="K11" s="8">
        <v>2.9403530000000001E-2</v>
      </c>
      <c r="L11" s="1">
        <v>49534642.890000001</v>
      </c>
      <c r="M11" s="8">
        <v>4.6135899999999999E-3</v>
      </c>
      <c r="N11" s="1">
        <v>7729542436.3999996</v>
      </c>
      <c r="O11" s="8">
        <v>2.86514E-2</v>
      </c>
      <c r="P11" s="3">
        <f t="shared" si="0"/>
        <v>39892505219.32</v>
      </c>
      <c r="Q11" s="2">
        <f t="shared" si="1"/>
        <v>3.2234821430185787E-2</v>
      </c>
      <c r="R11" s="1">
        <v>742933214.64999998</v>
      </c>
      <c r="S11" s="8">
        <f t="shared" si="6"/>
        <v>3.2776716588365493E-2</v>
      </c>
      <c r="T11" s="1">
        <v>968540771.32000005</v>
      </c>
      <c r="U11" s="8">
        <v>3.3275899999999997E-2</v>
      </c>
      <c r="V11" s="3">
        <f t="shared" si="2"/>
        <v>1711473985.97</v>
      </c>
      <c r="W11" s="2">
        <f t="shared" si="3"/>
        <v>3.3057355890970627E-2</v>
      </c>
      <c r="X11" s="1">
        <v>2782859188.4000001</v>
      </c>
      <c r="Y11" s="8">
        <v>3.049019E-2</v>
      </c>
      <c r="Z11" s="3">
        <f t="shared" si="4"/>
        <v>44386838393.690002</v>
      </c>
      <c r="AA11" s="2">
        <f t="shared" si="5"/>
        <v>3.2150330428973577E-2</v>
      </c>
      <c r="AB11" s="16"/>
    </row>
    <row r="12" spans="1:28" x14ac:dyDescent="0.25">
      <c r="A12" s="12" t="s">
        <v>23</v>
      </c>
      <c r="B12" s="1">
        <v>1251253600.2</v>
      </c>
      <c r="C12" s="8">
        <v>5.1787659999999999E-2</v>
      </c>
      <c r="D12" s="1">
        <v>40471650154.599998</v>
      </c>
      <c r="E12" s="8">
        <v>0.13918386999999999</v>
      </c>
      <c r="F12" s="1">
        <v>507536155.25</v>
      </c>
      <c r="G12" s="8">
        <v>3.8397960000000002E-2</v>
      </c>
      <c r="H12" s="1">
        <v>79852254643.070007</v>
      </c>
      <c r="I12" s="8">
        <v>0.19248502000000001</v>
      </c>
      <c r="J12" s="1">
        <v>51281275797.480003</v>
      </c>
      <c r="K12" s="8">
        <v>0.23959035000000001</v>
      </c>
      <c r="L12" s="6">
        <v>0</v>
      </c>
      <c r="M12" s="6">
        <v>0</v>
      </c>
      <c r="N12" s="1">
        <v>22784639396.82</v>
      </c>
      <c r="O12" s="8">
        <v>8.4456729999999994E-2</v>
      </c>
      <c r="P12" s="3">
        <f t="shared" si="0"/>
        <v>196148609747.42001</v>
      </c>
      <c r="Q12" s="2">
        <f t="shared" si="1"/>
        <v>0.15849632341277817</v>
      </c>
      <c r="R12" s="1">
        <v>5802273654.3199997</v>
      </c>
      <c r="S12" s="8">
        <f t="shared" si="6"/>
        <v>0.25598462336265448</v>
      </c>
      <c r="T12" s="6">
        <v>0</v>
      </c>
      <c r="U12" s="6">
        <v>0</v>
      </c>
      <c r="V12" s="3">
        <f t="shared" si="2"/>
        <v>5802273654.3199997</v>
      </c>
      <c r="W12" s="2">
        <f t="shared" si="3"/>
        <v>0.11207171522326664</v>
      </c>
      <c r="X12" s="1">
        <v>22604084060.189999</v>
      </c>
      <c r="Y12" s="8">
        <v>0.24765998</v>
      </c>
      <c r="Z12" s="3">
        <f t="shared" si="4"/>
        <v>224554967461.93002</v>
      </c>
      <c r="AA12" s="2">
        <f t="shared" si="5"/>
        <v>0.1626499355357281</v>
      </c>
      <c r="AB12" s="16"/>
    </row>
    <row r="13" spans="1:28" x14ac:dyDescent="0.25">
      <c r="A13" s="13" t="s">
        <v>24</v>
      </c>
      <c r="B13" s="3">
        <f t="shared" ref="B13:AA13" si="7">SUM(B6:B12)</f>
        <v>24161230480.98</v>
      </c>
      <c r="C13" s="7">
        <f t="shared" si="7"/>
        <v>1</v>
      </c>
      <c r="D13" s="3">
        <f t="shared" si="7"/>
        <v>290778302399.71997</v>
      </c>
      <c r="E13" s="7">
        <f t="shared" si="7"/>
        <v>0.99999999000000006</v>
      </c>
      <c r="F13" s="3">
        <f t="shared" si="7"/>
        <v>13217789165.389999</v>
      </c>
      <c r="G13" s="7">
        <f t="shared" si="7"/>
        <v>1.0000000099999999</v>
      </c>
      <c r="H13" s="3">
        <f t="shared" si="7"/>
        <v>414849180322.10999</v>
      </c>
      <c r="I13" s="7">
        <f t="shared" si="7"/>
        <v>1</v>
      </c>
      <c r="J13" s="3">
        <f t="shared" si="7"/>
        <v>214037315736.99997</v>
      </c>
      <c r="K13" s="7">
        <f t="shared" si="7"/>
        <v>1</v>
      </c>
      <c r="L13" s="3">
        <f t="shared" si="7"/>
        <v>10736689436.449999</v>
      </c>
      <c r="M13" s="7">
        <f t="shared" si="7"/>
        <v>1</v>
      </c>
      <c r="N13" s="3">
        <f>SUM(N6:N12)</f>
        <v>269778859918.14001</v>
      </c>
      <c r="O13" s="7">
        <f t="shared" si="7"/>
        <v>1</v>
      </c>
      <c r="P13" s="3">
        <f t="shared" si="7"/>
        <v>1237559367459.7898</v>
      </c>
      <c r="Q13" s="7">
        <f t="shared" si="7"/>
        <v>1</v>
      </c>
      <c r="R13" s="3">
        <f t="shared" si="7"/>
        <v>22666492924.849998</v>
      </c>
      <c r="S13" s="7">
        <f t="shared" si="7"/>
        <v>1</v>
      </c>
      <c r="T13" s="3">
        <f t="shared" si="7"/>
        <v>29106370930.769997</v>
      </c>
      <c r="U13" s="7">
        <f t="shared" si="7"/>
        <v>0.99999999000000006</v>
      </c>
      <c r="V13" s="3">
        <f t="shared" si="7"/>
        <v>51772863855.620003</v>
      </c>
      <c r="W13" s="7">
        <f t="shared" si="7"/>
        <v>0.99999999999999989</v>
      </c>
      <c r="X13" s="3">
        <f t="shared" si="7"/>
        <v>91270636569.550003</v>
      </c>
      <c r="Y13" s="7">
        <f t="shared" si="7"/>
        <v>1.0000000099999999</v>
      </c>
      <c r="Z13" s="3">
        <f>SUM(Z6:Z12)</f>
        <v>1380602867884.9597</v>
      </c>
      <c r="AA13" s="7">
        <f t="shared" si="7"/>
        <v>1</v>
      </c>
    </row>
    <row r="14" spans="1:28" x14ac:dyDescent="0.25">
      <c r="B14" s="16"/>
      <c r="F14" s="16"/>
      <c r="H14" s="16"/>
      <c r="J14" s="16"/>
      <c r="L14" s="16"/>
      <c r="N14" s="16"/>
      <c r="P14" s="16"/>
      <c r="R14" s="16"/>
      <c r="T14" s="16"/>
      <c r="V14" s="16"/>
      <c r="X14" s="16"/>
      <c r="Z14" s="16"/>
    </row>
    <row r="15" spans="1:28" x14ac:dyDescent="0.25">
      <c r="A15" s="5" t="s">
        <v>25</v>
      </c>
      <c r="P15" s="16"/>
      <c r="R15" s="16"/>
      <c r="T15" s="16"/>
    </row>
    <row r="16" spans="1:28" x14ac:dyDescent="0.25">
      <c r="A16" s="5" t="s">
        <v>26</v>
      </c>
      <c r="L16" s="16"/>
      <c r="P16" s="16"/>
    </row>
    <row r="17" spans="1:26" ht="1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26" x14ac:dyDescent="0.25">
      <c r="B18" s="16"/>
      <c r="D18" s="17"/>
      <c r="F18" s="16"/>
      <c r="H18" s="16"/>
      <c r="J18" s="16"/>
      <c r="L18" s="16"/>
      <c r="N18" s="16"/>
      <c r="P18" s="16"/>
      <c r="R18" s="16"/>
      <c r="T18" s="16"/>
      <c r="V18" s="16"/>
      <c r="X18" s="16"/>
      <c r="Z18" s="16"/>
    </row>
    <row r="27" spans="1:26" x14ac:dyDescent="0.25">
      <c r="H27" s="9"/>
    </row>
    <row r="28" spans="1:26" x14ac:dyDescent="0.25">
      <c r="H28" s="9"/>
    </row>
  </sheetData>
  <mergeCells count="16">
    <mergeCell ref="Z4:AA4"/>
    <mergeCell ref="A1:W1"/>
    <mergeCell ref="A2:W2"/>
    <mergeCell ref="A4:A5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4E201-62C7-4C84-B6EA-61620749AF9B}">
  <dimension ref="A1:AB28"/>
  <sheetViews>
    <sheetView showGridLines="0" zoomScaleNormal="100" workbookViewId="0">
      <selection activeCell="Z8" sqref="Z8"/>
    </sheetView>
  </sheetViews>
  <sheetFormatPr baseColWidth="10" defaultColWidth="9.140625" defaultRowHeight="15" x14ac:dyDescent="0.25"/>
  <cols>
    <col min="1" max="1" width="13.85546875" style="14" customWidth="1"/>
    <col min="2" max="2" width="17.28515625" style="14" customWidth="1"/>
    <col min="3" max="3" width="9.42578125" style="15" bestFit="1" customWidth="1"/>
    <col min="4" max="4" width="18.85546875" style="15" bestFit="1" customWidth="1"/>
    <col min="5" max="5" width="10.42578125" style="15" customWidth="1"/>
    <col min="6" max="6" width="18.85546875" style="14" customWidth="1"/>
    <col min="7" max="7" width="8.85546875" style="15" customWidth="1"/>
    <col min="8" max="8" width="19.42578125" style="14" customWidth="1"/>
    <col min="9" max="9" width="8.85546875" style="15" customWidth="1"/>
    <col min="10" max="10" width="17.85546875" style="14" bestFit="1" customWidth="1"/>
    <col min="11" max="11" width="8.85546875" style="14" customWidth="1"/>
    <col min="12" max="12" width="17.85546875" style="14" customWidth="1"/>
    <col min="13" max="13" width="8.85546875" style="14" customWidth="1"/>
    <col min="14" max="14" width="17.85546875" style="14" customWidth="1"/>
    <col min="15" max="15" width="8.85546875" style="14" customWidth="1"/>
    <col min="16" max="16" width="18.85546875" style="14" bestFit="1" customWidth="1"/>
    <col min="17" max="17" width="9.42578125" style="14" bestFit="1" customWidth="1"/>
    <col min="18" max="18" width="17.85546875" style="14" bestFit="1" customWidth="1"/>
    <col min="19" max="19" width="10.5703125" style="14" customWidth="1"/>
    <col min="20" max="20" width="19" style="14" bestFit="1" customWidth="1"/>
    <col min="21" max="21" width="9.140625" style="14" customWidth="1"/>
    <col min="22" max="22" width="19" style="14" bestFit="1" customWidth="1"/>
    <col min="23" max="23" width="9.42578125" style="14" customWidth="1"/>
    <col min="24" max="24" width="17.85546875" style="14" bestFit="1" customWidth="1"/>
    <col min="25" max="25" width="8.85546875" style="14" customWidth="1"/>
    <col min="26" max="26" width="18.5703125" style="14" customWidth="1"/>
    <col min="27" max="27" width="9.42578125" style="14" bestFit="1" customWidth="1"/>
    <col min="28" max="28" width="23" style="14" customWidth="1"/>
    <col min="29" max="16384" width="9.140625" style="14"/>
  </cols>
  <sheetData>
    <row r="1" spans="1:28" ht="18.600000000000001" customHeight="1" x14ac:dyDescent="0.3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/>
      <c r="Y1"/>
      <c r="Z1"/>
      <c r="AA1"/>
      <c r="AB1"/>
    </row>
    <row r="2" spans="1:28" x14ac:dyDescent="0.25">
      <c r="A2" s="26" t="s">
        <v>38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/>
      <c r="Y2"/>
      <c r="Z2"/>
      <c r="AA2"/>
      <c r="AB2"/>
    </row>
    <row r="3" spans="1:28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/>
      <c r="Y3"/>
      <c r="Z3"/>
      <c r="AA3"/>
      <c r="AB3"/>
    </row>
    <row r="4" spans="1:28" ht="33.75" customHeight="1" x14ac:dyDescent="0.25">
      <c r="A4" s="27" t="s">
        <v>1</v>
      </c>
      <c r="B4" s="23" t="s">
        <v>2</v>
      </c>
      <c r="C4" s="24"/>
      <c r="D4" s="23" t="s">
        <v>3</v>
      </c>
      <c r="E4" s="24"/>
      <c r="F4" s="23" t="s">
        <v>4</v>
      </c>
      <c r="G4" s="24"/>
      <c r="H4" s="23" t="s">
        <v>5</v>
      </c>
      <c r="I4" s="24"/>
      <c r="J4" s="23" t="s">
        <v>6</v>
      </c>
      <c r="K4" s="24"/>
      <c r="L4" s="23" t="s">
        <v>7</v>
      </c>
      <c r="M4" s="24"/>
      <c r="N4" s="23" t="s">
        <v>8</v>
      </c>
      <c r="O4" s="24"/>
      <c r="P4" s="23" t="s">
        <v>9</v>
      </c>
      <c r="Q4" s="24"/>
      <c r="R4" s="23" t="s">
        <v>10</v>
      </c>
      <c r="S4" s="24"/>
      <c r="T4" s="23" t="s">
        <v>11</v>
      </c>
      <c r="U4" s="24"/>
      <c r="V4" s="23" t="s">
        <v>12</v>
      </c>
      <c r="W4" s="24"/>
      <c r="X4" s="28" t="s">
        <v>13</v>
      </c>
      <c r="Y4" s="29"/>
      <c r="Z4" s="23" t="s">
        <v>14</v>
      </c>
      <c r="AA4" s="24"/>
    </row>
    <row r="5" spans="1:28" ht="31.5" customHeight="1" x14ac:dyDescent="0.25">
      <c r="A5" s="27"/>
      <c r="B5" s="10" t="s">
        <v>15</v>
      </c>
      <c r="C5" s="4" t="s">
        <v>16</v>
      </c>
      <c r="D5" s="10" t="s">
        <v>15</v>
      </c>
      <c r="E5" s="11" t="s">
        <v>16</v>
      </c>
      <c r="F5" s="10" t="s">
        <v>15</v>
      </c>
      <c r="G5" s="4" t="s">
        <v>16</v>
      </c>
      <c r="H5" s="10" t="s">
        <v>15</v>
      </c>
      <c r="I5" s="11" t="s">
        <v>16</v>
      </c>
      <c r="J5" s="10" t="s">
        <v>15</v>
      </c>
      <c r="K5" s="11" t="s">
        <v>16</v>
      </c>
      <c r="L5" s="10" t="s">
        <v>15</v>
      </c>
      <c r="M5" s="11" t="s">
        <v>16</v>
      </c>
      <c r="N5" s="10" t="s">
        <v>15</v>
      </c>
      <c r="O5" s="11" t="s">
        <v>16</v>
      </c>
      <c r="P5" s="10" t="s">
        <v>15</v>
      </c>
      <c r="Q5" s="11" t="s">
        <v>16</v>
      </c>
      <c r="R5" s="10" t="s">
        <v>15</v>
      </c>
      <c r="S5" s="11" t="s">
        <v>16</v>
      </c>
      <c r="T5" s="10" t="s">
        <v>15</v>
      </c>
      <c r="U5" s="11" t="s">
        <v>16</v>
      </c>
      <c r="V5" s="10" t="s">
        <v>15</v>
      </c>
      <c r="W5" s="11" t="s">
        <v>16</v>
      </c>
      <c r="X5" s="10" t="s">
        <v>15</v>
      </c>
      <c r="Y5" s="11" t="s">
        <v>16</v>
      </c>
      <c r="Z5" s="10" t="s">
        <v>15</v>
      </c>
      <c r="AA5" s="11" t="s">
        <v>16</v>
      </c>
    </row>
    <row r="6" spans="1:28" x14ac:dyDescent="0.25">
      <c r="A6" s="12" t="s">
        <v>17</v>
      </c>
      <c r="B6" s="6">
        <v>259614769.68000001</v>
      </c>
      <c r="C6" s="8">
        <v>1.064551E-2</v>
      </c>
      <c r="D6" s="1">
        <v>6568030152.0799999</v>
      </c>
      <c r="E6" s="8">
        <v>2.233752E-2</v>
      </c>
      <c r="F6" s="1">
        <v>845560002.88</v>
      </c>
      <c r="G6" s="8">
        <v>6.3103480000000003E-2</v>
      </c>
      <c r="H6" s="1">
        <v>11568963121.34</v>
      </c>
      <c r="I6" s="8">
        <v>2.7583280000000002E-2</v>
      </c>
      <c r="J6" s="1">
        <v>613005639.39999998</v>
      </c>
      <c r="K6" s="8">
        <v>2.8324600000000002E-3</v>
      </c>
      <c r="L6" s="1">
        <v>1948792526.3199999</v>
      </c>
      <c r="M6" s="8">
        <v>0.18007376999999999</v>
      </c>
      <c r="N6" s="1">
        <v>12628321451.99</v>
      </c>
      <c r="O6" s="8">
        <v>4.6290579999999998E-2</v>
      </c>
      <c r="P6" s="3">
        <f t="shared" ref="P6:P12" si="0">+B6+D6+F6+H6+J6+L6+N6</f>
        <v>34432287663.690002</v>
      </c>
      <c r="Q6" s="2">
        <f t="shared" ref="Q6:Q12" si="1">+P6/$P$13</f>
        <v>2.7517404625256911E-2</v>
      </c>
      <c r="R6" s="1">
        <v>786048473.97000003</v>
      </c>
      <c r="S6" s="8">
        <v>3.4586659999999998E-2</v>
      </c>
      <c r="T6" s="1">
        <v>902701909.54999995</v>
      </c>
      <c r="U6" s="8">
        <v>3.081155E-2</v>
      </c>
      <c r="V6" s="3">
        <f t="shared" ref="V6:V12" si="2">R6+T6</f>
        <v>1688750383.52</v>
      </c>
      <c r="W6" s="2">
        <f t="shared" ref="W6:W12" si="3">V6/$V$13</f>
        <v>3.2460708287168953E-2</v>
      </c>
      <c r="X6" s="1">
        <v>941674493.23000002</v>
      </c>
      <c r="Y6" s="8">
        <v>1.020925E-2</v>
      </c>
      <c r="Z6" s="3">
        <f t="shared" ref="Z6:Z12" si="4">P6+V6+X6</f>
        <v>37062712540.440002</v>
      </c>
      <c r="AA6" s="2">
        <f t="shared" ref="AA6:AA12" si="5">Z6/$Z$13</f>
        <v>2.6557723956176411E-2</v>
      </c>
      <c r="AB6" s="16"/>
    </row>
    <row r="7" spans="1:28" x14ac:dyDescent="0.25">
      <c r="A7" s="12" t="s">
        <v>18</v>
      </c>
      <c r="B7" s="6">
        <v>0</v>
      </c>
      <c r="C7" s="6">
        <v>0</v>
      </c>
      <c r="D7" s="6">
        <v>241743707.25</v>
      </c>
      <c r="E7" s="22">
        <v>8.2215999999999995E-4</v>
      </c>
      <c r="F7" s="1">
        <v>559644025.98000002</v>
      </c>
      <c r="G7" s="8">
        <v>4.1765799999999999E-2</v>
      </c>
      <c r="H7" s="1">
        <v>102168271.05</v>
      </c>
      <c r="I7" s="8">
        <v>2.4358999999999999E-4</v>
      </c>
      <c r="J7" s="6">
        <v>0</v>
      </c>
      <c r="K7" s="6">
        <v>0</v>
      </c>
      <c r="L7" s="6">
        <v>0</v>
      </c>
      <c r="M7" s="6">
        <v>0</v>
      </c>
      <c r="N7" s="1">
        <v>1120731564.4400001</v>
      </c>
      <c r="O7" s="8">
        <v>4.1081700000000004E-3</v>
      </c>
      <c r="P7" s="3">
        <f t="shared" si="0"/>
        <v>2024287568.72</v>
      </c>
      <c r="Q7" s="2">
        <f t="shared" si="1"/>
        <v>1.6177589084528535E-3</v>
      </c>
      <c r="R7" s="6">
        <v>0</v>
      </c>
      <c r="S7" s="6">
        <v>0</v>
      </c>
      <c r="T7" s="1">
        <v>632043121.01999998</v>
      </c>
      <c r="U7" s="8">
        <v>2.157326E-2</v>
      </c>
      <c r="V7" s="3">
        <f t="shared" si="2"/>
        <v>632043121.01999998</v>
      </c>
      <c r="W7" s="2">
        <f t="shared" si="3"/>
        <v>1.2148963859050437E-2</v>
      </c>
      <c r="X7" s="1">
        <v>161447225.11000001</v>
      </c>
      <c r="Y7" s="8">
        <v>1.7503499999999999E-3</v>
      </c>
      <c r="Z7" s="3">
        <f t="shared" si="4"/>
        <v>2817777914.8499999</v>
      </c>
      <c r="AA7" s="2">
        <f t="shared" si="5"/>
        <v>2.0191120105076971E-3</v>
      </c>
      <c r="AB7" s="16"/>
    </row>
    <row r="8" spans="1:28" x14ac:dyDescent="0.25">
      <c r="A8" s="12" t="s">
        <v>19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19">
        <f t="shared" si="0"/>
        <v>0</v>
      </c>
      <c r="Q8" s="19">
        <f t="shared" si="1"/>
        <v>0</v>
      </c>
      <c r="R8" s="6">
        <v>0</v>
      </c>
      <c r="S8" s="6">
        <v>0</v>
      </c>
      <c r="T8" s="6">
        <v>0</v>
      </c>
      <c r="U8" s="6">
        <v>0</v>
      </c>
      <c r="V8" s="19">
        <f t="shared" si="2"/>
        <v>0</v>
      </c>
      <c r="W8" s="19">
        <f t="shared" si="3"/>
        <v>0</v>
      </c>
      <c r="X8" s="6">
        <v>0</v>
      </c>
      <c r="Y8" s="6">
        <v>0</v>
      </c>
      <c r="Z8" s="19">
        <v>0</v>
      </c>
      <c r="AA8" s="19">
        <f t="shared" si="5"/>
        <v>0</v>
      </c>
      <c r="AB8" s="16"/>
    </row>
    <row r="9" spans="1:28" x14ac:dyDescent="0.25">
      <c r="A9" s="12" t="s">
        <v>20</v>
      </c>
      <c r="B9" s="1">
        <v>17841817583.919998</v>
      </c>
      <c r="C9" s="8">
        <v>0.73160406</v>
      </c>
      <c r="D9" s="1">
        <v>190464033095.10001</v>
      </c>
      <c r="E9" s="8">
        <v>0.6477579</v>
      </c>
      <c r="F9" s="1">
        <v>9294536635.6299992</v>
      </c>
      <c r="G9" s="8">
        <v>0.69364400999999998</v>
      </c>
      <c r="H9" s="1">
        <v>263207343464.34</v>
      </c>
      <c r="I9" s="8">
        <v>0.62755167000000001</v>
      </c>
      <c r="J9" s="1">
        <v>136298379611.91</v>
      </c>
      <c r="K9" s="8">
        <v>0.62978184999999998</v>
      </c>
      <c r="L9" s="1">
        <v>8825905527.6399994</v>
      </c>
      <c r="M9" s="8">
        <v>0.81553785000000001</v>
      </c>
      <c r="N9" s="1">
        <v>203320276818.76001</v>
      </c>
      <c r="O9" s="8">
        <v>0.74529413</v>
      </c>
      <c r="P9" s="3">
        <f t="shared" si="0"/>
        <v>829252292737.30005</v>
      </c>
      <c r="Q9" s="2">
        <f t="shared" si="1"/>
        <v>0.66271724663062515</v>
      </c>
      <c r="R9" s="1">
        <v>15156402274.17</v>
      </c>
      <c r="S9" s="8">
        <v>0.66689189999999998</v>
      </c>
      <c r="T9" s="1">
        <v>26394462045.52</v>
      </c>
      <c r="U9" s="8">
        <v>0.90091109000000003</v>
      </c>
      <c r="V9" s="3">
        <f t="shared" si="2"/>
        <v>41550864319.690002</v>
      </c>
      <c r="W9" s="2">
        <f t="shared" si="3"/>
        <v>0.79867960293210527</v>
      </c>
      <c r="X9" s="1">
        <v>56130198001.870003</v>
      </c>
      <c r="Y9" s="8">
        <v>0.60854090000000005</v>
      </c>
      <c r="Z9" s="3">
        <f t="shared" si="4"/>
        <v>926933355058.85999</v>
      </c>
      <c r="AA9" s="2">
        <f t="shared" si="5"/>
        <v>0.66420503201338021</v>
      </c>
      <c r="AB9" s="16"/>
    </row>
    <row r="10" spans="1:28" x14ac:dyDescent="0.25">
      <c r="A10" s="12" t="s">
        <v>21</v>
      </c>
      <c r="B10" s="1">
        <v>1985317289.78</v>
      </c>
      <c r="C10" s="8">
        <v>8.1407969999999996E-2</v>
      </c>
      <c r="D10" s="1">
        <v>48203577040.080002</v>
      </c>
      <c r="E10" s="8">
        <v>0.16393777000000001</v>
      </c>
      <c r="F10" s="1">
        <v>252825969.55000001</v>
      </c>
      <c r="G10" s="8">
        <v>1.8868200000000002E-2</v>
      </c>
      <c r="H10" s="1">
        <v>45540175935.529999</v>
      </c>
      <c r="I10" s="8">
        <v>0.10857909</v>
      </c>
      <c r="J10" s="1">
        <v>19528264921.349998</v>
      </c>
      <c r="K10" s="8">
        <v>9.0232519999999997E-2</v>
      </c>
      <c r="L10" s="6">
        <v>0</v>
      </c>
      <c r="M10" s="6">
        <v>0</v>
      </c>
      <c r="N10" s="1">
        <v>25139293359.709999</v>
      </c>
      <c r="O10" s="8">
        <v>9.2150999999999997E-2</v>
      </c>
      <c r="P10" s="3">
        <f t="shared" si="0"/>
        <v>140649454516</v>
      </c>
      <c r="Q10" s="2">
        <f t="shared" si="1"/>
        <v>0.11240345073905179</v>
      </c>
      <c r="R10" s="1">
        <v>50000010</v>
      </c>
      <c r="S10" s="8">
        <v>2.20003E-3</v>
      </c>
      <c r="T10" s="1">
        <v>418696188.30000001</v>
      </c>
      <c r="U10" s="8">
        <v>1.4291180000000001E-2</v>
      </c>
      <c r="V10" s="3">
        <f t="shared" si="2"/>
        <v>468696198.30000001</v>
      </c>
      <c r="W10" s="2">
        <f t="shared" si="3"/>
        <v>9.0091529907511715E-3</v>
      </c>
      <c r="X10" s="1">
        <v>7792368758.9200001</v>
      </c>
      <c r="Y10" s="8">
        <v>8.4481710000000002E-2</v>
      </c>
      <c r="Z10" s="3">
        <f t="shared" si="4"/>
        <v>148910519473.22</v>
      </c>
      <c r="AA10" s="2">
        <f t="shared" si="5"/>
        <v>0.10670358965295687</v>
      </c>
      <c r="AB10" s="16"/>
    </row>
    <row r="11" spans="1:28" x14ac:dyDescent="0.25">
      <c r="A11" s="12" t="s">
        <v>22</v>
      </c>
      <c r="B11" s="1">
        <v>3038003537.48</v>
      </c>
      <c r="C11" s="8">
        <v>0.12457339000000001</v>
      </c>
      <c r="D11" s="1">
        <v>8092313650.8699999</v>
      </c>
      <c r="E11" s="8">
        <v>2.7521520000000001E-2</v>
      </c>
      <c r="F11" s="1">
        <v>1939206439.51</v>
      </c>
      <c r="G11" s="8">
        <v>0.14472146</v>
      </c>
      <c r="H11" s="1">
        <v>12873139550.91</v>
      </c>
      <c r="I11" s="8">
        <v>3.0692759999999999E-2</v>
      </c>
      <c r="J11" s="1">
        <v>6250855797.3000002</v>
      </c>
      <c r="K11" s="8">
        <v>2.888278E-2</v>
      </c>
      <c r="L11" s="1">
        <v>47491867.689999998</v>
      </c>
      <c r="M11" s="8">
        <v>4.3883799999999999E-3</v>
      </c>
      <c r="N11" s="1">
        <v>7702205006.6499996</v>
      </c>
      <c r="O11" s="8">
        <v>2.8233330000000001E-2</v>
      </c>
      <c r="P11" s="3">
        <f t="shared" si="0"/>
        <v>39943215850.409996</v>
      </c>
      <c r="Q11" s="2">
        <f t="shared" si="1"/>
        <v>3.1921597638973613E-2</v>
      </c>
      <c r="R11" s="1">
        <v>738331420.61000001</v>
      </c>
      <c r="S11" s="8">
        <v>3.2487080000000002E-2</v>
      </c>
      <c r="T11" s="1">
        <v>949618153.46000004</v>
      </c>
      <c r="U11" s="8">
        <v>3.2412919999999998E-2</v>
      </c>
      <c r="V11" s="3">
        <f t="shared" si="2"/>
        <v>1687949574.0700002</v>
      </c>
      <c r="W11" s="2">
        <f t="shared" si="3"/>
        <v>3.2445315342063671E-2</v>
      </c>
      <c r="X11" s="1">
        <v>2775980935.9899998</v>
      </c>
      <c r="Y11" s="8">
        <v>3.0096060000000001E-2</v>
      </c>
      <c r="Z11" s="3">
        <f t="shared" si="4"/>
        <v>44407146360.469994</v>
      </c>
      <c r="AA11" s="2">
        <f t="shared" si="5"/>
        <v>3.1820464663401701E-2</v>
      </c>
      <c r="AB11" s="16"/>
    </row>
    <row r="12" spans="1:28" x14ac:dyDescent="0.25">
      <c r="A12" s="12" t="s">
        <v>23</v>
      </c>
      <c r="B12" s="1">
        <v>1262505638.48</v>
      </c>
      <c r="C12" s="8">
        <v>5.176907E-2</v>
      </c>
      <c r="D12" s="1">
        <v>40466132146.260002</v>
      </c>
      <c r="E12" s="8">
        <v>0.13762313000000001</v>
      </c>
      <c r="F12" s="1">
        <v>507804449.33999997</v>
      </c>
      <c r="G12" s="8">
        <v>3.7897050000000002E-2</v>
      </c>
      <c r="H12" s="1">
        <v>86127610144.759995</v>
      </c>
      <c r="I12" s="8">
        <v>0.20534960999999999</v>
      </c>
      <c r="J12" s="1">
        <v>53731069310.720001</v>
      </c>
      <c r="K12" s="8">
        <v>0.24827039000000001</v>
      </c>
      <c r="L12" s="6">
        <v>0</v>
      </c>
      <c r="M12" s="6">
        <v>0</v>
      </c>
      <c r="N12" s="1">
        <v>22894591187.970001</v>
      </c>
      <c r="O12" s="8">
        <v>8.3922789999999997E-2</v>
      </c>
      <c r="P12" s="3">
        <f t="shared" si="0"/>
        <v>204989712877.53</v>
      </c>
      <c r="Q12" s="2">
        <f t="shared" si="1"/>
        <v>0.16382254145763966</v>
      </c>
      <c r="R12" s="1">
        <v>5996142961.3800001</v>
      </c>
      <c r="S12" s="8">
        <v>0.26383433000000001</v>
      </c>
      <c r="T12" s="6">
        <v>0</v>
      </c>
      <c r="U12" s="6">
        <v>0</v>
      </c>
      <c r="V12" s="3">
        <f t="shared" si="2"/>
        <v>5996142961.3800001</v>
      </c>
      <c r="W12" s="2">
        <f t="shared" si="3"/>
        <v>0.11525625658886043</v>
      </c>
      <c r="X12" s="1">
        <v>24435678006.360001</v>
      </c>
      <c r="Y12" s="8">
        <v>0.26492173000000002</v>
      </c>
      <c r="Z12" s="3">
        <f t="shared" si="4"/>
        <v>235421533845.27002</v>
      </c>
      <c r="AA12" s="2">
        <f t="shared" si="5"/>
        <v>0.168694077703577</v>
      </c>
      <c r="AB12" s="16"/>
    </row>
    <row r="13" spans="1:28" x14ac:dyDescent="0.25">
      <c r="A13" s="13" t="s">
        <v>24</v>
      </c>
      <c r="B13" s="3">
        <f t="shared" ref="B13:AA13" si="6">SUM(B6:B12)</f>
        <v>24387258819.339996</v>
      </c>
      <c r="C13" s="7">
        <f t="shared" si="6"/>
        <v>1</v>
      </c>
      <c r="D13" s="3">
        <f t="shared" si="6"/>
        <v>294035829791.64001</v>
      </c>
      <c r="E13" s="7">
        <f t="shared" si="6"/>
        <v>1</v>
      </c>
      <c r="F13" s="3">
        <f t="shared" si="6"/>
        <v>13399577522.889999</v>
      </c>
      <c r="G13" s="7">
        <f t="shared" si="6"/>
        <v>1</v>
      </c>
      <c r="H13" s="3">
        <f t="shared" si="6"/>
        <v>419419400487.92999</v>
      </c>
      <c r="I13" s="7">
        <f t="shared" si="6"/>
        <v>0.99999999999999989</v>
      </c>
      <c r="J13" s="3">
        <f t="shared" si="6"/>
        <v>216421575280.67999</v>
      </c>
      <c r="K13" s="7">
        <f t="shared" si="6"/>
        <v>1</v>
      </c>
      <c r="L13" s="3">
        <f t="shared" si="6"/>
        <v>10822189921.65</v>
      </c>
      <c r="M13" s="7">
        <f t="shared" si="6"/>
        <v>1</v>
      </c>
      <c r="N13" s="3">
        <f>SUM(N6:N12)</f>
        <v>272805419389.51999</v>
      </c>
      <c r="O13" s="7">
        <f t="shared" si="6"/>
        <v>1</v>
      </c>
      <c r="P13" s="3">
        <f t="shared" si="6"/>
        <v>1251291251213.6501</v>
      </c>
      <c r="Q13" s="7">
        <f t="shared" si="6"/>
        <v>1</v>
      </c>
      <c r="R13" s="3">
        <f t="shared" si="6"/>
        <v>22726925140.130001</v>
      </c>
      <c r="S13" s="7">
        <f t="shared" si="6"/>
        <v>1</v>
      </c>
      <c r="T13" s="3">
        <f t="shared" si="6"/>
        <v>29297521417.849998</v>
      </c>
      <c r="U13" s="7">
        <f t="shared" si="6"/>
        <v>1</v>
      </c>
      <c r="V13" s="3">
        <f t="shared" si="6"/>
        <v>52024446557.980003</v>
      </c>
      <c r="W13" s="7">
        <f t="shared" si="6"/>
        <v>0.99999999999999989</v>
      </c>
      <c r="X13" s="3">
        <f t="shared" si="6"/>
        <v>92237347421.480011</v>
      </c>
      <c r="Y13" s="7">
        <f t="shared" si="6"/>
        <v>1</v>
      </c>
      <c r="Z13" s="3">
        <f>SUM(Z6:Z12)</f>
        <v>1395553045193.1101</v>
      </c>
      <c r="AA13" s="7">
        <f t="shared" si="6"/>
        <v>1</v>
      </c>
    </row>
    <row r="14" spans="1:28" x14ac:dyDescent="0.25">
      <c r="B14" s="16"/>
      <c r="F14" s="16"/>
      <c r="H14" s="16"/>
      <c r="J14" s="16"/>
      <c r="L14" s="16"/>
      <c r="N14" s="16"/>
      <c r="P14" s="16"/>
      <c r="R14" s="16"/>
      <c r="T14" s="16"/>
      <c r="V14" s="16"/>
      <c r="X14" s="16"/>
      <c r="Z14" s="16"/>
    </row>
    <row r="15" spans="1:28" x14ac:dyDescent="0.25">
      <c r="A15" s="5" t="s">
        <v>25</v>
      </c>
      <c r="P15" s="16"/>
      <c r="R15" s="16"/>
      <c r="T15" s="16"/>
    </row>
    <row r="16" spans="1:28" x14ac:dyDescent="0.25">
      <c r="A16" s="5" t="s">
        <v>26</v>
      </c>
      <c r="L16" s="16"/>
      <c r="P16" s="16"/>
    </row>
    <row r="17" spans="1:26" ht="1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26" x14ac:dyDescent="0.25">
      <c r="B18" s="16"/>
      <c r="D18" s="17"/>
      <c r="F18" s="16"/>
      <c r="H18" s="16"/>
      <c r="J18" s="16"/>
      <c r="L18" s="16"/>
      <c r="N18" s="16"/>
      <c r="P18" s="16"/>
      <c r="R18" s="16"/>
      <c r="T18" s="16"/>
      <c r="V18" s="16"/>
      <c r="X18" s="16"/>
      <c r="Z18" s="16"/>
    </row>
    <row r="27" spans="1:26" x14ac:dyDescent="0.25">
      <c r="H27" s="9"/>
    </row>
    <row r="28" spans="1:26" x14ac:dyDescent="0.25">
      <c r="H28" s="9"/>
    </row>
  </sheetData>
  <mergeCells count="16">
    <mergeCell ref="Z4:AA4"/>
    <mergeCell ref="A1:W1"/>
    <mergeCell ref="A2:W2"/>
    <mergeCell ref="A4:A5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CDDE8-3BDA-455C-B3BB-6940E70DCC2C}">
  <dimension ref="A1:AB28"/>
  <sheetViews>
    <sheetView showGridLines="0" tabSelected="1" zoomScaleNormal="100" workbookViewId="0">
      <selection activeCell="F23" sqref="F23"/>
    </sheetView>
  </sheetViews>
  <sheetFormatPr baseColWidth="10" defaultColWidth="9.140625" defaultRowHeight="15" x14ac:dyDescent="0.25"/>
  <cols>
    <col min="1" max="1" width="13.85546875" style="14" customWidth="1"/>
    <col min="2" max="2" width="17.28515625" style="14" customWidth="1"/>
    <col min="3" max="3" width="9.42578125" style="15" bestFit="1" customWidth="1"/>
    <col min="4" max="4" width="18.85546875" style="15" bestFit="1" customWidth="1"/>
    <col min="5" max="5" width="10.42578125" style="15" customWidth="1"/>
    <col min="6" max="6" width="18.85546875" style="14" customWidth="1"/>
    <col min="7" max="7" width="8.85546875" style="15" customWidth="1"/>
    <col min="8" max="8" width="19.42578125" style="14" customWidth="1"/>
    <col min="9" max="9" width="8.85546875" style="15" customWidth="1"/>
    <col min="10" max="10" width="17.85546875" style="14" bestFit="1" customWidth="1"/>
    <col min="11" max="11" width="8.85546875" style="14" customWidth="1"/>
    <col min="12" max="12" width="17.85546875" style="14" customWidth="1"/>
    <col min="13" max="13" width="8.85546875" style="14" customWidth="1"/>
    <col min="14" max="14" width="17.85546875" style="14" customWidth="1"/>
    <col min="15" max="15" width="8.85546875" style="14" customWidth="1"/>
    <col min="16" max="16" width="18.85546875" style="14" bestFit="1" customWidth="1"/>
    <col min="17" max="17" width="9.42578125" style="14" bestFit="1" customWidth="1"/>
    <col min="18" max="18" width="17.85546875" style="14" bestFit="1" customWidth="1"/>
    <col min="19" max="19" width="10.5703125" style="14" customWidth="1"/>
    <col min="20" max="20" width="19" style="14" bestFit="1" customWidth="1"/>
    <col min="21" max="21" width="9.140625" style="14" customWidth="1"/>
    <col min="22" max="22" width="19" style="14" bestFit="1" customWidth="1"/>
    <col min="23" max="23" width="9.42578125" style="14" customWidth="1"/>
    <col min="24" max="24" width="17.85546875" style="14" bestFit="1" customWidth="1"/>
    <col min="25" max="25" width="8.85546875" style="14" customWidth="1"/>
    <col min="26" max="26" width="18.5703125" style="14" customWidth="1"/>
    <col min="27" max="27" width="9.42578125" style="14" bestFit="1" customWidth="1"/>
    <col min="28" max="28" width="23" style="14" customWidth="1"/>
    <col min="29" max="16384" width="9.140625" style="14"/>
  </cols>
  <sheetData>
    <row r="1" spans="1:28" ht="18.600000000000001" customHeight="1" x14ac:dyDescent="0.3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/>
      <c r="Y1"/>
      <c r="Z1"/>
      <c r="AA1"/>
      <c r="AB1"/>
    </row>
    <row r="2" spans="1:28" x14ac:dyDescent="0.25">
      <c r="A2" s="26" t="s">
        <v>39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/>
      <c r="Y2"/>
      <c r="Z2"/>
      <c r="AA2"/>
      <c r="AB2"/>
    </row>
    <row r="3" spans="1:28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/>
      <c r="Y3"/>
      <c r="Z3"/>
      <c r="AA3"/>
      <c r="AB3"/>
    </row>
    <row r="4" spans="1:28" ht="33.75" customHeight="1" x14ac:dyDescent="0.25">
      <c r="A4" s="27" t="s">
        <v>1</v>
      </c>
      <c r="B4" s="23" t="s">
        <v>2</v>
      </c>
      <c r="C4" s="24"/>
      <c r="D4" s="23" t="s">
        <v>3</v>
      </c>
      <c r="E4" s="24"/>
      <c r="F4" s="23" t="s">
        <v>4</v>
      </c>
      <c r="G4" s="24"/>
      <c r="H4" s="23" t="s">
        <v>5</v>
      </c>
      <c r="I4" s="24"/>
      <c r="J4" s="23" t="s">
        <v>6</v>
      </c>
      <c r="K4" s="24"/>
      <c r="L4" s="23" t="s">
        <v>7</v>
      </c>
      <c r="M4" s="24"/>
      <c r="N4" s="23" t="s">
        <v>8</v>
      </c>
      <c r="O4" s="24"/>
      <c r="P4" s="23" t="s">
        <v>9</v>
      </c>
      <c r="Q4" s="24"/>
      <c r="R4" s="23" t="s">
        <v>10</v>
      </c>
      <c r="S4" s="24"/>
      <c r="T4" s="23" t="s">
        <v>11</v>
      </c>
      <c r="U4" s="24"/>
      <c r="V4" s="23" t="s">
        <v>12</v>
      </c>
      <c r="W4" s="24"/>
      <c r="X4" s="28" t="s">
        <v>13</v>
      </c>
      <c r="Y4" s="29"/>
      <c r="Z4" s="23" t="s">
        <v>14</v>
      </c>
      <c r="AA4" s="24"/>
    </row>
    <row r="5" spans="1:28" ht="31.5" customHeight="1" x14ac:dyDescent="0.25">
      <c r="A5" s="27"/>
      <c r="B5" s="10" t="s">
        <v>15</v>
      </c>
      <c r="C5" s="4" t="s">
        <v>16</v>
      </c>
      <c r="D5" s="10" t="s">
        <v>15</v>
      </c>
      <c r="E5" s="11" t="s">
        <v>16</v>
      </c>
      <c r="F5" s="10" t="s">
        <v>15</v>
      </c>
      <c r="G5" s="4" t="s">
        <v>16</v>
      </c>
      <c r="H5" s="10" t="s">
        <v>15</v>
      </c>
      <c r="I5" s="11" t="s">
        <v>16</v>
      </c>
      <c r="J5" s="10" t="s">
        <v>15</v>
      </c>
      <c r="K5" s="11" t="s">
        <v>16</v>
      </c>
      <c r="L5" s="10" t="s">
        <v>15</v>
      </c>
      <c r="M5" s="11" t="s">
        <v>16</v>
      </c>
      <c r="N5" s="10" t="s">
        <v>15</v>
      </c>
      <c r="O5" s="11" t="s">
        <v>16</v>
      </c>
      <c r="P5" s="10" t="s">
        <v>15</v>
      </c>
      <c r="Q5" s="11" t="s">
        <v>16</v>
      </c>
      <c r="R5" s="10" t="s">
        <v>15</v>
      </c>
      <c r="S5" s="11" t="s">
        <v>16</v>
      </c>
      <c r="T5" s="10" t="s">
        <v>15</v>
      </c>
      <c r="U5" s="11" t="s">
        <v>16</v>
      </c>
      <c r="V5" s="10" t="s">
        <v>15</v>
      </c>
      <c r="W5" s="11" t="s">
        <v>16</v>
      </c>
      <c r="X5" s="10" t="s">
        <v>15</v>
      </c>
      <c r="Y5" s="11" t="s">
        <v>16</v>
      </c>
      <c r="Z5" s="10" t="s">
        <v>15</v>
      </c>
      <c r="AA5" s="11" t="s">
        <v>16</v>
      </c>
    </row>
    <row r="6" spans="1:28" x14ac:dyDescent="0.25">
      <c r="A6" s="12" t="s">
        <v>17</v>
      </c>
      <c r="B6" s="6">
        <v>107752725.40000001</v>
      </c>
      <c r="C6" s="8">
        <v>4.4303299999999997E-3</v>
      </c>
      <c r="D6" s="1">
        <v>8610293730.5</v>
      </c>
      <c r="E6" s="8">
        <v>2.8752719999999999E-2</v>
      </c>
      <c r="F6" s="1">
        <v>652183727.32000005</v>
      </c>
      <c r="G6" s="8">
        <v>4.8083790000000001E-2</v>
      </c>
      <c r="H6" s="1">
        <v>8646833869.2099991</v>
      </c>
      <c r="I6" s="8">
        <v>2.015517E-2</v>
      </c>
      <c r="J6" s="1">
        <v>2850326409.5</v>
      </c>
      <c r="K6" s="8">
        <v>1.283778E-2</v>
      </c>
      <c r="L6" s="1">
        <v>2005446324.1600001</v>
      </c>
      <c r="M6" s="8">
        <v>0.18366225</v>
      </c>
      <c r="N6" s="1">
        <v>16051406047.040001</v>
      </c>
      <c r="O6" s="8">
        <v>5.7983270000000003E-2</v>
      </c>
      <c r="P6" s="3">
        <f t="shared" ref="P6:P12" si="0">+B6+D6+F6+H6+J6+L6+N6</f>
        <v>38924242833.130005</v>
      </c>
      <c r="Q6" s="2">
        <f t="shared" ref="Q6:Q12" si="1">+P6/$P$13</f>
        <v>3.0501728577375934E-2</v>
      </c>
      <c r="R6" s="1">
        <v>796151669.49000001</v>
      </c>
      <c r="S6" s="8">
        <v>3.4974640000000001E-2</v>
      </c>
      <c r="T6" s="1">
        <v>1593397496.1500001</v>
      </c>
      <c r="U6" s="8">
        <v>5.4517570000000001E-2</v>
      </c>
      <c r="V6" s="3">
        <f t="shared" ref="V6:V12" si="2">R6+T6</f>
        <v>2389549165.6400003</v>
      </c>
      <c r="W6" s="2">
        <f t="shared" ref="W6:W12" si="3">V6/$V$13</f>
        <v>4.5960900129669614E-2</v>
      </c>
      <c r="X6" s="1">
        <v>1618899627.5599999</v>
      </c>
      <c r="Y6" s="8">
        <v>1.7255980000000001E-2</v>
      </c>
      <c r="Z6" s="3">
        <f t="shared" ref="Z6:Z12" si="4">P6+V6+X6</f>
        <v>42932691626.330002</v>
      </c>
      <c r="AA6" s="2">
        <f t="shared" ref="AA6:AA12" si="5">Z6/$Z$13</f>
        <v>3.0193039675989086E-2</v>
      </c>
      <c r="AB6" s="16"/>
    </row>
    <row r="7" spans="1:28" x14ac:dyDescent="0.25">
      <c r="A7" s="12" t="s">
        <v>18</v>
      </c>
      <c r="B7" s="6">
        <v>0</v>
      </c>
      <c r="C7" s="6">
        <v>0</v>
      </c>
      <c r="D7" s="6">
        <v>259090456.88999999</v>
      </c>
      <c r="E7" s="22">
        <v>8.6518999999999995E-4</v>
      </c>
      <c r="F7" s="1">
        <v>577392979.15999997</v>
      </c>
      <c r="G7" s="8">
        <v>4.2569660000000002E-2</v>
      </c>
      <c r="H7" s="1">
        <v>100549451.7</v>
      </c>
      <c r="I7" s="8">
        <v>2.3436999999999999E-4</v>
      </c>
      <c r="J7" s="6">
        <v>0</v>
      </c>
      <c r="K7" s="6">
        <v>0</v>
      </c>
      <c r="L7" s="6">
        <v>0</v>
      </c>
      <c r="M7" s="6">
        <v>0</v>
      </c>
      <c r="N7" s="1">
        <v>1230199212.55</v>
      </c>
      <c r="O7" s="8">
        <v>4.4439099999999997E-3</v>
      </c>
      <c r="P7" s="3">
        <f t="shared" si="0"/>
        <v>2167232100.3000002</v>
      </c>
      <c r="Q7" s="2">
        <f t="shared" si="1"/>
        <v>1.6982815971763208E-3</v>
      </c>
      <c r="R7" s="6">
        <v>0</v>
      </c>
      <c r="S7" s="6">
        <v>0</v>
      </c>
      <c r="T7" s="1">
        <v>816958342.25999999</v>
      </c>
      <c r="U7" s="8">
        <v>2.7951960000000001E-2</v>
      </c>
      <c r="V7" s="3">
        <f t="shared" si="2"/>
        <v>816958342.25999999</v>
      </c>
      <c r="W7" s="2">
        <f t="shared" si="3"/>
        <v>1.5713483245554261E-2</v>
      </c>
      <c r="X7" s="1">
        <v>161349840.49000001</v>
      </c>
      <c r="Y7" s="8">
        <v>1.71984E-3</v>
      </c>
      <c r="Z7" s="3">
        <f t="shared" si="4"/>
        <v>3145540283.0500002</v>
      </c>
      <c r="AA7" s="2">
        <f t="shared" si="5"/>
        <v>2.2121469437593974E-3</v>
      </c>
      <c r="AB7" s="16"/>
    </row>
    <row r="8" spans="1:28" x14ac:dyDescent="0.25">
      <c r="A8" s="12" t="s">
        <v>19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19">
        <f t="shared" si="0"/>
        <v>0</v>
      </c>
      <c r="Q8" s="19">
        <f t="shared" si="1"/>
        <v>0</v>
      </c>
      <c r="R8" s="6">
        <v>0</v>
      </c>
      <c r="S8" s="6">
        <v>0</v>
      </c>
      <c r="T8" s="6">
        <v>0</v>
      </c>
      <c r="U8" s="6">
        <v>0</v>
      </c>
      <c r="V8" s="19">
        <f t="shared" si="2"/>
        <v>0</v>
      </c>
      <c r="W8" s="19">
        <f t="shared" si="3"/>
        <v>0</v>
      </c>
      <c r="X8" s="6">
        <v>0</v>
      </c>
      <c r="Y8" s="6">
        <v>0</v>
      </c>
      <c r="Z8" s="19">
        <v>0</v>
      </c>
      <c r="AA8" s="19">
        <f t="shared" si="5"/>
        <v>0</v>
      </c>
      <c r="AB8" s="16"/>
    </row>
    <row r="9" spans="1:28" x14ac:dyDescent="0.25">
      <c r="A9" s="12" t="s">
        <v>20</v>
      </c>
      <c r="B9" s="1">
        <v>17907939261.459999</v>
      </c>
      <c r="C9" s="8">
        <v>0.73629805999999998</v>
      </c>
      <c r="D9" s="1">
        <v>190513841134.32001</v>
      </c>
      <c r="E9" s="8">
        <v>0.63619095999999997</v>
      </c>
      <c r="F9" s="1">
        <v>9633261451.3400002</v>
      </c>
      <c r="G9" s="8">
        <v>0.71023501</v>
      </c>
      <c r="H9" s="1">
        <v>268896900803.54999</v>
      </c>
      <c r="I9" s="8">
        <v>0.62677994000000004</v>
      </c>
      <c r="J9" s="1">
        <v>130214680845.27</v>
      </c>
      <c r="K9" s="8">
        <v>0.58648270000000002</v>
      </c>
      <c r="L9" s="1">
        <v>8865909056.1900005</v>
      </c>
      <c r="M9" s="8">
        <v>0.81195532000000004</v>
      </c>
      <c r="N9" s="1">
        <v>202038699084.64001</v>
      </c>
      <c r="O9" s="8">
        <v>0.72983421000000004</v>
      </c>
      <c r="P9" s="3">
        <f t="shared" si="0"/>
        <v>828071231636.7699</v>
      </c>
      <c r="Q9" s="2">
        <f t="shared" si="1"/>
        <v>0.64889133639409879</v>
      </c>
      <c r="R9" s="1">
        <v>14865183223.059999</v>
      </c>
      <c r="S9" s="8">
        <v>0.65302185999999995</v>
      </c>
      <c r="T9" s="1">
        <v>25443964010.630001</v>
      </c>
      <c r="U9" s="8">
        <v>0.87055682999999995</v>
      </c>
      <c r="V9" s="3">
        <f t="shared" si="2"/>
        <v>40309147233.690002</v>
      </c>
      <c r="W9" s="2">
        <f t="shared" si="3"/>
        <v>0.77531139219040712</v>
      </c>
      <c r="X9" s="1">
        <v>55751268654.309998</v>
      </c>
      <c r="Y9" s="8">
        <v>0.59425706</v>
      </c>
      <c r="Z9" s="3">
        <f t="shared" si="4"/>
        <v>924131647524.77002</v>
      </c>
      <c r="AA9" s="2">
        <f t="shared" si="5"/>
        <v>0.64990901903854625</v>
      </c>
      <c r="AB9" s="16"/>
    </row>
    <row r="10" spans="1:28" x14ac:dyDescent="0.25">
      <c r="A10" s="12" t="s">
        <v>21</v>
      </c>
      <c r="B10" s="1">
        <v>1983447835.52</v>
      </c>
      <c r="C10" s="8">
        <v>8.1550910000000004E-2</v>
      </c>
      <c r="D10" s="1">
        <v>47634986638.910004</v>
      </c>
      <c r="E10" s="8">
        <v>0.15906952999999999</v>
      </c>
      <c r="F10" s="1">
        <v>245284554.97999999</v>
      </c>
      <c r="G10" s="8">
        <v>1.8084179999999998E-2</v>
      </c>
      <c r="H10" s="1">
        <v>45837437558.910004</v>
      </c>
      <c r="I10" s="8">
        <v>0.10684386999999999</v>
      </c>
      <c r="J10" s="1">
        <v>25696608580.619999</v>
      </c>
      <c r="K10" s="8">
        <v>0.11573669</v>
      </c>
      <c r="L10" s="6">
        <v>0</v>
      </c>
      <c r="M10" s="6">
        <v>0</v>
      </c>
      <c r="N10" s="1">
        <v>25107497979.860001</v>
      </c>
      <c r="O10" s="8">
        <v>9.0697040000000007E-2</v>
      </c>
      <c r="P10" s="3">
        <f t="shared" si="0"/>
        <v>146505263148.79999</v>
      </c>
      <c r="Q10" s="2">
        <f t="shared" si="1"/>
        <v>0.11480412839060475</v>
      </c>
      <c r="R10" s="1">
        <v>263595142.15000001</v>
      </c>
      <c r="S10" s="8">
        <v>1.157963E-2</v>
      </c>
      <c r="T10" s="1">
        <v>418990535.51999998</v>
      </c>
      <c r="U10" s="8">
        <v>1.433562E-2</v>
      </c>
      <c r="V10" s="3">
        <f t="shared" si="2"/>
        <v>682585677.66999996</v>
      </c>
      <c r="W10" s="2">
        <f t="shared" si="3"/>
        <v>1.3128941899352464E-2</v>
      </c>
      <c r="X10" s="1">
        <v>8120022170.0799999</v>
      </c>
      <c r="Y10" s="8">
        <v>8.6551939999999994E-2</v>
      </c>
      <c r="Z10" s="3">
        <f t="shared" si="4"/>
        <v>155307870996.54999</v>
      </c>
      <c r="AA10" s="2">
        <f t="shared" si="5"/>
        <v>0.10922251862998496</v>
      </c>
      <c r="AB10" s="16"/>
    </row>
    <row r="11" spans="1:28" x14ac:dyDescent="0.25">
      <c r="A11" s="12" t="s">
        <v>22</v>
      </c>
      <c r="B11" s="1">
        <v>3022949995.8099999</v>
      </c>
      <c r="C11" s="8">
        <v>0.12429081</v>
      </c>
      <c r="D11" s="1">
        <v>8069468006.0799999</v>
      </c>
      <c r="E11" s="8">
        <v>2.694672E-2</v>
      </c>
      <c r="F11" s="1">
        <v>1941691597.1800001</v>
      </c>
      <c r="G11" s="8">
        <v>0.14315580999999999</v>
      </c>
      <c r="H11" s="1">
        <v>12849363784.01</v>
      </c>
      <c r="I11" s="8">
        <v>2.995097E-2</v>
      </c>
      <c r="J11" s="1">
        <v>6254606659.2700005</v>
      </c>
      <c r="K11" s="8">
        <v>2.8170549999999999E-2</v>
      </c>
      <c r="L11" s="1">
        <v>47852719.840000004</v>
      </c>
      <c r="M11" s="8">
        <v>4.3824399999999996E-3</v>
      </c>
      <c r="N11" s="1">
        <v>7718870407.0500002</v>
      </c>
      <c r="O11" s="8">
        <v>2.7883249999999998E-2</v>
      </c>
      <c r="P11" s="3">
        <f t="shared" si="0"/>
        <v>39904803169.240005</v>
      </c>
      <c r="Q11" s="2">
        <f t="shared" si="1"/>
        <v>3.1270113086587538E-2</v>
      </c>
      <c r="R11" s="1">
        <v>739405335.17999995</v>
      </c>
      <c r="S11" s="8">
        <v>3.2481799999999998E-2</v>
      </c>
      <c r="T11" s="1">
        <v>953918970.90999997</v>
      </c>
      <c r="U11" s="8">
        <v>3.2638019999999997E-2</v>
      </c>
      <c r="V11" s="3">
        <f t="shared" si="2"/>
        <v>1693324306.0899999</v>
      </c>
      <c r="W11" s="2">
        <f t="shared" si="3"/>
        <v>3.2569620428169771E-2</v>
      </c>
      <c r="X11" s="1">
        <v>2787557726.0599999</v>
      </c>
      <c r="Y11" s="8">
        <v>2.9712789999999999E-2</v>
      </c>
      <c r="Z11" s="3">
        <f t="shared" si="4"/>
        <v>44385685201.389999</v>
      </c>
      <c r="AA11" s="2">
        <f t="shared" si="5"/>
        <v>3.1214878535815862E-2</v>
      </c>
      <c r="AB11" s="16"/>
    </row>
    <row r="12" spans="1:28" x14ac:dyDescent="0.25">
      <c r="A12" s="12" t="s">
        <v>23</v>
      </c>
      <c r="B12" s="1">
        <v>1299499962.8699999</v>
      </c>
      <c r="C12" s="8">
        <v>5.3429890000000001E-2</v>
      </c>
      <c r="D12" s="1">
        <v>44372470975.540001</v>
      </c>
      <c r="E12" s="8">
        <v>0.14817488000000001</v>
      </c>
      <c r="F12" s="1">
        <v>513670121.38999999</v>
      </c>
      <c r="G12" s="8">
        <v>3.7871549999999997E-2</v>
      </c>
      <c r="H12" s="1">
        <v>92682164408.289993</v>
      </c>
      <c r="I12" s="8">
        <v>0.21603567000000001</v>
      </c>
      <c r="J12" s="1">
        <v>57010243298.690002</v>
      </c>
      <c r="K12" s="8">
        <v>0.25677229000000001</v>
      </c>
      <c r="L12" s="6">
        <v>0</v>
      </c>
      <c r="M12" s="6">
        <v>0</v>
      </c>
      <c r="N12" s="1">
        <v>24681537020.59</v>
      </c>
      <c r="O12" s="8">
        <v>8.9158319999999999E-2</v>
      </c>
      <c r="P12" s="3">
        <f t="shared" si="0"/>
        <v>220559585787.37</v>
      </c>
      <c r="Q12" s="2">
        <f t="shared" si="1"/>
        <v>0.17283441195415669</v>
      </c>
      <c r="R12" s="1">
        <v>6099348396.4200001</v>
      </c>
      <c r="S12" s="8">
        <v>0.26794205999999998</v>
      </c>
      <c r="T12" s="6">
        <v>0</v>
      </c>
      <c r="U12" s="6">
        <v>0</v>
      </c>
      <c r="V12" s="3">
        <f t="shared" si="2"/>
        <v>6099348396.4200001</v>
      </c>
      <c r="W12" s="2">
        <f t="shared" si="3"/>
        <v>0.11731566210684687</v>
      </c>
      <c r="X12" s="1">
        <v>25377656331.009998</v>
      </c>
      <c r="Y12" s="8">
        <v>0.27050238999999998</v>
      </c>
      <c r="Z12" s="3">
        <f t="shared" si="4"/>
        <v>252036590514.80002</v>
      </c>
      <c r="AA12" s="2">
        <f t="shared" si="5"/>
        <v>0.17724839717590454</v>
      </c>
      <c r="AB12" s="16"/>
    </row>
    <row r="13" spans="1:28" x14ac:dyDescent="0.25">
      <c r="A13" s="13" t="s">
        <v>24</v>
      </c>
      <c r="B13" s="3">
        <f t="shared" ref="B13:AA13" si="6">SUM(B6:B12)</f>
        <v>24321589781.060001</v>
      </c>
      <c r="C13" s="7">
        <f t="shared" si="6"/>
        <v>1</v>
      </c>
      <c r="D13" s="3">
        <f t="shared" si="6"/>
        <v>299460150942.23999</v>
      </c>
      <c r="E13" s="7">
        <f t="shared" si="6"/>
        <v>1</v>
      </c>
      <c r="F13" s="3">
        <f t="shared" si="6"/>
        <v>13563484431.369999</v>
      </c>
      <c r="G13" s="7">
        <f t="shared" si="6"/>
        <v>1</v>
      </c>
      <c r="H13" s="3">
        <f t="shared" si="6"/>
        <v>429013249875.66998</v>
      </c>
      <c r="I13" s="7">
        <f t="shared" si="6"/>
        <v>0.99999999000000006</v>
      </c>
      <c r="J13" s="3">
        <f t="shared" si="6"/>
        <v>222026465793.35001</v>
      </c>
      <c r="K13" s="7">
        <f t="shared" si="6"/>
        <v>1.0000000099999999</v>
      </c>
      <c r="L13" s="3">
        <f t="shared" si="6"/>
        <v>10919208100.190001</v>
      </c>
      <c r="M13" s="7">
        <f t="shared" si="6"/>
        <v>1.0000000100000002</v>
      </c>
      <c r="N13" s="3">
        <f>SUM(N6:N12)</f>
        <v>276828209751.73004</v>
      </c>
      <c r="O13" s="7">
        <f t="shared" si="6"/>
        <v>1</v>
      </c>
      <c r="P13" s="3">
        <f t="shared" si="6"/>
        <v>1276132358675.6099</v>
      </c>
      <c r="Q13" s="7">
        <f t="shared" si="6"/>
        <v>1</v>
      </c>
      <c r="R13" s="3">
        <f t="shared" si="6"/>
        <v>22763683766.299999</v>
      </c>
      <c r="S13" s="7">
        <f t="shared" si="6"/>
        <v>0.99999998999999984</v>
      </c>
      <c r="T13" s="3">
        <f t="shared" si="6"/>
        <v>29227229355.470001</v>
      </c>
      <c r="U13" s="7">
        <f t="shared" si="6"/>
        <v>1</v>
      </c>
      <c r="V13" s="3">
        <f t="shared" si="6"/>
        <v>51990913121.769997</v>
      </c>
      <c r="W13" s="7">
        <f t="shared" si="6"/>
        <v>1.0000000000000002</v>
      </c>
      <c r="X13" s="3">
        <f t="shared" si="6"/>
        <v>93816754349.509995</v>
      </c>
      <c r="Y13" s="7">
        <f t="shared" si="6"/>
        <v>1</v>
      </c>
      <c r="Z13" s="3">
        <f>SUM(Z6:Z12)</f>
        <v>1421940026146.8899</v>
      </c>
      <c r="AA13" s="7">
        <f t="shared" si="6"/>
        <v>1</v>
      </c>
    </row>
    <row r="14" spans="1:28" x14ac:dyDescent="0.25">
      <c r="B14" s="16"/>
      <c r="F14" s="16"/>
      <c r="H14" s="16"/>
      <c r="J14" s="16"/>
      <c r="L14" s="16"/>
      <c r="N14" s="16"/>
      <c r="P14" s="16"/>
      <c r="R14" s="16"/>
      <c r="T14" s="16"/>
      <c r="V14" s="16"/>
      <c r="X14" s="16"/>
      <c r="Z14" s="16"/>
    </row>
    <row r="15" spans="1:28" x14ac:dyDescent="0.25">
      <c r="A15" s="5" t="s">
        <v>25</v>
      </c>
      <c r="P15" s="16"/>
      <c r="R15" s="16"/>
      <c r="T15" s="16"/>
    </row>
    <row r="16" spans="1:28" x14ac:dyDescent="0.25">
      <c r="A16" s="5" t="s">
        <v>26</v>
      </c>
      <c r="L16" s="16"/>
      <c r="P16" s="16"/>
    </row>
    <row r="17" spans="1:26" ht="1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26" x14ac:dyDescent="0.25">
      <c r="B18" s="16"/>
      <c r="D18" s="17"/>
      <c r="F18" s="16"/>
      <c r="H18" s="16"/>
      <c r="J18" s="16"/>
      <c r="L18" s="16"/>
      <c r="N18" s="16"/>
      <c r="P18" s="16"/>
      <c r="R18" s="16"/>
      <c r="T18" s="16"/>
      <c r="V18" s="16"/>
      <c r="X18" s="16"/>
      <c r="Z18" s="16"/>
    </row>
    <row r="27" spans="1:26" x14ac:dyDescent="0.25">
      <c r="H27" s="9"/>
    </row>
    <row r="28" spans="1:26" x14ac:dyDescent="0.25">
      <c r="H28" s="9"/>
    </row>
  </sheetData>
  <mergeCells count="16">
    <mergeCell ref="P4:Q4"/>
    <mergeCell ref="R4:S4"/>
    <mergeCell ref="T4:U4"/>
    <mergeCell ref="V4:W4"/>
    <mergeCell ref="X4:Y4"/>
    <mergeCell ref="Z4:AA4"/>
    <mergeCell ref="A1:W1"/>
    <mergeCell ref="A2:W2"/>
    <mergeCell ref="A4:A5"/>
    <mergeCell ref="B4:C4"/>
    <mergeCell ref="D4:E4"/>
    <mergeCell ref="F4:G4"/>
    <mergeCell ref="H4:I4"/>
    <mergeCell ref="J4:K4"/>
    <mergeCell ref="L4:M4"/>
    <mergeCell ref="N4:O4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356bbc-c7e3-4705-a35e-a22d7fa248ea">
      <Terms xmlns="http://schemas.microsoft.com/office/infopath/2007/PartnerControls"/>
    </lcf76f155ced4ddcb4097134ff3c332f>
    <TaxCatchAll xmlns="28489dc2-50cf-493e-a704-cb1420394a7d" xsi:nil="true"/>
    <_Flow_SignoffStatus xmlns="3d356bbc-c7e3-4705-a35e-a22d7fa248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416EC32B9FCD4FA3028E6276592E14" ma:contentTypeVersion="22" ma:contentTypeDescription="Crear nuevo documento." ma:contentTypeScope="" ma:versionID="726b0b2ce5dfed5be50198bec91cca88">
  <xsd:schema xmlns:xsd="http://www.w3.org/2001/XMLSchema" xmlns:xs="http://www.w3.org/2001/XMLSchema" xmlns:p="http://schemas.microsoft.com/office/2006/metadata/properties" xmlns:ns2="3d356bbc-c7e3-4705-a35e-a22d7fa248ea" xmlns:ns3="28489dc2-50cf-493e-a704-cb1420394a7d" targetNamespace="http://schemas.microsoft.com/office/2006/metadata/properties" ma:root="true" ma:fieldsID="1862128e360da61c2d83cb5cc2dfd831" ns2:_="" ns3:_="">
    <xsd:import namespace="3d356bbc-c7e3-4705-a35e-a22d7fa248ea"/>
    <xsd:import namespace="28489dc2-50cf-493e-a704-cb1420394a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356bbc-c7e3-4705-a35e-a22d7fa24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fd1bcfab-92ed-418b-a830-1d6ea5935d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5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489dc2-50cf-493e-a704-cb1420394a7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64cec46-a817-428a-87a7-9f7fdb4146ae}" ma:internalName="TaxCatchAll" ma:showField="CatchAllData" ma:web="28489dc2-50cf-493e-a704-cb1420394a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7D4700-D85A-4D38-BA99-8BAEC0BFD4B7}">
  <ds:schemaRefs>
    <ds:schemaRef ds:uri="http://schemas.microsoft.com/office/2006/metadata/properties"/>
    <ds:schemaRef ds:uri="http://schemas.microsoft.com/office/infopath/2007/PartnerControls"/>
    <ds:schemaRef ds:uri="3d356bbc-c7e3-4705-a35e-a22d7fa248ea"/>
    <ds:schemaRef ds:uri="28489dc2-50cf-493e-a704-cb1420394a7d"/>
  </ds:schemaRefs>
</ds:datastoreItem>
</file>

<file path=customXml/itemProps2.xml><?xml version="1.0" encoding="utf-8"?>
<ds:datastoreItem xmlns:ds="http://schemas.openxmlformats.org/officeDocument/2006/customXml" ds:itemID="{3F17BDF3-33AD-4465-A885-65BD4896EC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DA3446-6BA5-4B07-A0A6-669E9AEB5D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356bbc-c7e3-4705-a35e-a22d7fa248ea"/>
    <ds:schemaRef ds:uri="28489dc2-50cf-493e-a704-cb1420394a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Nadia Urena</dc:creator>
  <cp:keywords/>
  <dc:description/>
  <cp:lastModifiedBy>Nadia Mercedes Ureña</cp:lastModifiedBy>
  <cp:revision/>
  <dcterms:created xsi:type="dcterms:W3CDTF">2017-06-23T15:36:35Z</dcterms:created>
  <dcterms:modified xsi:type="dcterms:W3CDTF">2026-01-08T14:55:10Z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0x01010099416EC32B9FCD4FA3028E6276592E14</vt:lpwstr>
  </property>
  <property fmtid="{D5CDD505-2E9C-101B-9397-08002B2CF9AE}" pid="3" name="MediaServiceImageTags">
    <vt:lpwstr/>
  </property>
</Properties>
</file>