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pen.sharepoint.com/Financiero/Datos WEB/2022/"/>
    </mc:Choice>
  </mc:AlternateContent>
  <xr:revisionPtr revIDLastSave="44" documentId="11_4988F97EE4B0B48AC87B04C11DE727B37004068A" xr6:coauthVersionLast="47" xr6:coauthVersionMax="47" xr10:uidLastSave="{4A79D89E-1FBC-46B4-BA9C-9B0DEF375003}"/>
  <bookViews>
    <workbookView xWindow="-120" yWindow="-120" windowWidth="29040" windowHeight="15840" xr2:uid="{00000000-000D-0000-FFFF-FFFF00000000}"/>
  </bookViews>
  <sheets>
    <sheet name="2022" sheetId="1" r:id="rId1"/>
  </sheets>
  <definedNames>
    <definedName name="_xlnm.Print_Area" localSheetId="0">'2022'!$B$2:$L$20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" l="1"/>
  <c r="N20" i="1"/>
  <c r="O16" i="1"/>
  <c r="O17" i="1"/>
  <c r="O19" i="1"/>
  <c r="O15" i="1"/>
  <c r="O14" i="1" l="1"/>
  <c r="O8" i="1"/>
  <c r="O13" i="1" l="1"/>
  <c r="O12" i="1" l="1"/>
  <c r="O11" i="1" l="1"/>
  <c r="O10" i="1"/>
  <c r="O20" i="1" l="1"/>
  <c r="O9" i="1"/>
  <c r="M20" i="1" l="1"/>
  <c r="J20" i="1"/>
  <c r="K20" i="1"/>
  <c r="L20" i="1" l="1"/>
  <c r="I20" i="1"/>
  <c r="H20" i="1"/>
  <c r="G20" i="1"/>
  <c r="F20" i="1"/>
  <c r="E20" i="1"/>
  <c r="D20" i="1"/>
  <c r="C20" i="1"/>
</calcChain>
</file>

<file path=xl/sharedStrings.xml><?xml version="1.0" encoding="utf-8"?>
<sst xmlns="http://schemas.openxmlformats.org/spreadsheetml/2006/main" count="40" uniqueCount="31">
  <si>
    <t>RD$</t>
  </si>
  <si>
    <t>Enero - Diciembre de 2022</t>
  </si>
  <si>
    <t>DETALLE</t>
  </si>
  <si>
    <t>TOTAL MENSUAL</t>
  </si>
  <si>
    <t>TIPP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</si>
  <si>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</si>
  <si>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</si>
  <si>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</si>
  <si>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</si>
  <si>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</si>
  <si>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</si>
  <si>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</si>
  <si>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</si>
  <si>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</si>
  <si>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</si>
  <si>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</si>
  <si>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</si>
  <si>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</si>
  <si>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FONDO DE SOLIDARIDAD SOCIAL</t>
  </si>
  <si>
    <t>FONDO COMPLEMENTARIO- AFP ROMANA</t>
  </si>
  <si>
    <t>INABIMA</t>
  </si>
  <si>
    <t>ATLÁNTICO</t>
  </si>
  <si>
    <t>CRECER</t>
  </si>
  <si>
    <t>JMMB BDI</t>
  </si>
  <si>
    <t>POPULAR</t>
  </si>
  <si>
    <t xml:space="preserve">RESERVAS </t>
  </si>
  <si>
    <t>ROMANA</t>
  </si>
  <si>
    <t>SIEMBRA</t>
  </si>
  <si>
    <t>RESERVAS - REPARTO INDIVIDUALIZADO</t>
  </si>
  <si>
    <t>Patrimonio de los Fondos de Pensiones</t>
  </si>
  <si>
    <t>BANCO CENTRAL - REPARTO INDIVIDUALIZADO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</si>
</sst>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</cellStyleXfs>
  <cellXfs count="20">
    <xf numFmtId="0" fontId="0" fillId="0" borderId="0" xfId="0"/>
    <xf numFmtId="0" fontId="3" fillId="0" borderId="0" xfId="3"/>
    <xf numFmtId="0" fontId="4" fillId="0" borderId="0" xfId="2" applyFont="1" applyAlignment="1">
      <alignment horizontal="right"/>
    </xf>
    <xf numFmtId="0" fontId="3" fillId="0" borderId="0" xfId="2"/>
    <xf numFmtId="0" fontId="4" fillId="3" borderId="3" xfId="2" applyFont="1" applyFill="1" applyBorder="1" applyAlignment="1">
      <alignment horizontal="center" vertical="center" wrapText="1"/>
    </xf>
    <xf numFmtId="43" fontId="4" fillId="3" borderId="3" xfId="1" applyFont="1" applyFill="1" applyBorder="1" applyAlignment="1">
      <alignment horizontal="center"/>
    </xf>
    <xf numFmtId="4" fontId="0" fillId="0" borderId="0" xfId="0" applyNumberFormat="1"/>
    <xf numFmtId="43" fontId="4" fillId="3" borderId="3" xfId="1" applyFont="1" applyFill="1" applyBorder="1" applyAlignment="1">
      <alignment horizontal="right"/>
    </xf>
    <xf numFmtId="4" fontId="3" fillId="0" borderId="0" xfId="3" applyNumberFormat="1"/>
    <xf numFmtId="4" fontId="2" fillId="0" borderId="0" xfId="0" applyNumberFormat="1" applyFont="1"/>
    <xf numFmtId="0" fontId="4" fillId="0" borderId="0" xfId="2" applyFont="1" applyAlignment="1">
      <alignment horizontal="center"/>
    </xf>
    <xf numFmtId="4" fontId="0" fillId="0" borderId="1" xfId="0" applyNumberFormat="1" applyBorder="1" applyAlignment="1">
      <alignment horizontal="center"/>
    </xf>
    <xf numFmtId="4" fontId="3" fillId="0" borderId="3" xfId="1" applyNumberFormat="1" applyFon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0" fontId="4" fillId="0" borderId="0" xfId="2" applyFont="1" applyAlignment="1">
      <alignment horizontal="center"/>
    </xf>
    <xf numFmtId="0" fontId="5" fillId="2" borderId="1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justify" vertical="justify" wrapText="1"/>
    </xf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6"/>
  <sheetViews>
    <sheetView showGridLines="0" tabSelected="1" zoomScaleNormal="100" workbookViewId="0">
      <selection activeCell="L25" sqref="L25"/>
    </sheetView>
  </sheetViews>
  <sheetFormatPr defaultColWidth="11.42578125" defaultRowHeight="15" x14ac:dyDescent="0.25"/>
  <cols>
    <col min="1" max="1" width="5.28515625" style="1" customWidth="1"/>
    <col min="2" max="2" width="12.28515625" style="1" customWidth="1"/>
    <col min="3" max="3" width="19" style="1" bestFit="1" customWidth="1"/>
    <col min="4" max="4" width="20.42578125" style="1" bestFit="1" customWidth="1"/>
    <col min="5" max="5" width="17.85546875" style="1" bestFit="1" customWidth="1"/>
    <col min="6" max="7" width="20.42578125" style="1" bestFit="1" customWidth="1"/>
    <col min="8" max="8" width="17.85546875" style="1" bestFit="1" customWidth="1"/>
    <col min="9" max="9" width="20.42578125" style="1" bestFit="1" customWidth="1"/>
    <col min="10" max="10" width="18.42578125" style="1" customWidth="1"/>
    <col min="11" max="11" width="20.140625" style="1" customWidth="1"/>
    <col min="12" max="12" width="18.7109375" style="1" customWidth="1"/>
    <col min="13" max="13" width="18.42578125" style="1" customWidth="1"/>
    <col min="14" max="14" width="20.5703125" style="1" bestFit="1" customWidth="1"/>
    <col min="15" max="15" width="21.7109375" style="1" bestFit="1" customWidth="1"/>
    <col min="16" max="16" width="14.140625" style="1" bestFit="1" customWidth="1"/>
    <col min="17" max="16384" width="11.42578125" style="1"/>
  </cols>
  <sheetData>
    <row r="1" spans="2:15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0"/>
      <c r="N1" s="10"/>
    </row>
    <row r="2" spans="2:15" x14ac:dyDescent="0.25">
      <c r="B2" s="14" t="s">
        <v>29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2:15" x14ac:dyDescent="0.25">
      <c r="B3" s="14" t="s">
        <v>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2:15" x14ac:dyDescent="0.25">
      <c r="B4" s="14" t="s">
        <v>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2:15" x14ac:dyDescent="0.25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5" ht="15" customHeight="1" x14ac:dyDescent="0.25">
      <c r="B6" s="15" t="s">
        <v>2</v>
      </c>
      <c r="C6" s="15" t="s">
        <v>21</v>
      </c>
      <c r="D6" s="15" t="s">
        <v>22</v>
      </c>
      <c r="E6" s="16" t="s">
        <v>23</v>
      </c>
      <c r="F6" s="15" t="s">
        <v>24</v>
      </c>
      <c r="G6" s="15" t="s">
        <v>25</v>
      </c>
      <c r="H6" s="15" t="s">
        <v>26</v>
      </c>
      <c r="I6" s="15" t="s">
        <v>27</v>
      </c>
      <c r="J6" s="15" t="s">
        <v>19</v>
      </c>
      <c r="K6" s="15" t="s">
        <v>28</v>
      </c>
      <c r="L6" s="15" t="s">
        <v>30</v>
      </c>
      <c r="M6" s="15" t="s">
        <v>18</v>
      </c>
      <c r="N6" s="15" t="s">
        <v>20</v>
      </c>
      <c r="O6" s="15" t="s">
        <v>3</v>
      </c>
    </row>
    <row r="7" spans="2:15" ht="38.25" customHeight="1" x14ac:dyDescent="0.25">
      <c r="B7" s="15"/>
      <c r="C7" s="15"/>
      <c r="D7" s="15" t="s">
        <v>4</v>
      </c>
      <c r="E7" s="17"/>
      <c r="F7" s="15" t="s">
        <v>4</v>
      </c>
      <c r="G7" s="15" t="s">
        <v>4</v>
      </c>
      <c r="H7" s="15" t="s">
        <v>4</v>
      </c>
      <c r="I7" s="15" t="s">
        <v>4</v>
      </c>
      <c r="J7" s="15" t="s">
        <v>4</v>
      </c>
      <c r="K7" s="15" t="s">
        <v>4</v>
      </c>
      <c r="L7" s="15" t="s">
        <v>4</v>
      </c>
      <c r="M7" s="15" t="s">
        <v>4</v>
      </c>
      <c r="N7" s="15" t="s">
        <v>4</v>
      </c>
      <c r="O7" s="15"/>
    </row>
    <row r="8" spans="2:15" x14ac:dyDescent="0.25">
      <c r="B8" s="4" t="s">
        <v>5</v>
      </c>
      <c r="C8" s="11">
        <v>8526790978.7799997</v>
      </c>
      <c r="D8" s="11">
        <v>183047732910.95999</v>
      </c>
      <c r="E8" s="11">
        <v>4706077813.6700001</v>
      </c>
      <c r="F8" s="11">
        <v>265671916309.73001</v>
      </c>
      <c r="G8" s="12">
        <v>132227540423.38</v>
      </c>
      <c r="H8" s="11">
        <v>7552616870.0699997</v>
      </c>
      <c r="I8" s="11">
        <v>163528789585.89001</v>
      </c>
      <c r="J8" s="11">
        <v>93424557.989999995</v>
      </c>
      <c r="K8" s="11">
        <v>19181595676.09</v>
      </c>
      <c r="L8" s="11">
        <v>25415818280.66</v>
      </c>
      <c r="M8" s="13">
        <v>55684431459.169998</v>
      </c>
      <c r="N8" s="13">
        <v>104120527629.38</v>
      </c>
      <c r="O8" s="5">
        <f>SUM(C8:N8)</f>
        <v>969757262495.77002</v>
      </c>
    </row>
    <row r="9" spans="2:15" x14ac:dyDescent="0.25">
      <c r="B9" s="4" t="s">
        <v>6</v>
      </c>
      <c r="C9" s="11">
        <v>8762130918.5599995</v>
      </c>
      <c r="D9" s="11">
        <v>182574278263.22</v>
      </c>
      <c r="E9" s="11">
        <v>4787447696.9899998</v>
      </c>
      <c r="F9" s="11">
        <v>264214855939.25</v>
      </c>
      <c r="G9" s="11">
        <v>131336050962.78999</v>
      </c>
      <c r="H9" s="11">
        <v>7609764501.1899996</v>
      </c>
      <c r="I9" s="11">
        <v>162336777816.85999</v>
      </c>
      <c r="J9" s="11">
        <v>93488014.010000005</v>
      </c>
      <c r="K9" s="11">
        <v>19077477951.990002</v>
      </c>
      <c r="L9" s="11">
        <v>25284401407.709999</v>
      </c>
      <c r="M9" s="13">
        <v>55727827601.5</v>
      </c>
      <c r="N9" s="13">
        <v>104736144977.77</v>
      </c>
      <c r="O9" s="5">
        <f t="shared" ref="O9:O13" si="0">SUM(C9:N9)</f>
        <v>966540646051.83997</v>
      </c>
    </row>
    <row r="10" spans="2:15" x14ac:dyDescent="0.25">
      <c r="B10" s="4" t="s">
        <v>7</v>
      </c>
      <c r="C10" s="11">
        <v>9039739032.4200001</v>
      </c>
      <c r="D10" s="11">
        <v>184841740586.48001</v>
      </c>
      <c r="E10" s="11">
        <v>4936080039.3299999</v>
      </c>
      <c r="F10" s="11">
        <v>267385913267.5</v>
      </c>
      <c r="G10" s="11">
        <v>132824064601.81</v>
      </c>
      <c r="H10" s="11">
        <v>7655054572.8699999</v>
      </c>
      <c r="I10" s="11">
        <v>164344761429.01001</v>
      </c>
      <c r="J10" s="11">
        <v>93763251.379999995</v>
      </c>
      <c r="K10" s="11">
        <v>19158413741.5</v>
      </c>
      <c r="L10" s="11">
        <v>25341760246.419998</v>
      </c>
      <c r="M10" s="11">
        <v>56448616765.690002</v>
      </c>
      <c r="N10" s="11">
        <v>105042031904.81</v>
      </c>
      <c r="O10" s="5">
        <f t="shared" si="0"/>
        <v>977111939439.22021</v>
      </c>
    </row>
    <row r="11" spans="2:15" x14ac:dyDescent="0.25">
      <c r="B11" s="4" t="s">
        <v>8</v>
      </c>
      <c r="C11" s="11">
        <v>9185689771.8299999</v>
      </c>
      <c r="D11" s="11">
        <v>186670183226.66</v>
      </c>
      <c r="E11" s="11">
        <v>5143254541.4499998</v>
      </c>
      <c r="F11" s="11">
        <v>269581458509.07001</v>
      </c>
      <c r="G11" s="11">
        <v>133902208637.74001</v>
      </c>
      <c r="H11" s="11">
        <v>7706481464.04</v>
      </c>
      <c r="I11" s="11">
        <v>165632914907.87</v>
      </c>
      <c r="J11" s="11">
        <v>93846897.159999996</v>
      </c>
      <c r="K11" s="11">
        <v>19189740659.360001</v>
      </c>
      <c r="L11" s="11">
        <v>25360555263.919998</v>
      </c>
      <c r="M11" s="11">
        <v>56976820375.980003</v>
      </c>
      <c r="N11" s="11">
        <v>106127765237.55</v>
      </c>
      <c r="O11" s="5">
        <f t="shared" si="0"/>
        <v>985570919492.63013</v>
      </c>
    </row>
    <row r="12" spans="2:15" x14ac:dyDescent="0.25">
      <c r="B12" s="4" t="s">
        <v>9</v>
      </c>
      <c r="C12" s="11">
        <v>9333940235.8099995</v>
      </c>
      <c r="D12" s="11">
        <v>188282397056.95001</v>
      </c>
      <c r="E12" s="11">
        <v>5289653775.3699999</v>
      </c>
      <c r="F12" s="11">
        <v>271721509010.34</v>
      </c>
      <c r="G12" s="11">
        <v>135042681086.23</v>
      </c>
      <c r="H12" s="11">
        <v>7769008761.0799999</v>
      </c>
      <c r="I12" s="11">
        <v>166928075969.20999</v>
      </c>
      <c r="J12" s="11">
        <v>90608178.900000006</v>
      </c>
      <c r="K12" s="11">
        <v>19217550680.139999</v>
      </c>
      <c r="L12" s="11">
        <v>25397498225.389999</v>
      </c>
      <c r="M12" s="11">
        <v>57543364975.120003</v>
      </c>
      <c r="N12" s="11">
        <v>106980292517.64999</v>
      </c>
      <c r="O12" s="5">
        <f t="shared" si="0"/>
        <v>993596580472.18994</v>
      </c>
    </row>
    <row r="13" spans="2:15" ht="15" customHeight="1" x14ac:dyDescent="0.25">
      <c r="B13" s="4" t="s">
        <v>10</v>
      </c>
      <c r="C13" s="11">
        <v>9481912862.1299992</v>
      </c>
      <c r="D13" s="11">
        <v>189760347725.85001</v>
      </c>
      <c r="E13" s="11">
        <v>5413293696.6400003</v>
      </c>
      <c r="F13" s="11">
        <v>273346806299</v>
      </c>
      <c r="G13" s="11">
        <v>135954730560.75999</v>
      </c>
      <c r="H13" s="11">
        <v>7833362390.1400003</v>
      </c>
      <c r="I13" s="11">
        <v>168115605319.32001</v>
      </c>
      <c r="J13" s="11">
        <v>88259863.060000002</v>
      </c>
      <c r="K13" s="11">
        <v>19208360184.360001</v>
      </c>
      <c r="L13" s="11">
        <v>25391735969.619999</v>
      </c>
      <c r="M13" s="11">
        <v>58052723126.029999</v>
      </c>
      <c r="N13" s="11">
        <v>108276706891.60001</v>
      </c>
      <c r="O13" s="5">
        <f t="shared" si="0"/>
        <v>1000923844888.5101</v>
      </c>
    </row>
    <row r="14" spans="2:15" ht="15" customHeight="1" x14ac:dyDescent="0.25">
      <c r="B14" s="4" t="s">
        <v>11</v>
      </c>
      <c r="C14" s="11">
        <v>9782179906.2900009</v>
      </c>
      <c r="D14" s="11">
        <v>191363924365.22</v>
      </c>
      <c r="E14" s="11">
        <v>5581309416.0100002</v>
      </c>
      <c r="F14" s="11">
        <v>274971748688.17999</v>
      </c>
      <c r="G14" s="11">
        <v>136805982465.03</v>
      </c>
      <c r="H14" s="11">
        <v>7893268283.71</v>
      </c>
      <c r="I14" s="11">
        <v>169206866970.38</v>
      </c>
      <c r="J14" s="11">
        <v>87927264</v>
      </c>
      <c r="K14" s="11">
        <v>19379185851.459999</v>
      </c>
      <c r="L14" s="11">
        <v>25401588514.529999</v>
      </c>
      <c r="M14" s="11">
        <v>58563196533.550003</v>
      </c>
      <c r="N14" s="11">
        <v>106483787159.49001</v>
      </c>
      <c r="O14" s="5">
        <f>SUM(C14:N14)</f>
        <v>1005520965417.85</v>
      </c>
    </row>
    <row r="15" spans="2:15" x14ac:dyDescent="0.25">
      <c r="B15" s="4" t="s">
        <v>12</v>
      </c>
      <c r="C15" s="11">
        <v>9976500614.2399998</v>
      </c>
      <c r="D15" s="11">
        <v>192474199838.85999</v>
      </c>
      <c r="E15" s="11">
        <v>5681816650.3699999</v>
      </c>
      <c r="F15" s="11">
        <v>275866163831.03003</v>
      </c>
      <c r="G15" s="11">
        <v>137396829715.17</v>
      </c>
      <c r="H15" s="11">
        <v>7919073680.0500002</v>
      </c>
      <c r="I15" s="11">
        <v>169825148459.85001</v>
      </c>
      <c r="J15" s="11">
        <v>87490377.299999997</v>
      </c>
      <c r="K15" s="11">
        <v>19410200367.93</v>
      </c>
      <c r="L15" s="11">
        <v>25451790926.400002</v>
      </c>
      <c r="M15" s="11">
        <v>59016391797.779999</v>
      </c>
      <c r="N15" s="11">
        <v>108161112556.88</v>
      </c>
      <c r="O15" s="5">
        <f>SUM(C15:N15)</f>
        <v>1011266718815.8602</v>
      </c>
    </row>
    <row r="16" spans="2:15" ht="15" customHeight="1" x14ac:dyDescent="0.25">
      <c r="B16" s="4" t="s">
        <v>13</v>
      </c>
      <c r="C16" s="11">
        <v>10243839426.540001</v>
      </c>
      <c r="D16" s="11">
        <v>194420911202.79999</v>
      </c>
      <c r="E16" s="11">
        <v>5820143456.7399998</v>
      </c>
      <c r="F16" s="11">
        <v>278060579839.44</v>
      </c>
      <c r="G16" s="11">
        <v>138532205858.44</v>
      </c>
      <c r="H16" s="11">
        <v>7976147072.3100004</v>
      </c>
      <c r="I16" s="11">
        <v>171336936723.45001</v>
      </c>
      <c r="J16" s="11">
        <v>87837498.150000006</v>
      </c>
      <c r="K16" s="11">
        <v>19462199357.66</v>
      </c>
      <c r="L16" s="11">
        <v>25478932420.16</v>
      </c>
      <c r="M16" s="11">
        <v>59579228120.010002</v>
      </c>
      <c r="N16" s="11">
        <v>108107734890.88</v>
      </c>
      <c r="O16" s="5">
        <f t="shared" ref="O16:O19" si="1">SUM(C16:N16)</f>
        <v>1019106695866.5801</v>
      </c>
    </row>
    <row r="17" spans="2:15" ht="15" customHeight="1" x14ac:dyDescent="0.25">
      <c r="B17" s="4" t="s">
        <v>14</v>
      </c>
      <c r="C17" s="11">
        <v>10484480371.940001</v>
      </c>
      <c r="D17" s="11">
        <v>196469819623.07001</v>
      </c>
      <c r="E17" s="11">
        <v>6037279774.4099998</v>
      </c>
      <c r="F17" s="11">
        <v>280933503372.03998</v>
      </c>
      <c r="G17" s="11">
        <v>140170130789.85999</v>
      </c>
      <c r="H17" s="11">
        <v>8035856099.8800001</v>
      </c>
      <c r="I17" s="11">
        <v>173457687727.17001</v>
      </c>
      <c r="J17" s="11">
        <v>88237944.829999998</v>
      </c>
      <c r="K17" s="11">
        <v>19521038092.860001</v>
      </c>
      <c r="L17" s="11">
        <v>25529503995.849998</v>
      </c>
      <c r="M17" s="11">
        <v>60180321495.970001</v>
      </c>
      <c r="N17" s="11">
        <v>111170167179.95</v>
      </c>
      <c r="O17" s="5">
        <f t="shared" si="1"/>
        <v>1032078026467.8298</v>
      </c>
    </row>
    <row r="18" spans="2:15" ht="17.25" customHeight="1" x14ac:dyDescent="0.25">
      <c r="B18" s="4" t="s">
        <v>15</v>
      </c>
      <c r="C18" s="11">
        <v>10712972556.280001</v>
      </c>
      <c r="D18" s="11">
        <v>199031288732.54001</v>
      </c>
      <c r="E18" s="11">
        <v>6264358790.1300001</v>
      </c>
      <c r="F18" s="11">
        <v>284081263033.02002</v>
      </c>
      <c r="G18" s="11">
        <v>142123793899.95001</v>
      </c>
      <c r="H18" s="11">
        <v>8098862505.1300001</v>
      </c>
      <c r="I18" s="11">
        <v>175702694660.35999</v>
      </c>
      <c r="J18" s="11">
        <v>87842555.590000004</v>
      </c>
      <c r="K18" s="11">
        <v>19478438162.5</v>
      </c>
      <c r="L18" s="11">
        <v>25596385858.619999</v>
      </c>
      <c r="M18" s="11">
        <v>60882365677.760002</v>
      </c>
      <c r="N18" s="11">
        <v>112391736018.45</v>
      </c>
      <c r="O18" s="5">
        <f>SUM(C18:N18)</f>
        <v>1044452002450.33</v>
      </c>
    </row>
    <row r="19" spans="2:15" ht="15" customHeight="1" x14ac:dyDescent="0.25">
      <c r="B19" s="4" t="s">
        <v>16</v>
      </c>
      <c r="C19" s="11">
        <v>11006684150.74</v>
      </c>
      <c r="D19" s="11">
        <v>202635258821.14999</v>
      </c>
      <c r="E19" s="11">
        <v>6507577039.9700003</v>
      </c>
      <c r="F19" s="11">
        <v>289077199883.92999</v>
      </c>
      <c r="G19" s="11">
        <v>144839629778.56</v>
      </c>
      <c r="H19" s="11">
        <v>8163960783.1999998</v>
      </c>
      <c r="I19" s="11">
        <v>179039454988.67001</v>
      </c>
      <c r="J19" s="11">
        <v>87779790.75</v>
      </c>
      <c r="K19" s="11">
        <v>19615903614.98</v>
      </c>
      <c r="L19" s="11">
        <v>25585005738.82</v>
      </c>
      <c r="M19" s="11">
        <v>61825342078.019997</v>
      </c>
      <c r="N19" s="11">
        <v>113918511892.86</v>
      </c>
      <c r="O19" s="5">
        <f t="shared" si="1"/>
        <v>1062302308561.6499</v>
      </c>
    </row>
    <row r="20" spans="2:15" x14ac:dyDescent="0.25">
      <c r="B20" s="4" t="s">
        <v>17</v>
      </c>
      <c r="C20" s="5">
        <f t="shared" ref="C20:M20" si="2">SUM(C8:C19)</f>
        <v>116536860825.56001</v>
      </c>
      <c r="D20" s="5">
        <f t="shared" si="2"/>
        <v>2291572082353.7603</v>
      </c>
      <c r="E20" s="5">
        <f t="shared" si="2"/>
        <v>66168292691.079994</v>
      </c>
      <c r="F20" s="5">
        <f t="shared" si="2"/>
        <v>3294912917982.5303</v>
      </c>
      <c r="G20" s="5">
        <f t="shared" si="2"/>
        <v>1641155848779.72</v>
      </c>
      <c r="H20" s="5">
        <f t="shared" si="2"/>
        <v>94213456983.670013</v>
      </c>
      <c r="I20" s="5">
        <f t="shared" si="2"/>
        <v>2029455714558.04</v>
      </c>
      <c r="J20" s="5">
        <f t="shared" si="2"/>
        <v>1080506193.1199999</v>
      </c>
      <c r="K20" s="5">
        <f t="shared" si="2"/>
        <v>231900104340.82999</v>
      </c>
      <c r="L20" s="5">
        <f t="shared" si="2"/>
        <v>305234976848.10004</v>
      </c>
      <c r="M20" s="5">
        <f t="shared" si="2"/>
        <v>700480630006.57996</v>
      </c>
      <c r="N20" s="5">
        <f>SUM(N8:N19)</f>
        <v>1295516518857.27</v>
      </c>
      <c r="O20" s="7">
        <f>SUM(O8:O19)</f>
        <v>12068227910420.26</v>
      </c>
    </row>
    <row r="21" spans="2:15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2:15" x14ac:dyDescent="0.25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2:15" x14ac:dyDescent="0.25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15" ht="15" customHeight="1" x14ac:dyDescent="0.25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2:15" x14ac:dyDescent="0.25">
      <c r="E25" s="6"/>
      <c r="G25" s="6"/>
    </row>
    <row r="26" spans="2:15" x14ac:dyDescent="0.25">
      <c r="D26" s="8"/>
      <c r="E26" s="6"/>
      <c r="F26" s="8"/>
      <c r="G26" s="6"/>
      <c r="I26" s="8"/>
      <c r="J26" s="8"/>
      <c r="K26" s="8"/>
    </row>
    <row r="27" spans="2:15" x14ac:dyDescent="0.25">
      <c r="E27" s="6"/>
      <c r="G27" s="6"/>
    </row>
    <row r="28" spans="2:15" x14ac:dyDescent="0.25">
      <c r="E28" s="6"/>
      <c r="G28" s="6"/>
    </row>
    <row r="29" spans="2:15" x14ac:dyDescent="0.25">
      <c r="E29" s="6"/>
      <c r="G29" s="6"/>
      <c r="H29" s="6"/>
    </row>
    <row r="30" spans="2:15" x14ac:dyDescent="0.25">
      <c r="E30" s="8"/>
      <c r="G30" s="8"/>
      <c r="H30" s="6"/>
    </row>
    <row r="31" spans="2:15" x14ac:dyDescent="0.25">
      <c r="G31" s="8"/>
      <c r="H31" s="6"/>
    </row>
    <row r="32" spans="2:15" x14ac:dyDescent="0.25">
      <c r="F32" s="6"/>
      <c r="H32" s="8"/>
    </row>
    <row r="33" spans="6:7" x14ac:dyDescent="0.25">
      <c r="F33" s="9"/>
      <c r="G33" s="6"/>
    </row>
    <row r="34" spans="6:7" x14ac:dyDescent="0.25">
      <c r="G34" s="6"/>
    </row>
    <row r="35" spans="6:7" x14ac:dyDescent="0.25">
      <c r="G35" s="6"/>
    </row>
    <row r="36" spans="6:7" x14ac:dyDescent="0.25">
      <c r="G36" s="8"/>
    </row>
  </sheetData>
  <mergeCells count="21">
    <mergeCell ref="B24:O24"/>
    <mergeCell ref="K6:K7"/>
    <mergeCell ref="M6:M7"/>
    <mergeCell ref="H6:H7"/>
    <mergeCell ref="I6:I7"/>
    <mergeCell ref="L6:L7"/>
    <mergeCell ref="O6:O7"/>
    <mergeCell ref="B22:O22"/>
    <mergeCell ref="B23:O23"/>
    <mergeCell ref="B1:L1"/>
    <mergeCell ref="B2:O2"/>
    <mergeCell ref="B3:O3"/>
    <mergeCell ref="B4:O4"/>
    <mergeCell ref="B6:B7"/>
    <mergeCell ref="C6:C7"/>
    <mergeCell ref="D6:D7"/>
    <mergeCell ref="E6:E7"/>
    <mergeCell ref="F6:F7"/>
    <mergeCell ref="G6:G7"/>
    <mergeCell ref="J6:J7"/>
    <mergeCell ref="N6:N7"/>
  </mergeCells>
  <printOptions horizontalCentered="1"/>
  <pageMargins left="0" right="0" top="0.74803149606299213" bottom="0.74803149606299213" header="0.31496062992125984" footer="0.31496062992125984"/>
  <pageSetup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16" ma:contentTypeDescription="Crear nuevo documento." ma:contentTypeScope="" ma:versionID="c0269dfc0a31860cea42264549b84e13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4ca9327bb655e80db2aa6d951e781dd0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8991B7-8474-4BB5-98B8-A0EB4AF758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B6CA63-AB17-420B-9F25-04ECAA3D7A06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customXml/itemProps3.xml><?xml version="1.0" encoding="utf-8"?>
<ds:datastoreItem xmlns:ds="http://schemas.openxmlformats.org/officeDocument/2006/customXml" ds:itemID="{254420A1-86C5-4E99-A013-D9F8F076B9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</vt:lpstr>
      <vt:lpstr>'2022'!Print_Area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nurena</dc:creator>
  <cp:lastModifiedBy>Nadia Urena</cp:lastModifiedBy>
  <dcterms:created xsi:type="dcterms:W3CDTF">2022-02-03T14:00:46Z</dcterms:created>
  <dcterms:modified xsi:type="dcterms:W3CDTF">2023-01-11T19:50:34Z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